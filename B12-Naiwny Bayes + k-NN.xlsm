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5D4EC5BA-C494-49C9-8BF3-83C42F334D9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NaiwnyBayes" sheetId="4" r:id="rId1"/>
    <sheet name="NaiwnyBayes(bootstrapping)" sheetId="6" r:id="rId2"/>
    <sheet name="NN3" sheetId="5" r:id="rId3"/>
  </sheets>
  <functionGroups builtInGroupCount="19"/>
  <calcPr calcId="191029"/>
  <pivotCaches>
    <pivotCache cacheId="0" r:id="rId4"/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2" i="4" l="1"/>
  <c r="X31" i="4"/>
  <c r="X18" i="4"/>
  <c r="X15" i="4"/>
  <c r="M2" i="4" a="1"/>
  <c r="R2" i="4" a="1"/>
  <c r="H2" i="4" a="1"/>
  <c r="M2" i="4" l="1"/>
  <c r="R2" i="4"/>
  <c r="H2" i="4"/>
  <c r="H2" i="5"/>
  <c r="I155" i="5"/>
  <c r="H157" i="5"/>
  <c r="H156" i="5"/>
  <c r="H155" i="5"/>
  <c r="N2" i="4" a="1"/>
  <c r="N2" i="4" l="1"/>
  <c r="I2" i="5"/>
  <c r="J2" i="6"/>
  <c r="X12" i="6"/>
  <c r="R2" i="6" a="1"/>
  <c r="S2" i="4" a="1"/>
  <c r="R2" i="6" l="1"/>
  <c r="S2" i="4"/>
  <c r="P2" i="6"/>
  <c r="Z24" i="6"/>
  <c r="Z25" i="6"/>
  <c r="Z26" i="6"/>
  <c r="Z23" i="6"/>
  <c r="Y24" i="6"/>
  <c r="Y25" i="6"/>
  <c r="Y26" i="6"/>
  <c r="Y23" i="6"/>
  <c r="X24" i="6"/>
  <c r="X25" i="6"/>
  <c r="X26" i="6"/>
  <c r="X23" i="6"/>
  <c r="W26" i="6"/>
  <c r="W25" i="6"/>
  <c r="W24" i="6"/>
  <c r="W23" i="6"/>
  <c r="P3" i="6"/>
  <c r="P91" i="6"/>
  <c r="P92" i="6"/>
  <c r="P93" i="6"/>
  <c r="P50" i="6"/>
  <c r="P94" i="6"/>
  <c r="P95" i="6"/>
  <c r="P4" i="6"/>
  <c r="P51" i="6"/>
  <c r="P96" i="6"/>
  <c r="P52" i="6"/>
  <c r="P5" i="6"/>
  <c r="P6" i="6"/>
  <c r="P97" i="6"/>
  <c r="P53" i="6"/>
  <c r="P98" i="6"/>
  <c r="P54" i="6"/>
  <c r="P99" i="6"/>
  <c r="P7" i="6"/>
  <c r="P100" i="6"/>
  <c r="P101" i="6"/>
  <c r="P55" i="6"/>
  <c r="P56" i="6"/>
  <c r="P57" i="6"/>
  <c r="P58" i="6"/>
  <c r="P8" i="6"/>
  <c r="P102" i="6"/>
  <c r="P59" i="6"/>
  <c r="P103" i="6"/>
  <c r="P9" i="6"/>
  <c r="P60" i="6"/>
  <c r="P10" i="6"/>
  <c r="P11" i="6"/>
  <c r="P104" i="6"/>
  <c r="P105" i="6"/>
  <c r="P61" i="6"/>
  <c r="P12" i="6"/>
  <c r="P62" i="6"/>
  <c r="P106" i="6"/>
  <c r="P107" i="6"/>
  <c r="P108" i="6"/>
  <c r="P63" i="6"/>
  <c r="P64" i="6"/>
  <c r="P109" i="6"/>
  <c r="P13" i="6"/>
  <c r="P110" i="6"/>
  <c r="P14" i="6"/>
  <c r="P15" i="6"/>
  <c r="P111" i="6"/>
  <c r="P65" i="6"/>
  <c r="P112" i="6"/>
  <c r="P113" i="6"/>
  <c r="P66" i="6"/>
  <c r="P114" i="6"/>
  <c r="P115" i="6"/>
  <c r="P116" i="6"/>
  <c r="P117" i="6"/>
  <c r="P118" i="6"/>
  <c r="P67" i="6"/>
  <c r="P16" i="6"/>
  <c r="P119" i="6"/>
  <c r="P68" i="6"/>
  <c r="P17" i="6"/>
  <c r="P69" i="6"/>
  <c r="P70" i="6"/>
  <c r="P18" i="6"/>
  <c r="P19" i="6"/>
  <c r="P20" i="6"/>
  <c r="P120" i="6"/>
  <c r="P21" i="6"/>
  <c r="P121" i="6"/>
  <c r="P122" i="6"/>
  <c r="P123" i="6"/>
  <c r="P71" i="6"/>
  <c r="P22" i="6"/>
  <c r="P124" i="6"/>
  <c r="P125" i="6"/>
  <c r="P126" i="6"/>
  <c r="P127" i="6"/>
  <c r="P128" i="6"/>
  <c r="P72" i="6"/>
  <c r="P129" i="6"/>
  <c r="P130" i="6"/>
  <c r="P131" i="6"/>
  <c r="P73" i="6"/>
  <c r="P23" i="6"/>
  <c r="P132" i="6"/>
  <c r="P74" i="6"/>
  <c r="P24" i="6"/>
  <c r="P25" i="6"/>
  <c r="P26" i="6"/>
  <c r="P75" i="6"/>
  <c r="P133" i="6"/>
  <c r="P134" i="6"/>
  <c r="P27" i="6"/>
  <c r="P76" i="6"/>
  <c r="P28" i="6"/>
  <c r="P29" i="6"/>
  <c r="P30" i="6"/>
  <c r="P31" i="6"/>
  <c r="P77" i="6"/>
  <c r="P32" i="6"/>
  <c r="P78" i="6"/>
  <c r="P79" i="6"/>
  <c r="P135" i="6"/>
  <c r="P136" i="6"/>
  <c r="P33" i="6"/>
  <c r="P137" i="6"/>
  <c r="P138" i="6"/>
  <c r="P139" i="6"/>
  <c r="P140" i="6"/>
  <c r="P80" i="6"/>
  <c r="P34" i="6"/>
  <c r="P35" i="6"/>
  <c r="P141" i="6"/>
  <c r="P142" i="6"/>
  <c r="P143" i="6"/>
  <c r="P36" i="6"/>
  <c r="P37" i="6"/>
  <c r="P144" i="6"/>
  <c r="P38" i="6"/>
  <c r="P145" i="6"/>
  <c r="P81" i="6"/>
  <c r="P146" i="6"/>
  <c r="P82" i="6"/>
  <c r="P39" i="6"/>
  <c r="P40" i="6"/>
  <c r="P83" i="6"/>
  <c r="P41" i="6"/>
  <c r="P42" i="6"/>
  <c r="P84" i="6"/>
  <c r="P43" i="6"/>
  <c r="P44" i="6"/>
  <c r="P85" i="6"/>
  <c r="P45" i="6"/>
  <c r="P86" i="6"/>
  <c r="P147" i="6"/>
  <c r="P148" i="6"/>
  <c r="P46" i="6"/>
  <c r="P87" i="6"/>
  <c r="P149" i="6"/>
  <c r="P150" i="6"/>
  <c r="P47" i="6"/>
  <c r="P48" i="6"/>
  <c r="P88" i="6"/>
  <c r="P49" i="6"/>
  <c r="P151" i="6"/>
  <c r="P89" i="6"/>
  <c r="P90" i="6"/>
  <c r="K3" i="6"/>
  <c r="L3" i="6"/>
  <c r="M3" i="6"/>
  <c r="N3" i="6"/>
  <c r="O3" i="6"/>
  <c r="K91" i="6"/>
  <c r="L91" i="6"/>
  <c r="M91" i="6"/>
  <c r="N91" i="6"/>
  <c r="O91" i="6"/>
  <c r="K92" i="6"/>
  <c r="L92" i="6"/>
  <c r="M92" i="6"/>
  <c r="N92" i="6"/>
  <c r="O92" i="6"/>
  <c r="K93" i="6"/>
  <c r="L93" i="6"/>
  <c r="M93" i="6"/>
  <c r="N93" i="6"/>
  <c r="O93" i="6"/>
  <c r="K50" i="6"/>
  <c r="L50" i="6"/>
  <c r="M50" i="6"/>
  <c r="N50" i="6"/>
  <c r="O50" i="6"/>
  <c r="K94" i="6"/>
  <c r="L94" i="6"/>
  <c r="M94" i="6"/>
  <c r="N94" i="6"/>
  <c r="O94" i="6"/>
  <c r="K95" i="6"/>
  <c r="L95" i="6"/>
  <c r="M95" i="6"/>
  <c r="N95" i="6"/>
  <c r="O95" i="6"/>
  <c r="K4" i="6"/>
  <c r="L4" i="6"/>
  <c r="M4" i="6"/>
  <c r="N4" i="6"/>
  <c r="O4" i="6"/>
  <c r="K51" i="6"/>
  <c r="L51" i="6"/>
  <c r="M51" i="6"/>
  <c r="N51" i="6"/>
  <c r="O51" i="6"/>
  <c r="K96" i="6"/>
  <c r="L96" i="6"/>
  <c r="M96" i="6"/>
  <c r="N96" i="6"/>
  <c r="O96" i="6"/>
  <c r="K52" i="6"/>
  <c r="L52" i="6"/>
  <c r="M52" i="6"/>
  <c r="N52" i="6"/>
  <c r="O52" i="6"/>
  <c r="K5" i="6"/>
  <c r="L5" i="6"/>
  <c r="M5" i="6"/>
  <c r="N5" i="6"/>
  <c r="O5" i="6"/>
  <c r="K6" i="6"/>
  <c r="L6" i="6"/>
  <c r="M6" i="6"/>
  <c r="N6" i="6"/>
  <c r="O6" i="6"/>
  <c r="K97" i="6"/>
  <c r="L97" i="6"/>
  <c r="M97" i="6"/>
  <c r="N97" i="6"/>
  <c r="O97" i="6"/>
  <c r="K53" i="6"/>
  <c r="L53" i="6"/>
  <c r="M53" i="6"/>
  <c r="N53" i="6"/>
  <c r="O53" i="6"/>
  <c r="K98" i="6"/>
  <c r="L98" i="6"/>
  <c r="M98" i="6"/>
  <c r="N98" i="6"/>
  <c r="O98" i="6"/>
  <c r="K54" i="6"/>
  <c r="L54" i="6"/>
  <c r="M54" i="6"/>
  <c r="N54" i="6"/>
  <c r="O54" i="6"/>
  <c r="K99" i="6"/>
  <c r="L99" i="6"/>
  <c r="M99" i="6"/>
  <c r="N99" i="6"/>
  <c r="O99" i="6"/>
  <c r="K7" i="6"/>
  <c r="L7" i="6"/>
  <c r="M7" i="6"/>
  <c r="N7" i="6"/>
  <c r="O7" i="6"/>
  <c r="K100" i="6"/>
  <c r="L100" i="6"/>
  <c r="M100" i="6"/>
  <c r="N100" i="6"/>
  <c r="O100" i="6"/>
  <c r="K101" i="6"/>
  <c r="L101" i="6"/>
  <c r="M101" i="6"/>
  <c r="N101" i="6"/>
  <c r="O101" i="6"/>
  <c r="K55" i="6"/>
  <c r="L55" i="6"/>
  <c r="M55" i="6"/>
  <c r="N55" i="6"/>
  <c r="O55" i="6"/>
  <c r="K56" i="6"/>
  <c r="L56" i="6"/>
  <c r="M56" i="6"/>
  <c r="N56" i="6"/>
  <c r="O56" i="6"/>
  <c r="K57" i="6"/>
  <c r="L57" i="6"/>
  <c r="M57" i="6"/>
  <c r="N57" i="6"/>
  <c r="O57" i="6"/>
  <c r="K58" i="6"/>
  <c r="L58" i="6"/>
  <c r="M58" i="6"/>
  <c r="N58" i="6"/>
  <c r="O58" i="6"/>
  <c r="K8" i="6"/>
  <c r="L8" i="6"/>
  <c r="M8" i="6"/>
  <c r="N8" i="6"/>
  <c r="O8" i="6"/>
  <c r="K102" i="6"/>
  <c r="L102" i="6"/>
  <c r="M102" i="6"/>
  <c r="N102" i="6"/>
  <c r="O102" i="6"/>
  <c r="K59" i="6"/>
  <c r="L59" i="6"/>
  <c r="M59" i="6"/>
  <c r="N59" i="6"/>
  <c r="O59" i="6"/>
  <c r="K103" i="6"/>
  <c r="L103" i="6"/>
  <c r="M103" i="6"/>
  <c r="N103" i="6"/>
  <c r="O103" i="6"/>
  <c r="K9" i="6"/>
  <c r="L9" i="6"/>
  <c r="M9" i="6"/>
  <c r="N9" i="6"/>
  <c r="O9" i="6"/>
  <c r="K60" i="6"/>
  <c r="L60" i="6"/>
  <c r="M60" i="6"/>
  <c r="N60" i="6"/>
  <c r="O60" i="6"/>
  <c r="K10" i="6"/>
  <c r="L10" i="6"/>
  <c r="M10" i="6"/>
  <c r="N10" i="6"/>
  <c r="O10" i="6"/>
  <c r="K11" i="6"/>
  <c r="L11" i="6"/>
  <c r="M11" i="6"/>
  <c r="N11" i="6"/>
  <c r="O11" i="6"/>
  <c r="K104" i="6"/>
  <c r="L104" i="6"/>
  <c r="M104" i="6"/>
  <c r="N104" i="6"/>
  <c r="O104" i="6"/>
  <c r="K105" i="6"/>
  <c r="L105" i="6"/>
  <c r="M105" i="6"/>
  <c r="N105" i="6"/>
  <c r="O105" i="6"/>
  <c r="K61" i="6"/>
  <c r="L61" i="6"/>
  <c r="M61" i="6"/>
  <c r="N61" i="6"/>
  <c r="O61" i="6"/>
  <c r="K12" i="6"/>
  <c r="L12" i="6"/>
  <c r="M12" i="6"/>
  <c r="N12" i="6"/>
  <c r="O12" i="6"/>
  <c r="K62" i="6"/>
  <c r="L62" i="6"/>
  <c r="M62" i="6"/>
  <c r="N62" i="6"/>
  <c r="O62" i="6"/>
  <c r="K106" i="6"/>
  <c r="L106" i="6"/>
  <c r="M106" i="6"/>
  <c r="N106" i="6"/>
  <c r="O106" i="6"/>
  <c r="K107" i="6"/>
  <c r="L107" i="6"/>
  <c r="M107" i="6"/>
  <c r="N107" i="6"/>
  <c r="O107" i="6"/>
  <c r="K108" i="6"/>
  <c r="L108" i="6"/>
  <c r="M108" i="6"/>
  <c r="N108" i="6"/>
  <c r="O108" i="6"/>
  <c r="K63" i="6"/>
  <c r="L63" i="6"/>
  <c r="M63" i="6"/>
  <c r="N63" i="6"/>
  <c r="O63" i="6"/>
  <c r="K64" i="6"/>
  <c r="L64" i="6"/>
  <c r="M64" i="6"/>
  <c r="N64" i="6"/>
  <c r="O64" i="6"/>
  <c r="K109" i="6"/>
  <c r="L109" i="6"/>
  <c r="M109" i="6"/>
  <c r="N109" i="6"/>
  <c r="O109" i="6"/>
  <c r="K13" i="6"/>
  <c r="L13" i="6"/>
  <c r="M13" i="6"/>
  <c r="N13" i="6"/>
  <c r="O13" i="6"/>
  <c r="K110" i="6"/>
  <c r="L110" i="6"/>
  <c r="M110" i="6"/>
  <c r="N110" i="6"/>
  <c r="O110" i="6"/>
  <c r="K14" i="6"/>
  <c r="L14" i="6"/>
  <c r="M14" i="6"/>
  <c r="N14" i="6"/>
  <c r="O14" i="6"/>
  <c r="K15" i="6"/>
  <c r="L15" i="6"/>
  <c r="M15" i="6"/>
  <c r="N15" i="6"/>
  <c r="O15" i="6"/>
  <c r="K111" i="6"/>
  <c r="L111" i="6"/>
  <c r="M111" i="6"/>
  <c r="N111" i="6"/>
  <c r="O111" i="6"/>
  <c r="K65" i="6"/>
  <c r="L65" i="6"/>
  <c r="M65" i="6"/>
  <c r="N65" i="6"/>
  <c r="O65" i="6"/>
  <c r="K112" i="6"/>
  <c r="L112" i="6"/>
  <c r="M112" i="6"/>
  <c r="N112" i="6"/>
  <c r="O112" i="6"/>
  <c r="K113" i="6"/>
  <c r="L113" i="6"/>
  <c r="M113" i="6"/>
  <c r="N113" i="6"/>
  <c r="O113" i="6"/>
  <c r="K66" i="6"/>
  <c r="L66" i="6"/>
  <c r="M66" i="6"/>
  <c r="N66" i="6"/>
  <c r="O66" i="6"/>
  <c r="K114" i="6"/>
  <c r="L114" i="6"/>
  <c r="M114" i="6"/>
  <c r="N114" i="6"/>
  <c r="O114" i="6"/>
  <c r="K115" i="6"/>
  <c r="L115" i="6"/>
  <c r="M115" i="6"/>
  <c r="N115" i="6"/>
  <c r="O115" i="6"/>
  <c r="K116" i="6"/>
  <c r="L116" i="6"/>
  <c r="M116" i="6"/>
  <c r="N116" i="6"/>
  <c r="O116" i="6"/>
  <c r="K117" i="6"/>
  <c r="L117" i="6"/>
  <c r="M117" i="6"/>
  <c r="N117" i="6"/>
  <c r="O117" i="6"/>
  <c r="K118" i="6"/>
  <c r="L118" i="6"/>
  <c r="M118" i="6"/>
  <c r="N118" i="6"/>
  <c r="O118" i="6"/>
  <c r="K67" i="6"/>
  <c r="L67" i="6"/>
  <c r="M67" i="6"/>
  <c r="N67" i="6"/>
  <c r="O67" i="6"/>
  <c r="K16" i="6"/>
  <c r="L16" i="6"/>
  <c r="M16" i="6"/>
  <c r="N16" i="6"/>
  <c r="O16" i="6"/>
  <c r="K119" i="6"/>
  <c r="L119" i="6"/>
  <c r="M119" i="6"/>
  <c r="N119" i="6"/>
  <c r="O119" i="6"/>
  <c r="K68" i="6"/>
  <c r="L68" i="6"/>
  <c r="M68" i="6"/>
  <c r="N68" i="6"/>
  <c r="O68" i="6"/>
  <c r="K17" i="6"/>
  <c r="L17" i="6"/>
  <c r="M17" i="6"/>
  <c r="N17" i="6"/>
  <c r="O17" i="6"/>
  <c r="K69" i="6"/>
  <c r="L69" i="6"/>
  <c r="M69" i="6"/>
  <c r="N69" i="6"/>
  <c r="O69" i="6"/>
  <c r="K70" i="6"/>
  <c r="L70" i="6"/>
  <c r="M70" i="6"/>
  <c r="N70" i="6"/>
  <c r="O70" i="6"/>
  <c r="K18" i="6"/>
  <c r="L18" i="6"/>
  <c r="M18" i="6"/>
  <c r="N18" i="6"/>
  <c r="O18" i="6"/>
  <c r="K19" i="6"/>
  <c r="L19" i="6"/>
  <c r="M19" i="6"/>
  <c r="N19" i="6"/>
  <c r="O19" i="6"/>
  <c r="K20" i="6"/>
  <c r="L20" i="6"/>
  <c r="M20" i="6"/>
  <c r="N20" i="6"/>
  <c r="O20" i="6"/>
  <c r="K120" i="6"/>
  <c r="L120" i="6"/>
  <c r="M120" i="6"/>
  <c r="N120" i="6"/>
  <c r="O120" i="6"/>
  <c r="K21" i="6"/>
  <c r="L21" i="6"/>
  <c r="M21" i="6"/>
  <c r="N21" i="6"/>
  <c r="O21" i="6"/>
  <c r="K121" i="6"/>
  <c r="L121" i="6"/>
  <c r="M121" i="6"/>
  <c r="N121" i="6"/>
  <c r="O121" i="6"/>
  <c r="K122" i="6"/>
  <c r="L122" i="6"/>
  <c r="M122" i="6"/>
  <c r="N122" i="6"/>
  <c r="O122" i="6"/>
  <c r="K123" i="6"/>
  <c r="L123" i="6"/>
  <c r="M123" i="6"/>
  <c r="N123" i="6"/>
  <c r="O123" i="6"/>
  <c r="K71" i="6"/>
  <c r="L71" i="6"/>
  <c r="M71" i="6"/>
  <c r="N71" i="6"/>
  <c r="O71" i="6"/>
  <c r="K22" i="6"/>
  <c r="L22" i="6"/>
  <c r="M22" i="6"/>
  <c r="N22" i="6"/>
  <c r="O22" i="6"/>
  <c r="K124" i="6"/>
  <c r="L124" i="6"/>
  <c r="M124" i="6"/>
  <c r="N124" i="6"/>
  <c r="O124" i="6"/>
  <c r="K125" i="6"/>
  <c r="L125" i="6"/>
  <c r="M125" i="6"/>
  <c r="N125" i="6"/>
  <c r="O125" i="6"/>
  <c r="K126" i="6"/>
  <c r="L126" i="6"/>
  <c r="M126" i="6"/>
  <c r="N126" i="6"/>
  <c r="O126" i="6"/>
  <c r="K127" i="6"/>
  <c r="L127" i="6"/>
  <c r="M127" i="6"/>
  <c r="N127" i="6"/>
  <c r="O127" i="6"/>
  <c r="K128" i="6"/>
  <c r="L128" i="6"/>
  <c r="M128" i="6"/>
  <c r="N128" i="6"/>
  <c r="O128" i="6"/>
  <c r="K72" i="6"/>
  <c r="L72" i="6"/>
  <c r="M72" i="6"/>
  <c r="N72" i="6"/>
  <c r="O72" i="6"/>
  <c r="K129" i="6"/>
  <c r="L129" i="6"/>
  <c r="M129" i="6"/>
  <c r="N129" i="6"/>
  <c r="O129" i="6"/>
  <c r="K130" i="6"/>
  <c r="L130" i="6"/>
  <c r="M130" i="6"/>
  <c r="N130" i="6"/>
  <c r="O130" i="6"/>
  <c r="K131" i="6"/>
  <c r="L131" i="6"/>
  <c r="M131" i="6"/>
  <c r="N131" i="6"/>
  <c r="O131" i="6"/>
  <c r="K73" i="6"/>
  <c r="L73" i="6"/>
  <c r="M73" i="6"/>
  <c r="N73" i="6"/>
  <c r="O73" i="6"/>
  <c r="K23" i="6"/>
  <c r="L23" i="6"/>
  <c r="M23" i="6"/>
  <c r="N23" i="6"/>
  <c r="O23" i="6"/>
  <c r="K132" i="6"/>
  <c r="L132" i="6"/>
  <c r="M132" i="6"/>
  <c r="N132" i="6"/>
  <c r="O132" i="6"/>
  <c r="K74" i="6"/>
  <c r="L74" i="6"/>
  <c r="M74" i="6"/>
  <c r="N74" i="6"/>
  <c r="O74" i="6"/>
  <c r="K24" i="6"/>
  <c r="L24" i="6"/>
  <c r="M24" i="6"/>
  <c r="N24" i="6"/>
  <c r="O24" i="6"/>
  <c r="K25" i="6"/>
  <c r="L25" i="6"/>
  <c r="M25" i="6"/>
  <c r="N25" i="6"/>
  <c r="O25" i="6"/>
  <c r="K26" i="6"/>
  <c r="L26" i="6"/>
  <c r="M26" i="6"/>
  <c r="N26" i="6"/>
  <c r="O26" i="6"/>
  <c r="K75" i="6"/>
  <c r="L75" i="6"/>
  <c r="M75" i="6"/>
  <c r="N75" i="6"/>
  <c r="O75" i="6"/>
  <c r="K133" i="6"/>
  <c r="L133" i="6"/>
  <c r="M133" i="6"/>
  <c r="N133" i="6"/>
  <c r="O133" i="6"/>
  <c r="K134" i="6"/>
  <c r="L134" i="6"/>
  <c r="M134" i="6"/>
  <c r="N134" i="6"/>
  <c r="O134" i="6"/>
  <c r="K27" i="6"/>
  <c r="L27" i="6"/>
  <c r="M27" i="6"/>
  <c r="N27" i="6"/>
  <c r="O27" i="6"/>
  <c r="K76" i="6"/>
  <c r="L76" i="6"/>
  <c r="M76" i="6"/>
  <c r="N76" i="6"/>
  <c r="O76" i="6"/>
  <c r="K28" i="6"/>
  <c r="L28" i="6"/>
  <c r="M28" i="6"/>
  <c r="N28" i="6"/>
  <c r="O28" i="6"/>
  <c r="K29" i="6"/>
  <c r="L29" i="6"/>
  <c r="M29" i="6"/>
  <c r="N29" i="6"/>
  <c r="O29" i="6"/>
  <c r="K30" i="6"/>
  <c r="L30" i="6"/>
  <c r="M30" i="6"/>
  <c r="N30" i="6"/>
  <c r="O30" i="6"/>
  <c r="K31" i="6"/>
  <c r="L31" i="6"/>
  <c r="M31" i="6"/>
  <c r="N31" i="6"/>
  <c r="O31" i="6"/>
  <c r="K77" i="6"/>
  <c r="L77" i="6"/>
  <c r="M77" i="6"/>
  <c r="N77" i="6"/>
  <c r="O77" i="6"/>
  <c r="K32" i="6"/>
  <c r="L32" i="6"/>
  <c r="M32" i="6"/>
  <c r="N32" i="6"/>
  <c r="O32" i="6"/>
  <c r="K78" i="6"/>
  <c r="L78" i="6"/>
  <c r="M78" i="6"/>
  <c r="N78" i="6"/>
  <c r="O78" i="6"/>
  <c r="K79" i="6"/>
  <c r="L79" i="6"/>
  <c r="M79" i="6"/>
  <c r="N79" i="6"/>
  <c r="O79" i="6"/>
  <c r="K135" i="6"/>
  <c r="L135" i="6"/>
  <c r="M135" i="6"/>
  <c r="N135" i="6"/>
  <c r="O135" i="6"/>
  <c r="K136" i="6"/>
  <c r="L136" i="6"/>
  <c r="M136" i="6"/>
  <c r="N136" i="6"/>
  <c r="O136" i="6"/>
  <c r="K33" i="6"/>
  <c r="L33" i="6"/>
  <c r="M33" i="6"/>
  <c r="N33" i="6"/>
  <c r="O33" i="6"/>
  <c r="K137" i="6"/>
  <c r="L137" i="6"/>
  <c r="M137" i="6"/>
  <c r="N137" i="6"/>
  <c r="O137" i="6"/>
  <c r="K138" i="6"/>
  <c r="L138" i="6"/>
  <c r="M138" i="6"/>
  <c r="N138" i="6"/>
  <c r="O138" i="6"/>
  <c r="K139" i="6"/>
  <c r="L139" i="6"/>
  <c r="M139" i="6"/>
  <c r="N139" i="6"/>
  <c r="O139" i="6"/>
  <c r="K140" i="6"/>
  <c r="L140" i="6"/>
  <c r="M140" i="6"/>
  <c r="N140" i="6"/>
  <c r="O140" i="6"/>
  <c r="K80" i="6"/>
  <c r="L80" i="6"/>
  <c r="M80" i="6"/>
  <c r="N80" i="6"/>
  <c r="O80" i="6"/>
  <c r="K34" i="6"/>
  <c r="L34" i="6"/>
  <c r="M34" i="6"/>
  <c r="N34" i="6"/>
  <c r="O34" i="6"/>
  <c r="K35" i="6"/>
  <c r="L35" i="6"/>
  <c r="M35" i="6"/>
  <c r="N35" i="6"/>
  <c r="O35" i="6"/>
  <c r="K141" i="6"/>
  <c r="L141" i="6"/>
  <c r="M141" i="6"/>
  <c r="N141" i="6"/>
  <c r="O141" i="6"/>
  <c r="K142" i="6"/>
  <c r="L142" i="6"/>
  <c r="M142" i="6"/>
  <c r="N142" i="6"/>
  <c r="O142" i="6"/>
  <c r="K143" i="6"/>
  <c r="L143" i="6"/>
  <c r="M143" i="6"/>
  <c r="N143" i="6"/>
  <c r="O143" i="6"/>
  <c r="K36" i="6"/>
  <c r="L36" i="6"/>
  <c r="M36" i="6"/>
  <c r="N36" i="6"/>
  <c r="O36" i="6"/>
  <c r="K37" i="6"/>
  <c r="L37" i="6"/>
  <c r="M37" i="6"/>
  <c r="N37" i="6"/>
  <c r="O37" i="6"/>
  <c r="K144" i="6"/>
  <c r="L144" i="6"/>
  <c r="M144" i="6"/>
  <c r="N144" i="6"/>
  <c r="O144" i="6"/>
  <c r="K38" i="6"/>
  <c r="L38" i="6"/>
  <c r="M38" i="6"/>
  <c r="N38" i="6"/>
  <c r="O38" i="6"/>
  <c r="K145" i="6"/>
  <c r="L145" i="6"/>
  <c r="M145" i="6"/>
  <c r="N145" i="6"/>
  <c r="O145" i="6"/>
  <c r="K81" i="6"/>
  <c r="L81" i="6"/>
  <c r="M81" i="6"/>
  <c r="N81" i="6"/>
  <c r="O81" i="6"/>
  <c r="K146" i="6"/>
  <c r="L146" i="6"/>
  <c r="M146" i="6"/>
  <c r="N146" i="6"/>
  <c r="O146" i="6"/>
  <c r="K82" i="6"/>
  <c r="L82" i="6"/>
  <c r="M82" i="6"/>
  <c r="N82" i="6"/>
  <c r="O82" i="6"/>
  <c r="K39" i="6"/>
  <c r="L39" i="6"/>
  <c r="M39" i="6"/>
  <c r="N39" i="6"/>
  <c r="O39" i="6"/>
  <c r="K40" i="6"/>
  <c r="L40" i="6"/>
  <c r="M40" i="6"/>
  <c r="N40" i="6"/>
  <c r="O40" i="6"/>
  <c r="K83" i="6"/>
  <c r="L83" i="6"/>
  <c r="M83" i="6"/>
  <c r="N83" i="6"/>
  <c r="O83" i="6"/>
  <c r="K41" i="6"/>
  <c r="L41" i="6"/>
  <c r="M41" i="6"/>
  <c r="N41" i="6"/>
  <c r="O41" i="6"/>
  <c r="K42" i="6"/>
  <c r="L42" i="6"/>
  <c r="M42" i="6"/>
  <c r="N42" i="6"/>
  <c r="O42" i="6"/>
  <c r="K84" i="6"/>
  <c r="L84" i="6"/>
  <c r="M84" i="6"/>
  <c r="N84" i="6"/>
  <c r="O84" i="6"/>
  <c r="K43" i="6"/>
  <c r="L43" i="6"/>
  <c r="M43" i="6"/>
  <c r="N43" i="6"/>
  <c r="O43" i="6"/>
  <c r="K44" i="6"/>
  <c r="L44" i="6"/>
  <c r="M44" i="6"/>
  <c r="N44" i="6"/>
  <c r="O44" i="6"/>
  <c r="K85" i="6"/>
  <c r="L85" i="6"/>
  <c r="M85" i="6"/>
  <c r="N85" i="6"/>
  <c r="O85" i="6"/>
  <c r="K45" i="6"/>
  <c r="L45" i="6"/>
  <c r="M45" i="6"/>
  <c r="N45" i="6"/>
  <c r="O45" i="6"/>
  <c r="K86" i="6"/>
  <c r="L86" i="6"/>
  <c r="M86" i="6"/>
  <c r="N86" i="6"/>
  <c r="O86" i="6"/>
  <c r="K147" i="6"/>
  <c r="L147" i="6"/>
  <c r="M147" i="6"/>
  <c r="N147" i="6"/>
  <c r="O147" i="6"/>
  <c r="K148" i="6"/>
  <c r="L148" i="6"/>
  <c r="M148" i="6"/>
  <c r="N148" i="6"/>
  <c r="O148" i="6"/>
  <c r="K46" i="6"/>
  <c r="L46" i="6"/>
  <c r="M46" i="6"/>
  <c r="N46" i="6"/>
  <c r="O46" i="6"/>
  <c r="K87" i="6"/>
  <c r="L87" i="6"/>
  <c r="M87" i="6"/>
  <c r="N87" i="6"/>
  <c r="O87" i="6"/>
  <c r="K149" i="6"/>
  <c r="L149" i="6"/>
  <c r="M149" i="6"/>
  <c r="N149" i="6"/>
  <c r="O149" i="6"/>
  <c r="K150" i="6"/>
  <c r="L150" i="6"/>
  <c r="M150" i="6"/>
  <c r="N150" i="6"/>
  <c r="O150" i="6"/>
  <c r="K47" i="6"/>
  <c r="L47" i="6"/>
  <c r="M47" i="6"/>
  <c r="N47" i="6"/>
  <c r="O47" i="6"/>
  <c r="K48" i="6"/>
  <c r="L48" i="6"/>
  <c r="M48" i="6"/>
  <c r="N48" i="6"/>
  <c r="O48" i="6"/>
  <c r="K88" i="6"/>
  <c r="L88" i="6"/>
  <c r="M88" i="6"/>
  <c r="N88" i="6"/>
  <c r="O88" i="6"/>
  <c r="K49" i="6"/>
  <c r="L49" i="6"/>
  <c r="M49" i="6"/>
  <c r="N49" i="6"/>
  <c r="O49" i="6"/>
  <c r="K151" i="6"/>
  <c r="L151" i="6"/>
  <c r="M151" i="6"/>
  <c r="N151" i="6"/>
  <c r="O151" i="6"/>
  <c r="K89" i="6"/>
  <c r="L89" i="6"/>
  <c r="M89" i="6"/>
  <c r="N89" i="6"/>
  <c r="O89" i="6"/>
  <c r="K90" i="6"/>
  <c r="L90" i="6"/>
  <c r="M90" i="6"/>
  <c r="N90" i="6"/>
  <c r="O90" i="6"/>
  <c r="K2" i="6"/>
  <c r="L2" i="6"/>
  <c r="M2" i="6"/>
  <c r="N2" i="6"/>
  <c r="O2" i="6"/>
  <c r="J111" i="6"/>
  <c r="S2" i="6" a="1"/>
  <c r="S2" i="6" l="1"/>
  <c r="Z9" i="6"/>
  <c r="Z11" i="6"/>
  <c r="Y11" i="6"/>
  <c r="Y10" i="6"/>
  <c r="X6" i="6"/>
  <c r="X10" i="6"/>
  <c r="Z10" i="6"/>
  <c r="X11" i="6"/>
  <c r="Z7" i="6"/>
  <c r="Y7" i="6"/>
  <c r="Y13" i="6" s="1"/>
  <c r="Y9" i="6"/>
  <c r="X8" i="6"/>
  <c r="X7" i="6"/>
  <c r="Z8" i="6"/>
  <c r="Y8" i="6"/>
  <c r="Y6" i="6"/>
  <c r="Z6" i="6" s="1"/>
  <c r="AA23" i="6" s="1"/>
  <c r="X9" i="6"/>
  <c r="J11" i="6"/>
  <c r="J5" i="6"/>
  <c r="J8" i="6"/>
  <c r="J9" i="6"/>
  <c r="J4" i="6"/>
  <c r="J7" i="6"/>
  <c r="J69" i="6"/>
  <c r="J3" i="6"/>
  <c r="J10" i="6"/>
  <c r="J32" i="6"/>
  <c r="J150" i="6"/>
  <c r="J142" i="6"/>
  <c r="J134" i="6"/>
  <c r="J145" i="6"/>
  <c r="J137" i="6"/>
  <c r="J129" i="6"/>
  <c r="J148" i="6"/>
  <c r="J140" i="6"/>
  <c r="J132" i="6"/>
  <c r="J151" i="6"/>
  <c r="J143" i="6"/>
  <c r="J146" i="6"/>
  <c r="J138" i="6"/>
  <c r="J130" i="6"/>
  <c r="J149" i="6"/>
  <c r="J141" i="6"/>
  <c r="J133" i="6"/>
  <c r="J144" i="6"/>
  <c r="J136" i="6"/>
  <c r="J128" i="6"/>
  <c r="J126" i="6"/>
  <c r="J118" i="6"/>
  <c r="J110" i="6"/>
  <c r="J139" i="6"/>
  <c r="J121" i="6"/>
  <c r="J113" i="6"/>
  <c r="J124" i="6"/>
  <c r="J116" i="6"/>
  <c r="J127" i="6"/>
  <c r="J122" i="6"/>
  <c r="J114" i="6"/>
  <c r="J135" i="6"/>
  <c r="J131" i="6"/>
  <c r="J123" i="6"/>
  <c r="J115" i="6"/>
  <c r="J147" i="6"/>
  <c r="J125" i="6"/>
  <c r="J109" i="6"/>
  <c r="J108" i="6"/>
  <c r="J100" i="6"/>
  <c r="J120" i="6"/>
  <c r="J103" i="6"/>
  <c r="J95" i="6"/>
  <c r="J106" i="6"/>
  <c r="J98" i="6"/>
  <c r="J101" i="6"/>
  <c r="J119" i="6"/>
  <c r="J117" i="6"/>
  <c r="J104" i="6"/>
  <c r="J96" i="6"/>
  <c r="J105" i="6"/>
  <c r="J97" i="6"/>
  <c r="J99" i="6"/>
  <c r="J87" i="6"/>
  <c r="J79" i="6"/>
  <c r="J94" i="6"/>
  <c r="J90" i="6"/>
  <c r="J82" i="6"/>
  <c r="J93" i="6"/>
  <c r="J85" i="6"/>
  <c r="J77" i="6"/>
  <c r="J107" i="6"/>
  <c r="J102" i="6"/>
  <c r="J112" i="6"/>
  <c r="J91" i="6"/>
  <c r="J83" i="6"/>
  <c r="J86" i="6"/>
  <c r="J78" i="6"/>
  <c r="J89" i="6"/>
  <c r="J81" i="6"/>
  <c r="J88" i="6"/>
  <c r="J84" i="6"/>
  <c r="J80" i="6"/>
  <c r="J72" i="6"/>
  <c r="J64" i="6"/>
  <c r="J75" i="6"/>
  <c r="J67" i="6"/>
  <c r="J59" i="6"/>
  <c r="J70" i="6"/>
  <c r="J62" i="6"/>
  <c r="J73" i="6"/>
  <c r="J65" i="6"/>
  <c r="J76" i="6"/>
  <c r="J68" i="6"/>
  <c r="J92" i="6"/>
  <c r="J74" i="6"/>
  <c r="J66" i="6"/>
  <c r="J58" i="6"/>
  <c r="J53" i="6"/>
  <c r="J45" i="6"/>
  <c r="J51" i="6"/>
  <c r="J43" i="6"/>
  <c r="J63" i="6"/>
  <c r="J61" i="6"/>
  <c r="J54" i="6"/>
  <c r="J46" i="6"/>
  <c r="J49" i="6"/>
  <c r="J41" i="6"/>
  <c r="J52" i="6"/>
  <c r="J44" i="6"/>
  <c r="J55" i="6"/>
  <c r="J50" i="6"/>
  <c r="J48" i="6"/>
  <c r="J40" i="6"/>
  <c r="J28" i="6"/>
  <c r="J60" i="6"/>
  <c r="J57" i="6"/>
  <c r="J35" i="6"/>
  <c r="J30" i="6"/>
  <c r="J38" i="6"/>
  <c r="J47" i="6"/>
  <c r="J33" i="6"/>
  <c r="J29" i="6"/>
  <c r="J56" i="6"/>
  <c r="J42" i="6"/>
  <c r="J36" i="6"/>
  <c r="J71" i="6"/>
  <c r="J34" i="6"/>
  <c r="J20" i="6"/>
  <c r="J19" i="6"/>
  <c r="J18" i="6"/>
  <c r="J17" i="6"/>
  <c r="J16" i="6"/>
  <c r="J15" i="6"/>
  <c r="J14" i="6"/>
  <c r="J13" i="6"/>
  <c r="J12" i="6"/>
  <c r="J25" i="6"/>
  <c r="J23" i="6"/>
  <c r="J39" i="6"/>
  <c r="J26" i="6"/>
  <c r="J37" i="6"/>
  <c r="J27" i="6"/>
  <c r="J21" i="6"/>
  <c r="J31" i="6"/>
  <c r="J24" i="6"/>
  <c r="J22" i="6"/>
  <c r="J6" i="6"/>
  <c r="AA24" i="6" l="1"/>
  <c r="AA25" i="6"/>
  <c r="AA26" i="6"/>
  <c r="X13" i="6"/>
  <c r="Z12" i="6"/>
  <c r="Z13" i="6"/>
  <c r="Y12" i="6"/>
  <c r="R3" i="6" a="1"/>
  <c r="R4" i="6" a="1"/>
  <c r="R5" i="6" a="1"/>
  <c r="R6" i="6" a="1"/>
  <c r="R7" i="6" a="1"/>
  <c r="R8" i="6" a="1"/>
  <c r="R9" i="6" a="1"/>
  <c r="R10" i="6" a="1"/>
  <c r="R11" i="6" a="1"/>
  <c r="R12" i="6" a="1"/>
  <c r="R13" i="6" a="1"/>
  <c r="R14" i="6" a="1"/>
  <c r="R15" i="6" a="1"/>
  <c r="R16" i="6" a="1"/>
  <c r="R17" i="6" a="1"/>
  <c r="R18" i="6" a="1"/>
  <c r="R19" i="6" a="1"/>
  <c r="R20" i="6" a="1"/>
  <c r="R21" i="6" a="1"/>
  <c r="R22" i="6" a="1"/>
  <c r="R23" i="6" a="1"/>
  <c r="R24" i="6" a="1"/>
  <c r="R25" i="6" a="1"/>
  <c r="R26" i="6" a="1"/>
  <c r="R27" i="6" a="1"/>
  <c r="R28" i="6" a="1"/>
  <c r="R29" i="6" a="1"/>
  <c r="R30" i="6" a="1"/>
  <c r="R31" i="6" a="1"/>
  <c r="R32" i="6" a="1"/>
  <c r="R33" i="6" a="1"/>
  <c r="R34" i="6" a="1"/>
  <c r="R35" i="6" a="1"/>
  <c r="R37" i="6" a="1"/>
  <c r="R39" i="6" a="1"/>
  <c r="R41" i="6" a="1"/>
  <c r="R43" i="6" a="1"/>
  <c r="R45" i="6" a="1"/>
  <c r="R47" i="6" a="1"/>
  <c r="R49" i="6" a="1"/>
  <c r="R51" i="6" a="1"/>
  <c r="R53" i="6" a="1"/>
  <c r="R55" i="6" a="1"/>
  <c r="R57" i="6" a="1"/>
  <c r="R59" i="6" a="1"/>
  <c r="R61" i="6" a="1"/>
  <c r="R63" i="6" a="1"/>
  <c r="R65" i="6" a="1"/>
  <c r="R67" i="6" a="1"/>
  <c r="R69" i="6" a="1"/>
  <c r="R71" i="6" a="1"/>
  <c r="R73" i="6" a="1"/>
  <c r="R75" i="6" a="1"/>
  <c r="R77" i="6" a="1"/>
  <c r="R79" i="6" a="1"/>
  <c r="R81" i="6" a="1"/>
  <c r="R83" i="6" a="1"/>
  <c r="R85" i="6" a="1"/>
  <c r="R87" i="6" a="1"/>
  <c r="R44" i="6" a="1"/>
  <c r="R54" i="6" a="1"/>
  <c r="R62" i="6" a="1"/>
  <c r="R70" i="6" a="1"/>
  <c r="R78" i="6" a="1"/>
  <c r="R86" i="6" a="1"/>
  <c r="R91" i="6" a="1"/>
  <c r="R95" i="6" a="1"/>
  <c r="R99" i="6" a="1"/>
  <c r="R103" i="6" a="1"/>
  <c r="R107" i="6" a="1"/>
  <c r="R111" i="6" a="1"/>
  <c r="R76" i="6" a="1"/>
  <c r="R113" i="6" a="1"/>
  <c r="R128" i="6" a="1"/>
  <c r="R136" i="6" a="1"/>
  <c r="R150" i="6" a="1"/>
  <c r="R46" i="6" a="1"/>
  <c r="R114" i="6" a="1"/>
  <c r="R68" i="6" a="1"/>
  <c r="R134" i="6" a="1"/>
  <c r="R148" i="6" a="1"/>
  <c r="R48" i="6" a="1"/>
  <c r="R56" i="6" a="1"/>
  <c r="R64" i="6" a="1"/>
  <c r="R72" i="6" a="1"/>
  <c r="R80" i="6" a="1"/>
  <c r="R88" i="6" a="1"/>
  <c r="R92" i="6" a="1"/>
  <c r="R96" i="6" a="1"/>
  <c r="R100" i="6" a="1"/>
  <c r="R104" i="6" a="1"/>
  <c r="R108" i="6" a="1"/>
  <c r="R117" i="6" a="1"/>
  <c r="R119" i="6" a="1"/>
  <c r="R121" i="6" a="1"/>
  <c r="R123" i="6" a="1"/>
  <c r="R125" i="6" a="1"/>
  <c r="R127" i="6" a="1"/>
  <c r="R129" i="6" a="1"/>
  <c r="R131" i="6" a="1"/>
  <c r="R133" i="6" a="1"/>
  <c r="R135" i="6" a="1"/>
  <c r="R137" i="6" a="1"/>
  <c r="R139" i="6" a="1"/>
  <c r="R141" i="6" a="1"/>
  <c r="R143" i="6" a="1"/>
  <c r="R145" i="6" a="1"/>
  <c r="R147" i="6" a="1"/>
  <c r="R149" i="6" a="1"/>
  <c r="R151" i="6" a="1"/>
  <c r="R90" i="6" a="1"/>
  <c r="R110" i="6" a="1"/>
  <c r="R126" i="6" a="1"/>
  <c r="R140" i="6" a="1"/>
  <c r="R112" i="6" a="1"/>
  <c r="R84" i="6" a="1"/>
  <c r="R124" i="6" a="1"/>
  <c r="R144" i="6" a="1"/>
  <c r="R36" i="6" a="1"/>
  <c r="R50" i="6" a="1"/>
  <c r="R58" i="6" a="1"/>
  <c r="R66" i="6" a="1"/>
  <c r="R74" i="6" a="1"/>
  <c r="R82" i="6" a="1"/>
  <c r="R89" i="6" a="1"/>
  <c r="R93" i="6" a="1"/>
  <c r="R97" i="6" a="1"/>
  <c r="R101" i="6" a="1"/>
  <c r="R105" i="6" a="1"/>
  <c r="R109" i="6" a="1"/>
  <c r="R115" i="6" a="1"/>
  <c r="R52" i="6" a="1"/>
  <c r="R94" i="6" a="1"/>
  <c r="R102" i="6" a="1"/>
  <c r="R118" i="6" a="1"/>
  <c r="R130" i="6" a="1"/>
  <c r="R142" i="6" a="1"/>
  <c r="R38" i="6" a="1"/>
  <c r="R40" i="6" a="1"/>
  <c r="R122" i="6" a="1"/>
  <c r="R138" i="6" a="1"/>
  <c r="R42" i="6" a="1"/>
  <c r="R116" i="6" a="1"/>
  <c r="R60" i="6" a="1"/>
  <c r="R98" i="6" a="1"/>
  <c r="R106" i="6" a="1"/>
  <c r="R120" i="6" a="1"/>
  <c r="R132" i="6" a="1"/>
  <c r="R146" i="6" a="1"/>
  <c r="R146" i="6" l="1"/>
  <c r="R132" i="6"/>
  <c r="R120" i="6"/>
  <c r="R106" i="6"/>
  <c r="R98" i="6"/>
  <c r="R60" i="6"/>
  <c r="R116" i="6"/>
  <c r="R42" i="6"/>
  <c r="R138" i="6"/>
  <c r="R122" i="6"/>
  <c r="R40" i="6"/>
  <c r="R38" i="6"/>
  <c r="R142" i="6"/>
  <c r="R130" i="6"/>
  <c r="R118" i="6"/>
  <c r="R102" i="6"/>
  <c r="R94" i="6"/>
  <c r="R52" i="6"/>
  <c r="R115" i="6"/>
  <c r="R109" i="6"/>
  <c r="R105" i="6"/>
  <c r="R101" i="6"/>
  <c r="R97" i="6"/>
  <c r="R93" i="6"/>
  <c r="R89" i="6"/>
  <c r="R82" i="6"/>
  <c r="R74" i="6"/>
  <c r="R66" i="6"/>
  <c r="R58" i="6"/>
  <c r="R50" i="6"/>
  <c r="R36" i="6"/>
  <c r="R144" i="6"/>
  <c r="R124" i="6"/>
  <c r="R84" i="6"/>
  <c r="R112" i="6"/>
  <c r="R140" i="6"/>
  <c r="R126" i="6"/>
  <c r="R110" i="6"/>
  <c r="R90" i="6"/>
  <c r="R151" i="6"/>
  <c r="R149" i="6"/>
  <c r="R147" i="6"/>
  <c r="R145" i="6"/>
  <c r="R143" i="6"/>
  <c r="R141" i="6"/>
  <c r="R139" i="6"/>
  <c r="R137" i="6"/>
  <c r="R135" i="6"/>
  <c r="R133" i="6"/>
  <c r="R131" i="6"/>
  <c r="R129" i="6"/>
  <c r="R127" i="6"/>
  <c r="R125" i="6"/>
  <c r="R123" i="6"/>
  <c r="R121" i="6"/>
  <c r="R119" i="6"/>
  <c r="R117" i="6"/>
  <c r="R108" i="6"/>
  <c r="R104" i="6"/>
  <c r="R100" i="6"/>
  <c r="R96" i="6"/>
  <c r="R92" i="6"/>
  <c r="R88" i="6"/>
  <c r="R80" i="6"/>
  <c r="R72" i="6"/>
  <c r="R64" i="6"/>
  <c r="R56" i="6"/>
  <c r="R48" i="6"/>
  <c r="R148" i="6"/>
  <c r="R134" i="6"/>
  <c r="R68" i="6"/>
  <c r="R114" i="6"/>
  <c r="R46" i="6"/>
  <c r="R150" i="6"/>
  <c r="R136" i="6"/>
  <c r="R128" i="6"/>
  <c r="R113" i="6"/>
  <c r="R76" i="6"/>
  <c r="R111" i="6"/>
  <c r="R107" i="6"/>
  <c r="R103" i="6"/>
  <c r="R99" i="6"/>
  <c r="R95" i="6"/>
  <c r="R91" i="6"/>
  <c r="R86" i="6"/>
  <c r="R78" i="6"/>
  <c r="R70" i="6"/>
  <c r="R62" i="6"/>
  <c r="R54" i="6"/>
  <c r="R44" i="6"/>
  <c r="R87" i="6"/>
  <c r="R85" i="6"/>
  <c r="R83" i="6"/>
  <c r="R81" i="6"/>
  <c r="R79" i="6"/>
  <c r="R77" i="6"/>
  <c r="R75" i="6"/>
  <c r="R73" i="6"/>
  <c r="R71" i="6"/>
  <c r="R69" i="6"/>
  <c r="R67" i="6"/>
  <c r="R65" i="6"/>
  <c r="R63" i="6"/>
  <c r="R61" i="6"/>
  <c r="R59" i="6"/>
  <c r="R57" i="6"/>
  <c r="R55" i="6"/>
  <c r="R53" i="6"/>
  <c r="R51" i="6"/>
  <c r="R49" i="6"/>
  <c r="R47" i="6"/>
  <c r="R45" i="6"/>
  <c r="R43" i="6"/>
  <c r="R41" i="6"/>
  <c r="R39" i="6"/>
  <c r="R37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S42" i="6" a="1"/>
  <c r="T42" i="6" a="1"/>
  <c r="U42" i="6" a="1"/>
  <c r="S102" i="6" a="1"/>
  <c r="T102" i="6" a="1"/>
  <c r="U102" i="6" a="1"/>
  <c r="S93" i="6" a="1"/>
  <c r="T93" i="6" a="1"/>
  <c r="U93" i="6" a="1"/>
  <c r="S144" i="6" a="1"/>
  <c r="T144" i="6" a="1"/>
  <c r="U144" i="6" a="1"/>
  <c r="T151" i="6" a="1"/>
  <c r="S151" i="6" a="1"/>
  <c r="U151" i="6" a="1"/>
  <c r="T135" i="6" a="1"/>
  <c r="S135" i="6" a="1"/>
  <c r="U135" i="6" a="1"/>
  <c r="T119" i="6" a="1"/>
  <c r="S119" i="6" a="1"/>
  <c r="U119" i="6" a="1"/>
  <c r="S80" i="6" a="1"/>
  <c r="T80" i="6" a="1"/>
  <c r="U80" i="6" a="1"/>
  <c r="S114" i="6" a="1"/>
  <c r="T114" i="6" a="1"/>
  <c r="U114" i="6" a="1"/>
  <c r="S107" i="6" a="1"/>
  <c r="T107" i="6" a="1"/>
  <c r="U107" i="6" a="1"/>
  <c r="T62" i="6" a="1"/>
  <c r="S62" i="6" a="1"/>
  <c r="U62" i="6" a="1"/>
  <c r="T77" i="6" a="1"/>
  <c r="S77" i="6" a="1"/>
  <c r="U77" i="6" a="1"/>
  <c r="T61" i="6" a="1"/>
  <c r="S61" i="6" a="1"/>
  <c r="U61" i="6" a="1"/>
  <c r="T45" i="6" a="1"/>
  <c r="S45" i="6" a="1"/>
  <c r="U45" i="6" a="1"/>
  <c r="S32" i="6" a="1"/>
  <c r="T32" i="6" a="1"/>
  <c r="U32" i="6" a="1"/>
  <c r="T24" i="6" a="1"/>
  <c r="S24" i="6" a="1"/>
  <c r="U24" i="6" a="1"/>
  <c r="T16" i="6" a="1"/>
  <c r="S16" i="6" a="1"/>
  <c r="U16" i="6" a="1"/>
  <c r="T8" i="6" a="1"/>
  <c r="S8" i="6" a="1"/>
  <c r="U8" i="6" a="1"/>
  <c r="S118" i="6" a="1"/>
  <c r="T118" i="6" a="1"/>
  <c r="U118" i="6" a="1"/>
  <c r="T9" i="6" a="1"/>
  <c r="S9" i="6" a="1"/>
  <c r="U9" i="6" a="1"/>
  <c r="S146" i="6" a="1"/>
  <c r="T146" i="6" a="1"/>
  <c r="U146" i="6" a="1"/>
  <c r="S138" i="6" a="1"/>
  <c r="T138" i="6" a="1"/>
  <c r="U138" i="6" a="1"/>
  <c r="S94" i="6" a="1"/>
  <c r="T94" i="6" a="1"/>
  <c r="U94" i="6" a="1"/>
  <c r="S89" i="6" a="1"/>
  <c r="T89" i="6" a="1"/>
  <c r="U89" i="6" a="1"/>
  <c r="S124" i="6" a="1"/>
  <c r="T124" i="6" a="1"/>
  <c r="U124" i="6" a="1"/>
  <c r="T149" i="6" a="1"/>
  <c r="S149" i="6" a="1"/>
  <c r="U149" i="6" a="1"/>
  <c r="T133" i="6" a="1"/>
  <c r="S133" i="6" a="1"/>
  <c r="U133" i="6" a="1"/>
  <c r="T117" i="6" a="1"/>
  <c r="S117" i="6" a="1"/>
  <c r="U117" i="6" a="1"/>
  <c r="S72" i="6" a="1"/>
  <c r="T72" i="6" a="1"/>
  <c r="U72" i="6" a="1"/>
  <c r="S46" i="6" a="1"/>
  <c r="T46" i="6" a="1"/>
  <c r="U46" i="6" a="1"/>
  <c r="S103" i="6" a="1"/>
  <c r="T103" i="6" a="1"/>
  <c r="U103" i="6" a="1"/>
  <c r="T54" i="6" a="1"/>
  <c r="S54" i="6" a="1"/>
  <c r="U54" i="6" a="1"/>
  <c r="T75" i="6" a="1"/>
  <c r="S75" i="6" a="1"/>
  <c r="U75" i="6" a="1"/>
  <c r="T59" i="6" a="1"/>
  <c r="S59" i="6" a="1"/>
  <c r="U59" i="6" a="1"/>
  <c r="T43" i="6" a="1"/>
  <c r="S43" i="6" a="1"/>
  <c r="U43" i="6" a="1"/>
  <c r="S31" i="6" a="1"/>
  <c r="T31" i="6" a="1"/>
  <c r="U31" i="6" a="1"/>
  <c r="T23" i="6" a="1"/>
  <c r="S23" i="6" a="1"/>
  <c r="U23" i="6" a="1"/>
  <c r="T15" i="6" a="1"/>
  <c r="S15" i="6" a="1"/>
  <c r="U15" i="6" a="1"/>
  <c r="T7" i="6" a="1"/>
  <c r="S7" i="6" a="1"/>
  <c r="U7" i="6" a="1"/>
  <c r="S90" i="6" a="1"/>
  <c r="T90" i="6" a="1"/>
  <c r="U90" i="6" a="1"/>
  <c r="T79" i="6" a="1"/>
  <c r="S79" i="6" a="1"/>
  <c r="U79" i="6" a="1"/>
  <c r="T25" i="6" a="1"/>
  <c r="S25" i="6" a="1"/>
  <c r="U25" i="6" a="1"/>
  <c r="S132" i="6" a="1"/>
  <c r="T132" i="6" a="1"/>
  <c r="U132" i="6" a="1"/>
  <c r="S122" i="6" a="1"/>
  <c r="T122" i="6" a="1"/>
  <c r="U122" i="6" a="1"/>
  <c r="S52" i="6" a="1"/>
  <c r="T52" i="6" a="1"/>
  <c r="U52" i="6" a="1"/>
  <c r="S82" i="6" a="1"/>
  <c r="T82" i="6" a="1"/>
  <c r="U82" i="6" a="1"/>
  <c r="S84" i="6" a="1"/>
  <c r="T84" i="6" a="1"/>
  <c r="U84" i="6" a="1"/>
  <c r="T147" i="6" a="1"/>
  <c r="S147" i="6" a="1"/>
  <c r="U147" i="6" a="1"/>
  <c r="T131" i="6" a="1"/>
  <c r="S131" i="6" a="1"/>
  <c r="U131" i="6" a="1"/>
  <c r="S108" i="6" a="1"/>
  <c r="T108" i="6" a="1"/>
  <c r="U108" i="6" a="1"/>
  <c r="S64" i="6" a="1"/>
  <c r="T64" i="6" a="1"/>
  <c r="U64" i="6" a="1"/>
  <c r="S150" i="6" a="1"/>
  <c r="T150" i="6" a="1"/>
  <c r="U150" i="6" a="1"/>
  <c r="S99" i="6" a="1"/>
  <c r="T99" i="6" a="1"/>
  <c r="U99" i="6" a="1"/>
  <c r="T44" i="6" a="1"/>
  <c r="S44" i="6" a="1"/>
  <c r="U44" i="6" a="1"/>
  <c r="T73" i="6" a="1"/>
  <c r="S73" i="6" a="1"/>
  <c r="U73" i="6" a="1"/>
  <c r="T57" i="6" a="1"/>
  <c r="S57" i="6" a="1"/>
  <c r="U57" i="6" a="1"/>
  <c r="T41" i="6" a="1"/>
  <c r="S41" i="6" a="1"/>
  <c r="U41" i="6" a="1"/>
  <c r="T30" i="6" a="1"/>
  <c r="S30" i="6" a="1"/>
  <c r="U30" i="6" a="1"/>
  <c r="T22" i="6" a="1"/>
  <c r="S22" i="6" a="1"/>
  <c r="U22" i="6" a="1"/>
  <c r="T14" i="6" a="1"/>
  <c r="S14" i="6" a="1"/>
  <c r="U14" i="6" a="1"/>
  <c r="T6" i="6" a="1"/>
  <c r="S6" i="6" a="1"/>
  <c r="U6" i="6" a="1"/>
  <c r="S36" i="6" a="1"/>
  <c r="T36" i="6" a="1"/>
  <c r="U36" i="6" a="1"/>
  <c r="S111" i="6" a="1"/>
  <c r="T111" i="6" a="1"/>
  <c r="U111" i="6" a="1"/>
  <c r="S120" i="6" a="1"/>
  <c r="T120" i="6" a="1"/>
  <c r="U120" i="6" a="1"/>
  <c r="S40" i="6" a="1"/>
  <c r="T40" i="6" a="1"/>
  <c r="U40" i="6" a="1"/>
  <c r="S115" i="6" a="1"/>
  <c r="T115" i="6" a="1"/>
  <c r="U115" i="6" a="1"/>
  <c r="S74" i="6" a="1"/>
  <c r="T74" i="6" a="1"/>
  <c r="U74" i="6" a="1"/>
  <c r="S112" i="6" a="1"/>
  <c r="T112" i="6" a="1"/>
  <c r="U112" i="6" a="1"/>
  <c r="T145" i="6" a="1"/>
  <c r="S145" i="6" a="1"/>
  <c r="U145" i="6" a="1"/>
  <c r="T129" i="6" a="1"/>
  <c r="S129" i="6" a="1"/>
  <c r="U129" i="6" a="1"/>
  <c r="S104" i="6" a="1"/>
  <c r="T104" i="6" a="1"/>
  <c r="U104" i="6" a="1"/>
  <c r="S56" i="6" a="1"/>
  <c r="T56" i="6" a="1"/>
  <c r="U56" i="6" a="1"/>
  <c r="S136" i="6" a="1"/>
  <c r="T136" i="6" a="1"/>
  <c r="U136" i="6" a="1"/>
  <c r="T95" i="6" a="1"/>
  <c r="S95" i="6" a="1"/>
  <c r="U95" i="6" a="1"/>
  <c r="T87" i="6" a="1"/>
  <c r="S87" i="6" a="1"/>
  <c r="U87" i="6" a="1"/>
  <c r="T71" i="6" a="1"/>
  <c r="S71" i="6" a="1"/>
  <c r="U71" i="6" a="1"/>
  <c r="T55" i="6" a="1"/>
  <c r="S55" i="6" a="1"/>
  <c r="U55" i="6" a="1"/>
  <c r="T39" i="6" a="1"/>
  <c r="S39" i="6" a="1"/>
  <c r="U39" i="6" a="1"/>
  <c r="T29" i="6" a="1"/>
  <c r="S29" i="6" a="1"/>
  <c r="U29" i="6" a="1"/>
  <c r="T21" i="6" a="1"/>
  <c r="S21" i="6" a="1"/>
  <c r="U21" i="6" a="1"/>
  <c r="T13" i="6" a="1"/>
  <c r="S13" i="6" a="1"/>
  <c r="U13" i="6" a="1"/>
  <c r="T5" i="6" a="1"/>
  <c r="S5" i="6" a="1"/>
  <c r="U5" i="6" a="1"/>
  <c r="S116" i="6" a="1"/>
  <c r="T116" i="6" a="1"/>
  <c r="U116" i="6" a="1"/>
  <c r="T47" i="6" a="1"/>
  <c r="S47" i="6" a="1"/>
  <c r="U47" i="6" a="1"/>
  <c r="S106" i="6" a="1"/>
  <c r="T106" i="6" a="1"/>
  <c r="U106" i="6" a="1"/>
  <c r="S38" i="6" a="1"/>
  <c r="T38" i="6" a="1"/>
  <c r="U38" i="6" a="1"/>
  <c r="S109" i="6" a="1"/>
  <c r="T109" i="6" a="1"/>
  <c r="U109" i="6" a="1"/>
  <c r="S66" i="6" a="1"/>
  <c r="T66" i="6" a="1"/>
  <c r="U66" i="6" a="1"/>
  <c r="S140" i="6" a="1"/>
  <c r="T140" i="6" a="1"/>
  <c r="U140" i="6" a="1"/>
  <c r="T143" i="6" a="1"/>
  <c r="S143" i="6" a="1"/>
  <c r="U143" i="6" a="1"/>
  <c r="T127" i="6" a="1"/>
  <c r="S127" i="6" a="1"/>
  <c r="U127" i="6" a="1"/>
  <c r="S100" i="6" a="1"/>
  <c r="T100" i="6" a="1"/>
  <c r="U100" i="6" a="1"/>
  <c r="S48" i="6" a="1"/>
  <c r="T48" i="6" a="1"/>
  <c r="U48" i="6" a="1"/>
  <c r="S128" i="6" a="1"/>
  <c r="T128" i="6" a="1"/>
  <c r="U128" i="6" a="1"/>
  <c r="T91" i="6" a="1"/>
  <c r="S91" i="6" a="1"/>
  <c r="U91" i="6" a="1"/>
  <c r="T85" i="6" a="1"/>
  <c r="S85" i="6" a="1"/>
  <c r="U85" i="6" a="1"/>
  <c r="T69" i="6" a="1"/>
  <c r="S69" i="6" a="1"/>
  <c r="U69" i="6" a="1"/>
  <c r="T53" i="6" a="1"/>
  <c r="S53" i="6" a="1"/>
  <c r="U53" i="6" a="1"/>
  <c r="T37" i="6" a="1"/>
  <c r="S37" i="6" a="1"/>
  <c r="U37" i="6" a="1"/>
  <c r="T28" i="6" a="1"/>
  <c r="S28" i="6" a="1"/>
  <c r="U28" i="6" a="1"/>
  <c r="T20" i="6" a="1"/>
  <c r="S20" i="6" a="1"/>
  <c r="U20" i="6" a="1"/>
  <c r="T12" i="6" a="1"/>
  <c r="S12" i="6" a="1"/>
  <c r="U12" i="6" a="1"/>
  <c r="T4" i="6" a="1"/>
  <c r="S4" i="6" a="1"/>
  <c r="U4" i="6" a="1"/>
  <c r="S97" i="6" a="1"/>
  <c r="T97" i="6" a="1"/>
  <c r="U97" i="6" a="1"/>
  <c r="T70" i="6" a="1"/>
  <c r="S70" i="6" a="1"/>
  <c r="U70" i="6" a="1"/>
  <c r="T17" i="6" a="1"/>
  <c r="S17" i="6" a="1"/>
  <c r="U17" i="6" a="1"/>
  <c r="S98" i="6" a="1"/>
  <c r="T98" i="6" a="1"/>
  <c r="U98" i="6" a="1"/>
  <c r="S142" i="6" a="1"/>
  <c r="T142" i="6" a="1"/>
  <c r="U142" i="6" a="1"/>
  <c r="S105" i="6" a="1"/>
  <c r="T105" i="6" a="1"/>
  <c r="U105" i="6" a="1"/>
  <c r="S58" i="6" a="1"/>
  <c r="T58" i="6" a="1"/>
  <c r="U58" i="6" a="1"/>
  <c r="S126" i="6" a="1"/>
  <c r="T126" i="6" a="1"/>
  <c r="U126" i="6" a="1"/>
  <c r="T141" i="6" a="1"/>
  <c r="S141" i="6" a="1"/>
  <c r="U141" i="6" a="1"/>
  <c r="T125" i="6" a="1"/>
  <c r="S125" i="6" a="1"/>
  <c r="U125" i="6" a="1"/>
  <c r="S96" i="6" a="1"/>
  <c r="T96" i="6" a="1"/>
  <c r="U96" i="6" a="1"/>
  <c r="S148" i="6" a="1"/>
  <c r="T148" i="6" a="1"/>
  <c r="U148" i="6" a="1"/>
  <c r="S113" i="6" a="1"/>
  <c r="T113" i="6" a="1"/>
  <c r="U113" i="6" a="1"/>
  <c r="T86" i="6" a="1"/>
  <c r="S86" i="6" a="1"/>
  <c r="U86" i="6" a="1"/>
  <c r="T83" i="6" a="1"/>
  <c r="S83" i="6" a="1"/>
  <c r="U83" i="6" a="1"/>
  <c r="T67" i="6" a="1"/>
  <c r="S67" i="6" a="1"/>
  <c r="U67" i="6" a="1"/>
  <c r="T51" i="6" a="1"/>
  <c r="S51" i="6" a="1"/>
  <c r="U51" i="6" a="1"/>
  <c r="T35" i="6" a="1"/>
  <c r="S35" i="6" a="1"/>
  <c r="U35" i="6" a="1"/>
  <c r="T27" i="6" a="1"/>
  <c r="S27" i="6" a="1"/>
  <c r="U27" i="6" a="1"/>
  <c r="T19" i="6" a="1"/>
  <c r="S19" i="6" a="1"/>
  <c r="U19" i="6" a="1"/>
  <c r="T11" i="6" a="1"/>
  <c r="S11" i="6" a="1"/>
  <c r="U11" i="6" a="1"/>
  <c r="T3" i="6" a="1"/>
  <c r="S3" i="6" a="1"/>
  <c r="U3" i="6" a="1"/>
  <c r="T137" i="6" a="1"/>
  <c r="S137" i="6" a="1"/>
  <c r="U137" i="6" a="1"/>
  <c r="S68" i="6" a="1"/>
  <c r="T68" i="6" a="1"/>
  <c r="U68" i="6" a="1"/>
  <c r="S33" i="6" a="1"/>
  <c r="T33" i="6" a="1"/>
  <c r="U33" i="6" a="1"/>
  <c r="S60" i="6" a="1"/>
  <c r="T60" i="6" a="1"/>
  <c r="U60" i="6" a="1"/>
  <c r="S130" i="6" a="1"/>
  <c r="T130" i="6" a="1"/>
  <c r="U130" i="6" a="1"/>
  <c r="S101" i="6" a="1"/>
  <c r="T101" i="6" a="1"/>
  <c r="U101" i="6" a="1"/>
  <c r="S50" i="6" a="1"/>
  <c r="T50" i="6" a="1"/>
  <c r="U50" i="6" a="1"/>
  <c r="S110" i="6" a="1"/>
  <c r="T110" i="6" a="1"/>
  <c r="U110" i="6" a="1"/>
  <c r="T139" i="6" a="1"/>
  <c r="S139" i="6" a="1"/>
  <c r="U139" i="6" a="1"/>
  <c r="T123" i="6" a="1"/>
  <c r="S123" i="6" a="1"/>
  <c r="U123" i="6" a="1"/>
  <c r="S92" i="6" a="1"/>
  <c r="T92" i="6" a="1"/>
  <c r="U92" i="6" a="1"/>
  <c r="S134" i="6" a="1"/>
  <c r="T134" i="6" a="1"/>
  <c r="U134" i="6" a="1"/>
  <c r="S76" i="6" a="1"/>
  <c r="T76" i="6" a="1"/>
  <c r="U76" i="6" a="1"/>
  <c r="T78" i="6" a="1"/>
  <c r="S78" i="6" a="1"/>
  <c r="U78" i="6" a="1"/>
  <c r="T81" i="6" a="1"/>
  <c r="S81" i="6" a="1"/>
  <c r="U81" i="6" a="1"/>
  <c r="T65" i="6" a="1"/>
  <c r="S65" i="6" a="1"/>
  <c r="U65" i="6" a="1"/>
  <c r="T49" i="6" a="1"/>
  <c r="S49" i="6" a="1"/>
  <c r="U49" i="6" a="1"/>
  <c r="S34" i="6" a="1"/>
  <c r="T34" i="6" a="1"/>
  <c r="U34" i="6" a="1"/>
  <c r="T26" i="6" a="1"/>
  <c r="S26" i="6" a="1"/>
  <c r="U26" i="6" a="1"/>
  <c r="T18" i="6" a="1"/>
  <c r="S18" i="6" a="1"/>
  <c r="U18" i="6" a="1"/>
  <c r="T10" i="6" a="1"/>
  <c r="S10" i="6" a="1"/>
  <c r="U10" i="6" a="1"/>
  <c r="T121" i="6" a="1"/>
  <c r="S121" i="6" a="1"/>
  <c r="U121" i="6" a="1"/>
  <c r="S88" i="6" a="1"/>
  <c r="T88" i="6" a="1"/>
  <c r="U88" i="6" a="1"/>
  <c r="T63" i="6" a="1"/>
  <c r="S63" i="6" a="1"/>
  <c r="U63" i="6" a="1"/>
  <c r="T2" i="6" a="1"/>
  <c r="U2" i="6" a="1"/>
  <c r="U63" i="6" l="1"/>
  <c r="S63" i="6"/>
  <c r="T63" i="6"/>
  <c r="U88" i="6"/>
  <c r="T88" i="6"/>
  <c r="S88" i="6"/>
  <c r="U121" i="6"/>
  <c r="S121" i="6"/>
  <c r="T121" i="6"/>
  <c r="U10" i="6"/>
  <c r="S10" i="6"/>
  <c r="T10" i="6"/>
  <c r="U18" i="6"/>
  <c r="S18" i="6"/>
  <c r="T18" i="6"/>
  <c r="Q18" i="6" s="1"/>
  <c r="U26" i="6"/>
  <c r="S26" i="6"/>
  <c r="T26" i="6"/>
  <c r="U34" i="6"/>
  <c r="T34" i="6"/>
  <c r="S34" i="6"/>
  <c r="U49" i="6"/>
  <c r="S49" i="6"/>
  <c r="T49" i="6"/>
  <c r="U65" i="6"/>
  <c r="S65" i="6"/>
  <c r="T65" i="6"/>
  <c r="U81" i="6"/>
  <c r="S81" i="6"/>
  <c r="T81" i="6"/>
  <c r="U78" i="6"/>
  <c r="S78" i="6"/>
  <c r="T78" i="6"/>
  <c r="U76" i="6"/>
  <c r="T76" i="6"/>
  <c r="S76" i="6"/>
  <c r="U134" i="6"/>
  <c r="T134" i="6"/>
  <c r="S134" i="6"/>
  <c r="U92" i="6"/>
  <c r="T92" i="6"/>
  <c r="S92" i="6"/>
  <c r="U123" i="6"/>
  <c r="S123" i="6"/>
  <c r="T123" i="6"/>
  <c r="U139" i="6"/>
  <c r="S139" i="6"/>
  <c r="Q139" i="6" s="1"/>
  <c r="T139" i="6"/>
  <c r="U110" i="6"/>
  <c r="T110" i="6"/>
  <c r="S110" i="6"/>
  <c r="U50" i="6"/>
  <c r="T50" i="6"/>
  <c r="S50" i="6"/>
  <c r="U101" i="6"/>
  <c r="Q101" i="6" s="1"/>
  <c r="T101" i="6"/>
  <c r="S101" i="6"/>
  <c r="U130" i="6"/>
  <c r="T130" i="6"/>
  <c r="S130" i="6"/>
  <c r="U60" i="6"/>
  <c r="T60" i="6"/>
  <c r="S60" i="6"/>
  <c r="Q60" i="6" s="1"/>
  <c r="U33" i="6"/>
  <c r="T33" i="6"/>
  <c r="S33" i="6"/>
  <c r="U68" i="6"/>
  <c r="T68" i="6"/>
  <c r="S68" i="6"/>
  <c r="U137" i="6"/>
  <c r="S137" i="6"/>
  <c r="Q137" i="6" s="1"/>
  <c r="T137" i="6"/>
  <c r="U3" i="6"/>
  <c r="S3" i="6"/>
  <c r="T3" i="6"/>
  <c r="U11" i="6"/>
  <c r="S11" i="6"/>
  <c r="T11" i="6"/>
  <c r="U19" i="6"/>
  <c r="Q19" i="6" s="1"/>
  <c r="S19" i="6"/>
  <c r="T19" i="6"/>
  <c r="U27" i="6"/>
  <c r="S27" i="6"/>
  <c r="T27" i="6"/>
  <c r="U35" i="6"/>
  <c r="S35" i="6"/>
  <c r="T35" i="6"/>
  <c r="U51" i="6"/>
  <c r="S51" i="6"/>
  <c r="T51" i="6"/>
  <c r="U67" i="6"/>
  <c r="S67" i="6"/>
  <c r="T67" i="6"/>
  <c r="U83" i="6"/>
  <c r="S83" i="6"/>
  <c r="Q83" i="6" s="1"/>
  <c r="T83" i="6"/>
  <c r="U86" i="6"/>
  <c r="S86" i="6"/>
  <c r="T86" i="6"/>
  <c r="U113" i="6"/>
  <c r="T113" i="6"/>
  <c r="S113" i="6"/>
  <c r="U148" i="6"/>
  <c r="T148" i="6"/>
  <c r="S148" i="6"/>
  <c r="U96" i="6"/>
  <c r="T96" i="6"/>
  <c r="S96" i="6"/>
  <c r="U125" i="6"/>
  <c r="S125" i="6"/>
  <c r="T125" i="6"/>
  <c r="U141" i="6"/>
  <c r="S141" i="6"/>
  <c r="T141" i="6"/>
  <c r="U126" i="6"/>
  <c r="T126" i="6"/>
  <c r="S126" i="6"/>
  <c r="U58" i="6"/>
  <c r="T58" i="6"/>
  <c r="Q58" i="6" s="1"/>
  <c r="S58" i="6"/>
  <c r="U105" i="6"/>
  <c r="T105" i="6"/>
  <c r="S105" i="6"/>
  <c r="U142" i="6"/>
  <c r="T142" i="6"/>
  <c r="S142" i="6"/>
  <c r="Q142" i="6" s="1"/>
  <c r="U98" i="6"/>
  <c r="T98" i="6"/>
  <c r="S98" i="6"/>
  <c r="U17" i="6"/>
  <c r="S17" i="6"/>
  <c r="T17" i="6"/>
  <c r="U70" i="6"/>
  <c r="S70" i="6"/>
  <c r="T70" i="6"/>
  <c r="Q70" i="6" s="1"/>
  <c r="U97" i="6"/>
  <c r="T97" i="6"/>
  <c r="S97" i="6"/>
  <c r="U4" i="6"/>
  <c r="S4" i="6"/>
  <c r="T4" i="6"/>
  <c r="U12" i="6"/>
  <c r="S12" i="6"/>
  <c r="T12" i="6"/>
  <c r="U20" i="6"/>
  <c r="S20" i="6"/>
  <c r="T20" i="6"/>
  <c r="U28" i="6"/>
  <c r="S28" i="6"/>
  <c r="T28" i="6"/>
  <c r="U37" i="6"/>
  <c r="Q37" i="6" s="1"/>
  <c r="S37" i="6"/>
  <c r="T37" i="6"/>
  <c r="U53" i="6"/>
  <c r="S53" i="6"/>
  <c r="T53" i="6"/>
  <c r="U69" i="6"/>
  <c r="S69" i="6"/>
  <c r="T69" i="6"/>
  <c r="Q69" i="6" s="1"/>
  <c r="U85" i="6"/>
  <c r="S85" i="6"/>
  <c r="T85" i="6"/>
  <c r="U91" i="6"/>
  <c r="S91" i="6"/>
  <c r="T91" i="6"/>
  <c r="U128" i="6"/>
  <c r="T128" i="6"/>
  <c r="Q128" i="6" s="1"/>
  <c r="S128" i="6"/>
  <c r="U48" i="6"/>
  <c r="T48" i="6"/>
  <c r="S48" i="6"/>
  <c r="U100" i="6"/>
  <c r="T100" i="6"/>
  <c r="S100" i="6"/>
  <c r="U127" i="6"/>
  <c r="Q127" i="6" s="1"/>
  <c r="S127" i="6"/>
  <c r="T127" i="6"/>
  <c r="U143" i="6"/>
  <c r="S143" i="6"/>
  <c r="T143" i="6"/>
  <c r="U140" i="6"/>
  <c r="T140" i="6"/>
  <c r="S140" i="6"/>
  <c r="Q140" i="6" s="1"/>
  <c r="U66" i="6"/>
  <c r="T66" i="6"/>
  <c r="S66" i="6"/>
  <c r="U109" i="6"/>
  <c r="T109" i="6"/>
  <c r="S109" i="6"/>
  <c r="U38" i="6"/>
  <c r="T38" i="6"/>
  <c r="Q38" i="6" s="1"/>
  <c r="S38" i="6"/>
  <c r="U106" i="6"/>
  <c r="T106" i="6"/>
  <c r="S106" i="6"/>
  <c r="U47" i="6"/>
  <c r="S47" i="6"/>
  <c r="T47" i="6"/>
  <c r="U116" i="6"/>
  <c r="T116" i="6"/>
  <c r="S116" i="6"/>
  <c r="U5" i="6"/>
  <c r="S5" i="6"/>
  <c r="T5" i="6"/>
  <c r="U13" i="6"/>
  <c r="S13" i="6"/>
  <c r="T13" i="6"/>
  <c r="Q13" i="6" s="1"/>
  <c r="U21" i="6"/>
  <c r="S21" i="6"/>
  <c r="T21" i="6"/>
  <c r="U29" i="6"/>
  <c r="S29" i="6"/>
  <c r="Q29" i="6" s="1"/>
  <c r="T29" i="6"/>
  <c r="U39" i="6"/>
  <c r="S39" i="6"/>
  <c r="T39" i="6"/>
  <c r="U55" i="6"/>
  <c r="S55" i="6"/>
  <c r="T55" i="6"/>
  <c r="U71" i="6"/>
  <c r="S71" i="6"/>
  <c r="T71" i="6"/>
  <c r="U87" i="6"/>
  <c r="Q87" i="6" s="1"/>
  <c r="S87" i="6"/>
  <c r="T87" i="6"/>
  <c r="U95" i="6"/>
  <c r="S95" i="6"/>
  <c r="T95" i="6"/>
  <c r="U136" i="6"/>
  <c r="T136" i="6"/>
  <c r="S136" i="6"/>
  <c r="U56" i="6"/>
  <c r="T56" i="6"/>
  <c r="S56" i="6"/>
  <c r="U104" i="6"/>
  <c r="T104" i="6"/>
  <c r="S104" i="6"/>
  <c r="U129" i="6"/>
  <c r="S129" i="6"/>
  <c r="T129" i="6"/>
  <c r="U145" i="6"/>
  <c r="S145" i="6"/>
  <c r="T145" i="6"/>
  <c r="U112" i="6"/>
  <c r="T112" i="6"/>
  <c r="S112" i="6"/>
  <c r="U74" i="6"/>
  <c r="Q74" i="6" s="1"/>
  <c r="T74" i="6"/>
  <c r="S74" i="6"/>
  <c r="U115" i="6"/>
  <c r="T115" i="6"/>
  <c r="S115" i="6"/>
  <c r="Q115" i="6" s="1"/>
  <c r="U40" i="6"/>
  <c r="T40" i="6"/>
  <c r="S40" i="6"/>
  <c r="U120" i="6"/>
  <c r="T120" i="6"/>
  <c r="S120" i="6"/>
  <c r="U111" i="6"/>
  <c r="T111" i="6"/>
  <c r="S111" i="6"/>
  <c r="U36" i="6"/>
  <c r="T36" i="6"/>
  <c r="S36" i="6"/>
  <c r="U6" i="6"/>
  <c r="S6" i="6"/>
  <c r="T6" i="6"/>
  <c r="U14" i="6"/>
  <c r="S14" i="6"/>
  <c r="T14" i="6"/>
  <c r="U22" i="6"/>
  <c r="Q22" i="6" s="1"/>
  <c r="S22" i="6"/>
  <c r="T22" i="6"/>
  <c r="U30" i="6"/>
  <c r="S30" i="6"/>
  <c r="T30" i="6"/>
  <c r="U41" i="6"/>
  <c r="S41" i="6"/>
  <c r="T41" i="6"/>
  <c r="Q41" i="6" s="1"/>
  <c r="U57" i="6"/>
  <c r="S57" i="6"/>
  <c r="T57" i="6"/>
  <c r="U73" i="6"/>
  <c r="S73" i="6"/>
  <c r="T73" i="6"/>
  <c r="U44" i="6"/>
  <c r="S44" i="6"/>
  <c r="Q44" i="6" s="1"/>
  <c r="T44" i="6"/>
  <c r="U99" i="6"/>
  <c r="T99" i="6"/>
  <c r="S99" i="6"/>
  <c r="U150" i="6"/>
  <c r="T150" i="6"/>
  <c r="S150" i="6"/>
  <c r="U64" i="6"/>
  <c r="T64" i="6"/>
  <c r="S64" i="6"/>
  <c r="U108" i="6"/>
  <c r="T108" i="6"/>
  <c r="S108" i="6"/>
  <c r="U131" i="6"/>
  <c r="S131" i="6"/>
  <c r="T131" i="6"/>
  <c r="U147" i="6"/>
  <c r="Q147" i="6" s="1"/>
  <c r="S147" i="6"/>
  <c r="T147" i="6"/>
  <c r="U84" i="6"/>
  <c r="T84" i="6"/>
  <c r="S84" i="6"/>
  <c r="U82" i="6"/>
  <c r="T82" i="6"/>
  <c r="Q82" i="6" s="1"/>
  <c r="S82" i="6"/>
  <c r="U52" i="6"/>
  <c r="T52" i="6"/>
  <c r="S52" i="6"/>
  <c r="U122" i="6"/>
  <c r="T122" i="6"/>
  <c r="S122" i="6"/>
  <c r="U132" i="6"/>
  <c r="T132" i="6"/>
  <c r="S132" i="6"/>
  <c r="U25" i="6"/>
  <c r="S25" i="6"/>
  <c r="T25" i="6"/>
  <c r="U79" i="6"/>
  <c r="S79" i="6"/>
  <c r="T79" i="6"/>
  <c r="Q79" i="6" s="1"/>
  <c r="U90" i="6"/>
  <c r="T90" i="6"/>
  <c r="S90" i="6"/>
  <c r="U7" i="6"/>
  <c r="S7" i="6"/>
  <c r="T7" i="6"/>
  <c r="U15" i="6"/>
  <c r="S15" i="6"/>
  <c r="Q15" i="6" s="1"/>
  <c r="T15" i="6"/>
  <c r="U23" i="6"/>
  <c r="S23" i="6"/>
  <c r="T23" i="6"/>
  <c r="U31" i="6"/>
  <c r="T31" i="6"/>
  <c r="S31" i="6"/>
  <c r="U43" i="6"/>
  <c r="Q43" i="6" s="1"/>
  <c r="S43" i="6"/>
  <c r="T43" i="6"/>
  <c r="U59" i="6"/>
  <c r="S59" i="6"/>
  <c r="T59" i="6"/>
  <c r="Q59" i="6" s="1"/>
  <c r="U75" i="6"/>
  <c r="S75" i="6"/>
  <c r="T75" i="6"/>
  <c r="Q75" i="6" s="1"/>
  <c r="U54" i="6"/>
  <c r="S54" i="6"/>
  <c r="T54" i="6"/>
  <c r="U103" i="6"/>
  <c r="T103" i="6"/>
  <c r="S103" i="6"/>
  <c r="U46" i="6"/>
  <c r="T46" i="6"/>
  <c r="S46" i="6"/>
  <c r="U72" i="6"/>
  <c r="T72" i="6"/>
  <c r="S72" i="6"/>
  <c r="U117" i="6"/>
  <c r="S117" i="6"/>
  <c r="T117" i="6"/>
  <c r="U133" i="6"/>
  <c r="Q133" i="6" s="1"/>
  <c r="S133" i="6"/>
  <c r="T133" i="6"/>
  <c r="U149" i="6"/>
  <c r="S149" i="6"/>
  <c r="T149" i="6"/>
  <c r="Q149" i="6" s="1"/>
  <c r="U124" i="6"/>
  <c r="T124" i="6"/>
  <c r="S124" i="6"/>
  <c r="U89" i="6"/>
  <c r="T89" i="6"/>
  <c r="S89" i="6"/>
  <c r="U94" i="6"/>
  <c r="T94" i="6"/>
  <c r="S94" i="6"/>
  <c r="U138" i="6"/>
  <c r="T138" i="6"/>
  <c r="Q138" i="6" s="1"/>
  <c r="S138" i="6"/>
  <c r="U146" i="6"/>
  <c r="T146" i="6"/>
  <c r="S146" i="6"/>
  <c r="U9" i="6"/>
  <c r="S9" i="6"/>
  <c r="T9" i="6"/>
  <c r="U118" i="6"/>
  <c r="Q118" i="6" s="1"/>
  <c r="T118" i="6"/>
  <c r="S118" i="6"/>
  <c r="U8" i="6"/>
  <c r="S8" i="6"/>
  <c r="T8" i="6"/>
  <c r="Q8" i="6" s="1"/>
  <c r="U16" i="6"/>
  <c r="S16" i="6"/>
  <c r="T16" i="6"/>
  <c r="Q16" i="6" s="1"/>
  <c r="U24" i="6"/>
  <c r="S24" i="6"/>
  <c r="T24" i="6"/>
  <c r="U32" i="6"/>
  <c r="T32" i="6"/>
  <c r="S32" i="6"/>
  <c r="U45" i="6"/>
  <c r="S45" i="6"/>
  <c r="Q45" i="6" s="1"/>
  <c r="T45" i="6"/>
  <c r="U61" i="6"/>
  <c r="S61" i="6"/>
  <c r="T61" i="6"/>
  <c r="U77" i="6"/>
  <c r="S77" i="6"/>
  <c r="T77" i="6"/>
  <c r="U62" i="6"/>
  <c r="Q62" i="6" s="1"/>
  <c r="S62" i="6"/>
  <c r="T62" i="6"/>
  <c r="U107" i="6"/>
  <c r="T107" i="6"/>
  <c r="S107" i="6"/>
  <c r="U114" i="6"/>
  <c r="T114" i="6"/>
  <c r="S114" i="6"/>
  <c r="Q114" i="6" s="1"/>
  <c r="U80" i="6"/>
  <c r="T80" i="6"/>
  <c r="S80" i="6"/>
  <c r="U119" i="6"/>
  <c r="S119" i="6"/>
  <c r="T119" i="6"/>
  <c r="U135" i="6"/>
  <c r="S135" i="6"/>
  <c r="Q135" i="6" s="1"/>
  <c r="T135" i="6"/>
  <c r="U151" i="6"/>
  <c r="S151" i="6"/>
  <c r="Q151" i="6" s="1"/>
  <c r="T151" i="6"/>
  <c r="U144" i="6"/>
  <c r="Q144" i="6" s="1"/>
  <c r="T144" i="6"/>
  <c r="S144" i="6"/>
  <c r="U93" i="6"/>
  <c r="Q93" i="6" s="1"/>
  <c r="T93" i="6"/>
  <c r="S93" i="6"/>
  <c r="U102" i="6"/>
  <c r="T102" i="6"/>
  <c r="S102" i="6"/>
  <c r="Q102" i="6" s="1"/>
  <c r="U42" i="6"/>
  <c r="T42" i="6"/>
  <c r="S42" i="6"/>
  <c r="Q42" i="6" s="1"/>
  <c r="U2" i="6"/>
  <c r="Q57" i="6"/>
  <c r="Q26" i="6"/>
  <c r="Q72" i="6"/>
  <c r="Q51" i="6"/>
  <c r="Q141" i="6"/>
  <c r="Q28" i="6"/>
  <c r="Q109" i="6"/>
  <c r="Q56" i="6"/>
  <c r="Q120" i="6"/>
  <c r="Q27" i="6"/>
  <c r="Q105" i="6"/>
  <c r="Q122" i="6"/>
  <c r="Q47" i="6"/>
  <c r="Q68" i="6"/>
  <c r="Q54" i="6"/>
  <c r="Q146" i="6"/>
  <c r="Q53" i="6"/>
  <c r="Q143" i="6"/>
  <c r="Q134" i="6"/>
  <c r="Q90" i="6"/>
  <c r="Q34" i="6"/>
  <c r="Q50" i="6"/>
  <c r="Q99" i="6"/>
  <c r="Q52" i="6"/>
  <c r="Q103" i="6"/>
  <c r="Q10" i="6"/>
  <c r="Q55" i="6"/>
  <c r="Q145" i="6"/>
  <c r="Q73" i="6"/>
  <c r="Q108" i="6"/>
  <c r="Q65" i="6"/>
  <c r="Q33" i="6"/>
  <c r="Q3" i="6"/>
  <c r="Q86" i="6"/>
  <c r="Q100" i="6"/>
  <c r="Q5" i="6"/>
  <c r="Q95" i="6"/>
  <c r="Q14" i="6"/>
  <c r="Q84" i="6"/>
  <c r="Q24" i="6"/>
  <c r="Q92" i="6"/>
  <c r="Q17" i="6"/>
  <c r="Q11" i="6"/>
  <c r="Q126" i="6"/>
  <c r="Q85" i="6"/>
  <c r="Q76" i="6"/>
  <c r="Q112" i="6"/>
  <c r="Q23" i="6"/>
  <c r="Q89" i="6"/>
  <c r="Q130" i="6"/>
  <c r="Q97" i="6"/>
  <c r="Q80" i="6"/>
  <c r="Q20" i="6"/>
  <c r="Q32" i="6"/>
  <c r="Q119" i="6"/>
  <c r="Q63" i="6"/>
  <c r="Q88" i="6"/>
  <c r="Q48" i="6"/>
  <c r="Q106" i="6"/>
  <c r="Q6" i="6"/>
  <c r="Q7" i="6"/>
  <c r="Q9" i="6"/>
  <c r="Q96" i="6"/>
  <c r="Q104" i="6"/>
  <c r="Q4" i="6"/>
  <c r="Q91" i="6"/>
  <c r="Q21" i="6"/>
  <c r="Q30" i="6"/>
  <c r="Q77" i="6"/>
  <c r="Q117" i="6"/>
  <c r="Q61" i="6"/>
  <c r="Q107" i="6"/>
  <c r="T2" i="6"/>
  <c r="Q31" i="6" l="1"/>
  <c r="Q150" i="6"/>
  <c r="Q78" i="6"/>
  <c r="Q49" i="6"/>
  <c r="Q71" i="6"/>
  <c r="Q110" i="6"/>
  <c r="Q94" i="6"/>
  <c r="Q111" i="6"/>
  <c r="Q25" i="6"/>
  <c r="Q46" i="6"/>
  <c r="Q132" i="6"/>
  <c r="Q131" i="6"/>
  <c r="Q64" i="6"/>
  <c r="Q40" i="6"/>
  <c r="Q12" i="6"/>
  <c r="Q98" i="6"/>
  <c r="Q36" i="6"/>
  <c r="Q121" i="6"/>
  <c r="Q125" i="6"/>
  <c r="Q124" i="6"/>
  <c r="Q129" i="6"/>
  <c r="Q136" i="6"/>
  <c r="Q39" i="6"/>
  <c r="Q113" i="6"/>
  <c r="Q35" i="6"/>
  <c r="Q81" i="6"/>
  <c r="Q67" i="6"/>
  <c r="Q123" i="6"/>
  <c r="Q66" i="6"/>
  <c r="Q116" i="6"/>
  <c r="Q148" i="6"/>
  <c r="Q2" i="6"/>
  <c r="Y3" i="6" s="1"/>
  <c r="J144" i="5" l="1"/>
  <c r="K146" i="5"/>
  <c r="I140" i="5"/>
  <c r="H140" i="5"/>
  <c r="H3" i="5"/>
  <c r="I3" i="5"/>
  <c r="J3" i="5"/>
  <c r="K3" i="5"/>
  <c r="H4" i="5"/>
  <c r="I4" i="5"/>
  <c r="J4" i="5"/>
  <c r="K4" i="5"/>
  <c r="H5" i="5"/>
  <c r="I5" i="5"/>
  <c r="J5" i="5"/>
  <c r="K5" i="5"/>
  <c r="H6" i="5"/>
  <c r="I6" i="5"/>
  <c r="J6" i="5"/>
  <c r="K6" i="5"/>
  <c r="H7" i="5"/>
  <c r="I7" i="5"/>
  <c r="J7" i="5"/>
  <c r="K7" i="5"/>
  <c r="H8" i="5"/>
  <c r="I8" i="5"/>
  <c r="J8" i="5"/>
  <c r="K8" i="5"/>
  <c r="H9" i="5"/>
  <c r="I9" i="5"/>
  <c r="J9" i="5"/>
  <c r="K9" i="5"/>
  <c r="H10" i="5"/>
  <c r="I10" i="5"/>
  <c r="J10" i="5"/>
  <c r="K10" i="5"/>
  <c r="H11" i="5"/>
  <c r="I11" i="5"/>
  <c r="J11" i="5"/>
  <c r="K11" i="5"/>
  <c r="H12" i="5"/>
  <c r="I12" i="5"/>
  <c r="J12" i="5"/>
  <c r="K12" i="5"/>
  <c r="H13" i="5"/>
  <c r="I13" i="5"/>
  <c r="J13" i="5"/>
  <c r="K13" i="5"/>
  <c r="H14" i="5"/>
  <c r="I14" i="5"/>
  <c r="J14" i="5"/>
  <c r="K14" i="5"/>
  <c r="H15" i="5"/>
  <c r="I15" i="5"/>
  <c r="J15" i="5"/>
  <c r="G15" i="5" s="1"/>
  <c r="K15" i="5"/>
  <c r="H16" i="5"/>
  <c r="I16" i="5"/>
  <c r="J16" i="5"/>
  <c r="K16" i="5"/>
  <c r="H17" i="5"/>
  <c r="I17" i="5"/>
  <c r="J17" i="5"/>
  <c r="K17" i="5"/>
  <c r="H18" i="5"/>
  <c r="I18" i="5"/>
  <c r="J18" i="5"/>
  <c r="K18" i="5"/>
  <c r="H19" i="5"/>
  <c r="I19" i="5"/>
  <c r="J19" i="5"/>
  <c r="K19" i="5"/>
  <c r="H20" i="5"/>
  <c r="I20" i="5"/>
  <c r="J20" i="5"/>
  <c r="K20" i="5"/>
  <c r="H21" i="5"/>
  <c r="I21" i="5"/>
  <c r="J21" i="5"/>
  <c r="K21" i="5"/>
  <c r="H22" i="5"/>
  <c r="I22" i="5"/>
  <c r="J22" i="5"/>
  <c r="K22" i="5"/>
  <c r="H23" i="5"/>
  <c r="I23" i="5"/>
  <c r="J23" i="5"/>
  <c r="K23" i="5"/>
  <c r="H24" i="5"/>
  <c r="I24" i="5"/>
  <c r="J24" i="5"/>
  <c r="K24" i="5"/>
  <c r="H25" i="5"/>
  <c r="I25" i="5"/>
  <c r="J25" i="5"/>
  <c r="K25" i="5"/>
  <c r="H26" i="5"/>
  <c r="I26" i="5"/>
  <c r="J26" i="5"/>
  <c r="K26" i="5"/>
  <c r="H27" i="5"/>
  <c r="I27" i="5"/>
  <c r="J27" i="5"/>
  <c r="K27" i="5"/>
  <c r="H28" i="5"/>
  <c r="I28" i="5"/>
  <c r="J28" i="5"/>
  <c r="K28" i="5"/>
  <c r="H29" i="5"/>
  <c r="I29" i="5"/>
  <c r="J29" i="5"/>
  <c r="K29" i="5"/>
  <c r="H30" i="5"/>
  <c r="I30" i="5"/>
  <c r="J30" i="5"/>
  <c r="K30" i="5"/>
  <c r="H31" i="5"/>
  <c r="I31" i="5"/>
  <c r="J31" i="5"/>
  <c r="K31" i="5"/>
  <c r="H32" i="5"/>
  <c r="I32" i="5"/>
  <c r="J32" i="5"/>
  <c r="K32" i="5"/>
  <c r="H33" i="5"/>
  <c r="I33" i="5"/>
  <c r="J33" i="5"/>
  <c r="K33" i="5"/>
  <c r="H34" i="5"/>
  <c r="I34" i="5"/>
  <c r="J34" i="5"/>
  <c r="K34" i="5"/>
  <c r="H35" i="5"/>
  <c r="I35" i="5"/>
  <c r="J35" i="5"/>
  <c r="K35" i="5"/>
  <c r="H36" i="5"/>
  <c r="I36" i="5"/>
  <c r="J36" i="5"/>
  <c r="K36" i="5"/>
  <c r="H37" i="5"/>
  <c r="I37" i="5"/>
  <c r="J37" i="5"/>
  <c r="K37" i="5"/>
  <c r="H38" i="5"/>
  <c r="I38" i="5"/>
  <c r="J38" i="5"/>
  <c r="K38" i="5"/>
  <c r="H39" i="5"/>
  <c r="I39" i="5"/>
  <c r="J39" i="5"/>
  <c r="K39" i="5"/>
  <c r="H40" i="5"/>
  <c r="I40" i="5"/>
  <c r="J40" i="5"/>
  <c r="K40" i="5"/>
  <c r="H41" i="5"/>
  <c r="I41" i="5"/>
  <c r="J41" i="5"/>
  <c r="K41" i="5"/>
  <c r="H42" i="5"/>
  <c r="I42" i="5"/>
  <c r="J42" i="5"/>
  <c r="K42" i="5"/>
  <c r="H43" i="5"/>
  <c r="I43" i="5"/>
  <c r="J43" i="5"/>
  <c r="K43" i="5"/>
  <c r="H44" i="5"/>
  <c r="I44" i="5"/>
  <c r="J44" i="5"/>
  <c r="K44" i="5"/>
  <c r="H45" i="5"/>
  <c r="I45" i="5"/>
  <c r="J45" i="5"/>
  <c r="K45" i="5"/>
  <c r="H46" i="5"/>
  <c r="I46" i="5"/>
  <c r="J46" i="5"/>
  <c r="K46" i="5"/>
  <c r="H47" i="5"/>
  <c r="I47" i="5"/>
  <c r="J47" i="5"/>
  <c r="K47" i="5"/>
  <c r="H48" i="5"/>
  <c r="I48" i="5"/>
  <c r="J48" i="5"/>
  <c r="K48" i="5"/>
  <c r="H49" i="5"/>
  <c r="I49" i="5"/>
  <c r="J49" i="5"/>
  <c r="K49" i="5"/>
  <c r="H50" i="5"/>
  <c r="I50" i="5"/>
  <c r="J50" i="5"/>
  <c r="K50" i="5"/>
  <c r="H51" i="5"/>
  <c r="I51" i="5"/>
  <c r="J51" i="5"/>
  <c r="K51" i="5"/>
  <c r="H52" i="5"/>
  <c r="I52" i="5"/>
  <c r="J52" i="5"/>
  <c r="K52" i="5"/>
  <c r="H53" i="5"/>
  <c r="I53" i="5"/>
  <c r="J53" i="5"/>
  <c r="K53" i="5"/>
  <c r="H54" i="5"/>
  <c r="I54" i="5"/>
  <c r="J54" i="5"/>
  <c r="K54" i="5"/>
  <c r="H55" i="5"/>
  <c r="I55" i="5"/>
  <c r="J55" i="5"/>
  <c r="K55" i="5"/>
  <c r="H56" i="5"/>
  <c r="I56" i="5"/>
  <c r="J56" i="5"/>
  <c r="K56" i="5"/>
  <c r="H57" i="5"/>
  <c r="I57" i="5"/>
  <c r="J57" i="5"/>
  <c r="K57" i="5"/>
  <c r="H58" i="5"/>
  <c r="I58" i="5"/>
  <c r="J58" i="5"/>
  <c r="K58" i="5"/>
  <c r="H59" i="5"/>
  <c r="I59" i="5"/>
  <c r="J59" i="5"/>
  <c r="K59" i="5"/>
  <c r="H60" i="5"/>
  <c r="I60" i="5"/>
  <c r="J60" i="5"/>
  <c r="K60" i="5"/>
  <c r="H61" i="5"/>
  <c r="I61" i="5"/>
  <c r="J61" i="5"/>
  <c r="K61" i="5"/>
  <c r="H62" i="5"/>
  <c r="I62" i="5"/>
  <c r="J62" i="5"/>
  <c r="K62" i="5"/>
  <c r="H63" i="5"/>
  <c r="I63" i="5"/>
  <c r="J63" i="5"/>
  <c r="K63" i="5"/>
  <c r="H64" i="5"/>
  <c r="I64" i="5"/>
  <c r="J64" i="5"/>
  <c r="K64" i="5"/>
  <c r="H65" i="5"/>
  <c r="I65" i="5"/>
  <c r="J65" i="5"/>
  <c r="K65" i="5"/>
  <c r="H66" i="5"/>
  <c r="I66" i="5"/>
  <c r="J66" i="5"/>
  <c r="K66" i="5"/>
  <c r="H67" i="5"/>
  <c r="I67" i="5"/>
  <c r="J67" i="5"/>
  <c r="K67" i="5"/>
  <c r="H68" i="5"/>
  <c r="I68" i="5"/>
  <c r="J68" i="5"/>
  <c r="K68" i="5"/>
  <c r="H69" i="5"/>
  <c r="I69" i="5"/>
  <c r="J69" i="5"/>
  <c r="K69" i="5"/>
  <c r="H70" i="5"/>
  <c r="I70" i="5"/>
  <c r="J70" i="5"/>
  <c r="K70" i="5"/>
  <c r="H71" i="5"/>
  <c r="I71" i="5"/>
  <c r="J71" i="5"/>
  <c r="K71" i="5"/>
  <c r="H72" i="5"/>
  <c r="I72" i="5"/>
  <c r="J72" i="5"/>
  <c r="K72" i="5"/>
  <c r="H73" i="5"/>
  <c r="I73" i="5"/>
  <c r="J73" i="5"/>
  <c r="K73" i="5"/>
  <c r="H74" i="5"/>
  <c r="I74" i="5"/>
  <c r="J74" i="5"/>
  <c r="K74" i="5"/>
  <c r="H75" i="5"/>
  <c r="I75" i="5"/>
  <c r="J75" i="5"/>
  <c r="K75" i="5"/>
  <c r="H76" i="5"/>
  <c r="I76" i="5"/>
  <c r="J76" i="5"/>
  <c r="K76" i="5"/>
  <c r="H77" i="5"/>
  <c r="I77" i="5"/>
  <c r="J77" i="5"/>
  <c r="K77" i="5"/>
  <c r="H78" i="5"/>
  <c r="I78" i="5"/>
  <c r="J78" i="5"/>
  <c r="K78" i="5"/>
  <c r="H79" i="5"/>
  <c r="I79" i="5"/>
  <c r="J79" i="5"/>
  <c r="K79" i="5"/>
  <c r="H80" i="5"/>
  <c r="I80" i="5"/>
  <c r="J80" i="5"/>
  <c r="K80" i="5"/>
  <c r="H81" i="5"/>
  <c r="I81" i="5"/>
  <c r="J81" i="5"/>
  <c r="K81" i="5"/>
  <c r="H82" i="5"/>
  <c r="I82" i="5"/>
  <c r="J82" i="5"/>
  <c r="K82" i="5"/>
  <c r="H83" i="5"/>
  <c r="I83" i="5"/>
  <c r="J83" i="5"/>
  <c r="K83" i="5"/>
  <c r="H84" i="5"/>
  <c r="I84" i="5"/>
  <c r="J84" i="5"/>
  <c r="K84" i="5"/>
  <c r="H85" i="5"/>
  <c r="I85" i="5"/>
  <c r="J85" i="5"/>
  <c r="K85" i="5"/>
  <c r="H86" i="5"/>
  <c r="I86" i="5"/>
  <c r="J86" i="5"/>
  <c r="K86" i="5"/>
  <c r="H87" i="5"/>
  <c r="I87" i="5"/>
  <c r="J87" i="5"/>
  <c r="K87" i="5"/>
  <c r="H88" i="5"/>
  <c r="I88" i="5"/>
  <c r="J88" i="5"/>
  <c r="K88" i="5"/>
  <c r="H89" i="5"/>
  <c r="I89" i="5"/>
  <c r="J89" i="5"/>
  <c r="K89" i="5"/>
  <c r="H90" i="5"/>
  <c r="I90" i="5"/>
  <c r="J90" i="5"/>
  <c r="K90" i="5"/>
  <c r="H91" i="5"/>
  <c r="I91" i="5"/>
  <c r="J91" i="5"/>
  <c r="K91" i="5"/>
  <c r="H92" i="5"/>
  <c r="I92" i="5"/>
  <c r="J92" i="5"/>
  <c r="K92" i="5"/>
  <c r="H93" i="5"/>
  <c r="I93" i="5"/>
  <c r="J93" i="5"/>
  <c r="K93" i="5"/>
  <c r="H94" i="5"/>
  <c r="I94" i="5"/>
  <c r="J94" i="5"/>
  <c r="K94" i="5"/>
  <c r="H95" i="5"/>
  <c r="I95" i="5"/>
  <c r="J95" i="5"/>
  <c r="K95" i="5"/>
  <c r="H96" i="5"/>
  <c r="I96" i="5"/>
  <c r="J96" i="5"/>
  <c r="K96" i="5"/>
  <c r="H97" i="5"/>
  <c r="I97" i="5"/>
  <c r="J97" i="5"/>
  <c r="K97" i="5"/>
  <c r="H98" i="5"/>
  <c r="I98" i="5"/>
  <c r="J98" i="5"/>
  <c r="K98" i="5"/>
  <c r="H99" i="5"/>
  <c r="I99" i="5"/>
  <c r="J99" i="5"/>
  <c r="K99" i="5"/>
  <c r="H100" i="5"/>
  <c r="I100" i="5"/>
  <c r="J100" i="5"/>
  <c r="K100" i="5"/>
  <c r="H101" i="5"/>
  <c r="I101" i="5"/>
  <c r="J101" i="5"/>
  <c r="K101" i="5"/>
  <c r="H102" i="5"/>
  <c r="I102" i="5"/>
  <c r="J102" i="5"/>
  <c r="K102" i="5"/>
  <c r="H103" i="5"/>
  <c r="I103" i="5"/>
  <c r="J103" i="5"/>
  <c r="K103" i="5"/>
  <c r="H104" i="5"/>
  <c r="I104" i="5"/>
  <c r="J104" i="5"/>
  <c r="K104" i="5"/>
  <c r="H105" i="5"/>
  <c r="I105" i="5"/>
  <c r="J105" i="5"/>
  <c r="K105" i="5"/>
  <c r="H106" i="5"/>
  <c r="I106" i="5"/>
  <c r="J106" i="5"/>
  <c r="K106" i="5"/>
  <c r="H107" i="5"/>
  <c r="I107" i="5"/>
  <c r="J107" i="5"/>
  <c r="K107" i="5"/>
  <c r="H108" i="5"/>
  <c r="I108" i="5"/>
  <c r="J108" i="5"/>
  <c r="K108" i="5"/>
  <c r="H109" i="5"/>
  <c r="I109" i="5"/>
  <c r="J109" i="5"/>
  <c r="K109" i="5"/>
  <c r="H110" i="5"/>
  <c r="I110" i="5"/>
  <c r="J110" i="5"/>
  <c r="K110" i="5"/>
  <c r="H111" i="5"/>
  <c r="I111" i="5"/>
  <c r="J111" i="5"/>
  <c r="K111" i="5"/>
  <c r="H112" i="5"/>
  <c r="I112" i="5"/>
  <c r="J112" i="5"/>
  <c r="K112" i="5"/>
  <c r="H113" i="5"/>
  <c r="I113" i="5"/>
  <c r="J113" i="5"/>
  <c r="K113" i="5"/>
  <c r="H114" i="5"/>
  <c r="I114" i="5"/>
  <c r="J114" i="5"/>
  <c r="K114" i="5"/>
  <c r="H115" i="5"/>
  <c r="I115" i="5"/>
  <c r="J115" i="5"/>
  <c r="K115" i="5"/>
  <c r="H116" i="5"/>
  <c r="I116" i="5"/>
  <c r="J116" i="5"/>
  <c r="K116" i="5"/>
  <c r="H117" i="5"/>
  <c r="I117" i="5"/>
  <c r="J117" i="5"/>
  <c r="K117" i="5"/>
  <c r="H118" i="5"/>
  <c r="I118" i="5"/>
  <c r="J118" i="5"/>
  <c r="K118" i="5"/>
  <c r="H119" i="5"/>
  <c r="I119" i="5"/>
  <c r="J119" i="5"/>
  <c r="K119" i="5"/>
  <c r="H120" i="5"/>
  <c r="I120" i="5"/>
  <c r="J120" i="5"/>
  <c r="K120" i="5"/>
  <c r="H121" i="5"/>
  <c r="I121" i="5"/>
  <c r="J121" i="5"/>
  <c r="K121" i="5"/>
  <c r="H122" i="5"/>
  <c r="I122" i="5"/>
  <c r="J122" i="5"/>
  <c r="K122" i="5"/>
  <c r="H123" i="5"/>
  <c r="I123" i="5"/>
  <c r="J123" i="5"/>
  <c r="K123" i="5"/>
  <c r="H124" i="5"/>
  <c r="I124" i="5"/>
  <c r="J124" i="5"/>
  <c r="K124" i="5"/>
  <c r="H125" i="5"/>
  <c r="I125" i="5"/>
  <c r="J125" i="5"/>
  <c r="K125" i="5"/>
  <c r="H126" i="5"/>
  <c r="I126" i="5"/>
  <c r="J126" i="5"/>
  <c r="K126" i="5"/>
  <c r="H127" i="5"/>
  <c r="I127" i="5"/>
  <c r="J127" i="5"/>
  <c r="K127" i="5"/>
  <c r="H128" i="5"/>
  <c r="I128" i="5"/>
  <c r="J128" i="5"/>
  <c r="K128" i="5"/>
  <c r="H129" i="5"/>
  <c r="I129" i="5"/>
  <c r="J129" i="5"/>
  <c r="K129" i="5"/>
  <c r="H130" i="5"/>
  <c r="I130" i="5"/>
  <c r="J130" i="5"/>
  <c r="K130" i="5"/>
  <c r="H131" i="5"/>
  <c r="I131" i="5"/>
  <c r="J131" i="5"/>
  <c r="K131" i="5"/>
  <c r="H132" i="5"/>
  <c r="I132" i="5"/>
  <c r="J132" i="5"/>
  <c r="K132" i="5"/>
  <c r="H133" i="5"/>
  <c r="I133" i="5"/>
  <c r="J133" i="5"/>
  <c r="K133" i="5"/>
  <c r="H134" i="5"/>
  <c r="I134" i="5"/>
  <c r="J134" i="5"/>
  <c r="K134" i="5"/>
  <c r="H135" i="5"/>
  <c r="I135" i="5"/>
  <c r="J135" i="5"/>
  <c r="K135" i="5"/>
  <c r="H136" i="5"/>
  <c r="I136" i="5"/>
  <c r="J136" i="5"/>
  <c r="K136" i="5"/>
  <c r="H137" i="5"/>
  <c r="I137" i="5"/>
  <c r="J137" i="5"/>
  <c r="K137" i="5"/>
  <c r="H138" i="5"/>
  <c r="I138" i="5"/>
  <c r="J138" i="5"/>
  <c r="K138" i="5"/>
  <c r="H139" i="5"/>
  <c r="I139" i="5"/>
  <c r="J139" i="5"/>
  <c r="K139" i="5"/>
  <c r="J140" i="5"/>
  <c r="G140" i="5" s="1"/>
  <c r="K140" i="5"/>
  <c r="H141" i="5"/>
  <c r="I141" i="5"/>
  <c r="J141" i="5"/>
  <c r="K141" i="5"/>
  <c r="H142" i="5"/>
  <c r="I142" i="5"/>
  <c r="J142" i="5"/>
  <c r="K142" i="5"/>
  <c r="H143" i="5"/>
  <c r="I143" i="5"/>
  <c r="J143" i="5"/>
  <c r="K143" i="5"/>
  <c r="H144" i="5"/>
  <c r="I144" i="5"/>
  <c r="K144" i="5"/>
  <c r="H145" i="5"/>
  <c r="I145" i="5"/>
  <c r="J145" i="5"/>
  <c r="K145" i="5"/>
  <c r="H146" i="5"/>
  <c r="I146" i="5"/>
  <c r="J146" i="5"/>
  <c r="H147" i="5"/>
  <c r="I147" i="5"/>
  <c r="J147" i="5"/>
  <c r="K147" i="5"/>
  <c r="H148" i="5"/>
  <c r="I148" i="5"/>
  <c r="J148" i="5"/>
  <c r="K148" i="5"/>
  <c r="H149" i="5"/>
  <c r="I149" i="5"/>
  <c r="J149" i="5"/>
  <c r="K149" i="5"/>
  <c r="H150" i="5"/>
  <c r="I150" i="5"/>
  <c r="J150" i="5"/>
  <c r="K150" i="5"/>
  <c r="H151" i="5"/>
  <c r="I151" i="5"/>
  <c r="J151" i="5"/>
  <c r="K151" i="5"/>
  <c r="G151" i="5" s="1"/>
  <c r="J2" i="5"/>
  <c r="K2" i="5"/>
  <c r="G2" i="5" s="1"/>
  <c r="B154" i="5"/>
  <c r="C154" i="5"/>
  <c r="D154" i="5"/>
  <c r="A154" i="5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Z11" i="4"/>
  <c r="Z10" i="4"/>
  <c r="Y11" i="4"/>
  <c r="Y10" i="4"/>
  <c r="X11" i="4"/>
  <c r="X10" i="4"/>
  <c r="Z9" i="4"/>
  <c r="Y9" i="4"/>
  <c r="X9" i="4"/>
  <c r="G39" i="5" l="1"/>
  <c r="G23" i="5"/>
  <c r="G35" i="5"/>
  <c r="G3" i="5"/>
  <c r="G62" i="5"/>
  <c r="G46" i="5"/>
  <c r="G30" i="5"/>
  <c r="G6" i="5"/>
  <c r="G10" i="5"/>
  <c r="G7" i="5"/>
  <c r="G109" i="5"/>
  <c r="G85" i="5"/>
  <c r="G61" i="5"/>
  <c r="G47" i="5"/>
  <c r="G45" i="5"/>
  <c r="G55" i="5"/>
  <c r="G51" i="5"/>
  <c r="G19" i="5"/>
  <c r="G31" i="5"/>
  <c r="G82" i="5"/>
  <c r="G74" i="5"/>
  <c r="G66" i="5"/>
  <c r="G91" i="5"/>
  <c r="G58" i="5"/>
  <c r="G54" i="5"/>
  <c r="G150" i="5"/>
  <c r="G148" i="5"/>
  <c r="G146" i="5"/>
  <c r="G142" i="5"/>
  <c r="G138" i="5"/>
  <c r="G134" i="5"/>
  <c r="G130" i="5"/>
  <c r="G126" i="5"/>
  <c r="G122" i="5"/>
  <c r="G118" i="5"/>
  <c r="G114" i="5"/>
  <c r="G112" i="5"/>
  <c r="G94" i="5"/>
  <c r="G92" i="5"/>
  <c r="G90" i="5"/>
  <c r="G86" i="5"/>
  <c r="G80" i="5"/>
  <c r="G70" i="5"/>
  <c r="G42" i="5"/>
  <c r="G103" i="5"/>
  <c r="G95" i="5"/>
  <c r="G79" i="5"/>
  <c r="G71" i="5"/>
  <c r="G26" i="5"/>
  <c r="G22" i="5"/>
  <c r="G101" i="5"/>
  <c r="G63" i="5"/>
  <c r="G147" i="5"/>
  <c r="G111" i="5"/>
  <c r="G78" i="5"/>
  <c r="G50" i="5"/>
  <c r="G48" i="5"/>
  <c r="G18" i="5"/>
  <c r="G99" i="5"/>
  <c r="G53" i="5"/>
  <c r="G14" i="5"/>
  <c r="G64" i="5"/>
  <c r="G38" i="5"/>
  <c r="G34" i="5"/>
  <c r="G32" i="5"/>
  <c r="G110" i="5"/>
  <c r="G108" i="5"/>
  <c r="G106" i="5"/>
  <c r="G102" i="5"/>
  <c r="G98" i="5"/>
  <c r="G83" i="5"/>
  <c r="G67" i="5"/>
  <c r="G43" i="5"/>
  <c r="G11" i="5"/>
  <c r="G143" i="5"/>
  <c r="G139" i="5"/>
  <c r="G135" i="5"/>
  <c r="G131" i="5"/>
  <c r="G127" i="5"/>
  <c r="G125" i="5"/>
  <c r="G119" i="5"/>
  <c r="G117" i="5"/>
  <c r="G77" i="5"/>
  <c r="G37" i="5"/>
  <c r="G149" i="5"/>
  <c r="G141" i="5"/>
  <c r="G133" i="5"/>
  <c r="G87" i="5"/>
  <c r="G69" i="5"/>
  <c r="G93" i="5"/>
  <c r="G29" i="5"/>
  <c r="G123" i="5"/>
  <c r="G115" i="5"/>
  <c r="G107" i="5"/>
  <c r="G75" i="5"/>
  <c r="G59" i="5"/>
  <c r="G27" i="5"/>
  <c r="G5" i="5"/>
  <c r="G96" i="5"/>
  <c r="G72" i="5"/>
  <c r="G56" i="5"/>
  <c r="G40" i="5"/>
  <c r="G13" i="5"/>
  <c r="G21" i="5"/>
  <c r="G105" i="5"/>
  <c r="G100" i="5"/>
  <c r="G76" i="5"/>
  <c r="G60" i="5"/>
  <c r="G44" i="5"/>
  <c r="G28" i="5"/>
  <c r="G12" i="5"/>
  <c r="G24" i="5"/>
  <c r="G8" i="5"/>
  <c r="G132" i="5"/>
  <c r="G128" i="5"/>
  <c r="G124" i="5"/>
  <c r="G88" i="5"/>
  <c r="G120" i="5"/>
  <c r="G116" i="5"/>
  <c r="G84" i="5"/>
  <c r="G68" i="5"/>
  <c r="G52" i="5"/>
  <c r="G36" i="5"/>
  <c r="G20" i="5"/>
  <c r="G4" i="5"/>
  <c r="G16" i="5"/>
  <c r="G104" i="5"/>
  <c r="G121" i="5"/>
  <c r="G81" i="5"/>
  <c r="G65" i="5"/>
  <c r="G49" i="5"/>
  <c r="G33" i="5"/>
  <c r="G17" i="5"/>
  <c r="G144" i="5"/>
  <c r="G136" i="5"/>
  <c r="G97" i="5"/>
  <c r="G73" i="5"/>
  <c r="G57" i="5"/>
  <c r="G41" i="5"/>
  <c r="G25" i="5"/>
  <c r="G145" i="5"/>
  <c r="G137" i="5"/>
  <c r="G129" i="5"/>
  <c r="G89" i="5"/>
  <c r="G9" i="5"/>
  <c r="G113" i="5"/>
  <c r="Z17" i="4"/>
  <c r="Y17" i="4"/>
  <c r="X17" i="4"/>
  <c r="Z16" i="4"/>
  <c r="Y16" i="4"/>
  <c r="X16" i="4"/>
  <c r="X8" i="4"/>
  <c r="J155" i="5" l="1"/>
  <c r="I156" i="5"/>
  <c r="Y31" i="4"/>
  <c r="Z31" i="4"/>
  <c r="Y32" i="4"/>
  <c r="Z32" i="4"/>
  <c r="Y29" i="4"/>
  <c r="Z29" i="4"/>
  <c r="Y30" i="4"/>
  <c r="Z30" i="4"/>
  <c r="X30" i="4"/>
  <c r="X29" i="4"/>
  <c r="W32" i="4"/>
  <c r="W31" i="4"/>
  <c r="W30" i="4"/>
  <c r="W29" i="4"/>
  <c r="J156" i="5" l="1"/>
  <c r="I157" i="5"/>
  <c r="J157" i="5"/>
  <c r="Z13" i="4"/>
  <c r="Y13" i="4"/>
  <c r="X13" i="4"/>
  <c r="Z12" i="4"/>
  <c r="Y12" i="4"/>
  <c r="X12" i="4"/>
  <c r="Y8" i="4"/>
  <c r="L155" i="5" l="1"/>
  <c r="M155" i="5"/>
  <c r="N155" i="5"/>
  <c r="X19" i="4"/>
  <c r="Z18" i="4"/>
  <c r="Z19" i="4"/>
  <c r="X14" i="4"/>
  <c r="Y19" i="4"/>
  <c r="Y18" i="4"/>
  <c r="Z8" i="4"/>
  <c r="Z15" i="4"/>
  <c r="Y15" i="4"/>
  <c r="Y14" i="4"/>
  <c r="Z14" i="4"/>
  <c r="H154" i="4" a="1"/>
  <c r="M154" i="4" a="1"/>
  <c r="R154" i="4" a="1"/>
  <c r="M6" i="4" a="1"/>
  <c r="M14" i="4" a="1"/>
  <c r="M22" i="4" a="1"/>
  <c r="M30" i="4" a="1"/>
  <c r="M53" i="4" a="1"/>
  <c r="M91" i="4" a="1"/>
  <c r="M99" i="4" a="1"/>
  <c r="M107" i="4" a="1"/>
  <c r="M115" i="4" a="1"/>
  <c r="M44" i="4" a="1"/>
  <c r="M55" i="4" a="1"/>
  <c r="M76" i="4" a="1"/>
  <c r="M43" i="4" a="1"/>
  <c r="M86" i="4" a="1"/>
  <c r="M124" i="4" a="1"/>
  <c r="M75" i="4" a="1"/>
  <c r="M141" i="4" a="1"/>
  <c r="M125" i="4" a="1"/>
  <c r="M67" i="4" a="1"/>
  <c r="R127" i="4" a="1"/>
  <c r="R96" i="4" a="1"/>
  <c r="R134" i="4" a="1"/>
  <c r="R149" i="4" a="1"/>
  <c r="R65" i="4" a="1"/>
  <c r="R147" i="4" a="1"/>
  <c r="R57" i="4" a="1"/>
  <c r="R98" i="4" a="1"/>
  <c r="R129" i="4" a="1"/>
  <c r="R88" i="4" a="1"/>
  <c r="R24" i="4" a="1"/>
  <c r="R47" i="4" a="1"/>
  <c r="R70" i="4" a="1"/>
  <c r="R6" i="4" a="1"/>
  <c r="R68" i="4" a="1"/>
  <c r="R4" i="4" a="1"/>
  <c r="R35" i="4" a="1"/>
  <c r="R66" i="4" a="1"/>
  <c r="H151" i="4" a="1"/>
  <c r="H137" i="4" a="1"/>
  <c r="H150" i="4" a="1"/>
  <c r="H136" i="4" a="1"/>
  <c r="H81" i="4" a="1"/>
  <c r="H66" i="4" a="1"/>
  <c r="H50" i="4" a="1"/>
  <c r="H85" i="4" a="1"/>
  <c r="H117" i="4" a="1"/>
  <c r="H109" i="4" a="1"/>
  <c r="H101" i="4" a="1"/>
  <c r="H93" i="4" a="1"/>
  <c r="H83" i="4" a="1"/>
  <c r="H55" i="4" a="1"/>
  <c r="H39" i="4" a="1"/>
  <c r="H31" i="4" a="1"/>
  <c r="H23" i="4" a="1"/>
  <c r="H15" i="4" a="1"/>
  <c r="H7" i="4" a="1"/>
  <c r="M7" i="4" a="1"/>
  <c r="M15" i="4" a="1"/>
  <c r="M23" i="4" a="1"/>
  <c r="M31" i="4" a="1"/>
  <c r="M61" i="4" a="1"/>
  <c r="M92" i="4" a="1"/>
  <c r="M100" i="4" a="1"/>
  <c r="M108" i="4" a="1"/>
  <c r="M116" i="4" a="1"/>
  <c r="M46" i="4" a="1"/>
  <c r="M63" i="4" a="1"/>
  <c r="M84" i="4" a="1"/>
  <c r="M45" i="4" a="1"/>
  <c r="M56" i="4" a="1"/>
  <c r="M126" i="4" a="1"/>
  <c r="M143" i="4" a="1"/>
  <c r="M142" i="4" a="1"/>
  <c r="M127" i="4" a="1"/>
  <c r="M83" i="4" a="1"/>
  <c r="R132" i="4" a="1"/>
  <c r="R77" i="4" a="1"/>
  <c r="R126" i="4" a="1"/>
  <c r="R141" i="4" a="1"/>
  <c r="R116" i="4" a="1"/>
  <c r="R139" i="4" a="1"/>
  <c r="R41" i="4" a="1"/>
  <c r="R85" i="4" a="1"/>
  <c r="R121" i="4" a="1"/>
  <c r="R80" i="4" a="1"/>
  <c r="R16" i="4" a="1"/>
  <c r="R39" i="4" a="1"/>
  <c r="R62" i="4" a="1"/>
  <c r="R37" i="4" a="1"/>
  <c r="R60" i="4" a="1"/>
  <c r="R91" i="4" a="1"/>
  <c r="R27" i="4" a="1"/>
  <c r="R58" i="4" a="1"/>
  <c r="H148" i="4" a="1"/>
  <c r="H135" i="4" a="1"/>
  <c r="H86" i="4" a="1"/>
  <c r="H134" i="4" a="1"/>
  <c r="H73" i="4" a="1"/>
  <c r="H64" i="4" a="1"/>
  <c r="H48" i="4" a="1"/>
  <c r="H77" i="4" a="1"/>
  <c r="H116" i="4" a="1"/>
  <c r="H108" i="4" a="1"/>
  <c r="H100" i="4" a="1"/>
  <c r="H92" i="4" a="1"/>
  <c r="H75" i="4" a="1"/>
  <c r="H53" i="4" a="1"/>
  <c r="H38" i="4" a="1"/>
  <c r="H30" i="4" a="1"/>
  <c r="H22" i="4" a="1"/>
  <c r="H14" i="4" a="1"/>
  <c r="H6" i="4" a="1"/>
  <c r="M8" i="4" a="1"/>
  <c r="M16" i="4" a="1"/>
  <c r="M24" i="4" a="1"/>
  <c r="M32" i="4" a="1"/>
  <c r="M69" i="4" a="1"/>
  <c r="M93" i="4" a="1"/>
  <c r="M101" i="4" a="1"/>
  <c r="M109" i="4" a="1"/>
  <c r="M117" i="4" a="1"/>
  <c r="M48" i="4" a="1"/>
  <c r="M71" i="4" a="1"/>
  <c r="M57" i="4" a="1"/>
  <c r="M47" i="4" a="1"/>
  <c r="M64" i="4" a="1"/>
  <c r="M128" i="4" a="1"/>
  <c r="M145" i="4" a="1"/>
  <c r="M144" i="4" a="1"/>
  <c r="M129" i="4" a="1"/>
  <c r="R144" i="4" a="1"/>
  <c r="R45" i="4" a="1"/>
  <c r="R118" i="4" a="1"/>
  <c r="R133" i="4" a="1"/>
  <c r="R108" i="4" a="1"/>
  <c r="R131" i="4" a="1"/>
  <c r="R146" i="4" a="1"/>
  <c r="R53" i="4" a="1"/>
  <c r="R113" i="4" a="1"/>
  <c r="R72" i="4" a="1"/>
  <c r="R8" i="4" a="1"/>
  <c r="R31" i="4" a="1"/>
  <c r="R54" i="4" a="1"/>
  <c r="R29" i="4" a="1"/>
  <c r="R52" i="4" a="1"/>
  <c r="R83" i="4" a="1"/>
  <c r="R19" i="4" a="1"/>
  <c r="R50" i="4" a="1"/>
  <c r="H78" i="4" a="1"/>
  <c r="H133" i="4" a="1"/>
  <c r="H149" i="4" a="1"/>
  <c r="H132" i="4" a="1"/>
  <c r="H84" i="4" a="1"/>
  <c r="H62" i="4" a="1"/>
  <c r="H46" i="4" a="1"/>
  <c r="H69" i="4" a="1"/>
  <c r="H115" i="4" a="1"/>
  <c r="H107" i="4" a="1"/>
  <c r="H99" i="4" a="1"/>
  <c r="H91" i="4" a="1"/>
  <c r="H67" i="4" a="1"/>
  <c r="H51" i="4" a="1"/>
  <c r="H37" i="4" a="1"/>
  <c r="H29" i="4" a="1"/>
  <c r="H21" i="4" a="1"/>
  <c r="H13" i="4" a="1"/>
  <c r="H5" i="4" a="1"/>
  <c r="M9" i="4" a="1"/>
  <c r="M17" i="4" a="1"/>
  <c r="M25" i="4" a="1"/>
  <c r="M33" i="4" a="1"/>
  <c r="M77" i="4" a="1"/>
  <c r="M94" i="4" a="1"/>
  <c r="M102" i="4" a="1"/>
  <c r="M110" i="4" a="1"/>
  <c r="M118" i="4" a="1"/>
  <c r="M50" i="4" a="1"/>
  <c r="M79" i="4" a="1"/>
  <c r="M65" i="4" a="1"/>
  <c r="M49" i="4" a="1"/>
  <c r="M72" i="4" a="1"/>
  <c r="M130" i="4" a="1"/>
  <c r="M147" i="4" a="1"/>
  <c r="M146" i="4" a="1"/>
  <c r="M131" i="4" a="1"/>
  <c r="R111" i="4" a="1"/>
  <c r="R136" i="4" a="1"/>
  <c r="R17" i="4" a="1"/>
  <c r="R110" i="4" a="1"/>
  <c r="R125" i="4" a="1"/>
  <c r="R100" i="4" a="1"/>
  <c r="R123" i="4" a="1"/>
  <c r="R138" i="4" a="1"/>
  <c r="R33" i="4" a="1"/>
  <c r="R105" i="4" a="1"/>
  <c r="R64" i="4" a="1"/>
  <c r="R87" i="4" a="1"/>
  <c r="R23" i="4" a="1"/>
  <c r="R46" i="4" a="1"/>
  <c r="R21" i="4" a="1"/>
  <c r="R44" i="4" a="1"/>
  <c r="R75" i="4" a="1"/>
  <c r="R11" i="4" a="1"/>
  <c r="R42" i="4" a="1"/>
  <c r="H147" i="4" a="1"/>
  <c r="H131" i="4" a="1"/>
  <c r="H146" i="4" a="1"/>
  <c r="H130" i="4" a="1"/>
  <c r="H76" i="4" a="1"/>
  <c r="H60" i="4" a="1"/>
  <c r="H44" i="4" a="1"/>
  <c r="H122" i="4" a="1"/>
  <c r="H114" i="4" a="1"/>
  <c r="H106" i="4" a="1"/>
  <c r="H98" i="4" a="1"/>
  <c r="H90" i="4" a="1"/>
  <c r="H65" i="4" a="1"/>
  <c r="H49" i="4" a="1"/>
  <c r="H36" i="4" a="1"/>
  <c r="H28" i="4" a="1"/>
  <c r="H20" i="4" a="1"/>
  <c r="H12" i="4" a="1"/>
  <c r="H4" i="4" a="1"/>
  <c r="M10" i="4" a="1"/>
  <c r="M18" i="4" a="1"/>
  <c r="M26" i="4" a="1"/>
  <c r="M34" i="4" a="1"/>
  <c r="M85" i="4" a="1"/>
  <c r="M95" i="4" a="1"/>
  <c r="M103" i="4" a="1"/>
  <c r="M111" i="4" a="1"/>
  <c r="M119" i="4" a="1"/>
  <c r="M58" i="4" a="1"/>
  <c r="M87" i="4" a="1"/>
  <c r="M73" i="4" a="1"/>
  <c r="M54" i="4" a="1"/>
  <c r="M80" i="4" a="1"/>
  <c r="M132" i="4" a="1"/>
  <c r="M148" i="4" a="1"/>
  <c r="M149" i="4" a="1"/>
  <c r="M133" i="4" a="1"/>
  <c r="R119" i="4" a="1"/>
  <c r="R128" i="4" a="1"/>
  <c r="R73" i="4" a="1"/>
  <c r="R102" i="4" a="1"/>
  <c r="R117" i="4" a="1"/>
  <c r="R92" i="4" a="1"/>
  <c r="R115" i="4" a="1"/>
  <c r="R130" i="4" a="1"/>
  <c r="R103" i="4" a="1"/>
  <c r="R97" i="4" a="1"/>
  <c r="R56" i="4" a="1"/>
  <c r="R79" i="4" a="1"/>
  <c r="R15" i="4" a="1"/>
  <c r="R38" i="4" a="1"/>
  <c r="R13" i="4" a="1"/>
  <c r="R36" i="4" a="1"/>
  <c r="R67" i="4" a="1"/>
  <c r="R3" i="4" a="1"/>
  <c r="R34" i="4" a="1"/>
  <c r="H145" i="4" a="1"/>
  <c r="H129" i="4" a="1"/>
  <c r="H144" i="4" a="1"/>
  <c r="H128" i="4" a="1"/>
  <c r="H68" i="4" a="1"/>
  <c r="H58" i="4" a="1"/>
  <c r="H42" i="4" a="1"/>
  <c r="H121" i="4" a="1"/>
  <c r="H113" i="4" a="1"/>
  <c r="H105" i="4" a="1"/>
  <c r="H97" i="4" a="1"/>
  <c r="H89" i="4" a="1"/>
  <c r="H63" i="4" a="1"/>
  <c r="H47" i="4" a="1"/>
  <c r="H35" i="4" a="1"/>
  <c r="H27" i="4" a="1"/>
  <c r="H19" i="4" a="1"/>
  <c r="H11" i="4" a="1"/>
  <c r="H3" i="4" a="1"/>
  <c r="M3" i="4" a="1"/>
  <c r="M11" i="4" a="1"/>
  <c r="M19" i="4" a="1"/>
  <c r="M27" i="4" a="1"/>
  <c r="M35" i="4" a="1"/>
  <c r="M88" i="4" a="1"/>
  <c r="M96" i="4" a="1"/>
  <c r="M104" i="4" a="1"/>
  <c r="M112" i="4" a="1"/>
  <c r="M38" i="4" a="1"/>
  <c r="M66" i="4" a="1"/>
  <c r="M52" i="4" a="1"/>
  <c r="M81" i="4" a="1"/>
  <c r="M62" i="4" a="1"/>
  <c r="M59" i="4" a="1"/>
  <c r="M134" i="4" a="1"/>
  <c r="M150" i="4" a="1"/>
  <c r="M151" i="4" a="1"/>
  <c r="M135" i="4" a="1"/>
  <c r="R151" i="4" a="1"/>
  <c r="R120" i="4" a="1"/>
  <c r="R9" i="4" a="1"/>
  <c r="R94" i="4" a="1"/>
  <c r="R109" i="4" a="1"/>
  <c r="R61" i="4" a="1"/>
  <c r="R107" i="4" a="1"/>
  <c r="R122" i="4" a="1"/>
  <c r="R140" i="4" a="1"/>
  <c r="R81" i="4" a="1"/>
  <c r="R48" i="4" a="1"/>
  <c r="R71" i="4" a="1"/>
  <c r="R7" i="4" a="1"/>
  <c r="R30" i="4" a="1"/>
  <c r="R5" i="4" a="1"/>
  <c r="R28" i="4" a="1"/>
  <c r="R59" i="4" a="1"/>
  <c r="R90" i="4" a="1"/>
  <c r="R26" i="4" a="1"/>
  <c r="H143" i="4" a="1"/>
  <c r="H127" i="4" a="1"/>
  <c r="H142" i="4" a="1"/>
  <c r="H126" i="4" a="1"/>
  <c r="H87" i="4" a="1"/>
  <c r="H56" i="4" a="1"/>
  <c r="H40" i="4" a="1"/>
  <c r="H120" i="4" a="1"/>
  <c r="H112" i="4" a="1"/>
  <c r="H104" i="4" a="1"/>
  <c r="H96" i="4" a="1"/>
  <c r="H88" i="4" a="1"/>
  <c r="H61" i="4" a="1"/>
  <c r="H45" i="4" a="1"/>
  <c r="H34" i="4" a="1"/>
  <c r="H26" i="4" a="1"/>
  <c r="H18" i="4" a="1"/>
  <c r="H10" i="4" a="1"/>
  <c r="M4" i="4" a="1"/>
  <c r="M12" i="4" a="1"/>
  <c r="M20" i="4" a="1"/>
  <c r="M28" i="4" a="1"/>
  <c r="M36" i="4" a="1"/>
  <c r="M89" i="4" a="1"/>
  <c r="M97" i="4" a="1"/>
  <c r="M105" i="4" a="1"/>
  <c r="M113" i="4" a="1"/>
  <c r="M40" i="4" a="1"/>
  <c r="M74" i="4" a="1"/>
  <c r="M60" i="4" a="1"/>
  <c r="M39" i="4" a="1"/>
  <c r="M70" i="4" a="1"/>
  <c r="M120" i="4" a="1"/>
  <c r="M136" i="4" a="1"/>
  <c r="M51" i="4" a="1"/>
  <c r="M121" i="4" a="1"/>
  <c r="M137" i="4" a="1"/>
  <c r="R135" i="4" a="1"/>
  <c r="R112" i="4" a="1"/>
  <c r="R150" i="4" a="1"/>
  <c r="R69" i="4" a="1"/>
  <c r="R101" i="4" a="1"/>
  <c r="R148" i="4" a="1"/>
  <c r="R99" i="4" a="1"/>
  <c r="R114" i="4" a="1"/>
  <c r="R145" i="4" a="1"/>
  <c r="R49" i="4" a="1"/>
  <c r="R40" i="4" a="1"/>
  <c r="R63" i="4" a="1"/>
  <c r="R86" i="4" a="1"/>
  <c r="R22" i="4" a="1"/>
  <c r="R84" i="4" a="1"/>
  <c r="R20" i="4" a="1"/>
  <c r="R51" i="4" a="1"/>
  <c r="R82" i="4" a="1"/>
  <c r="R18" i="4" a="1"/>
  <c r="H141" i="4" a="1"/>
  <c r="H125" i="4" a="1"/>
  <c r="H140" i="4" a="1"/>
  <c r="H124" i="4" a="1"/>
  <c r="H79" i="4" a="1"/>
  <c r="H54" i="4" a="1"/>
  <c r="H82" i="4" a="1"/>
  <c r="H119" i="4" a="1"/>
  <c r="H111" i="4" a="1"/>
  <c r="H103" i="4" a="1"/>
  <c r="H95" i="4" a="1"/>
  <c r="H80" i="4" a="1"/>
  <c r="H59" i="4" a="1"/>
  <c r="H43" i="4" a="1"/>
  <c r="H33" i="4" a="1"/>
  <c r="H25" i="4" a="1"/>
  <c r="H17" i="4" a="1"/>
  <c r="H9" i="4" a="1"/>
  <c r="M29" i="4" a="1"/>
  <c r="M68" i="4" a="1"/>
  <c r="R143" i="4" a="1"/>
  <c r="R137" i="4" a="1"/>
  <c r="R43" i="4" a="1"/>
  <c r="H139" i="4" a="1"/>
  <c r="H110" i="4" a="1"/>
  <c r="H16" i="4" a="1"/>
  <c r="H32" i="4" a="1"/>
  <c r="M37" i="4" a="1"/>
  <c r="M41" i="4" a="1"/>
  <c r="R104" i="4" a="1"/>
  <c r="R25" i="4" a="1"/>
  <c r="R74" i="4" a="1"/>
  <c r="H123" i="4" a="1"/>
  <c r="H102" i="4" a="1"/>
  <c r="H8" i="4" a="1"/>
  <c r="R89" i="4" a="1"/>
  <c r="M90" i="4" a="1"/>
  <c r="M78" i="4" a="1"/>
  <c r="R142" i="4" a="1"/>
  <c r="R32" i="4" a="1"/>
  <c r="R10" i="4" a="1"/>
  <c r="H138" i="4" a="1"/>
  <c r="H94" i="4" a="1"/>
  <c r="M42" i="4" a="1"/>
  <c r="M98" i="4" a="1"/>
  <c r="M122" i="4" a="1"/>
  <c r="R95" i="4" a="1"/>
  <c r="R55" i="4" a="1"/>
  <c r="H70" i="4" a="1"/>
  <c r="H72" i="4" a="1"/>
  <c r="M13" i="4" a="1"/>
  <c r="M106" i="4" a="1"/>
  <c r="M138" i="4" a="1"/>
  <c r="R93" i="4" a="1"/>
  <c r="R78" i="4" a="1"/>
  <c r="H71" i="4" a="1"/>
  <c r="H57" i="4" a="1"/>
  <c r="H74" i="4" a="1"/>
  <c r="M5" i="4" a="1"/>
  <c r="M114" i="4" a="1"/>
  <c r="M140" i="4" a="1"/>
  <c r="R124" i="4" a="1"/>
  <c r="R14" i="4" a="1"/>
  <c r="H52" i="4" a="1"/>
  <c r="H41" i="4" a="1"/>
  <c r="M123" i="4" a="1"/>
  <c r="M21" i="4" a="1"/>
  <c r="M82" i="4" a="1"/>
  <c r="M139" i="4" a="1"/>
  <c r="R106" i="4" a="1"/>
  <c r="R12" i="4" a="1"/>
  <c r="H118" i="4" a="1"/>
  <c r="H24" i="4" a="1"/>
  <c r="R76" i="4" a="1"/>
  <c r="K155" i="5" l="1"/>
  <c r="F157" i="5" s="1"/>
  <c r="R154" i="4"/>
  <c r="M154" i="4"/>
  <c r="H154" i="4"/>
  <c r="R10" i="4"/>
  <c r="R18" i="4"/>
  <c r="R26" i="4"/>
  <c r="R34" i="4"/>
  <c r="R42" i="4"/>
  <c r="R50" i="4"/>
  <c r="R58" i="4"/>
  <c r="R66" i="4"/>
  <c r="R74" i="4"/>
  <c r="R82" i="4"/>
  <c r="R90" i="4"/>
  <c r="R3" i="4"/>
  <c r="R11" i="4"/>
  <c r="R19" i="4"/>
  <c r="R27" i="4"/>
  <c r="R35" i="4"/>
  <c r="R43" i="4"/>
  <c r="R51" i="4"/>
  <c r="R59" i="4"/>
  <c r="R67" i="4"/>
  <c r="R75" i="4"/>
  <c r="R83" i="4"/>
  <c r="R91" i="4"/>
  <c r="R4" i="4"/>
  <c r="R12" i="4"/>
  <c r="R20" i="4"/>
  <c r="R28" i="4"/>
  <c r="R36" i="4"/>
  <c r="R44" i="4"/>
  <c r="R52" i="4"/>
  <c r="R60" i="4"/>
  <c r="R68" i="4"/>
  <c r="R76" i="4"/>
  <c r="R84" i="4"/>
  <c r="R5" i="4"/>
  <c r="R13" i="4"/>
  <c r="R21" i="4"/>
  <c r="R29" i="4"/>
  <c r="R37" i="4"/>
  <c r="R6" i="4"/>
  <c r="R14" i="4"/>
  <c r="R22" i="4"/>
  <c r="R30" i="4"/>
  <c r="R38" i="4"/>
  <c r="R46" i="4"/>
  <c r="R54" i="4"/>
  <c r="R62" i="4"/>
  <c r="R70" i="4"/>
  <c r="R78" i="4"/>
  <c r="R86" i="4"/>
  <c r="R7" i="4"/>
  <c r="R15" i="4"/>
  <c r="R23" i="4"/>
  <c r="R31" i="4"/>
  <c r="R39" i="4"/>
  <c r="R47" i="4"/>
  <c r="R55" i="4"/>
  <c r="R63" i="4"/>
  <c r="R71" i="4"/>
  <c r="R79" i="4"/>
  <c r="R87" i="4"/>
  <c r="R8" i="4"/>
  <c r="R16" i="4"/>
  <c r="R24" i="4"/>
  <c r="R32" i="4"/>
  <c r="R40" i="4"/>
  <c r="R48" i="4"/>
  <c r="R56" i="4"/>
  <c r="R64" i="4"/>
  <c r="R72" i="4"/>
  <c r="R80" i="4"/>
  <c r="R88" i="4"/>
  <c r="R25" i="4"/>
  <c r="R49" i="4"/>
  <c r="R81" i="4"/>
  <c r="R97" i="4"/>
  <c r="R105" i="4"/>
  <c r="R113" i="4"/>
  <c r="R121" i="4"/>
  <c r="R129" i="4"/>
  <c r="R137" i="4"/>
  <c r="R145" i="4"/>
  <c r="R140" i="4"/>
  <c r="R103" i="4"/>
  <c r="R33" i="4"/>
  <c r="R53" i="4"/>
  <c r="R85" i="4"/>
  <c r="R98" i="4"/>
  <c r="R106" i="4"/>
  <c r="R114" i="4"/>
  <c r="R122" i="4"/>
  <c r="R130" i="4"/>
  <c r="R138" i="4"/>
  <c r="R146" i="4"/>
  <c r="R41" i="4"/>
  <c r="R57" i="4"/>
  <c r="R89" i="4"/>
  <c r="R99" i="4"/>
  <c r="R107" i="4"/>
  <c r="R115" i="4"/>
  <c r="R123" i="4"/>
  <c r="R131" i="4"/>
  <c r="R139" i="4"/>
  <c r="R147" i="4"/>
  <c r="R124" i="4"/>
  <c r="R148" i="4"/>
  <c r="R61" i="4"/>
  <c r="R92" i="4"/>
  <c r="R100" i="4"/>
  <c r="R108" i="4"/>
  <c r="R116" i="4"/>
  <c r="R65" i="4"/>
  <c r="R93" i="4"/>
  <c r="R101" i="4"/>
  <c r="R109" i="4"/>
  <c r="R117" i="4"/>
  <c r="R125" i="4"/>
  <c r="R133" i="4"/>
  <c r="R141" i="4"/>
  <c r="R149" i="4"/>
  <c r="R95" i="4"/>
  <c r="R69" i="4"/>
  <c r="R94" i="4"/>
  <c r="R102" i="4"/>
  <c r="R110" i="4"/>
  <c r="R118" i="4"/>
  <c r="R126" i="4"/>
  <c r="R134" i="4"/>
  <c r="R142" i="4"/>
  <c r="R150" i="4"/>
  <c r="R9" i="4"/>
  <c r="R73" i="4"/>
  <c r="R17" i="4"/>
  <c r="R45" i="4"/>
  <c r="R77" i="4"/>
  <c r="R96" i="4"/>
  <c r="R104" i="4"/>
  <c r="R112" i="4"/>
  <c r="R120" i="4"/>
  <c r="R128" i="4"/>
  <c r="R136" i="4"/>
  <c r="R144" i="4"/>
  <c r="R132" i="4"/>
  <c r="R127" i="4"/>
  <c r="R143" i="4"/>
  <c r="R135" i="4"/>
  <c r="R151" i="4"/>
  <c r="R119" i="4"/>
  <c r="R111" i="4"/>
  <c r="M83" i="4"/>
  <c r="M67" i="4"/>
  <c r="M139" i="4"/>
  <c r="M137" i="4"/>
  <c r="M135" i="4"/>
  <c r="M133" i="4"/>
  <c r="M131" i="4"/>
  <c r="M129" i="4"/>
  <c r="M127" i="4"/>
  <c r="M125" i="4"/>
  <c r="M123" i="4"/>
  <c r="M121" i="4"/>
  <c r="M151" i="4"/>
  <c r="M149" i="4"/>
  <c r="M146" i="4"/>
  <c r="M144" i="4"/>
  <c r="M142" i="4"/>
  <c r="M141" i="4"/>
  <c r="M140" i="4"/>
  <c r="M51" i="4"/>
  <c r="M150" i="4"/>
  <c r="M148" i="4"/>
  <c r="M147" i="4"/>
  <c r="M145" i="4"/>
  <c r="M143" i="4"/>
  <c r="M75" i="4"/>
  <c r="M138" i="4"/>
  <c r="M136" i="4"/>
  <c r="M134" i="4"/>
  <c r="M132" i="4"/>
  <c r="M130" i="4"/>
  <c r="M128" i="4"/>
  <c r="M126" i="4"/>
  <c r="M124" i="4"/>
  <c r="M122" i="4"/>
  <c r="M120" i="4"/>
  <c r="M59" i="4"/>
  <c r="M80" i="4"/>
  <c r="M72" i="4"/>
  <c r="M64" i="4"/>
  <c r="M56" i="4"/>
  <c r="M86" i="4"/>
  <c r="M78" i="4"/>
  <c r="M70" i="4"/>
  <c r="M62" i="4"/>
  <c r="M54" i="4"/>
  <c r="M49" i="4"/>
  <c r="M47" i="4"/>
  <c r="M45" i="4"/>
  <c r="M43" i="4"/>
  <c r="M41" i="4"/>
  <c r="M39" i="4"/>
  <c r="M81" i="4"/>
  <c r="M73" i="4"/>
  <c r="M65" i="4"/>
  <c r="M57" i="4"/>
  <c r="M84" i="4"/>
  <c r="M76" i="4"/>
  <c r="M68" i="4"/>
  <c r="M60" i="4"/>
  <c r="M52" i="4"/>
  <c r="M87" i="4"/>
  <c r="M79" i="4"/>
  <c r="M71" i="4"/>
  <c r="M63" i="4"/>
  <c r="M55" i="4"/>
  <c r="M82" i="4"/>
  <c r="M74" i="4"/>
  <c r="M66" i="4"/>
  <c r="M58" i="4"/>
  <c r="M50" i="4"/>
  <c r="M48" i="4"/>
  <c r="M46" i="4"/>
  <c r="M44" i="4"/>
  <c r="M42" i="4"/>
  <c r="M40" i="4"/>
  <c r="M38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5" i="4"/>
  <c r="M77" i="4"/>
  <c r="M69" i="4"/>
  <c r="M61" i="4"/>
  <c r="M53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AA30" i="4"/>
  <c r="AA29" i="4"/>
  <c r="AA31" i="4"/>
  <c r="AA3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1" i="4"/>
  <c r="H43" i="4"/>
  <c r="H45" i="4"/>
  <c r="H47" i="4"/>
  <c r="H49" i="4"/>
  <c r="H51" i="4"/>
  <c r="H53" i="4"/>
  <c r="H55" i="4"/>
  <c r="H57" i="4"/>
  <c r="H59" i="4"/>
  <c r="H61" i="4"/>
  <c r="H63" i="4"/>
  <c r="H65" i="4"/>
  <c r="H67" i="4"/>
  <c r="H75" i="4"/>
  <c r="H83" i="4"/>
  <c r="H72" i="4"/>
  <c r="H80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69" i="4"/>
  <c r="H77" i="4"/>
  <c r="H85" i="4"/>
  <c r="H74" i="4"/>
  <c r="H82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71" i="4"/>
  <c r="H79" i="4"/>
  <c r="H87" i="4"/>
  <c r="H68" i="4"/>
  <c r="H76" i="4"/>
  <c r="H84" i="4"/>
  <c r="H73" i="4"/>
  <c r="H81" i="4"/>
  <c r="H70" i="4"/>
  <c r="H124" i="4"/>
  <c r="H126" i="4"/>
  <c r="H128" i="4"/>
  <c r="H130" i="4"/>
  <c r="H132" i="4"/>
  <c r="H134" i="4"/>
  <c r="H136" i="4"/>
  <c r="H138" i="4"/>
  <c r="H140" i="4"/>
  <c r="H142" i="4"/>
  <c r="H144" i="4"/>
  <c r="H146" i="4"/>
  <c r="H149" i="4"/>
  <c r="H86" i="4"/>
  <c r="H150" i="4"/>
  <c r="H123" i="4"/>
  <c r="H125" i="4"/>
  <c r="H127" i="4"/>
  <c r="H129" i="4"/>
  <c r="H131" i="4"/>
  <c r="H133" i="4"/>
  <c r="H135" i="4"/>
  <c r="H137" i="4"/>
  <c r="H139" i="4"/>
  <c r="H141" i="4"/>
  <c r="H143" i="4"/>
  <c r="H145" i="4"/>
  <c r="H147" i="4"/>
  <c r="H78" i="4"/>
  <c r="H148" i="4"/>
  <c r="H151" i="4"/>
  <c r="U154" i="4" a="1"/>
  <c r="S154" i="4" a="1"/>
  <c r="T154" i="4" a="1"/>
  <c r="P154" i="4" a="1"/>
  <c r="N154" i="4" a="1"/>
  <c r="O154" i="4" a="1"/>
  <c r="K154" i="4" a="1"/>
  <c r="I154" i="4" a="1"/>
  <c r="J154" i="4" a="1"/>
  <c r="P83" i="4" a="1"/>
  <c r="P63" i="4" a="1"/>
  <c r="P23" i="4" a="1"/>
  <c r="U7" i="4" a="1"/>
  <c r="U124" i="4" a="1"/>
  <c r="P75" i="4" a="1"/>
  <c r="P107" i="4" a="1"/>
  <c r="U82" i="4" a="1"/>
  <c r="U103" i="4" a="1"/>
  <c r="U121" i="4" a="1"/>
  <c r="P41" i="4" a="1"/>
  <c r="P37" i="4" a="1"/>
  <c r="U21" i="4" a="1"/>
  <c r="U95" i="4" a="1"/>
  <c r="P121" i="4" a="1"/>
  <c r="P40" i="4" a="1"/>
  <c r="P12" i="4" a="1"/>
  <c r="U24" i="4" a="1"/>
  <c r="U77" i="4" a="1"/>
  <c r="P59" i="4" a="1"/>
  <c r="P96" i="4" a="1"/>
  <c r="U91" i="4" a="1"/>
  <c r="U131" i="4" a="1"/>
  <c r="U83" i="4" a="1"/>
  <c r="P87" i="4" a="1"/>
  <c r="P26" i="4" a="1"/>
  <c r="U70" i="4" a="1"/>
  <c r="U96" i="4" a="1"/>
  <c r="P147" i="4" a="1"/>
  <c r="P110" i="4" a="1"/>
  <c r="U58" i="4" a="1"/>
  <c r="U81" i="4" a="1"/>
  <c r="U145" i="4" a="1"/>
  <c r="P127" i="4" a="1"/>
  <c r="P46" i="4" a="1"/>
  <c r="P15" i="4" a="1"/>
  <c r="U79" i="4" a="1"/>
  <c r="U116" i="4" a="1"/>
  <c r="P124" i="4" a="1"/>
  <c r="P99" i="4" a="1"/>
  <c r="U59" i="4" a="1"/>
  <c r="U107" i="4" a="1"/>
  <c r="U98" i="4" a="1"/>
  <c r="P68" i="4" a="1"/>
  <c r="P29" i="4" a="1"/>
  <c r="U46" i="4" a="1"/>
  <c r="U126" i="4" a="1"/>
  <c r="P51" i="4" a="1"/>
  <c r="P113" i="4" a="1"/>
  <c r="P4" i="4" a="1"/>
  <c r="U88" i="4" a="1"/>
  <c r="U135" i="4" a="1"/>
  <c r="P62" i="4" a="1"/>
  <c r="P88" i="4" a="1"/>
  <c r="U60" i="4" a="1"/>
  <c r="U109" i="4" a="1"/>
  <c r="P133" i="4" a="1"/>
  <c r="P58" i="4" a="1"/>
  <c r="P18" i="4" a="1"/>
  <c r="U47" i="4" a="1"/>
  <c r="U148" i="4" a="1"/>
  <c r="P130" i="4" a="1"/>
  <c r="P102" i="4" a="1"/>
  <c r="U27" i="4" a="1"/>
  <c r="U57" i="4" a="1"/>
  <c r="U122" i="4" a="1"/>
  <c r="P142" i="4" a="1"/>
  <c r="P116" i="4" a="1"/>
  <c r="P7" i="4" a="1"/>
  <c r="U64" i="4" a="1"/>
  <c r="U142" i="4" a="1"/>
  <c r="P86" i="4" a="1"/>
  <c r="P91" i="4" a="1"/>
  <c r="U36" i="4" a="1"/>
  <c r="U65" i="4" a="1"/>
  <c r="P139" i="4" a="1"/>
  <c r="P82" i="4" a="1"/>
  <c r="P21" i="4" a="1"/>
  <c r="U23" i="4" a="1"/>
  <c r="U134" i="4" a="1"/>
  <c r="P136" i="4" a="1"/>
  <c r="P105" i="4" a="1"/>
  <c r="U3" i="4" a="1"/>
  <c r="U53" i="4" a="1"/>
  <c r="U146" i="4" a="1"/>
  <c r="P81" i="4" a="1"/>
  <c r="P35" i="4" a="1"/>
  <c r="U37" i="4" a="1"/>
  <c r="U94" i="4" a="1"/>
  <c r="P149" i="4" a="1"/>
  <c r="P119" i="4" a="1"/>
  <c r="P10" i="4" a="1"/>
  <c r="U40" i="4" a="1"/>
  <c r="U119" i="4" a="1"/>
  <c r="P72" i="4" a="1"/>
  <c r="P94" i="4" a="1"/>
  <c r="U12" i="4" a="1"/>
  <c r="U147" i="4" a="1"/>
  <c r="P143" i="4" a="1"/>
  <c r="P108" i="4" a="1"/>
  <c r="U74" i="4" a="1"/>
  <c r="U105" i="4" a="1"/>
  <c r="U129" i="4" a="1"/>
  <c r="P43" i="4" a="1"/>
  <c r="P53" i="4" a="1"/>
  <c r="U13" i="4" a="1"/>
  <c r="U149" i="4" a="1"/>
  <c r="P123" i="4" a="1"/>
  <c r="P42" i="4" a="1"/>
  <c r="P13" i="4" a="1"/>
  <c r="U16" i="4" a="1"/>
  <c r="U140" i="4" a="1"/>
  <c r="P120" i="4" a="1"/>
  <c r="P97" i="4" a="1"/>
  <c r="U75" i="4" a="1"/>
  <c r="U123" i="4" a="1"/>
  <c r="U55" i="4" a="1"/>
  <c r="P52" i="4" a="1"/>
  <c r="P27" i="4" a="1"/>
  <c r="U62" i="4" a="1"/>
  <c r="U45" i="4" a="1"/>
  <c r="P148" i="4" a="1"/>
  <c r="P111" i="4" a="1"/>
  <c r="U50" i="4" a="1"/>
  <c r="U49" i="4" a="1"/>
  <c r="P49" i="4" a="1"/>
  <c r="P77" i="4" a="1"/>
  <c r="U76" i="4" a="1"/>
  <c r="U125" i="4" a="1"/>
  <c r="P126" i="4" a="1"/>
  <c r="P100" i="4" a="1"/>
  <c r="U43" i="4" a="1"/>
  <c r="U99" i="4" a="1"/>
  <c r="U106" i="4" a="1"/>
  <c r="P76" i="4" a="1"/>
  <c r="P30" i="4" a="1"/>
  <c r="U38" i="4" a="1"/>
  <c r="U100" i="4" a="1"/>
  <c r="P140" i="4" a="1"/>
  <c r="P114" i="4" a="1"/>
  <c r="P5" i="4" a="1"/>
  <c r="U80" i="4" a="1"/>
  <c r="U132" i="4" a="1"/>
  <c r="P70" i="4" a="1"/>
  <c r="P89" i="4" a="1"/>
  <c r="U52" i="4" a="1"/>
  <c r="U101" i="4" a="1"/>
  <c r="P135" i="4" a="1"/>
  <c r="P66" i="4" a="1"/>
  <c r="P19" i="4" a="1"/>
  <c r="U39" i="4" a="1"/>
  <c r="U144" i="4" a="1"/>
  <c r="P132" i="4" a="1"/>
  <c r="P103" i="4" a="1"/>
  <c r="U19" i="4" a="1"/>
  <c r="U41" i="4" a="1"/>
  <c r="U130" i="4" a="1"/>
  <c r="P65" i="4" a="1"/>
  <c r="P33" i="4" a="1"/>
  <c r="U14" i="4" a="1"/>
  <c r="U102" i="4" a="1"/>
  <c r="P56" i="4" a="1"/>
  <c r="P92" i="4" a="1"/>
  <c r="U28" i="4" a="1"/>
  <c r="U92" i="4" a="1"/>
  <c r="P67" i="4" a="1"/>
  <c r="P55" i="4" a="1"/>
  <c r="P22" i="4" a="1"/>
  <c r="U15" i="4" a="1"/>
  <c r="U110" i="4" a="1"/>
  <c r="P138" i="4" a="1"/>
  <c r="P106" i="4" a="1"/>
  <c r="U90" i="4" a="1"/>
  <c r="U33" i="4" a="1"/>
  <c r="U113" i="4" a="1"/>
  <c r="P39" i="4" a="1"/>
  <c r="P36" i="4" a="1"/>
  <c r="U29" i="4" a="1"/>
  <c r="U69" i="4" a="1"/>
  <c r="P151" i="4" a="1"/>
  <c r="P38" i="4" a="1"/>
  <c r="P11" i="4" a="1"/>
  <c r="U32" i="4" a="1"/>
  <c r="U104" i="4" a="1"/>
  <c r="P80" i="4" a="1"/>
  <c r="P95" i="4" a="1"/>
  <c r="U4" i="4" a="1"/>
  <c r="U139" i="4" a="1"/>
  <c r="U51" i="4" a="1"/>
  <c r="P79" i="4" a="1"/>
  <c r="P25" i="4" a="1"/>
  <c r="U78" i="4" a="1"/>
  <c r="U143" i="4" a="1"/>
  <c r="P45" i="4" a="1"/>
  <c r="P61" i="4" a="1"/>
  <c r="U5" i="4" a="1"/>
  <c r="U141" i="4" a="1"/>
  <c r="P125" i="4" a="1"/>
  <c r="P44" i="4" a="1"/>
  <c r="P14" i="4" a="1"/>
  <c r="U8" i="4" a="1"/>
  <c r="U150" i="4" a="1"/>
  <c r="P122" i="4" a="1"/>
  <c r="P98" i="4" a="1"/>
  <c r="U67" i="4" a="1"/>
  <c r="U115" i="4" a="1"/>
  <c r="U87" i="4" a="1"/>
  <c r="P60" i="4" a="1"/>
  <c r="P28" i="4" a="1"/>
  <c r="U54" i="4" a="1"/>
  <c r="U9" i="4" a="1"/>
  <c r="P150" i="4" a="1"/>
  <c r="P112" i="4" a="1"/>
  <c r="P3" i="4" a="1"/>
  <c r="U25" i="4" a="1"/>
  <c r="U111" i="4" a="1"/>
  <c r="P54" i="4" a="1"/>
  <c r="P85" i="4" a="1"/>
  <c r="U68" i="4" a="1"/>
  <c r="U117" i="4" a="1"/>
  <c r="P131" i="4" a="1"/>
  <c r="P50" i="4" a="1"/>
  <c r="P17" i="4" a="1"/>
  <c r="U63" i="4" a="1"/>
  <c r="U73" i="4" a="1"/>
  <c r="P84" i="4" a="1"/>
  <c r="P31" i="4" a="1"/>
  <c r="U30" i="4" a="1"/>
  <c r="U151" i="4" a="1"/>
  <c r="P141" i="4" a="1"/>
  <c r="P115" i="4" a="1"/>
  <c r="P6" i="4" a="1"/>
  <c r="U72" i="4" a="1"/>
  <c r="U128" i="4" a="1"/>
  <c r="P78" i="4" a="1"/>
  <c r="P90" i="4" a="1"/>
  <c r="U44" i="4" a="1"/>
  <c r="U93" i="4" a="1"/>
  <c r="P137" i="4" a="1"/>
  <c r="P74" i="4" a="1"/>
  <c r="P20" i="4" a="1"/>
  <c r="U31" i="4" a="1"/>
  <c r="U120" i="4" a="1"/>
  <c r="P134" i="4" a="1"/>
  <c r="P104" i="4" a="1"/>
  <c r="U11" i="4" a="1"/>
  <c r="U85" i="4" a="1"/>
  <c r="U138" i="4" a="1"/>
  <c r="P73" i="4" a="1"/>
  <c r="P34" i="4" a="1"/>
  <c r="U6" i="4" a="1"/>
  <c r="U108" i="4" a="1"/>
  <c r="P146" i="4" a="1"/>
  <c r="P118" i="4" a="1"/>
  <c r="P9" i="4" a="1"/>
  <c r="U48" i="4" a="1"/>
  <c r="U127" i="4" a="1"/>
  <c r="T50" i="4" a="1"/>
  <c r="S50" i="4" a="1"/>
  <c r="T19" i="4" a="1"/>
  <c r="S19" i="4" a="1"/>
  <c r="T83" i="4" a="1"/>
  <c r="S83" i="4" a="1"/>
  <c r="T52" i="4" a="1"/>
  <c r="S52" i="4" a="1"/>
  <c r="S29" i="4" a="1"/>
  <c r="T29" i="4" a="1"/>
  <c r="T54" i="4" a="1"/>
  <c r="S54" i="4" a="1"/>
  <c r="S31" i="4" a="1"/>
  <c r="T31" i="4" a="1"/>
  <c r="S8" i="4" a="1"/>
  <c r="T8" i="4" a="1"/>
  <c r="T72" i="4" a="1"/>
  <c r="S72" i="4" a="1"/>
  <c r="S113" i="4" a="1"/>
  <c r="T113" i="4" a="1"/>
  <c r="S53" i="4" a="1"/>
  <c r="T53" i="4" a="1"/>
  <c r="T146" i="4" a="1"/>
  <c r="S146" i="4" a="1"/>
  <c r="S131" i="4" a="1"/>
  <c r="T131" i="4" a="1"/>
  <c r="T108" i="4" a="1"/>
  <c r="S108" i="4" a="1"/>
  <c r="U133" i="4" a="1"/>
  <c r="U118" i="4" a="1"/>
  <c r="N129" i="4" a="1"/>
  <c r="P129" i="4" a="1"/>
  <c r="O129" i="4" a="1"/>
  <c r="N144" i="4" a="1"/>
  <c r="P144" i="4" a="1"/>
  <c r="O144" i="4" a="1"/>
  <c r="N145" i="4" a="1"/>
  <c r="P145" i="4" a="1"/>
  <c r="O145" i="4" a="1"/>
  <c r="N128" i="4" a="1"/>
  <c r="P128" i="4" a="1"/>
  <c r="O128" i="4" a="1"/>
  <c r="N64" i="4" a="1"/>
  <c r="P64" i="4" a="1"/>
  <c r="O64" i="4" a="1"/>
  <c r="N47" i="4" a="1"/>
  <c r="O47" i="4" a="1"/>
  <c r="P47" i="4" a="1"/>
  <c r="P57" i="4" a="1"/>
  <c r="O57" i="4" a="1"/>
  <c r="N57" i="4" a="1"/>
  <c r="P71" i="4" a="1"/>
  <c r="O71" i="4" a="1"/>
  <c r="N71" i="4" a="1"/>
  <c r="P48" i="4" a="1"/>
  <c r="O48" i="4" a="1"/>
  <c r="N48" i="4" a="1"/>
  <c r="P117" i="4" a="1"/>
  <c r="O117" i="4" a="1"/>
  <c r="N117" i="4" a="1"/>
  <c r="P109" i="4" a="1"/>
  <c r="O109" i="4" a="1"/>
  <c r="N109" i="4" a="1"/>
  <c r="P101" i="4" a="1"/>
  <c r="O101" i="4" a="1"/>
  <c r="N101" i="4" a="1"/>
  <c r="P93" i="4" a="1"/>
  <c r="O93" i="4" a="1"/>
  <c r="N93" i="4" a="1"/>
  <c r="P69" i="4" a="1"/>
  <c r="O69" i="4" a="1"/>
  <c r="N69" i="4" a="1"/>
  <c r="P32" i="4" a="1"/>
  <c r="P24" i="4" a="1"/>
  <c r="P16" i="4" a="1"/>
  <c r="P8" i="4" a="1"/>
  <c r="T18" i="4" a="1"/>
  <c r="U34" i="4" a="1"/>
  <c r="I19" i="4" a="1"/>
  <c r="K35" i="4" a="1"/>
  <c r="J89" i="4" a="1"/>
  <c r="I113" i="4" a="1"/>
  <c r="K42" i="4" a="1"/>
  <c r="J128" i="4" a="1"/>
  <c r="J145" i="4" a="1"/>
  <c r="K12" i="4" a="1"/>
  <c r="J36" i="4" a="1"/>
  <c r="I90" i="4" a="1"/>
  <c r="K106" i="4" a="1"/>
  <c r="J44" i="4" a="1"/>
  <c r="I130" i="4" a="1"/>
  <c r="K131" i="4" a="1"/>
  <c r="J13" i="4" a="1"/>
  <c r="I37" i="4" a="1"/>
  <c r="K67" i="4" a="1"/>
  <c r="J107" i="4" a="1"/>
  <c r="I46" i="4" a="1"/>
  <c r="J84" i="4" a="1"/>
  <c r="J133" i="4" a="1"/>
  <c r="I14" i="4" a="1"/>
  <c r="K30" i="4" a="1"/>
  <c r="J75" i="4" a="1"/>
  <c r="I108" i="4" a="1"/>
  <c r="K77" i="4" a="1"/>
  <c r="K73" i="4" a="1"/>
  <c r="J135" i="4" a="1"/>
  <c r="K7" i="4" a="1"/>
  <c r="J31" i="4" a="1"/>
  <c r="I83" i="4" a="1"/>
  <c r="K101" i="4" a="1"/>
  <c r="J85" i="4" a="1"/>
  <c r="J81" i="4" a="1"/>
  <c r="J150" i="4" a="1"/>
  <c r="J8" i="4" a="1"/>
  <c r="I32" i="4" a="1"/>
  <c r="K57" i="4" a="1"/>
  <c r="J102" i="4" a="1"/>
  <c r="I74" i="4" a="1"/>
  <c r="K71" i="4" a="1"/>
  <c r="I123" i="4" a="1"/>
  <c r="I9" i="4" a="1"/>
  <c r="K25" i="4" a="1"/>
  <c r="J59" i="4" a="1"/>
  <c r="I103" i="4" a="1"/>
  <c r="K119" i="4" a="1"/>
  <c r="J79" i="4" a="1"/>
  <c r="J125" i="4" a="1"/>
  <c r="K10" i="4" a="1"/>
  <c r="J34" i="4" a="1"/>
  <c r="I88" i="4" a="1"/>
  <c r="K104" i="4" a="1"/>
  <c r="J40" i="4" a="1"/>
  <c r="J126" i="4" a="1"/>
  <c r="K127" i="4" a="1"/>
  <c r="N31" i="4" a="1"/>
  <c r="N27" i="4" a="1"/>
  <c r="N23" i="4" a="1"/>
  <c r="N19" i="4" a="1"/>
  <c r="N15" i="4" a="1"/>
  <c r="N11" i="4" a="1"/>
  <c r="N7" i="4" a="1"/>
  <c r="N3" i="4" a="1"/>
  <c r="T58" i="4" a="1"/>
  <c r="S58" i="4" a="1"/>
  <c r="T27" i="4" a="1"/>
  <c r="S27" i="4" a="1"/>
  <c r="T91" i="4" a="1"/>
  <c r="S91" i="4" a="1"/>
  <c r="T60" i="4" a="1"/>
  <c r="S60" i="4" a="1"/>
  <c r="T37" i="4" a="1"/>
  <c r="S37" i="4" a="1"/>
  <c r="T62" i="4" a="1"/>
  <c r="S62" i="4" a="1"/>
  <c r="T39" i="4" a="1"/>
  <c r="S39" i="4" a="1"/>
  <c r="T16" i="4" a="1"/>
  <c r="S16" i="4" a="1"/>
  <c r="T80" i="4" a="1"/>
  <c r="S80" i="4" a="1"/>
  <c r="T121" i="4" a="1"/>
  <c r="S121" i="4" a="1"/>
  <c r="T85" i="4" a="1"/>
  <c r="S85" i="4" a="1"/>
  <c r="T41" i="4" a="1"/>
  <c r="S41" i="4" a="1"/>
  <c r="T139" i="4" a="1"/>
  <c r="S139" i="4" a="1"/>
  <c r="T116" i="4" a="1"/>
  <c r="S116" i="4" a="1"/>
  <c r="N83" i="4" a="1"/>
  <c r="O83" i="4" a="1"/>
  <c r="N127" i="4" a="1"/>
  <c r="O127" i="4" a="1"/>
  <c r="O142" i="4" a="1"/>
  <c r="N142" i="4" a="1"/>
  <c r="N143" i="4" a="1"/>
  <c r="O143" i="4" a="1"/>
  <c r="N126" i="4" a="1"/>
  <c r="O126" i="4" a="1"/>
  <c r="N56" i="4" a="1"/>
  <c r="O56" i="4" a="1"/>
  <c r="N45" i="4" a="1"/>
  <c r="O45" i="4" a="1"/>
  <c r="N84" i="4" a="1"/>
  <c r="O84" i="4" a="1"/>
  <c r="N63" i="4" a="1"/>
  <c r="O63" i="4" a="1"/>
  <c r="O46" i="4" a="1"/>
  <c r="N46" i="4" a="1"/>
  <c r="O116" i="4" a="1"/>
  <c r="N116" i="4" a="1"/>
  <c r="O108" i="4" a="1"/>
  <c r="N108" i="4" a="1"/>
  <c r="O100" i="4" a="1"/>
  <c r="N100" i="4" a="1"/>
  <c r="O92" i="4" a="1"/>
  <c r="N92" i="4" a="1"/>
  <c r="O61" i="4" a="1"/>
  <c r="N61" i="4" a="1"/>
  <c r="T42" i="4" a="1"/>
  <c r="S18" i="4" a="1"/>
  <c r="J19" i="4" a="1"/>
  <c r="I47" i="4" a="1"/>
  <c r="K89" i="4" a="1"/>
  <c r="J113" i="4" a="1"/>
  <c r="I58" i="4" a="1"/>
  <c r="K128" i="4" a="1"/>
  <c r="I145" i="4" a="1"/>
  <c r="I20" i="4" a="1"/>
  <c r="K36" i="4" a="1"/>
  <c r="J90" i="4" a="1"/>
  <c r="I114" i="4" a="1"/>
  <c r="K44" i="4" a="1"/>
  <c r="K130" i="4" a="1"/>
  <c r="K147" i="4" a="1"/>
  <c r="K13" i="4" a="1"/>
  <c r="J37" i="4" a="1"/>
  <c r="I91" i="4" a="1"/>
  <c r="K107" i="4" a="1"/>
  <c r="J46" i="4" a="1"/>
  <c r="J132" i="4" a="1"/>
  <c r="K133" i="4" a="1"/>
  <c r="J14" i="4" a="1"/>
  <c r="I38" i="4" a="1"/>
  <c r="K75" i="4" a="1"/>
  <c r="J108" i="4" a="1"/>
  <c r="I48" i="4" a="1"/>
  <c r="I73" i="4" a="1"/>
  <c r="I135" i="4" a="1"/>
  <c r="I15" i="4" a="1"/>
  <c r="K31" i="4" a="1"/>
  <c r="J83" i="4" a="1"/>
  <c r="I109" i="4" a="1"/>
  <c r="K85" i="4" a="1"/>
  <c r="K81" i="4" a="1"/>
  <c r="J137" i="4" a="1"/>
  <c r="K8" i="4" a="1"/>
  <c r="J32" i="4" a="1"/>
  <c r="I72" i="4" a="1"/>
  <c r="K102" i="4" a="1"/>
  <c r="J74" i="4" a="1"/>
  <c r="I70" i="4" a="1"/>
  <c r="K123" i="4" a="1"/>
  <c r="J9" i="4" a="1"/>
  <c r="I33" i="4" a="1"/>
  <c r="K59" i="4" a="1"/>
  <c r="J103" i="4" a="1"/>
  <c r="I82" i="4" a="1"/>
  <c r="K79" i="4" a="1"/>
  <c r="I125" i="4" a="1"/>
  <c r="I18" i="4" a="1"/>
  <c r="K34" i="4" a="1"/>
  <c r="J88" i="4" a="1"/>
  <c r="I112" i="4" a="1"/>
  <c r="K40" i="4" a="1"/>
  <c r="K126" i="4" a="1"/>
  <c r="I143" i="4" a="1"/>
  <c r="O31" i="4" a="1"/>
  <c r="O27" i="4" a="1"/>
  <c r="O23" i="4" a="1"/>
  <c r="O19" i="4" a="1"/>
  <c r="O15" i="4" a="1"/>
  <c r="O11" i="4" a="1"/>
  <c r="O7" i="4" a="1"/>
  <c r="T66" i="4" a="1"/>
  <c r="U66" i="4" a="1"/>
  <c r="S66" i="4" a="1"/>
  <c r="U35" i="4" a="1"/>
  <c r="T35" i="4" a="1"/>
  <c r="S35" i="4" a="1"/>
  <c r="T4" i="4" a="1"/>
  <c r="S4" i="4" a="1"/>
  <c r="T68" i="4" a="1"/>
  <c r="S68" i="4" a="1"/>
  <c r="T6" i="4" a="1"/>
  <c r="S6" i="4" a="1"/>
  <c r="T70" i="4" a="1"/>
  <c r="S70" i="4" a="1"/>
  <c r="T47" i="4" a="1"/>
  <c r="S47" i="4" a="1"/>
  <c r="T24" i="4" a="1"/>
  <c r="S24" i="4" a="1"/>
  <c r="S88" i="4" a="1"/>
  <c r="T88" i="4" a="1"/>
  <c r="S129" i="4" a="1"/>
  <c r="T129" i="4" a="1"/>
  <c r="T98" i="4" a="1"/>
  <c r="S98" i="4" a="1"/>
  <c r="T57" i="4" a="1"/>
  <c r="S57" i="4" a="1"/>
  <c r="T147" i="4" a="1"/>
  <c r="S147" i="4" a="1"/>
  <c r="S65" i="4" a="1"/>
  <c r="T65" i="4" a="1"/>
  <c r="O67" i="4" a="1"/>
  <c r="N67" i="4" a="1"/>
  <c r="O125" i="4" a="1"/>
  <c r="N125" i="4" a="1"/>
  <c r="O141" i="4" a="1"/>
  <c r="N141" i="4" a="1"/>
  <c r="O75" i="4" a="1"/>
  <c r="N75" i="4" a="1"/>
  <c r="O124" i="4" a="1"/>
  <c r="N124" i="4" a="1"/>
  <c r="O86" i="4" a="1"/>
  <c r="N86" i="4" a="1"/>
  <c r="O43" i="4" a="1"/>
  <c r="N43" i="4" a="1"/>
  <c r="N76" i="4" a="1"/>
  <c r="O76" i="4" a="1"/>
  <c r="N55" i="4" a="1"/>
  <c r="O55" i="4" a="1"/>
  <c r="N44" i="4" a="1"/>
  <c r="O44" i="4" a="1"/>
  <c r="N115" i="4" a="1"/>
  <c r="O115" i="4" a="1"/>
  <c r="N107" i="4" a="1"/>
  <c r="O107" i="4" a="1"/>
  <c r="N99" i="4" a="1"/>
  <c r="O99" i="4" a="1"/>
  <c r="N91" i="4" a="1"/>
  <c r="O91" i="4" a="1"/>
  <c r="N53" i="4" a="1"/>
  <c r="O53" i="4" a="1"/>
  <c r="S42" i="4" a="1"/>
  <c r="U18" i="4" a="1"/>
  <c r="I3" i="4" a="1"/>
  <c r="K19" i="4" a="1"/>
  <c r="J47" i="4" a="1"/>
  <c r="I97" i="4" a="1"/>
  <c r="K113" i="4" a="1"/>
  <c r="J58" i="4" a="1"/>
  <c r="I144" i="4" a="1"/>
  <c r="K145" i="4" a="1"/>
  <c r="J20" i="4" a="1"/>
  <c r="I49" i="4" a="1"/>
  <c r="K90" i="4" a="1"/>
  <c r="J114" i="4" a="1"/>
  <c r="I60" i="4" a="1"/>
  <c r="J130" i="4" a="1"/>
  <c r="J147" i="4" a="1"/>
  <c r="I21" i="4" a="1"/>
  <c r="K37" i="4" a="1"/>
  <c r="J91" i="4" a="1"/>
  <c r="I115" i="4" a="1"/>
  <c r="K46" i="4" a="1"/>
  <c r="K132" i="4" a="1"/>
  <c r="I78" i="4" a="1"/>
  <c r="K14" i="4" a="1"/>
  <c r="J38" i="4" a="1"/>
  <c r="I92" i="4" a="1"/>
  <c r="K108" i="4" a="1"/>
  <c r="J48" i="4" a="1"/>
  <c r="I134" i="4" a="1"/>
  <c r="K135" i="4" a="1"/>
  <c r="J15" i="4" a="1"/>
  <c r="I39" i="4" a="1"/>
  <c r="K83" i="4" a="1"/>
  <c r="J109" i="4" a="1"/>
  <c r="I50" i="4" a="1"/>
  <c r="I81" i="4" a="1"/>
  <c r="I137" i="4" a="1"/>
  <c r="I16" i="4" a="1"/>
  <c r="K32" i="4" a="1"/>
  <c r="J72" i="4" a="1"/>
  <c r="I110" i="4" a="1"/>
  <c r="K74" i="4" a="1"/>
  <c r="J70" i="4" a="1"/>
  <c r="I139" i="4" a="1"/>
  <c r="K9" i="4" a="1"/>
  <c r="J33" i="4" a="1"/>
  <c r="I80" i="4" a="1"/>
  <c r="K103" i="4" a="1"/>
  <c r="J82" i="4" a="1"/>
  <c r="I124" i="4" a="1"/>
  <c r="K125" i="4" a="1"/>
  <c r="J18" i="4" a="1"/>
  <c r="I45" i="4" a="1"/>
  <c r="K88" i="4" a="1"/>
  <c r="J112" i="4" a="1"/>
  <c r="I56" i="4" a="1"/>
  <c r="I126" i="4" a="1"/>
  <c r="J143" i="4" a="1"/>
  <c r="N30" i="4" a="1"/>
  <c r="N26" i="4" a="1"/>
  <c r="N22" i="4" a="1"/>
  <c r="N18" i="4" a="1"/>
  <c r="N14" i="4" a="1"/>
  <c r="N10" i="4" a="1"/>
  <c r="N6" i="4" a="1"/>
  <c r="T74" i="4" a="1"/>
  <c r="S74" i="4" a="1"/>
  <c r="T43" i="4" a="1"/>
  <c r="S43" i="4" a="1"/>
  <c r="T12" i="4" a="1"/>
  <c r="S12" i="4" a="1"/>
  <c r="T76" i="4" a="1"/>
  <c r="S76" i="4" a="1"/>
  <c r="T14" i="4" a="1"/>
  <c r="S14" i="4" a="1"/>
  <c r="T78" i="4" a="1"/>
  <c r="S78" i="4" a="1"/>
  <c r="T55" i="4" a="1"/>
  <c r="S55" i="4" a="1"/>
  <c r="T32" i="4" a="1"/>
  <c r="S32" i="4" a="1"/>
  <c r="T25" i="4" a="1"/>
  <c r="S25" i="4" a="1"/>
  <c r="S137" i="4" a="1"/>
  <c r="T137" i="4" a="1"/>
  <c r="U137" i="4" a="1"/>
  <c r="T106" i="4" a="1"/>
  <c r="S106" i="4" a="1"/>
  <c r="T89" i="4" a="1"/>
  <c r="S89" i="4" a="1"/>
  <c r="U89" i="4" a="1"/>
  <c r="T124" i="4" a="1"/>
  <c r="S124" i="4" a="1"/>
  <c r="T93" i="4" a="1"/>
  <c r="S93" i="4" a="1"/>
  <c r="O139" i="4" a="1"/>
  <c r="N139" i="4" a="1"/>
  <c r="O123" i="4" a="1"/>
  <c r="N123" i="4" a="1"/>
  <c r="O140" i="4" a="1"/>
  <c r="N140" i="4" a="1"/>
  <c r="O138" i="4" a="1"/>
  <c r="N138" i="4" a="1"/>
  <c r="O122" i="4" a="1"/>
  <c r="N122" i="4" a="1"/>
  <c r="O78" i="4" a="1"/>
  <c r="N78" i="4" a="1"/>
  <c r="O41" i="4" a="1"/>
  <c r="N41" i="4" a="1"/>
  <c r="N68" i="4" a="1"/>
  <c r="O68" i="4" a="1"/>
  <c r="N82" i="4" a="1"/>
  <c r="O82" i="4" a="1"/>
  <c r="O42" i="4" a="1"/>
  <c r="N42" i="4" a="1"/>
  <c r="O114" i="4" a="1"/>
  <c r="N114" i="4" a="1"/>
  <c r="O106" i="4" a="1"/>
  <c r="N106" i="4" a="1"/>
  <c r="O98" i="4" a="1"/>
  <c r="N98" i="4" a="1"/>
  <c r="O90" i="4" a="1"/>
  <c r="N90" i="4" a="1"/>
  <c r="O37" i="4" a="1"/>
  <c r="N37" i="4" a="1"/>
  <c r="U42" i="4" a="1"/>
  <c r="T26" i="4" a="1"/>
  <c r="J3" i="4" a="1"/>
  <c r="I27" i="4" a="1"/>
  <c r="K47" i="4" a="1"/>
  <c r="J97" i="4" a="1"/>
  <c r="J121" i="4" a="1"/>
  <c r="K58" i="4" a="1"/>
  <c r="J144" i="4" a="1"/>
  <c r="I4" i="4" a="1"/>
  <c r="K20" i="4" a="1"/>
  <c r="J49" i="4" a="1"/>
  <c r="I98" i="4" a="1"/>
  <c r="K114" i="4" a="1"/>
  <c r="J60" i="4" a="1"/>
  <c r="K146" i="4" a="1"/>
  <c r="I147" i="4" a="1"/>
  <c r="J21" i="4" a="1"/>
  <c r="I51" i="4" a="1"/>
  <c r="K91" i="4" a="1"/>
  <c r="J115" i="4" a="1"/>
  <c r="I62" i="4" a="1"/>
  <c r="I132" i="4" a="1"/>
  <c r="J78" i="4" a="1"/>
  <c r="I22" i="4" a="1"/>
  <c r="K38" i="4" a="1"/>
  <c r="J92" i="4" a="1"/>
  <c r="I116" i="4" a="1"/>
  <c r="K48" i="4" a="1"/>
  <c r="J134" i="4" a="1"/>
  <c r="K148" i="4" a="1"/>
  <c r="K15" i="4" a="1"/>
  <c r="J39" i="4" a="1"/>
  <c r="I93" i="4" a="1"/>
  <c r="K109" i="4" a="1"/>
  <c r="J50" i="4" a="1"/>
  <c r="J136" i="4" a="1"/>
  <c r="K137" i="4" a="1"/>
  <c r="J16" i="4" a="1"/>
  <c r="I41" i="4" a="1"/>
  <c r="K72" i="4" a="1"/>
  <c r="J110" i="4" a="1"/>
  <c r="I52" i="4" a="1"/>
  <c r="K70" i="4" a="1"/>
  <c r="J139" i="4" a="1"/>
  <c r="I17" i="4" a="1"/>
  <c r="K33" i="4" a="1"/>
  <c r="J80" i="4" a="1"/>
  <c r="I111" i="4" a="1"/>
  <c r="K82" i="4" a="1"/>
  <c r="J124" i="4" a="1"/>
  <c r="J141" i="4" a="1"/>
  <c r="K18" i="4" a="1"/>
  <c r="J45" i="4" a="1"/>
  <c r="I96" i="4" a="1"/>
  <c r="K112" i="4" a="1"/>
  <c r="J56" i="4" a="1"/>
  <c r="K142" i="4" a="1"/>
  <c r="K143" i="4" a="1"/>
  <c r="O30" i="4" a="1"/>
  <c r="O26" i="4" a="1"/>
  <c r="O22" i="4" a="1"/>
  <c r="O18" i="4" a="1"/>
  <c r="O14" i="4" a="1"/>
  <c r="O10" i="4" a="1"/>
  <c r="O6" i="4" a="1"/>
  <c r="T82" i="4" a="1"/>
  <c r="S82" i="4" a="1"/>
  <c r="T51" i="4" a="1"/>
  <c r="S51" i="4" a="1"/>
  <c r="U20" i="4" a="1"/>
  <c r="T20" i="4" a="1"/>
  <c r="S20" i="4" a="1"/>
  <c r="T84" i="4" a="1"/>
  <c r="S84" i="4" a="1"/>
  <c r="U84" i="4" a="1"/>
  <c r="S22" i="4" a="1"/>
  <c r="T22" i="4" a="1"/>
  <c r="U22" i="4" a="1"/>
  <c r="T86" i="4" a="1"/>
  <c r="S86" i="4" a="1"/>
  <c r="U86" i="4" a="1"/>
  <c r="T63" i="4" a="1"/>
  <c r="S63" i="4" a="1"/>
  <c r="T40" i="4" a="1"/>
  <c r="S40" i="4" a="1"/>
  <c r="T49" i="4" a="1"/>
  <c r="S49" i="4" a="1"/>
  <c r="T145" i="4" a="1"/>
  <c r="S145" i="4" a="1"/>
  <c r="U114" i="4" a="1"/>
  <c r="S114" i="4" a="1"/>
  <c r="T114" i="4" a="1"/>
  <c r="T99" i="4" a="1"/>
  <c r="S99" i="4" a="1"/>
  <c r="S148" i="4" a="1"/>
  <c r="T148" i="4" a="1"/>
  <c r="S101" i="4" a="1"/>
  <c r="T101" i="4" a="1"/>
  <c r="U112" i="4" a="1"/>
  <c r="N137" i="4" a="1"/>
  <c r="O137" i="4" a="1"/>
  <c r="N121" i="4" a="1"/>
  <c r="O121" i="4" a="1"/>
  <c r="N51" i="4" a="1"/>
  <c r="O51" i="4" a="1"/>
  <c r="N136" i="4" a="1"/>
  <c r="O136" i="4" a="1"/>
  <c r="N120" i="4" a="1"/>
  <c r="O120" i="4" a="1"/>
  <c r="N70" i="4" a="1"/>
  <c r="O70" i="4" a="1"/>
  <c r="N39" i="4" a="1"/>
  <c r="O39" i="4" a="1"/>
  <c r="O60" i="4" a="1"/>
  <c r="N60" i="4" a="1"/>
  <c r="O74" i="4" a="1"/>
  <c r="N74" i="4" a="1"/>
  <c r="O40" i="4" a="1"/>
  <c r="N40" i="4" a="1"/>
  <c r="O113" i="4" a="1"/>
  <c r="N113" i="4" a="1"/>
  <c r="O105" i="4" a="1"/>
  <c r="N105" i="4" a="1"/>
  <c r="O97" i="4" a="1"/>
  <c r="N97" i="4" a="1"/>
  <c r="O89" i="4" a="1"/>
  <c r="N89" i="4" a="1"/>
  <c r="O36" i="4" a="1"/>
  <c r="N36" i="4" a="1"/>
  <c r="T10" i="4" a="1"/>
  <c r="S26" i="4" a="1"/>
  <c r="K3" i="4" a="1"/>
  <c r="J27" i="4" a="1"/>
  <c r="I63" i="4" a="1"/>
  <c r="K97" i="4" a="1"/>
  <c r="K121" i="4" a="1"/>
  <c r="K68" i="4" a="1"/>
  <c r="K144" i="4" a="1"/>
  <c r="J4" i="4" a="1"/>
  <c r="I28" i="4" a="1"/>
  <c r="K49" i="4" a="1"/>
  <c r="J98" i="4" a="1"/>
  <c r="J122" i="4" a="1"/>
  <c r="K60" i="4" a="1"/>
  <c r="J146" i="4" a="1"/>
  <c r="I5" i="4" a="1"/>
  <c r="K21" i="4" a="1"/>
  <c r="J51" i="4" a="1"/>
  <c r="I99" i="4" a="1"/>
  <c r="K115" i="4" a="1"/>
  <c r="J62" i="4" a="1"/>
  <c r="K149" i="4" a="1"/>
  <c r="K78" i="4" a="1"/>
  <c r="J22" i="4" a="1"/>
  <c r="I53" i="4" a="1"/>
  <c r="K92" i="4" a="1"/>
  <c r="J116" i="4" a="1"/>
  <c r="I64" i="4" a="1"/>
  <c r="K134" i="4" a="1"/>
  <c r="I148" i="4" a="1"/>
  <c r="I23" i="4" a="1"/>
  <c r="K39" i="4" a="1"/>
  <c r="J93" i="4" a="1"/>
  <c r="I117" i="4" a="1"/>
  <c r="K50" i="4" a="1"/>
  <c r="K136" i="4" a="1"/>
  <c r="K151" i="4" a="1"/>
  <c r="K16" i="4" a="1"/>
  <c r="J41" i="4" a="1"/>
  <c r="I94" i="4" a="1"/>
  <c r="K110" i="4" a="1"/>
  <c r="J52" i="4" a="1"/>
  <c r="J138" i="4" a="1"/>
  <c r="K139" i="4" a="1"/>
  <c r="J17" i="4" a="1"/>
  <c r="I43" i="4" a="1"/>
  <c r="K80" i="4" a="1"/>
  <c r="J111" i="4" a="1"/>
  <c r="I54" i="4" a="1"/>
  <c r="K124" i="4" a="1"/>
  <c r="I141" i="4" a="1"/>
  <c r="I26" i="4" a="1"/>
  <c r="K45" i="4" a="1"/>
  <c r="J96" i="4" a="1"/>
  <c r="J120" i="4" a="1"/>
  <c r="K56" i="4" a="1"/>
  <c r="J142" i="4" a="1"/>
  <c r="N29" i="4" a="1"/>
  <c r="N25" i="4" a="1"/>
  <c r="N21" i="4" a="1"/>
  <c r="N17" i="4" a="1"/>
  <c r="N13" i="4" a="1"/>
  <c r="N9" i="4" a="1"/>
  <c r="N5" i="4" a="1"/>
  <c r="T90" i="4" a="1"/>
  <c r="S90" i="4" a="1"/>
  <c r="T59" i="4" a="1"/>
  <c r="S59" i="4" a="1"/>
  <c r="T28" i="4" a="1"/>
  <c r="S28" i="4" a="1"/>
  <c r="T5" i="4" a="1"/>
  <c r="S5" i="4" a="1"/>
  <c r="T30" i="4" a="1"/>
  <c r="S30" i="4" a="1"/>
  <c r="T7" i="4" a="1"/>
  <c r="S7" i="4" a="1"/>
  <c r="T71" i="4" a="1"/>
  <c r="S71" i="4" a="1"/>
  <c r="U71" i="4" a="1"/>
  <c r="T48" i="4" a="1"/>
  <c r="S48" i="4" a="1"/>
  <c r="T81" i="4" a="1"/>
  <c r="S81" i="4" a="1"/>
  <c r="T140" i="4" a="1"/>
  <c r="S140" i="4" a="1"/>
  <c r="T122" i="4" a="1"/>
  <c r="S122" i="4" a="1"/>
  <c r="T107" i="4" a="1"/>
  <c r="S107" i="4" a="1"/>
  <c r="U61" i="4" a="1"/>
  <c r="T61" i="4" a="1"/>
  <c r="S61" i="4" a="1"/>
  <c r="T109" i="4" a="1"/>
  <c r="S109" i="4" a="1"/>
  <c r="O135" i="4" a="1"/>
  <c r="N135" i="4" a="1"/>
  <c r="N151" i="4" a="1"/>
  <c r="O151" i="4" a="1"/>
  <c r="N150" i="4" a="1"/>
  <c r="O150" i="4" a="1"/>
  <c r="O134" i="4" a="1"/>
  <c r="N134" i="4" a="1"/>
  <c r="O59" i="4" a="1"/>
  <c r="N59" i="4" a="1"/>
  <c r="N62" i="4" a="1"/>
  <c r="O62" i="4" a="1"/>
  <c r="O81" i="4" a="1"/>
  <c r="N81" i="4" a="1"/>
  <c r="N52" i="4" a="1"/>
  <c r="O52" i="4" a="1"/>
  <c r="N66" i="4" a="1"/>
  <c r="O66" i="4" a="1"/>
  <c r="O38" i="4" a="1"/>
  <c r="N38" i="4" a="1"/>
  <c r="O112" i="4" a="1"/>
  <c r="N112" i="4" a="1"/>
  <c r="O104" i="4" a="1"/>
  <c r="N104" i="4" a="1"/>
  <c r="O96" i="4" a="1"/>
  <c r="N96" i="4" a="1"/>
  <c r="O88" i="4" a="1"/>
  <c r="N88" i="4" a="1"/>
  <c r="O35" i="4" a="1"/>
  <c r="N35" i="4" a="1"/>
  <c r="S10" i="4" a="1"/>
  <c r="U26" i="4" a="1"/>
  <c r="I11" i="4" a="1"/>
  <c r="K27" i="4" a="1"/>
  <c r="J63" i="4" a="1"/>
  <c r="I105" i="4" a="1"/>
  <c r="I121" i="4" a="1"/>
  <c r="I68" i="4" a="1"/>
  <c r="J129" i="4" a="1"/>
  <c r="K4" i="4" a="1"/>
  <c r="J28" i="4" a="1"/>
  <c r="I65" i="4" a="1"/>
  <c r="K98" i="4" a="1"/>
  <c r="K122" i="4" a="1"/>
  <c r="K76" i="4" a="1"/>
  <c r="I146" i="4" a="1"/>
  <c r="J5" i="4" a="1"/>
  <c r="I29" i="4" a="1"/>
  <c r="K51" i="4" a="1"/>
  <c r="J99" i="4" a="1"/>
  <c r="I69" i="4" a="1"/>
  <c r="K62" i="4" a="1"/>
  <c r="J149" i="4" a="1"/>
  <c r="I6" i="4" a="1"/>
  <c r="K22" i="4" a="1"/>
  <c r="J53" i="4" a="1"/>
  <c r="I100" i="4" a="1"/>
  <c r="K116" i="4" a="1"/>
  <c r="J64" i="4" a="1"/>
  <c r="I86" i="4" a="1"/>
  <c r="J148" i="4" a="1"/>
  <c r="J23" i="4" a="1"/>
  <c r="I55" i="4" a="1"/>
  <c r="K93" i="4" a="1"/>
  <c r="J117" i="4" a="1"/>
  <c r="I66" i="4" a="1"/>
  <c r="I136" i="4" a="1"/>
  <c r="I151" i="4" a="1"/>
  <c r="I24" i="4" a="1"/>
  <c r="K41" i="4" a="1"/>
  <c r="J94" i="4" a="1"/>
  <c r="I118" i="4" a="1"/>
  <c r="K52" i="4" a="1"/>
  <c r="I138" i="4" a="1"/>
  <c r="K17" i="4" a="1"/>
  <c r="J43" i="4" a="1"/>
  <c r="I95" i="4" a="1"/>
  <c r="K111" i="4" a="1"/>
  <c r="J54" i="4" a="1"/>
  <c r="I140" i="4" a="1"/>
  <c r="K141" i="4" a="1"/>
  <c r="J26" i="4" a="1"/>
  <c r="I61" i="4" a="1"/>
  <c r="K96" i="4" a="1"/>
  <c r="I120" i="4" a="1"/>
  <c r="I87" i="4" a="1"/>
  <c r="I142" i="4" a="1"/>
  <c r="O29" i="4" a="1"/>
  <c r="O25" i="4" a="1"/>
  <c r="O21" i="4" a="1"/>
  <c r="O17" i="4" a="1"/>
  <c r="O13" i="4" a="1"/>
  <c r="O9" i="4" a="1"/>
  <c r="O5" i="4" a="1"/>
  <c r="S3" i="4" a="1"/>
  <c r="T3" i="4" a="1"/>
  <c r="T67" i="4" a="1"/>
  <c r="S67" i="4" a="1"/>
  <c r="T36" i="4" a="1"/>
  <c r="S36" i="4" a="1"/>
  <c r="T13" i="4" a="1"/>
  <c r="S13" i="4" a="1"/>
  <c r="T38" i="4" a="1"/>
  <c r="S38" i="4" a="1"/>
  <c r="T15" i="4" a="1"/>
  <c r="S15" i="4" a="1"/>
  <c r="T79" i="4" a="1"/>
  <c r="S79" i="4" a="1"/>
  <c r="U56" i="4" a="1"/>
  <c r="T56" i="4" a="1"/>
  <c r="S56" i="4" a="1"/>
  <c r="T97" i="4" a="1"/>
  <c r="U97" i="4" a="1"/>
  <c r="S97" i="4" a="1"/>
  <c r="S103" i="4" a="1"/>
  <c r="T103" i="4" a="1"/>
  <c r="S130" i="4" a="1"/>
  <c r="T130" i="4" a="1"/>
  <c r="S115" i="4" a="1"/>
  <c r="T115" i="4" a="1"/>
  <c r="T92" i="4" a="1"/>
  <c r="S92" i="4" a="1"/>
  <c r="O133" i="4" a="1"/>
  <c r="N133" i="4" a="1"/>
  <c r="O149" i="4" a="1"/>
  <c r="N149" i="4" a="1"/>
  <c r="O148" i="4" a="1"/>
  <c r="N148" i="4" a="1"/>
  <c r="O132" i="4" a="1"/>
  <c r="N132" i="4" a="1"/>
  <c r="O80" i="4" a="1"/>
  <c r="N80" i="4" a="1"/>
  <c r="O54" i="4" a="1"/>
  <c r="N54" i="4" a="1"/>
  <c r="O73" i="4" a="1"/>
  <c r="N73" i="4" a="1"/>
  <c r="N87" i="4" a="1"/>
  <c r="O87" i="4" a="1"/>
  <c r="N58" i="4" a="1"/>
  <c r="O58" i="4" a="1"/>
  <c r="N119" i="4" a="1"/>
  <c r="O119" i="4" a="1"/>
  <c r="N111" i="4" a="1"/>
  <c r="O111" i="4" a="1"/>
  <c r="N103" i="4" a="1"/>
  <c r="O103" i="4" a="1"/>
  <c r="N95" i="4" a="1"/>
  <c r="O95" i="4" a="1"/>
  <c r="N85" i="4" a="1"/>
  <c r="O85" i="4" a="1"/>
  <c r="N34" i="4" a="1"/>
  <c r="O34" i="4" a="1"/>
  <c r="U10" i="4" a="1"/>
  <c r="T34" i="4" a="1"/>
  <c r="J11" i="4" a="1"/>
  <c r="I35" i="4" a="1"/>
  <c r="K63" i="4" a="1"/>
  <c r="J105" i="4" a="1"/>
  <c r="I42" i="4" a="1"/>
  <c r="J68" i="4" a="1"/>
  <c r="I129" i="4" a="1"/>
  <c r="I12" i="4" a="1"/>
  <c r="K28" i="4" a="1"/>
  <c r="J65" i="4" a="1"/>
  <c r="I106" i="4" a="1"/>
  <c r="I122" i="4" a="1"/>
  <c r="I76" i="4" a="1"/>
  <c r="J131" i="4" a="1"/>
  <c r="K5" i="4" a="1"/>
  <c r="J29" i="4" a="1"/>
  <c r="I67" i="4" a="1"/>
  <c r="K99" i="4" a="1"/>
  <c r="J69" i="4" a="1"/>
  <c r="K84" i="4" a="1"/>
  <c r="I149" i="4" a="1"/>
  <c r="J6" i="4" a="1"/>
  <c r="I30" i="4" a="1"/>
  <c r="K53" i="4" a="1"/>
  <c r="J100" i="4" a="1"/>
  <c r="I77" i="4" a="1"/>
  <c r="K64" i="4" a="1"/>
  <c r="J86" i="4" a="1"/>
  <c r="I7" i="4" a="1"/>
  <c r="K23" i="4" a="1"/>
  <c r="J55" i="4" a="1"/>
  <c r="I101" i="4" a="1"/>
  <c r="K117" i="4" a="1"/>
  <c r="J66" i="4" a="1"/>
  <c r="K150" i="4" a="1"/>
  <c r="J151" i="4" a="1"/>
  <c r="J24" i="4" a="1"/>
  <c r="I57" i="4" a="1"/>
  <c r="K94" i="4" a="1"/>
  <c r="J118" i="4" a="1"/>
  <c r="I71" i="4" a="1"/>
  <c r="K138" i="4" a="1"/>
  <c r="I25" i="4" a="1"/>
  <c r="K43" i="4" a="1"/>
  <c r="J95" i="4" a="1"/>
  <c r="J119" i="4" a="1"/>
  <c r="K54" i="4" a="1"/>
  <c r="K140" i="4" a="1"/>
  <c r="I10" i="4" a="1"/>
  <c r="K26" i="4" a="1"/>
  <c r="J61" i="4" a="1"/>
  <c r="I104" i="4" a="1"/>
  <c r="K120" i="4" a="1"/>
  <c r="J87" i="4" a="1"/>
  <c r="I127" i="4" a="1"/>
  <c r="N32" i="4" a="1"/>
  <c r="N28" i="4" a="1"/>
  <c r="N24" i="4" a="1"/>
  <c r="N20" i="4" a="1"/>
  <c r="N16" i="4" a="1"/>
  <c r="N12" i="4" a="1"/>
  <c r="N8" i="4" a="1"/>
  <c r="N4" i="4" a="1"/>
  <c r="T11" i="4" a="1"/>
  <c r="S11" i="4" a="1"/>
  <c r="S75" i="4" a="1"/>
  <c r="T75" i="4" a="1"/>
  <c r="S44" i="4" a="1"/>
  <c r="T44" i="4" a="1"/>
  <c r="T21" i="4" a="1"/>
  <c r="S21" i="4" a="1"/>
  <c r="T46" i="4" a="1"/>
  <c r="S46" i="4" a="1"/>
  <c r="S23" i="4" a="1"/>
  <c r="T23" i="4" a="1"/>
  <c r="T87" i="4" a="1"/>
  <c r="S87" i="4" a="1"/>
  <c r="T64" i="4" a="1"/>
  <c r="S64" i="4" a="1"/>
  <c r="T105" i="4" a="1"/>
  <c r="S105" i="4" a="1"/>
  <c r="T33" i="4" a="1"/>
  <c r="S33" i="4" a="1"/>
  <c r="T138" i="4" a="1"/>
  <c r="S138" i="4" a="1"/>
  <c r="T123" i="4" a="1"/>
  <c r="S123" i="4" a="1"/>
  <c r="S100" i="4" a="1"/>
  <c r="T100" i="4" a="1"/>
  <c r="U17" i="4" a="1"/>
  <c r="U136" i="4" a="1"/>
  <c r="O131" i="4" a="1"/>
  <c r="N131" i="4" a="1"/>
  <c r="O146" i="4" a="1"/>
  <c r="N146" i="4" a="1"/>
  <c r="O147" i="4" a="1"/>
  <c r="N147" i="4" a="1"/>
  <c r="O130" i="4" a="1"/>
  <c r="N130" i="4" a="1"/>
  <c r="O72" i="4" a="1"/>
  <c r="N72" i="4" a="1"/>
  <c r="O49" i="4" a="1"/>
  <c r="N49" i="4" a="1"/>
  <c r="O65" i="4" a="1"/>
  <c r="N65" i="4" a="1"/>
  <c r="N79" i="4" a="1"/>
  <c r="O79" i="4" a="1"/>
  <c r="O50" i="4" a="1"/>
  <c r="N50" i="4" a="1"/>
  <c r="O118" i="4" a="1"/>
  <c r="N118" i="4" a="1"/>
  <c r="O110" i="4" a="1"/>
  <c r="N110" i="4" a="1"/>
  <c r="O102" i="4" a="1"/>
  <c r="N102" i="4" a="1"/>
  <c r="O94" i="4" a="1"/>
  <c r="N94" i="4" a="1"/>
  <c r="O77" i="4" a="1"/>
  <c r="N77" i="4" a="1"/>
  <c r="O33" i="4" a="1"/>
  <c r="N33" i="4" a="1"/>
  <c r="S34" i="4" a="1"/>
  <c r="K11" i="4" a="1"/>
  <c r="J35" i="4" a="1"/>
  <c r="I89" i="4" a="1"/>
  <c r="K105" i="4" a="1"/>
  <c r="J42" i="4" a="1"/>
  <c r="I128" i="4" a="1"/>
  <c r="K129" i="4" a="1"/>
  <c r="J12" i="4" a="1"/>
  <c r="I36" i="4" a="1"/>
  <c r="K65" i="4" a="1"/>
  <c r="J106" i="4" a="1"/>
  <c r="I44" i="4" a="1"/>
  <c r="J76" i="4" a="1"/>
  <c r="I131" i="4" a="1"/>
  <c r="I13" i="4" a="1"/>
  <c r="K29" i="4" a="1"/>
  <c r="J67" i="4" a="1"/>
  <c r="I107" i="4" a="1"/>
  <c r="K69" i="4" a="1"/>
  <c r="I84" i="4" a="1"/>
  <c r="I133" i="4" a="1"/>
  <c r="K6" i="4" a="1"/>
  <c r="J30" i="4" a="1"/>
  <c r="I75" i="4" a="1"/>
  <c r="K100" i="4" a="1"/>
  <c r="J77" i="4" a="1"/>
  <c r="J73" i="4" a="1"/>
  <c r="K86" i="4" a="1"/>
  <c r="J7" i="4" a="1"/>
  <c r="I31" i="4" a="1"/>
  <c r="K55" i="4" a="1"/>
  <c r="J101" i="4" a="1"/>
  <c r="I85" i="4" a="1"/>
  <c r="K66" i="4" a="1"/>
  <c r="I150" i="4" a="1"/>
  <c r="I8" i="4" a="1"/>
  <c r="K24" i="4" a="1"/>
  <c r="J57" i="4" a="1"/>
  <c r="I102" i="4" a="1"/>
  <c r="K118" i="4" a="1"/>
  <c r="J71" i="4" a="1"/>
  <c r="J123" i="4" a="1"/>
  <c r="J25" i="4" a="1"/>
  <c r="I59" i="4" a="1"/>
  <c r="K95" i="4" a="1"/>
  <c r="I119" i="4" a="1"/>
  <c r="I79" i="4" a="1"/>
  <c r="J140" i="4" a="1"/>
  <c r="J10" i="4" a="1"/>
  <c r="I34" i="4" a="1"/>
  <c r="K61" i="4" a="1"/>
  <c r="J104" i="4" a="1"/>
  <c r="I40" i="4" a="1"/>
  <c r="K87" i="4" a="1"/>
  <c r="J127" i="4" a="1"/>
  <c r="O32" i="4" a="1"/>
  <c r="O28" i="4" a="1"/>
  <c r="O24" i="4" a="1"/>
  <c r="O20" i="4" a="1"/>
  <c r="O16" i="4" a="1"/>
  <c r="O12" i="4" a="1"/>
  <c r="O8" i="4" a="1"/>
  <c r="O4" i="4" a="1"/>
  <c r="T117" i="4" a="1"/>
  <c r="T149" i="4" a="1"/>
  <c r="T102" i="4" a="1"/>
  <c r="T134" i="4" a="1"/>
  <c r="T73" i="4" a="1"/>
  <c r="T96" i="4" a="1"/>
  <c r="T128" i="4" a="1"/>
  <c r="T127" i="4" a="1"/>
  <c r="T119" i="4" a="1"/>
  <c r="S112" i="4" a="1"/>
  <c r="S125" i="4" a="1"/>
  <c r="S95" i="4" a="1"/>
  <c r="S110" i="4" a="1"/>
  <c r="S142" i="4" a="1"/>
  <c r="S17" i="4" a="1"/>
  <c r="S104" i="4" a="1"/>
  <c r="S136" i="4" a="1"/>
  <c r="S143" i="4" a="1"/>
  <c r="S111" i="4" a="1"/>
  <c r="S135" i="4" a="1"/>
  <c r="T125" i="4" a="1"/>
  <c r="T95" i="4" a="1"/>
  <c r="T110" i="4" a="1"/>
  <c r="T142" i="4" a="1"/>
  <c r="T17" i="4" a="1"/>
  <c r="T104" i="4" a="1"/>
  <c r="T136" i="4" a="1"/>
  <c r="T143" i="4" a="1"/>
  <c r="T111" i="4" a="1"/>
  <c r="S127" i="4" a="1"/>
  <c r="S133" i="4" a="1"/>
  <c r="S69" i="4" a="1"/>
  <c r="S118" i="4" a="1"/>
  <c r="S150" i="4" a="1"/>
  <c r="S45" i="4" a="1"/>
  <c r="S144" i="4" a="1"/>
  <c r="T133" i="4" a="1"/>
  <c r="T69" i="4" a="1"/>
  <c r="T118" i="4" a="1"/>
  <c r="T150" i="4" a="1"/>
  <c r="T45" i="4" a="1"/>
  <c r="T112" i="4" a="1"/>
  <c r="T144" i="4" a="1"/>
  <c r="T135" i="4" a="1"/>
  <c r="T132" i="4" a="1"/>
  <c r="T151" i="4" a="1"/>
  <c r="S141" i="4" a="1"/>
  <c r="S94" i="4" a="1"/>
  <c r="S126" i="4" a="1"/>
  <c r="S9" i="4" a="1"/>
  <c r="S77" i="4" a="1"/>
  <c r="S120" i="4" a="1"/>
  <c r="S132" i="4" a="1"/>
  <c r="S151" i="4" a="1"/>
  <c r="T120" i="4" a="1"/>
  <c r="S119" i="4" a="1"/>
  <c r="O3" i="4" a="1"/>
  <c r="T141" i="4" a="1"/>
  <c r="T94" i="4" a="1"/>
  <c r="T126" i="4" a="1"/>
  <c r="T9" i="4" a="1"/>
  <c r="T77" i="4" a="1"/>
  <c r="S117" i="4" a="1"/>
  <c r="S149" i="4" a="1"/>
  <c r="S102" i="4" a="1"/>
  <c r="S134" i="4" a="1"/>
  <c r="S73" i="4" a="1"/>
  <c r="S96" i="4" a="1"/>
  <c r="S128" i="4" a="1"/>
  <c r="P2" i="4" a="1"/>
  <c r="O2" i="4" a="1"/>
  <c r="J2" i="4" a="1"/>
  <c r="K2" i="4" a="1"/>
  <c r="I2" i="4" a="1"/>
  <c r="T2" i="4" a="1"/>
  <c r="U2" i="4" a="1"/>
  <c r="J154" i="4" l="1"/>
  <c r="I154" i="4"/>
  <c r="G154" i="4" s="1"/>
  <c r="K154" i="4"/>
  <c r="O154" i="4"/>
  <c r="N154" i="4"/>
  <c r="P154" i="4"/>
  <c r="T154" i="4"/>
  <c r="S154" i="4"/>
  <c r="U154" i="4"/>
  <c r="N33" i="4"/>
  <c r="O33" i="4"/>
  <c r="N77" i="4"/>
  <c r="O77" i="4"/>
  <c r="N94" i="4"/>
  <c r="O94" i="4"/>
  <c r="N102" i="4"/>
  <c r="O102" i="4"/>
  <c r="N110" i="4"/>
  <c r="O110" i="4"/>
  <c r="N118" i="4"/>
  <c r="O118" i="4"/>
  <c r="N50" i="4"/>
  <c r="O50" i="4"/>
  <c r="O79" i="4"/>
  <c r="N79" i="4"/>
  <c r="N65" i="4"/>
  <c r="O65" i="4"/>
  <c r="N49" i="4"/>
  <c r="O49" i="4"/>
  <c r="N72" i="4"/>
  <c r="O72" i="4"/>
  <c r="N130" i="4"/>
  <c r="O130" i="4"/>
  <c r="N147" i="4"/>
  <c r="O147" i="4"/>
  <c r="N146" i="4"/>
  <c r="O146" i="4"/>
  <c r="N131" i="4"/>
  <c r="O131" i="4"/>
  <c r="U136" i="4"/>
  <c r="U17" i="4"/>
  <c r="T100" i="4"/>
  <c r="S100" i="4"/>
  <c r="S123" i="4"/>
  <c r="T123" i="4"/>
  <c r="S138" i="4"/>
  <c r="T138" i="4"/>
  <c r="S33" i="4"/>
  <c r="T33" i="4"/>
  <c r="S105" i="4"/>
  <c r="T105" i="4"/>
  <c r="S64" i="4"/>
  <c r="T64" i="4"/>
  <c r="S87" i="4"/>
  <c r="T87" i="4"/>
  <c r="T23" i="4"/>
  <c r="S23" i="4"/>
  <c r="S46" i="4"/>
  <c r="T46" i="4"/>
  <c r="S21" i="4"/>
  <c r="T21" i="4"/>
  <c r="T44" i="4"/>
  <c r="S44" i="4"/>
  <c r="T75" i="4"/>
  <c r="S75" i="4"/>
  <c r="S11" i="4"/>
  <c r="T11" i="4"/>
  <c r="O34" i="4"/>
  <c r="N34" i="4"/>
  <c r="O85" i="4"/>
  <c r="N85" i="4"/>
  <c r="O95" i="4"/>
  <c r="N95" i="4"/>
  <c r="O103" i="4"/>
  <c r="N103" i="4"/>
  <c r="O111" i="4"/>
  <c r="N111" i="4"/>
  <c r="O119" i="4"/>
  <c r="N119" i="4"/>
  <c r="O58" i="4"/>
  <c r="N58" i="4"/>
  <c r="O87" i="4"/>
  <c r="N87" i="4"/>
  <c r="N73" i="4"/>
  <c r="O73" i="4"/>
  <c r="N54" i="4"/>
  <c r="O54" i="4"/>
  <c r="N80" i="4"/>
  <c r="O80" i="4"/>
  <c r="N132" i="4"/>
  <c r="O132" i="4"/>
  <c r="N148" i="4"/>
  <c r="O148" i="4"/>
  <c r="N149" i="4"/>
  <c r="O149" i="4"/>
  <c r="N133" i="4"/>
  <c r="O133" i="4"/>
  <c r="S92" i="4"/>
  <c r="T92" i="4"/>
  <c r="T115" i="4"/>
  <c r="S115" i="4"/>
  <c r="T130" i="4"/>
  <c r="S130" i="4"/>
  <c r="T103" i="4"/>
  <c r="S103" i="4"/>
  <c r="S97" i="4"/>
  <c r="U97" i="4"/>
  <c r="T97" i="4"/>
  <c r="S56" i="4"/>
  <c r="T56" i="4"/>
  <c r="U56" i="4"/>
  <c r="S79" i="4"/>
  <c r="T79" i="4"/>
  <c r="S15" i="4"/>
  <c r="T15" i="4"/>
  <c r="S38" i="4"/>
  <c r="T38" i="4"/>
  <c r="S13" i="4"/>
  <c r="T13" i="4"/>
  <c r="S36" i="4"/>
  <c r="T36" i="4"/>
  <c r="S67" i="4"/>
  <c r="T67" i="4"/>
  <c r="T3" i="4"/>
  <c r="S3" i="4"/>
  <c r="N35" i="4"/>
  <c r="O35" i="4"/>
  <c r="N88" i="4"/>
  <c r="O88" i="4"/>
  <c r="N96" i="4"/>
  <c r="O96" i="4"/>
  <c r="N104" i="4"/>
  <c r="O104" i="4"/>
  <c r="N112" i="4"/>
  <c r="O112" i="4"/>
  <c r="N38" i="4"/>
  <c r="O38" i="4"/>
  <c r="O66" i="4"/>
  <c r="N66" i="4"/>
  <c r="O52" i="4"/>
  <c r="N52" i="4"/>
  <c r="N81" i="4"/>
  <c r="O81" i="4"/>
  <c r="O62" i="4"/>
  <c r="N62" i="4"/>
  <c r="N59" i="4"/>
  <c r="O59" i="4"/>
  <c r="N134" i="4"/>
  <c r="O134" i="4"/>
  <c r="O150" i="4"/>
  <c r="N150" i="4"/>
  <c r="O151" i="4"/>
  <c r="N151" i="4"/>
  <c r="N135" i="4"/>
  <c r="O135" i="4"/>
  <c r="S109" i="4"/>
  <c r="T109" i="4"/>
  <c r="S61" i="4"/>
  <c r="T61" i="4"/>
  <c r="U61" i="4"/>
  <c r="S107" i="4"/>
  <c r="T107" i="4"/>
  <c r="S122" i="4"/>
  <c r="T122" i="4"/>
  <c r="S140" i="4"/>
  <c r="T140" i="4"/>
  <c r="S81" i="4"/>
  <c r="T81" i="4"/>
  <c r="S48" i="4"/>
  <c r="T48" i="4"/>
  <c r="U71" i="4"/>
  <c r="S71" i="4"/>
  <c r="T71" i="4"/>
  <c r="S7" i="4"/>
  <c r="T7" i="4"/>
  <c r="S30" i="4"/>
  <c r="T30" i="4"/>
  <c r="S5" i="4"/>
  <c r="T5" i="4"/>
  <c r="S28" i="4"/>
  <c r="T28" i="4"/>
  <c r="S59" i="4"/>
  <c r="T59" i="4"/>
  <c r="S90" i="4"/>
  <c r="T90" i="4"/>
  <c r="N36" i="4"/>
  <c r="O36" i="4"/>
  <c r="N89" i="4"/>
  <c r="O89" i="4"/>
  <c r="N97" i="4"/>
  <c r="O97" i="4"/>
  <c r="N105" i="4"/>
  <c r="O105" i="4"/>
  <c r="N113" i="4"/>
  <c r="O113" i="4"/>
  <c r="N40" i="4"/>
  <c r="O40" i="4"/>
  <c r="N74" i="4"/>
  <c r="O74" i="4"/>
  <c r="N60" i="4"/>
  <c r="O60" i="4"/>
  <c r="O39" i="4"/>
  <c r="N39" i="4"/>
  <c r="O70" i="4"/>
  <c r="N70" i="4"/>
  <c r="O120" i="4"/>
  <c r="N120" i="4"/>
  <c r="O136" i="4"/>
  <c r="N136" i="4"/>
  <c r="O51" i="4"/>
  <c r="N51" i="4"/>
  <c r="O121" i="4"/>
  <c r="N121" i="4"/>
  <c r="O137" i="4"/>
  <c r="N137" i="4"/>
  <c r="U112" i="4"/>
  <c r="T101" i="4"/>
  <c r="S101" i="4"/>
  <c r="T148" i="4"/>
  <c r="S148" i="4"/>
  <c r="S99" i="4"/>
  <c r="T99" i="4"/>
  <c r="T114" i="4"/>
  <c r="S114" i="4"/>
  <c r="U114" i="4"/>
  <c r="S145" i="4"/>
  <c r="T145" i="4"/>
  <c r="S49" i="4"/>
  <c r="T49" i="4"/>
  <c r="S40" i="4"/>
  <c r="T40" i="4"/>
  <c r="S63" i="4"/>
  <c r="T63" i="4"/>
  <c r="U86" i="4"/>
  <c r="S86" i="4"/>
  <c r="T86" i="4"/>
  <c r="U22" i="4"/>
  <c r="T22" i="4"/>
  <c r="S22" i="4"/>
  <c r="U84" i="4"/>
  <c r="S84" i="4"/>
  <c r="T84" i="4"/>
  <c r="S20" i="4"/>
  <c r="T20" i="4"/>
  <c r="U20" i="4"/>
  <c r="S51" i="4"/>
  <c r="T51" i="4"/>
  <c r="S82" i="4"/>
  <c r="T82" i="4"/>
  <c r="N37" i="4"/>
  <c r="O37" i="4"/>
  <c r="N90" i="4"/>
  <c r="O90" i="4"/>
  <c r="N98" i="4"/>
  <c r="O98" i="4"/>
  <c r="N106" i="4"/>
  <c r="O106" i="4"/>
  <c r="N114" i="4"/>
  <c r="O114" i="4"/>
  <c r="N42" i="4"/>
  <c r="O42" i="4"/>
  <c r="O82" i="4"/>
  <c r="N82" i="4"/>
  <c r="O68" i="4"/>
  <c r="N68" i="4"/>
  <c r="N41" i="4"/>
  <c r="O41" i="4"/>
  <c r="N78" i="4"/>
  <c r="O78" i="4"/>
  <c r="N122" i="4"/>
  <c r="O122" i="4"/>
  <c r="N138" i="4"/>
  <c r="O138" i="4"/>
  <c r="N140" i="4"/>
  <c r="O140" i="4"/>
  <c r="N123" i="4"/>
  <c r="O123" i="4"/>
  <c r="N139" i="4"/>
  <c r="O139" i="4"/>
  <c r="S93" i="4"/>
  <c r="T93" i="4"/>
  <c r="S124" i="4"/>
  <c r="T124" i="4"/>
  <c r="U89" i="4"/>
  <c r="S89" i="4"/>
  <c r="T89" i="4"/>
  <c r="S106" i="4"/>
  <c r="T106" i="4"/>
  <c r="U137" i="4"/>
  <c r="T137" i="4"/>
  <c r="S137" i="4"/>
  <c r="S25" i="4"/>
  <c r="T25" i="4"/>
  <c r="S32" i="4"/>
  <c r="T32" i="4"/>
  <c r="S55" i="4"/>
  <c r="T55" i="4"/>
  <c r="S78" i="4"/>
  <c r="T78" i="4"/>
  <c r="S14" i="4"/>
  <c r="T14" i="4"/>
  <c r="S76" i="4"/>
  <c r="T76" i="4"/>
  <c r="S12" i="4"/>
  <c r="T12" i="4"/>
  <c r="S43" i="4"/>
  <c r="T43" i="4"/>
  <c r="S74" i="4"/>
  <c r="T74" i="4"/>
  <c r="O53" i="4"/>
  <c r="N53" i="4"/>
  <c r="O91" i="4"/>
  <c r="N91" i="4"/>
  <c r="O99" i="4"/>
  <c r="N99" i="4"/>
  <c r="O107" i="4"/>
  <c r="N107" i="4"/>
  <c r="O115" i="4"/>
  <c r="N115" i="4"/>
  <c r="O44" i="4"/>
  <c r="N44" i="4"/>
  <c r="O55" i="4"/>
  <c r="N55" i="4"/>
  <c r="O76" i="4"/>
  <c r="N76" i="4"/>
  <c r="N43" i="4"/>
  <c r="O43" i="4"/>
  <c r="N86" i="4"/>
  <c r="O86" i="4"/>
  <c r="N124" i="4"/>
  <c r="O124" i="4"/>
  <c r="N75" i="4"/>
  <c r="O75" i="4"/>
  <c r="N141" i="4"/>
  <c r="O141" i="4"/>
  <c r="N125" i="4"/>
  <c r="O125" i="4"/>
  <c r="N67" i="4"/>
  <c r="O67" i="4"/>
  <c r="T65" i="4"/>
  <c r="S65" i="4"/>
  <c r="S147" i="4"/>
  <c r="T147" i="4"/>
  <c r="S57" i="4"/>
  <c r="T57" i="4"/>
  <c r="S98" i="4"/>
  <c r="T98" i="4"/>
  <c r="T129" i="4"/>
  <c r="S129" i="4"/>
  <c r="T88" i="4"/>
  <c r="S88" i="4"/>
  <c r="S24" i="4"/>
  <c r="T24" i="4"/>
  <c r="S47" i="4"/>
  <c r="T47" i="4"/>
  <c r="S70" i="4"/>
  <c r="T70" i="4"/>
  <c r="S6" i="4"/>
  <c r="T6" i="4"/>
  <c r="S68" i="4"/>
  <c r="T68" i="4"/>
  <c r="S4" i="4"/>
  <c r="T4" i="4"/>
  <c r="S35" i="4"/>
  <c r="T35" i="4"/>
  <c r="U35" i="4"/>
  <c r="S66" i="4"/>
  <c r="U66" i="4"/>
  <c r="T66" i="4"/>
  <c r="N61" i="4"/>
  <c r="O61" i="4"/>
  <c r="N92" i="4"/>
  <c r="O92" i="4"/>
  <c r="N100" i="4"/>
  <c r="O100" i="4"/>
  <c r="N108" i="4"/>
  <c r="O108" i="4"/>
  <c r="N116" i="4"/>
  <c r="O116" i="4"/>
  <c r="N46" i="4"/>
  <c r="O46" i="4"/>
  <c r="O63" i="4"/>
  <c r="N63" i="4"/>
  <c r="O84" i="4"/>
  <c r="N84" i="4"/>
  <c r="O45" i="4"/>
  <c r="N45" i="4"/>
  <c r="O56" i="4"/>
  <c r="N56" i="4"/>
  <c r="O126" i="4"/>
  <c r="N126" i="4"/>
  <c r="O143" i="4"/>
  <c r="N143" i="4"/>
  <c r="N142" i="4"/>
  <c r="O142" i="4"/>
  <c r="O127" i="4"/>
  <c r="N127" i="4"/>
  <c r="O83" i="4"/>
  <c r="N83" i="4"/>
  <c r="S116" i="4"/>
  <c r="T116" i="4"/>
  <c r="S139" i="4"/>
  <c r="T139" i="4"/>
  <c r="S41" i="4"/>
  <c r="T41" i="4"/>
  <c r="S85" i="4"/>
  <c r="T85" i="4"/>
  <c r="S121" i="4"/>
  <c r="T121" i="4"/>
  <c r="S80" i="4"/>
  <c r="T80" i="4"/>
  <c r="S16" i="4"/>
  <c r="T16" i="4"/>
  <c r="S39" i="4"/>
  <c r="T39" i="4"/>
  <c r="S62" i="4"/>
  <c r="T62" i="4"/>
  <c r="S37" i="4"/>
  <c r="T37" i="4"/>
  <c r="S60" i="4"/>
  <c r="T60" i="4"/>
  <c r="S91" i="4"/>
  <c r="T91" i="4"/>
  <c r="S27" i="4"/>
  <c r="T27" i="4"/>
  <c r="S58" i="4"/>
  <c r="T58" i="4"/>
  <c r="P8" i="4"/>
  <c r="P16" i="4"/>
  <c r="P24" i="4"/>
  <c r="P32" i="4"/>
  <c r="N69" i="4"/>
  <c r="O69" i="4"/>
  <c r="P69" i="4"/>
  <c r="N93" i="4"/>
  <c r="O93" i="4"/>
  <c r="P93" i="4"/>
  <c r="N101" i="4"/>
  <c r="O101" i="4"/>
  <c r="P101" i="4"/>
  <c r="N109" i="4"/>
  <c r="O109" i="4"/>
  <c r="P109" i="4"/>
  <c r="N117" i="4"/>
  <c r="O117" i="4"/>
  <c r="P117" i="4"/>
  <c r="N48" i="4"/>
  <c r="O48" i="4"/>
  <c r="P48" i="4"/>
  <c r="N71" i="4"/>
  <c r="O71" i="4"/>
  <c r="P71" i="4"/>
  <c r="N57" i="4"/>
  <c r="O57" i="4"/>
  <c r="P57" i="4"/>
  <c r="P47" i="4"/>
  <c r="O47" i="4"/>
  <c r="N47" i="4"/>
  <c r="O64" i="4"/>
  <c r="P64" i="4"/>
  <c r="N64" i="4"/>
  <c r="O128" i="4"/>
  <c r="P128" i="4"/>
  <c r="N128" i="4"/>
  <c r="O145" i="4"/>
  <c r="P145" i="4"/>
  <c r="N145" i="4"/>
  <c r="O144" i="4"/>
  <c r="P144" i="4"/>
  <c r="N144" i="4"/>
  <c r="O129" i="4"/>
  <c r="P129" i="4"/>
  <c r="N129" i="4"/>
  <c r="T2" i="4"/>
  <c r="Q2" i="4" s="1"/>
  <c r="U118" i="4"/>
  <c r="U133" i="4"/>
  <c r="S108" i="4"/>
  <c r="T108" i="4"/>
  <c r="T131" i="4"/>
  <c r="S131" i="4"/>
  <c r="S146" i="4"/>
  <c r="T146" i="4"/>
  <c r="T53" i="4"/>
  <c r="S53" i="4"/>
  <c r="T113" i="4"/>
  <c r="S113" i="4"/>
  <c r="S72" i="4"/>
  <c r="T72" i="4"/>
  <c r="T8" i="4"/>
  <c r="S8" i="4"/>
  <c r="T31" i="4"/>
  <c r="S31" i="4"/>
  <c r="S54" i="4"/>
  <c r="T54" i="4"/>
  <c r="T29" i="4"/>
  <c r="S29" i="4"/>
  <c r="S52" i="4"/>
  <c r="T52" i="4"/>
  <c r="S83" i="4"/>
  <c r="T83" i="4"/>
  <c r="S19" i="4"/>
  <c r="T19" i="4"/>
  <c r="S50" i="4"/>
  <c r="T50" i="4"/>
  <c r="U127" i="4"/>
  <c r="U48" i="4"/>
  <c r="P9" i="4"/>
  <c r="P118" i="4"/>
  <c r="P146" i="4"/>
  <c r="U108" i="4"/>
  <c r="U6" i="4"/>
  <c r="P34" i="4"/>
  <c r="P73" i="4"/>
  <c r="U138" i="4"/>
  <c r="U85" i="4"/>
  <c r="U11" i="4"/>
  <c r="P104" i="4"/>
  <c r="P134" i="4"/>
  <c r="U120" i="4"/>
  <c r="U31" i="4"/>
  <c r="P20" i="4"/>
  <c r="P74" i="4"/>
  <c r="P137" i="4"/>
  <c r="U93" i="4"/>
  <c r="U44" i="4"/>
  <c r="P90" i="4"/>
  <c r="P78" i="4"/>
  <c r="U128" i="4"/>
  <c r="U72" i="4"/>
  <c r="P6" i="4"/>
  <c r="P115" i="4"/>
  <c r="P141" i="4"/>
  <c r="U151" i="4"/>
  <c r="U30" i="4"/>
  <c r="P31" i="4"/>
  <c r="P84" i="4"/>
  <c r="U73" i="4"/>
  <c r="U63" i="4"/>
  <c r="P17" i="4"/>
  <c r="P50" i="4"/>
  <c r="P131" i="4"/>
  <c r="U117" i="4"/>
  <c r="U68" i="4"/>
  <c r="P85" i="4"/>
  <c r="P54" i="4"/>
  <c r="U111" i="4"/>
  <c r="U25" i="4"/>
  <c r="P3" i="4"/>
  <c r="P112" i="4"/>
  <c r="P150" i="4"/>
  <c r="U9" i="4"/>
  <c r="U54" i="4"/>
  <c r="P28" i="4"/>
  <c r="P60" i="4"/>
  <c r="U87" i="4"/>
  <c r="U115" i="4"/>
  <c r="U67" i="4"/>
  <c r="P98" i="4"/>
  <c r="P122" i="4"/>
  <c r="U150" i="4"/>
  <c r="U8" i="4"/>
  <c r="P14" i="4"/>
  <c r="P44" i="4"/>
  <c r="P125" i="4"/>
  <c r="U141" i="4"/>
  <c r="U5" i="4"/>
  <c r="P61" i="4"/>
  <c r="P45" i="4"/>
  <c r="U143" i="4"/>
  <c r="U78" i="4"/>
  <c r="P25" i="4"/>
  <c r="P79" i="4"/>
  <c r="U51" i="4"/>
  <c r="U139" i="4"/>
  <c r="U4" i="4"/>
  <c r="P95" i="4"/>
  <c r="P80" i="4"/>
  <c r="U104" i="4"/>
  <c r="U32" i="4"/>
  <c r="P11" i="4"/>
  <c r="P38" i="4"/>
  <c r="P151" i="4"/>
  <c r="U69" i="4"/>
  <c r="U29" i="4"/>
  <c r="P36" i="4"/>
  <c r="P39" i="4"/>
  <c r="U113" i="4"/>
  <c r="U33" i="4"/>
  <c r="U90" i="4"/>
  <c r="P106" i="4"/>
  <c r="P138" i="4"/>
  <c r="U110" i="4"/>
  <c r="U15" i="4"/>
  <c r="P22" i="4"/>
  <c r="P55" i="4"/>
  <c r="P67" i="4"/>
  <c r="U92" i="4"/>
  <c r="U28" i="4"/>
  <c r="P92" i="4"/>
  <c r="P56" i="4"/>
  <c r="U102" i="4"/>
  <c r="U14" i="4"/>
  <c r="P33" i="4"/>
  <c r="P65" i="4"/>
  <c r="U130" i="4"/>
  <c r="U41" i="4"/>
  <c r="U19" i="4"/>
  <c r="P103" i="4"/>
  <c r="P132" i="4"/>
  <c r="U144" i="4"/>
  <c r="U39" i="4"/>
  <c r="P19" i="4"/>
  <c r="P66" i="4"/>
  <c r="P135" i="4"/>
  <c r="U101" i="4"/>
  <c r="U52" i="4"/>
  <c r="P89" i="4"/>
  <c r="P70" i="4"/>
  <c r="U132" i="4"/>
  <c r="U80" i="4"/>
  <c r="P5" i="4"/>
  <c r="P114" i="4"/>
  <c r="P140" i="4"/>
  <c r="U100" i="4"/>
  <c r="U38" i="4"/>
  <c r="P30" i="4"/>
  <c r="P76" i="4"/>
  <c r="U106" i="4"/>
  <c r="U99" i="4"/>
  <c r="U43" i="4"/>
  <c r="P100" i="4"/>
  <c r="P126" i="4"/>
  <c r="U125" i="4"/>
  <c r="U76" i="4"/>
  <c r="P77" i="4"/>
  <c r="P49" i="4"/>
  <c r="U2" i="4"/>
  <c r="U49" i="4"/>
  <c r="U50" i="4"/>
  <c r="P111" i="4"/>
  <c r="P148" i="4"/>
  <c r="U45" i="4"/>
  <c r="U62" i="4"/>
  <c r="P27" i="4"/>
  <c r="P52" i="4"/>
  <c r="U55" i="4"/>
  <c r="U123" i="4"/>
  <c r="U75" i="4"/>
  <c r="P97" i="4"/>
  <c r="P120" i="4"/>
  <c r="U140" i="4"/>
  <c r="U16" i="4"/>
  <c r="P13" i="4"/>
  <c r="P42" i="4"/>
  <c r="P123" i="4"/>
  <c r="U149" i="4"/>
  <c r="U13" i="4"/>
  <c r="P53" i="4"/>
  <c r="P43" i="4"/>
  <c r="U129" i="4"/>
  <c r="U105" i="4"/>
  <c r="U74" i="4"/>
  <c r="P108" i="4"/>
  <c r="P143" i="4"/>
  <c r="U147" i="4"/>
  <c r="U12" i="4"/>
  <c r="P94" i="4"/>
  <c r="P72" i="4"/>
  <c r="U119" i="4"/>
  <c r="U40" i="4"/>
  <c r="P10" i="4"/>
  <c r="P119" i="4"/>
  <c r="P149" i="4"/>
  <c r="U94" i="4"/>
  <c r="U37" i="4"/>
  <c r="P35" i="4"/>
  <c r="P81" i="4"/>
  <c r="U146" i="4"/>
  <c r="U53" i="4"/>
  <c r="U3" i="4"/>
  <c r="P105" i="4"/>
  <c r="P136" i="4"/>
  <c r="U134" i="4"/>
  <c r="U23" i="4"/>
  <c r="P21" i="4"/>
  <c r="P82" i="4"/>
  <c r="P139" i="4"/>
  <c r="U65" i="4"/>
  <c r="U36" i="4"/>
  <c r="P91" i="4"/>
  <c r="P86" i="4"/>
  <c r="U142" i="4"/>
  <c r="U64" i="4"/>
  <c r="P7" i="4"/>
  <c r="P116" i="4"/>
  <c r="P142" i="4"/>
  <c r="U122" i="4"/>
  <c r="U57" i="4"/>
  <c r="U27" i="4"/>
  <c r="P102" i="4"/>
  <c r="P130" i="4"/>
  <c r="U148" i="4"/>
  <c r="U47" i="4"/>
  <c r="P18" i="4"/>
  <c r="P58" i="4"/>
  <c r="P133" i="4"/>
  <c r="U109" i="4"/>
  <c r="U60" i="4"/>
  <c r="P88" i="4"/>
  <c r="P62" i="4"/>
  <c r="U135" i="4"/>
  <c r="U88" i="4"/>
  <c r="P4" i="4"/>
  <c r="P113" i="4"/>
  <c r="P51" i="4"/>
  <c r="U126" i="4"/>
  <c r="U46" i="4"/>
  <c r="Q46" i="4" s="1"/>
  <c r="P29" i="4"/>
  <c r="P68" i="4"/>
  <c r="U98" i="4"/>
  <c r="U107" i="4"/>
  <c r="U59" i="4"/>
  <c r="P99" i="4"/>
  <c r="P124" i="4"/>
  <c r="U116" i="4"/>
  <c r="U79" i="4"/>
  <c r="P15" i="4"/>
  <c r="P46" i="4"/>
  <c r="P127" i="4"/>
  <c r="U145" i="4"/>
  <c r="U81" i="4"/>
  <c r="U58" i="4"/>
  <c r="P110" i="4"/>
  <c r="P147" i="4"/>
  <c r="U96" i="4"/>
  <c r="U70" i="4"/>
  <c r="P26" i="4"/>
  <c r="P87" i="4"/>
  <c r="U83" i="4"/>
  <c r="U131" i="4"/>
  <c r="U91" i="4"/>
  <c r="P96" i="4"/>
  <c r="P59" i="4"/>
  <c r="U77" i="4"/>
  <c r="U24" i="4"/>
  <c r="P12" i="4"/>
  <c r="P40" i="4"/>
  <c r="P121" i="4"/>
  <c r="U95" i="4"/>
  <c r="U21" i="4"/>
  <c r="P37" i="4"/>
  <c r="P41" i="4"/>
  <c r="U121" i="4"/>
  <c r="U103" i="4"/>
  <c r="U82" i="4"/>
  <c r="P107" i="4"/>
  <c r="P75" i="4"/>
  <c r="U124" i="4"/>
  <c r="U7" i="4"/>
  <c r="P23" i="4"/>
  <c r="P63" i="4"/>
  <c r="P83" i="4"/>
  <c r="T111" i="4"/>
  <c r="S111" i="4"/>
  <c r="Q111" i="4" s="1"/>
  <c r="T119" i="4"/>
  <c r="S119" i="4"/>
  <c r="T151" i="4"/>
  <c r="S151" i="4"/>
  <c r="T135" i="4"/>
  <c r="S135" i="4"/>
  <c r="T143" i="4"/>
  <c r="S143" i="4"/>
  <c r="T127" i="4"/>
  <c r="S127" i="4"/>
  <c r="T132" i="4"/>
  <c r="S132" i="4"/>
  <c r="T144" i="4"/>
  <c r="S144" i="4"/>
  <c r="T136" i="4"/>
  <c r="S136" i="4"/>
  <c r="Q136" i="4" s="1"/>
  <c r="T128" i="4"/>
  <c r="S128" i="4"/>
  <c r="T120" i="4"/>
  <c r="S120" i="4"/>
  <c r="T112" i="4"/>
  <c r="S112" i="4"/>
  <c r="T104" i="4"/>
  <c r="S104" i="4"/>
  <c r="Q104" i="4" s="1"/>
  <c r="T96" i="4"/>
  <c r="S96" i="4"/>
  <c r="T77" i="4"/>
  <c r="S77" i="4"/>
  <c r="T45" i="4"/>
  <c r="S45" i="4"/>
  <c r="T17" i="4"/>
  <c r="S17" i="4"/>
  <c r="Q17" i="4" s="1"/>
  <c r="T73" i="4"/>
  <c r="S73" i="4"/>
  <c r="T9" i="4"/>
  <c r="S9" i="4"/>
  <c r="T150" i="4"/>
  <c r="S150" i="4"/>
  <c r="T142" i="4"/>
  <c r="S142" i="4"/>
  <c r="Q142" i="4" s="1"/>
  <c r="T134" i="4"/>
  <c r="S134" i="4"/>
  <c r="T126" i="4"/>
  <c r="S126" i="4"/>
  <c r="T118" i="4"/>
  <c r="S118" i="4"/>
  <c r="T110" i="4"/>
  <c r="S110" i="4"/>
  <c r="Q110" i="4" s="1"/>
  <c r="T102" i="4"/>
  <c r="S102" i="4"/>
  <c r="T94" i="4"/>
  <c r="S94" i="4"/>
  <c r="T69" i="4"/>
  <c r="S69" i="4"/>
  <c r="T95" i="4"/>
  <c r="S95" i="4"/>
  <c r="T149" i="4"/>
  <c r="S149" i="4"/>
  <c r="T141" i="4"/>
  <c r="S141" i="4"/>
  <c r="T133" i="4"/>
  <c r="S133" i="4"/>
  <c r="T125" i="4"/>
  <c r="S125" i="4"/>
  <c r="Q125" i="4" s="1"/>
  <c r="T117" i="4"/>
  <c r="S117" i="4"/>
  <c r="O3" i="4"/>
  <c r="N3" i="4"/>
  <c r="O4" i="4"/>
  <c r="N4" i="4"/>
  <c r="O5" i="4"/>
  <c r="N5" i="4"/>
  <c r="O6" i="4"/>
  <c r="N6" i="4"/>
  <c r="O7" i="4"/>
  <c r="N7" i="4"/>
  <c r="O8" i="4"/>
  <c r="N8" i="4"/>
  <c r="O9" i="4"/>
  <c r="N9" i="4"/>
  <c r="O10" i="4"/>
  <c r="N10" i="4"/>
  <c r="O11" i="4"/>
  <c r="N11" i="4"/>
  <c r="O12" i="4"/>
  <c r="N12" i="4"/>
  <c r="O13" i="4"/>
  <c r="N13" i="4"/>
  <c r="O14" i="4"/>
  <c r="N14" i="4"/>
  <c r="O15" i="4"/>
  <c r="N15" i="4"/>
  <c r="O16" i="4"/>
  <c r="N16" i="4"/>
  <c r="O17" i="4"/>
  <c r="N17" i="4"/>
  <c r="O18" i="4"/>
  <c r="N18" i="4"/>
  <c r="O19" i="4"/>
  <c r="N19" i="4"/>
  <c r="O20" i="4"/>
  <c r="N20" i="4"/>
  <c r="O21" i="4"/>
  <c r="N21" i="4"/>
  <c r="O22" i="4"/>
  <c r="N22" i="4"/>
  <c r="O23" i="4"/>
  <c r="N23" i="4"/>
  <c r="O24" i="4"/>
  <c r="N24" i="4"/>
  <c r="O25" i="4"/>
  <c r="N25" i="4"/>
  <c r="O26" i="4"/>
  <c r="N26" i="4"/>
  <c r="O27" i="4"/>
  <c r="N27" i="4"/>
  <c r="O28" i="4"/>
  <c r="N28" i="4"/>
  <c r="O29" i="4"/>
  <c r="N29" i="4"/>
  <c r="O30" i="4"/>
  <c r="N30" i="4"/>
  <c r="O31" i="4"/>
  <c r="N31" i="4"/>
  <c r="O32" i="4"/>
  <c r="N32" i="4"/>
  <c r="U34" i="4"/>
  <c r="S34" i="4"/>
  <c r="T34" i="4"/>
  <c r="U26" i="4"/>
  <c r="S26" i="4"/>
  <c r="T26" i="4"/>
  <c r="U18" i="4"/>
  <c r="S18" i="4"/>
  <c r="T18" i="4"/>
  <c r="U10" i="4"/>
  <c r="S10" i="4"/>
  <c r="T10" i="4"/>
  <c r="U42" i="4"/>
  <c r="S42" i="4"/>
  <c r="T42" i="4"/>
  <c r="Q71" i="4"/>
  <c r="Q39" i="4"/>
  <c r="Q86" i="4"/>
  <c r="Q54" i="4"/>
  <c r="Q22" i="4"/>
  <c r="Q29" i="4"/>
  <c r="Q84" i="4"/>
  <c r="Q52" i="4"/>
  <c r="Q20" i="4"/>
  <c r="Q75" i="4"/>
  <c r="Q35" i="4"/>
  <c r="Q3" i="4"/>
  <c r="Q66" i="4"/>
  <c r="Q101" i="4"/>
  <c r="Q108" i="4"/>
  <c r="Q148" i="4"/>
  <c r="Q131" i="4"/>
  <c r="Q99" i="4"/>
  <c r="Q146" i="4"/>
  <c r="Q114" i="4"/>
  <c r="Q53" i="4"/>
  <c r="Q145" i="4"/>
  <c r="Q113" i="4"/>
  <c r="Q49" i="4"/>
  <c r="Q72" i="4"/>
  <c r="Q40" i="4"/>
  <c r="Q8" i="4"/>
  <c r="Q23" i="4"/>
  <c r="Q44" i="4"/>
  <c r="Q67" i="4"/>
  <c r="Q90" i="4"/>
  <c r="Q33" i="4"/>
  <c r="Q31" i="4"/>
  <c r="Q21" i="4"/>
  <c r="Q123" i="4"/>
  <c r="Q87" i="4"/>
  <c r="Q55" i="4"/>
  <c r="Q15" i="4"/>
  <c r="Q70" i="4"/>
  <c r="Q38" i="4"/>
  <c r="Q6" i="4"/>
  <c r="Q13" i="4"/>
  <c r="Q68" i="4"/>
  <c r="Q36" i="4"/>
  <c r="Q4" i="4"/>
  <c r="Q51" i="4"/>
  <c r="Q19" i="4"/>
  <c r="Q82" i="4"/>
  <c r="Q50" i="4"/>
  <c r="Q65" i="4"/>
  <c r="Q92" i="4"/>
  <c r="Q147" i="4"/>
  <c r="Q115" i="4"/>
  <c r="Q57" i="4"/>
  <c r="Q130" i="4"/>
  <c r="Q98" i="4"/>
  <c r="Q103" i="4"/>
  <c r="Q129" i="4"/>
  <c r="Q97" i="4"/>
  <c r="Q88" i="4"/>
  <c r="Q56" i="4"/>
  <c r="Q24" i="4"/>
  <c r="Q91" i="4"/>
  <c r="Q79" i="4"/>
  <c r="Q47" i="4"/>
  <c r="Q7" i="4"/>
  <c r="Q62" i="4"/>
  <c r="Q30" i="4"/>
  <c r="Q37" i="4"/>
  <c r="Q5" i="4"/>
  <c r="Q60" i="4"/>
  <c r="Q28" i="4"/>
  <c r="Q83" i="4"/>
  <c r="Q43" i="4"/>
  <c r="Q11" i="4"/>
  <c r="Q74" i="4"/>
  <c r="Q109" i="4"/>
  <c r="Q116" i="4"/>
  <c r="Q61" i="4"/>
  <c r="Q139" i="4"/>
  <c r="Q107" i="4"/>
  <c r="Q41" i="4"/>
  <c r="Q122" i="4"/>
  <c r="Q85" i="4"/>
  <c r="Q140" i="4"/>
  <c r="Q121" i="4"/>
  <c r="Q81" i="4"/>
  <c r="Q80" i="4"/>
  <c r="Q48" i="4"/>
  <c r="Q16" i="4"/>
  <c r="Q93" i="4"/>
  <c r="Q59" i="4"/>
  <c r="O2" i="4"/>
  <c r="P2" i="4"/>
  <c r="K143" i="4"/>
  <c r="J143" i="4"/>
  <c r="I143" i="4"/>
  <c r="K127" i="4"/>
  <c r="J127" i="4"/>
  <c r="I127" i="4"/>
  <c r="I142" i="4"/>
  <c r="J142" i="4"/>
  <c r="K142" i="4"/>
  <c r="I126" i="4"/>
  <c r="K126" i="4"/>
  <c r="J126" i="4"/>
  <c r="K87" i="4"/>
  <c r="J87" i="4"/>
  <c r="I87" i="4"/>
  <c r="K56" i="4"/>
  <c r="J56" i="4"/>
  <c r="I56" i="4"/>
  <c r="K40" i="4"/>
  <c r="J40" i="4"/>
  <c r="I40" i="4"/>
  <c r="K120" i="4"/>
  <c r="I120" i="4"/>
  <c r="J120" i="4"/>
  <c r="K112" i="4"/>
  <c r="J112" i="4"/>
  <c r="I112" i="4"/>
  <c r="K104" i="4"/>
  <c r="J104" i="4"/>
  <c r="I104" i="4"/>
  <c r="K96" i="4"/>
  <c r="J96" i="4"/>
  <c r="I96" i="4"/>
  <c r="L88" i="4"/>
  <c r="K88" i="4"/>
  <c r="J88" i="4"/>
  <c r="I88" i="4"/>
  <c r="K61" i="4"/>
  <c r="J61" i="4"/>
  <c r="I61" i="4"/>
  <c r="K45" i="4"/>
  <c r="J45" i="4"/>
  <c r="I45" i="4"/>
  <c r="K34" i="4"/>
  <c r="J34" i="4"/>
  <c r="I34" i="4"/>
  <c r="K26" i="4"/>
  <c r="J26" i="4"/>
  <c r="I26" i="4"/>
  <c r="K18" i="4"/>
  <c r="J18" i="4"/>
  <c r="I18" i="4"/>
  <c r="L10" i="4"/>
  <c r="K10" i="4"/>
  <c r="J10" i="4"/>
  <c r="I10" i="4"/>
  <c r="K141" i="4"/>
  <c r="I141" i="4"/>
  <c r="J141" i="4"/>
  <c r="K125" i="4"/>
  <c r="I125" i="4"/>
  <c r="J125" i="4"/>
  <c r="J140" i="4"/>
  <c r="K140" i="4"/>
  <c r="I140" i="4"/>
  <c r="L124" i="4"/>
  <c r="K124" i="4"/>
  <c r="J124" i="4"/>
  <c r="I124" i="4"/>
  <c r="L79" i="4"/>
  <c r="K79" i="4"/>
  <c r="J79" i="4"/>
  <c r="I79" i="4"/>
  <c r="L54" i="4"/>
  <c r="K54" i="4"/>
  <c r="J54" i="4"/>
  <c r="I54" i="4"/>
  <c r="K82" i="4"/>
  <c r="J82" i="4"/>
  <c r="I82" i="4"/>
  <c r="L119" i="4"/>
  <c r="K119" i="4"/>
  <c r="I119" i="4"/>
  <c r="J119" i="4"/>
  <c r="K111" i="4"/>
  <c r="J111" i="4"/>
  <c r="I111" i="4"/>
  <c r="K103" i="4"/>
  <c r="J103" i="4"/>
  <c r="I103" i="4"/>
  <c r="K95" i="4"/>
  <c r="J95" i="4"/>
  <c r="I95" i="4"/>
  <c r="L80" i="4"/>
  <c r="K80" i="4"/>
  <c r="J80" i="4"/>
  <c r="I80" i="4"/>
  <c r="L59" i="4"/>
  <c r="K59" i="4"/>
  <c r="J59" i="4"/>
  <c r="I59" i="4"/>
  <c r="K43" i="4"/>
  <c r="J43" i="4"/>
  <c r="I43" i="4"/>
  <c r="K33" i="4"/>
  <c r="J33" i="4"/>
  <c r="I33" i="4"/>
  <c r="L25" i="4"/>
  <c r="K25" i="4"/>
  <c r="J25" i="4"/>
  <c r="I25" i="4"/>
  <c r="K17" i="4"/>
  <c r="J17" i="4"/>
  <c r="I17" i="4"/>
  <c r="K9" i="4"/>
  <c r="J9" i="4"/>
  <c r="I9" i="4"/>
  <c r="J2" i="4"/>
  <c r="I2" i="4"/>
  <c r="K2" i="4"/>
  <c r="L139" i="4"/>
  <c r="K139" i="4"/>
  <c r="J139" i="4"/>
  <c r="I139" i="4"/>
  <c r="L123" i="4"/>
  <c r="K123" i="4"/>
  <c r="I123" i="4"/>
  <c r="J123" i="4"/>
  <c r="L138" i="4"/>
  <c r="K138" i="4"/>
  <c r="I138" i="4"/>
  <c r="J138" i="4"/>
  <c r="K70" i="4"/>
  <c r="J70" i="4"/>
  <c r="I70" i="4"/>
  <c r="L71" i="4"/>
  <c r="K71" i="4"/>
  <c r="J71" i="4"/>
  <c r="I71" i="4"/>
  <c r="K52" i="4"/>
  <c r="J52" i="4"/>
  <c r="I52" i="4"/>
  <c r="K74" i="4"/>
  <c r="J74" i="4"/>
  <c r="I74" i="4"/>
  <c r="K118" i="4"/>
  <c r="J118" i="4"/>
  <c r="I118" i="4"/>
  <c r="K110" i="4"/>
  <c r="J110" i="4"/>
  <c r="I110" i="4"/>
  <c r="K102" i="4"/>
  <c r="J102" i="4"/>
  <c r="I102" i="4"/>
  <c r="L94" i="4"/>
  <c r="K94" i="4"/>
  <c r="J94" i="4"/>
  <c r="I94" i="4"/>
  <c r="K72" i="4"/>
  <c r="J72" i="4"/>
  <c r="I72" i="4"/>
  <c r="L57" i="4"/>
  <c r="K57" i="4"/>
  <c r="J57" i="4"/>
  <c r="I57" i="4"/>
  <c r="K41" i="4"/>
  <c r="J41" i="4"/>
  <c r="I41" i="4"/>
  <c r="K32" i="4"/>
  <c r="J32" i="4"/>
  <c r="I32" i="4"/>
  <c r="K24" i="4"/>
  <c r="J24" i="4"/>
  <c r="I24" i="4"/>
  <c r="K16" i="4"/>
  <c r="J16" i="4"/>
  <c r="I16" i="4"/>
  <c r="L8" i="4"/>
  <c r="K8" i="4"/>
  <c r="J8" i="4"/>
  <c r="I8" i="4"/>
  <c r="L151" i="4"/>
  <c r="J151" i="4"/>
  <c r="I151" i="4"/>
  <c r="K151" i="4"/>
  <c r="L137" i="4"/>
  <c r="K137" i="4"/>
  <c r="I137" i="4"/>
  <c r="J137" i="4"/>
  <c r="L150" i="4"/>
  <c r="J150" i="4"/>
  <c r="I150" i="4"/>
  <c r="K150" i="4"/>
  <c r="I136" i="4"/>
  <c r="K136" i="4"/>
  <c r="J136" i="4"/>
  <c r="I81" i="4"/>
  <c r="K81" i="4"/>
  <c r="J81" i="4"/>
  <c r="K66" i="4"/>
  <c r="J66" i="4"/>
  <c r="I66" i="4"/>
  <c r="L50" i="4"/>
  <c r="K50" i="4"/>
  <c r="J50" i="4"/>
  <c r="I50" i="4"/>
  <c r="K85" i="4"/>
  <c r="J85" i="4"/>
  <c r="I85" i="4"/>
  <c r="K117" i="4"/>
  <c r="J117" i="4"/>
  <c r="I117" i="4"/>
  <c r="K109" i="4"/>
  <c r="J109" i="4"/>
  <c r="I109" i="4"/>
  <c r="L101" i="4"/>
  <c r="K101" i="4"/>
  <c r="J101" i="4"/>
  <c r="I101" i="4"/>
  <c r="K93" i="4"/>
  <c r="J93" i="4"/>
  <c r="I93" i="4"/>
  <c r="K83" i="4"/>
  <c r="J83" i="4"/>
  <c r="I83" i="4"/>
  <c r="L55" i="4"/>
  <c r="K55" i="4"/>
  <c r="J55" i="4"/>
  <c r="I55" i="4"/>
  <c r="K39" i="4"/>
  <c r="J39" i="4"/>
  <c r="I39" i="4"/>
  <c r="L31" i="4"/>
  <c r="K31" i="4"/>
  <c r="J31" i="4"/>
  <c r="I31" i="4"/>
  <c r="K23" i="4"/>
  <c r="J23" i="4"/>
  <c r="I23" i="4"/>
  <c r="L15" i="4"/>
  <c r="K15" i="4"/>
  <c r="J15" i="4"/>
  <c r="I15" i="4"/>
  <c r="K7" i="4"/>
  <c r="J7" i="4"/>
  <c r="I7" i="4"/>
  <c r="J148" i="4"/>
  <c r="I148" i="4"/>
  <c r="K148" i="4"/>
  <c r="K135" i="4"/>
  <c r="I135" i="4"/>
  <c r="J135" i="4"/>
  <c r="K86" i="4"/>
  <c r="J86" i="4"/>
  <c r="I86" i="4"/>
  <c r="K134" i="4"/>
  <c r="J134" i="4"/>
  <c r="I134" i="4"/>
  <c r="I73" i="4"/>
  <c r="K73" i="4"/>
  <c r="J73" i="4"/>
  <c r="K64" i="4"/>
  <c r="J64" i="4"/>
  <c r="I64" i="4"/>
  <c r="L48" i="4"/>
  <c r="K48" i="4"/>
  <c r="J48" i="4"/>
  <c r="I48" i="4"/>
  <c r="L77" i="4"/>
  <c r="K77" i="4"/>
  <c r="J77" i="4"/>
  <c r="I77" i="4"/>
  <c r="K116" i="4"/>
  <c r="J116" i="4"/>
  <c r="I116" i="4"/>
  <c r="K108" i="4"/>
  <c r="J108" i="4"/>
  <c r="I108" i="4"/>
  <c r="L100" i="4"/>
  <c r="K100" i="4"/>
  <c r="J100" i="4"/>
  <c r="I100" i="4"/>
  <c r="L92" i="4"/>
  <c r="K92" i="4"/>
  <c r="J92" i="4"/>
  <c r="I92" i="4"/>
  <c r="K75" i="4"/>
  <c r="J75" i="4"/>
  <c r="I75" i="4"/>
  <c r="L53" i="4"/>
  <c r="K53" i="4"/>
  <c r="J53" i="4"/>
  <c r="I53" i="4"/>
  <c r="K38" i="4"/>
  <c r="J38" i="4"/>
  <c r="I38" i="4"/>
  <c r="L30" i="4"/>
  <c r="K30" i="4"/>
  <c r="J30" i="4"/>
  <c r="I30" i="4"/>
  <c r="L22" i="4"/>
  <c r="K22" i="4"/>
  <c r="J22" i="4"/>
  <c r="I22" i="4"/>
  <c r="K14" i="4"/>
  <c r="J14" i="4"/>
  <c r="I14" i="4"/>
  <c r="L6" i="4"/>
  <c r="K6" i="4"/>
  <c r="J6" i="4"/>
  <c r="I6" i="4"/>
  <c r="K78" i="4"/>
  <c r="J78" i="4"/>
  <c r="I78" i="4"/>
  <c r="K133" i="4"/>
  <c r="J133" i="4"/>
  <c r="I133" i="4"/>
  <c r="L149" i="4"/>
  <c r="I149" i="4"/>
  <c r="J149" i="4"/>
  <c r="K149" i="4"/>
  <c r="L132" i="4"/>
  <c r="I132" i="4"/>
  <c r="K132" i="4"/>
  <c r="J132" i="4"/>
  <c r="J84" i="4"/>
  <c r="I84" i="4"/>
  <c r="K84" i="4"/>
  <c r="L62" i="4"/>
  <c r="K62" i="4"/>
  <c r="J62" i="4"/>
  <c r="I62" i="4"/>
  <c r="K46" i="4"/>
  <c r="J46" i="4"/>
  <c r="G46" i="4" s="1"/>
  <c r="I46" i="4"/>
  <c r="K69" i="4"/>
  <c r="J69" i="4"/>
  <c r="I69" i="4"/>
  <c r="L115" i="4"/>
  <c r="K115" i="4"/>
  <c r="J115" i="4"/>
  <c r="I115" i="4"/>
  <c r="L107" i="4"/>
  <c r="K107" i="4"/>
  <c r="J107" i="4"/>
  <c r="I107" i="4"/>
  <c r="K99" i="4"/>
  <c r="J99" i="4"/>
  <c r="I99" i="4"/>
  <c r="L91" i="4"/>
  <c r="K91" i="4"/>
  <c r="J91" i="4"/>
  <c r="I91" i="4"/>
  <c r="K67" i="4"/>
  <c r="J67" i="4"/>
  <c r="I67" i="4"/>
  <c r="K51" i="4"/>
  <c r="J51" i="4"/>
  <c r="I51" i="4"/>
  <c r="K37" i="4"/>
  <c r="J37" i="4"/>
  <c r="I37" i="4"/>
  <c r="G37" i="4" s="1"/>
  <c r="K29" i="4"/>
  <c r="J29" i="4"/>
  <c r="I29" i="4"/>
  <c r="K21" i="4"/>
  <c r="J21" i="4"/>
  <c r="I21" i="4"/>
  <c r="K13" i="4"/>
  <c r="J13" i="4"/>
  <c r="I13" i="4"/>
  <c r="K5" i="4"/>
  <c r="J5" i="4"/>
  <c r="I5" i="4"/>
  <c r="L147" i="4"/>
  <c r="I147" i="4"/>
  <c r="J147" i="4"/>
  <c r="K147" i="4"/>
  <c r="K131" i="4"/>
  <c r="I131" i="4"/>
  <c r="J131" i="4"/>
  <c r="L146" i="4"/>
  <c r="I146" i="4"/>
  <c r="J146" i="4"/>
  <c r="K146" i="4"/>
  <c r="J130" i="4"/>
  <c r="K130" i="4"/>
  <c r="I130" i="4"/>
  <c r="L76" i="4"/>
  <c r="J76" i="4"/>
  <c r="I76" i="4"/>
  <c r="K76" i="4"/>
  <c r="L60" i="4"/>
  <c r="K60" i="4"/>
  <c r="J60" i="4"/>
  <c r="I60" i="4"/>
  <c r="L44" i="4"/>
  <c r="K44" i="4"/>
  <c r="J44" i="4"/>
  <c r="I44" i="4"/>
  <c r="L122" i="4"/>
  <c r="I122" i="4"/>
  <c r="K122" i="4"/>
  <c r="J122" i="4"/>
  <c r="K114" i="4"/>
  <c r="J114" i="4"/>
  <c r="I114" i="4"/>
  <c r="K106" i="4"/>
  <c r="J106" i="4"/>
  <c r="I106" i="4"/>
  <c r="L98" i="4"/>
  <c r="K98" i="4"/>
  <c r="J98" i="4"/>
  <c r="I98" i="4"/>
  <c r="K90" i="4"/>
  <c r="J90" i="4"/>
  <c r="I90" i="4"/>
  <c r="K65" i="4"/>
  <c r="J65" i="4"/>
  <c r="I65" i="4"/>
  <c r="L49" i="4"/>
  <c r="K49" i="4"/>
  <c r="J49" i="4"/>
  <c r="I49" i="4"/>
  <c r="L36" i="4"/>
  <c r="K36" i="4"/>
  <c r="J36" i="4"/>
  <c r="I36" i="4"/>
  <c r="K28" i="4"/>
  <c r="J28" i="4"/>
  <c r="I28" i="4"/>
  <c r="K20" i="4"/>
  <c r="J20" i="4"/>
  <c r="I20" i="4"/>
  <c r="L12" i="4"/>
  <c r="K12" i="4"/>
  <c r="J12" i="4"/>
  <c r="I12" i="4"/>
  <c r="L4" i="4"/>
  <c r="K4" i="4"/>
  <c r="J4" i="4"/>
  <c r="I4" i="4"/>
  <c r="K145" i="4"/>
  <c r="I145" i="4"/>
  <c r="J145" i="4"/>
  <c r="K129" i="4"/>
  <c r="I129" i="4"/>
  <c r="J129" i="4"/>
  <c r="L144" i="4"/>
  <c r="K144" i="4"/>
  <c r="J144" i="4"/>
  <c r="I144" i="4"/>
  <c r="K128" i="4"/>
  <c r="J128" i="4"/>
  <c r="I128" i="4"/>
  <c r="J68" i="4"/>
  <c r="I68" i="4"/>
  <c r="K68" i="4"/>
  <c r="K58" i="4"/>
  <c r="J58" i="4"/>
  <c r="I58" i="4"/>
  <c r="L42" i="4"/>
  <c r="K42" i="4"/>
  <c r="J42" i="4"/>
  <c r="I42" i="4"/>
  <c r="L121" i="4"/>
  <c r="I121" i="4"/>
  <c r="K121" i="4"/>
  <c r="J121" i="4"/>
  <c r="K113" i="4"/>
  <c r="J113" i="4"/>
  <c r="I113" i="4"/>
  <c r="K105" i="4"/>
  <c r="J105" i="4"/>
  <c r="I105" i="4"/>
  <c r="K97" i="4"/>
  <c r="J97" i="4"/>
  <c r="I97" i="4"/>
  <c r="K89" i="4"/>
  <c r="J89" i="4"/>
  <c r="I89" i="4"/>
  <c r="K63" i="4"/>
  <c r="J63" i="4"/>
  <c r="I63" i="4"/>
  <c r="L47" i="4"/>
  <c r="K47" i="4"/>
  <c r="J47" i="4"/>
  <c r="I47" i="4"/>
  <c r="L35" i="4"/>
  <c r="K35" i="4"/>
  <c r="J35" i="4"/>
  <c r="I35" i="4"/>
  <c r="K27" i="4"/>
  <c r="J27" i="4"/>
  <c r="I27" i="4"/>
  <c r="K19" i="4"/>
  <c r="J19" i="4"/>
  <c r="I19" i="4"/>
  <c r="K11" i="4"/>
  <c r="J11" i="4"/>
  <c r="I11" i="4"/>
  <c r="K3" i="4"/>
  <c r="J3" i="4"/>
  <c r="I3" i="4"/>
  <c r="G32" i="4"/>
  <c r="G39" i="4"/>
  <c r="G26" i="4"/>
  <c r="G52" i="4"/>
  <c r="Q154" i="4" l="1"/>
  <c r="Q89" i="4"/>
  <c r="L154" i="4"/>
  <c r="Q141" i="4"/>
  <c r="Q94" i="4"/>
  <c r="Q126" i="4"/>
  <c r="Q9" i="4"/>
  <c r="Q77" i="4"/>
  <c r="Q120" i="4"/>
  <c r="Q132" i="4"/>
  <c r="Q151" i="4"/>
  <c r="Q10" i="4"/>
  <c r="Q117" i="4"/>
  <c r="Q149" i="4"/>
  <c r="Q102" i="4"/>
  <c r="Q134" i="4"/>
  <c r="Q73" i="4"/>
  <c r="Q96" i="4"/>
  <c r="Q128" i="4"/>
  <c r="Q119" i="4"/>
  <c r="G19" i="4"/>
  <c r="Q34" i="4"/>
  <c r="Q95" i="4"/>
  <c r="Q106" i="4"/>
  <c r="Q127" i="4"/>
  <c r="Q143" i="4"/>
  <c r="Q64" i="4"/>
  <c r="Q137" i="4"/>
  <c r="Q100" i="4"/>
  <c r="Q18" i="4"/>
  <c r="L32" i="4"/>
  <c r="L24" i="4"/>
  <c r="Q133" i="4"/>
  <c r="Q69" i="4"/>
  <c r="Q118" i="4"/>
  <c r="G12" i="4"/>
  <c r="Q27" i="4"/>
  <c r="Q12" i="4"/>
  <c r="Q63" i="4"/>
  <c r="Q76" i="4"/>
  <c r="Q32" i="4"/>
  <c r="Q138" i="4"/>
  <c r="Q14" i="4"/>
  <c r="Q25" i="4"/>
  <c r="G42" i="4"/>
  <c r="Q150" i="4"/>
  <c r="Q45" i="4"/>
  <c r="Q112" i="4"/>
  <c r="Q144" i="4"/>
  <c r="Q135" i="4"/>
  <c r="Q58" i="4"/>
  <c r="Q78" i="4"/>
  <c r="Q124" i="4"/>
  <c r="Q105" i="4"/>
  <c r="G51" i="4"/>
  <c r="G8" i="4"/>
  <c r="Q42" i="4"/>
  <c r="G36" i="4"/>
  <c r="G31" i="4"/>
  <c r="G24" i="4"/>
  <c r="G13" i="4"/>
  <c r="Q26" i="4"/>
  <c r="G16" i="4"/>
  <c r="G44" i="4"/>
  <c r="G17" i="4"/>
  <c r="L43" i="4"/>
  <c r="L26" i="4"/>
  <c r="L120" i="4"/>
  <c r="L70" i="4"/>
  <c r="G6" i="4"/>
  <c r="L95" i="4"/>
  <c r="G34" i="4"/>
  <c r="G40" i="4"/>
  <c r="G27" i="4"/>
  <c r="G30" i="4"/>
  <c r="G48" i="4"/>
  <c r="L135" i="4"/>
  <c r="G15" i="4"/>
  <c r="L39" i="4"/>
  <c r="L82" i="4"/>
  <c r="L112" i="4"/>
  <c r="L143" i="4"/>
  <c r="L83" i="4"/>
  <c r="L58" i="4"/>
  <c r="L116" i="4"/>
  <c r="L148" i="4"/>
  <c r="L109" i="4"/>
  <c r="L33" i="4"/>
  <c r="L18" i="4"/>
  <c r="G45" i="4"/>
  <c r="L108" i="4"/>
  <c r="G29" i="4"/>
  <c r="L64" i="4"/>
  <c r="L102" i="4"/>
  <c r="G11" i="4"/>
  <c r="L89" i="4"/>
  <c r="L68" i="4"/>
  <c r="G4" i="4"/>
  <c r="L78" i="4"/>
  <c r="G22" i="4"/>
  <c r="L23" i="4"/>
  <c r="G41" i="4"/>
  <c r="L110" i="4"/>
  <c r="L3" i="4"/>
  <c r="L11" i="4"/>
  <c r="L97" i="4"/>
  <c r="L21" i="4"/>
  <c r="L69" i="4"/>
  <c r="L86" i="4"/>
  <c r="G7" i="4"/>
  <c r="L118" i="4"/>
  <c r="L45" i="4"/>
  <c r="L27" i="4"/>
  <c r="L113" i="4"/>
  <c r="L145" i="4"/>
  <c r="G28" i="4"/>
  <c r="L90" i="4"/>
  <c r="L131" i="4"/>
  <c r="L72" i="4"/>
  <c r="L34" i="4"/>
  <c r="L96" i="4"/>
  <c r="L127" i="4"/>
  <c r="L63" i="4"/>
  <c r="L85" i="4"/>
  <c r="G25" i="4"/>
  <c r="G10" i="4"/>
  <c r="L9" i="4"/>
  <c r="L103" i="4"/>
  <c r="L125" i="4"/>
  <c r="L130" i="4"/>
  <c r="L37" i="4"/>
  <c r="L51" i="4"/>
  <c r="L46" i="4"/>
  <c r="L14" i="4"/>
  <c r="G23" i="4"/>
  <c r="L93" i="4"/>
  <c r="L81" i="4"/>
  <c r="L136" i="4"/>
  <c r="L41" i="4"/>
  <c r="L74" i="4"/>
  <c r="L52" i="4"/>
  <c r="L2" i="4"/>
  <c r="L17" i="4"/>
  <c r="G43" i="4"/>
  <c r="L111" i="4"/>
  <c r="L140" i="4"/>
  <c r="L141" i="4"/>
  <c r="L142" i="4"/>
  <c r="G20" i="4"/>
  <c r="G3" i="4"/>
  <c r="L20" i="4"/>
  <c r="L106" i="4"/>
  <c r="G5" i="4"/>
  <c r="G21" i="4"/>
  <c r="G50" i="4"/>
  <c r="L104" i="4"/>
  <c r="L28" i="4"/>
  <c r="G49" i="4"/>
  <c r="L114" i="4"/>
  <c r="L67" i="4"/>
  <c r="L84" i="4"/>
  <c r="L38" i="4"/>
  <c r="L7" i="4"/>
  <c r="L117" i="4"/>
  <c r="L128" i="4"/>
  <c r="L133" i="4"/>
  <c r="G14" i="4"/>
  <c r="G9" i="4"/>
  <c r="L5" i="4"/>
  <c r="L13" i="4"/>
  <c r="L99" i="4"/>
  <c r="L73" i="4"/>
  <c r="L134" i="4"/>
  <c r="G35" i="4"/>
  <c r="L75" i="4"/>
  <c r="L66" i="4"/>
  <c r="L40" i="4"/>
  <c r="L87" i="4"/>
  <c r="L19" i="4"/>
  <c r="G47" i="4"/>
  <c r="L105" i="4"/>
  <c r="L129" i="4"/>
  <c r="L65" i="4"/>
  <c r="L29" i="4"/>
  <c r="G38" i="4"/>
  <c r="L16" i="4"/>
  <c r="G33" i="4"/>
  <c r="G18" i="4"/>
  <c r="L61" i="4"/>
  <c r="L56" i="4"/>
  <c r="L126" i="4"/>
  <c r="G53" i="4"/>
  <c r="Y5" i="4" l="1"/>
  <c r="Y4" i="4"/>
  <c r="G54" i="4"/>
  <c r="G55" i="4" l="1"/>
  <c r="G56" i="4" l="1"/>
  <c r="G57" i="4" l="1"/>
  <c r="G58" i="4" l="1"/>
  <c r="G59" i="4" l="1"/>
  <c r="G60" i="4" l="1"/>
  <c r="G61" i="4" l="1"/>
  <c r="G62" i="4" l="1"/>
  <c r="G63" i="4" l="1"/>
  <c r="G64" i="4" l="1"/>
  <c r="G65" i="4" l="1"/>
  <c r="G66" i="4" l="1"/>
  <c r="G67" i="4"/>
  <c r="G68" i="4" l="1"/>
  <c r="G69" i="4" l="1"/>
  <c r="G70" i="4" l="1"/>
  <c r="G71" i="4" l="1"/>
  <c r="G72" i="4" l="1"/>
  <c r="G73" i="4" l="1"/>
  <c r="G74" i="4" l="1"/>
  <c r="G75" i="4" l="1"/>
  <c r="G76" i="4" l="1"/>
  <c r="G77" i="4" l="1"/>
  <c r="G78" i="4" l="1"/>
  <c r="G79" i="4" l="1"/>
  <c r="G80" i="4" l="1"/>
  <c r="G81" i="4" l="1"/>
  <c r="G82" i="4"/>
  <c r="G83" i="4" l="1"/>
  <c r="G84" i="4" l="1"/>
  <c r="G85" i="4" l="1"/>
  <c r="G86" i="4"/>
  <c r="G87" i="4" l="1"/>
  <c r="G88" i="4" l="1"/>
  <c r="G89" i="4" l="1"/>
  <c r="G90" i="4" l="1"/>
  <c r="G91" i="4" l="1"/>
  <c r="G92" i="4" l="1"/>
  <c r="G93" i="4" l="1"/>
  <c r="G94" i="4" l="1"/>
  <c r="G95" i="4" l="1"/>
  <c r="G96" i="4" l="1"/>
  <c r="G97" i="4" l="1"/>
  <c r="G98" i="4" l="1"/>
  <c r="G99" i="4" l="1"/>
  <c r="G100" i="4"/>
  <c r="G101" i="4" l="1"/>
  <c r="G102" i="4" l="1"/>
  <c r="G103" i="4" l="1"/>
  <c r="G104" i="4" l="1"/>
  <c r="G105" i="4" l="1"/>
  <c r="G106" i="4" l="1"/>
  <c r="G107" i="4" l="1"/>
  <c r="G108" i="4" l="1"/>
  <c r="G109" i="4" l="1"/>
  <c r="G110" i="4" l="1"/>
  <c r="G111" i="4" l="1"/>
  <c r="G112" i="4" l="1"/>
  <c r="G113" i="4"/>
  <c r="G114" i="4" l="1"/>
  <c r="G115" i="4" l="1"/>
  <c r="G116" i="4" l="1"/>
  <c r="G117" i="4" l="1"/>
  <c r="G118" i="4" l="1"/>
  <c r="G119" i="4"/>
  <c r="G120" i="4" l="1"/>
  <c r="G121" i="4" l="1"/>
  <c r="G122" i="4" l="1"/>
  <c r="G123" i="4" l="1"/>
  <c r="G124" i="4"/>
  <c r="G125" i="4" l="1"/>
  <c r="G127" i="4" l="1"/>
  <c r="G126" i="4"/>
  <c r="G128" i="4" l="1"/>
  <c r="G129" i="4"/>
  <c r="G130" i="4" l="1"/>
  <c r="G131" i="4" l="1"/>
  <c r="G132" i="4" l="1"/>
  <c r="G133" i="4" l="1"/>
  <c r="G134" i="4"/>
  <c r="G135" i="4" l="1"/>
  <c r="G136" i="4" l="1"/>
  <c r="G137" i="4" l="1"/>
  <c r="G138" i="4" l="1"/>
  <c r="G139" i="4" l="1"/>
  <c r="G140" i="4"/>
  <c r="G141" i="4" l="1"/>
  <c r="G142" i="4" l="1"/>
  <c r="G143" i="4" l="1"/>
  <c r="G144" i="4" l="1"/>
  <c r="G145" i="4" l="1"/>
  <c r="G146" i="4" l="1"/>
  <c r="G147" i="4" l="1"/>
  <c r="G148" i="4" l="1"/>
  <c r="G149" i="4" l="1"/>
  <c r="G150" i="4" l="1"/>
  <c r="G151" i="4" l="1"/>
  <c r="G2" i="4" l="1"/>
  <c r="Y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<sst xmlns="http://schemas.openxmlformats.org/spreadsheetml/2006/main" count="1024" uniqueCount="75">
  <si>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</si>
  <si>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</si>
  <si>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</si>
  <si>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</si>
  <si>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</si>
  <si>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</si>
  <si>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</si>
  <si>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</si>
  <si>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n</t>
  </si>
  <si>
    <t>Skuteczność algorytmów</t>
  </si>
  <si>
    <t>Colour</t>
  </si>
  <si>
    <t>blue</t>
  </si>
  <si>
    <t>violet</t>
  </si>
  <si>
    <t>white</t>
  </si>
  <si>
    <t>yellow</t>
  </si>
  <si>
    <t>Etykiety wierszy</t>
  </si>
  <si>
    <t>Suma końcowa</t>
  </si>
  <si>
    <t>Etykiety kolumn</t>
  </si>
  <si>
    <t>Liczba z Species</t>
  </si>
  <si>
    <t>p. a'priori</t>
  </si>
  <si>
    <t>śr pl</t>
  </si>
  <si>
    <t>śr pw</t>
  </si>
  <si>
    <t>odch pl</t>
  </si>
  <si>
    <t>bw pl</t>
  </si>
  <si>
    <t>bw pw</t>
  </si>
  <si>
    <t>odch pw</t>
  </si>
  <si>
    <t>Naiwny Bayes (wszystko)</t>
  </si>
  <si>
    <t>Naiwny Bayes (płatek+kolor)</t>
  </si>
  <si>
    <t>Naiwny Bayes (płatek)</t>
  </si>
  <si>
    <t>prognoza(pł)</t>
  </si>
  <si>
    <t>G_X(pł)</t>
  </si>
  <si>
    <t>p1(pł)</t>
  </si>
  <si>
    <t>p2(pł)</t>
  </si>
  <si>
    <t>p3(pł)</t>
  </si>
  <si>
    <t>G_X(pł+kol)</t>
  </si>
  <si>
    <t>prognoza(pł+kol)</t>
  </si>
  <si>
    <t>p1(pł+kol)</t>
  </si>
  <si>
    <t>p2(pł+kol)</t>
  </si>
  <si>
    <t>p3(pł+kol)</t>
  </si>
  <si>
    <t>prognoza(all)</t>
  </si>
  <si>
    <t>G_X(all)</t>
  </si>
  <si>
    <t>p1(all)</t>
  </si>
  <si>
    <t>p2(all)</t>
  </si>
  <si>
    <t>p3(all)</t>
  </si>
  <si>
    <t>odch sl</t>
  </si>
  <si>
    <t>odch sw</t>
  </si>
  <si>
    <t>bw sl</t>
  </si>
  <si>
    <t>bw sw</t>
  </si>
  <si>
    <t>Nowy</t>
  </si>
  <si>
    <t>Odległość</t>
  </si>
  <si>
    <t>sl</t>
  </si>
  <si>
    <t>sw</t>
  </si>
  <si>
    <t>pl</t>
  </si>
  <si>
    <t>pw</t>
  </si>
  <si>
    <t>Liczba</t>
  </si>
  <si>
    <t>Gatunek</t>
  </si>
  <si>
    <t>Max--&gt;</t>
  </si>
  <si>
    <t>Odch</t>
  </si>
  <si>
    <t>L.p.</t>
  </si>
  <si>
    <t>Los. el.</t>
  </si>
  <si>
    <t>Ilość powt.</t>
  </si>
  <si>
    <t>Skuteczność algorytmu</t>
  </si>
  <si>
    <t>Naiwny Bayes (bootstrapping)</t>
  </si>
  <si>
    <t>prognoza(bs)</t>
  </si>
  <si>
    <t>G_X(bs)</t>
  </si>
  <si>
    <t>p1(bs)</t>
  </si>
  <si>
    <t>p2(bs)</t>
  </si>
  <si>
    <t>p3(bs)</t>
  </si>
  <si>
    <t>odch pl (bs)</t>
  </si>
  <si>
    <t>odch pw (bs)</t>
  </si>
  <si>
    <t>bw pl (bs)</t>
  </si>
  <si>
    <t>bw pw (bs)</t>
  </si>
  <si>
    <t>colour</t>
  </si>
  <si>
    <t>WAŻNE!</t>
  </si>
  <si>
    <t>W przypadku zmiennej zależnej, należy odpowiednio poprawić mianownik!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</si>
</sst>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568D2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rgb="FF7F7F7F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rgb="FF7F7F7F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NumberFormat="1"/>
    <xf numFmtId="0" fontId="0" fillId="0" borderId="12" xfId="0" applyBorder="1" applyAlignment="1">
      <alignment horizontal="center"/>
    </xf>
    <xf numFmtId="0" fontId="5" fillId="0" borderId="21" xfId="5" applyBorder="1" applyAlignment="1">
      <alignment horizontal="center"/>
    </xf>
    <xf numFmtId="0" fontId="0" fillId="0" borderId="0" xfId="0" applyAlignment="1">
      <alignment horizontal="center"/>
    </xf>
    <xf numFmtId="0" fontId="5" fillId="0" borderId="23" xfId="5" applyBorder="1" applyAlignment="1">
      <alignment horizontal="center"/>
    </xf>
    <xf numFmtId="0" fontId="5" fillId="0" borderId="24" xfId="5" applyBorder="1" applyAlignment="1">
      <alignment horizontal="center"/>
    </xf>
    <xf numFmtId="0" fontId="0" fillId="0" borderId="34" xfId="0" applyBorder="1" applyAlignment="1">
      <alignment horizontal="center"/>
    </xf>
    <xf numFmtId="0" fontId="5" fillId="0" borderId="36" xfId="5" applyBorder="1" applyAlignment="1">
      <alignment horizontal="center"/>
    </xf>
    <xf numFmtId="0" fontId="5" fillId="0" borderId="38" xfId="5" applyBorder="1" applyAlignment="1">
      <alignment horizontal="center"/>
    </xf>
    <xf numFmtId="0" fontId="5" fillId="0" borderId="35" xfId="5" applyBorder="1" applyAlignment="1">
      <alignment horizontal="center"/>
    </xf>
    <xf numFmtId="0" fontId="5" fillId="0" borderId="34" xfId="5" applyBorder="1" applyAlignment="1">
      <alignment horizontal="center"/>
    </xf>
    <xf numFmtId="0" fontId="5" fillId="0" borderId="39" xfId="5" applyBorder="1" applyAlignment="1">
      <alignment horizontal="center"/>
    </xf>
    <xf numFmtId="10" fontId="11" fillId="6" borderId="11" xfId="42" applyNumberFormat="1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0" borderId="12" xfId="5" applyBorder="1" applyAlignment="1">
      <alignment horizontal="center"/>
    </xf>
    <xf numFmtId="0" fontId="5" fillId="0" borderId="13" xfId="5" applyBorder="1" applyAlignment="1">
      <alignment horizontal="center"/>
    </xf>
    <xf numFmtId="0" fontId="5" fillId="0" borderId="14" xfId="5" applyBorder="1" applyAlignment="1">
      <alignment horizontal="center"/>
    </xf>
    <xf numFmtId="0" fontId="5" fillId="6" borderId="29" xfId="5" applyFill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pivotButton="1" applyAlignment="1">
      <alignment horizontal="center"/>
    </xf>
    <xf numFmtId="0" fontId="13" fillId="33" borderId="26" xfId="0" applyFont="1" applyFill="1" applyBorder="1" applyAlignment="1">
      <alignment horizontal="center"/>
    </xf>
    <xf numFmtId="0" fontId="13" fillId="9" borderId="25" xfId="18" applyFont="1" applyBorder="1" applyAlignment="1">
      <alignment horizontal="center"/>
    </xf>
    <xf numFmtId="0" fontId="13" fillId="21" borderId="27" xfId="30" applyFont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NumberForma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5" fillId="0" borderId="45" xfId="5" applyBorder="1" applyAlignment="1">
      <alignment horizontal="center"/>
    </xf>
    <xf numFmtId="0" fontId="5" fillId="0" borderId="46" xfId="5" applyBorder="1" applyAlignment="1">
      <alignment horizontal="center"/>
    </xf>
    <xf numFmtId="0" fontId="5" fillId="0" borderId="47" xfId="5" applyBorder="1" applyAlignment="1">
      <alignment horizontal="center"/>
    </xf>
    <xf numFmtId="0" fontId="5" fillId="0" borderId="40" xfId="5" applyBorder="1" applyAlignment="1">
      <alignment horizontal="center"/>
    </xf>
    <xf numFmtId="0" fontId="5" fillId="0" borderId="19" xfId="5" applyBorder="1" applyAlignment="1">
      <alignment horizontal="center"/>
    </xf>
    <xf numFmtId="0" fontId="5" fillId="0" borderId="20" xfId="5" applyBorder="1" applyAlignment="1">
      <alignment horizontal="center"/>
    </xf>
    <xf numFmtId="0" fontId="5" fillId="0" borderId="41" xfId="5" applyBorder="1" applyAlignment="1">
      <alignment horizontal="center"/>
    </xf>
    <xf numFmtId="0" fontId="5" fillId="0" borderId="18" xfId="5" applyBorder="1" applyAlignment="1">
      <alignment horizontal="center"/>
    </xf>
    <xf numFmtId="0" fontId="5" fillId="0" borderId="22" xfId="5" applyBorder="1" applyAlignment="1">
      <alignment horizontal="center"/>
    </xf>
    <xf numFmtId="0" fontId="0" fillId="0" borderId="48" xfId="0" applyBorder="1" applyAlignment="1">
      <alignment horizontal="right" vertical="center"/>
    </xf>
    <xf numFmtId="0" fontId="11" fillId="6" borderId="49" xfId="11" applyBorder="1" applyAlignment="1">
      <alignment horizontal="center"/>
    </xf>
    <xf numFmtId="0" fontId="11" fillId="6" borderId="50" xfId="11" applyBorder="1" applyAlignment="1">
      <alignment horizontal="center"/>
    </xf>
    <xf numFmtId="0" fontId="11" fillId="6" borderId="51" xfId="1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0" xfId="0" applyBorder="1" applyAlignment="1">
      <alignment horizontal="center"/>
    </xf>
    <xf numFmtId="0" fontId="10" fillId="6" borderId="5" xfId="10" applyAlignment="1">
      <alignment horizontal="center" vertical="center"/>
    </xf>
    <xf numFmtId="0" fontId="13" fillId="7" borderId="7" xfId="13" applyAlignment="1">
      <alignment horizontal="center" vertical="center"/>
    </xf>
    <xf numFmtId="0" fontId="16" fillId="0" borderId="0" xfId="0" applyFont="1" applyAlignment="1"/>
    <xf numFmtId="0" fontId="16" fillId="0" borderId="0" xfId="0" applyFont="1" applyAlignment="1">
      <alignment horizontal="center" vertical="center"/>
    </xf>
    <xf numFmtId="0" fontId="16" fillId="0" borderId="0" xfId="0" applyFont="1"/>
    <xf numFmtId="0" fontId="10" fillId="6" borderId="5" xfId="10"/>
    <xf numFmtId="0" fontId="10" fillId="6" borderId="55" xfId="10" applyBorder="1"/>
    <xf numFmtId="0" fontId="16" fillId="0" borderId="28" xfId="0" applyFont="1" applyBorder="1" applyAlignment="1">
      <alignment horizontal="center"/>
    </xf>
    <xf numFmtId="0" fontId="10" fillId="6" borderId="55" xfId="10" applyBorder="1" applyAlignment="1">
      <alignment horizontal="center" vertical="center"/>
    </xf>
    <xf numFmtId="0" fontId="5" fillId="0" borderId="22" xfId="5" applyFill="1" applyBorder="1" applyAlignment="1">
      <alignment horizontal="center"/>
    </xf>
    <xf numFmtId="0" fontId="5" fillId="0" borderId="23" xfId="5" applyFill="1" applyBorder="1" applyAlignment="1">
      <alignment horizontal="center"/>
    </xf>
    <xf numFmtId="0" fontId="5" fillId="0" borderId="24" xfId="5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5" fillId="0" borderId="0" xfId="5" applyBorder="1" applyAlignment="1">
      <alignment horizontal="center"/>
    </xf>
    <xf numFmtId="0" fontId="5" fillId="0" borderId="0" xfId="5" applyBorder="1" applyAlignment="1">
      <alignment horizontal="right"/>
    </xf>
    <xf numFmtId="0" fontId="15" fillId="0" borderId="0" xfId="16" applyBorder="1" applyAlignment="1">
      <alignment horizontal="center"/>
    </xf>
    <xf numFmtId="0" fontId="15" fillId="0" borderId="23" xfId="16" applyBorder="1" applyAlignment="1">
      <alignment horizontal="center"/>
    </xf>
    <xf numFmtId="0" fontId="15" fillId="0" borderId="59" xfId="16" applyBorder="1" applyAlignment="1">
      <alignment horizontal="center"/>
    </xf>
    <xf numFmtId="0" fontId="11" fillId="8" borderId="61" xfId="15" applyFont="1" applyBorder="1" applyAlignment="1">
      <alignment horizontal="center"/>
    </xf>
    <xf numFmtId="0" fontId="11" fillId="8" borderId="62" xfId="15" applyFont="1" applyBorder="1" applyAlignment="1">
      <alignment horizontal="center"/>
    </xf>
    <xf numFmtId="0" fontId="11" fillId="8" borderId="63" xfId="15" applyFont="1" applyBorder="1" applyAlignment="1">
      <alignment horizontal="center"/>
    </xf>
    <xf numFmtId="0" fontId="11" fillId="8" borderId="64" xfId="15" applyFont="1" applyBorder="1" applyAlignment="1">
      <alignment horizontal="center"/>
    </xf>
    <xf numFmtId="0" fontId="5" fillId="0" borderId="59" xfId="5" applyBorder="1" applyAlignment="1">
      <alignment horizontal="right"/>
    </xf>
    <xf numFmtId="0" fontId="5" fillId="0" borderId="58" xfId="5" applyBorder="1" applyAlignment="1">
      <alignment horizontal="center"/>
    </xf>
    <xf numFmtId="0" fontId="5" fillId="0" borderId="59" xfId="5" applyBorder="1" applyAlignment="1">
      <alignment horizontal="center"/>
    </xf>
    <xf numFmtId="0" fontId="5" fillId="0" borderId="60" xfId="5" applyBorder="1" applyAlignment="1">
      <alignment horizontal="center"/>
    </xf>
    <xf numFmtId="0" fontId="11" fillId="6" borderId="67" xfId="11" applyBorder="1" applyAlignment="1">
      <alignment horizontal="center"/>
    </xf>
    <xf numFmtId="0" fontId="11" fillId="6" borderId="68" xfId="11" applyBorder="1" applyAlignment="1">
      <alignment horizontal="center"/>
    </xf>
    <xf numFmtId="0" fontId="0" fillId="0" borderId="0" xfId="0" applyNumberFormat="1" applyAlignment="1">
      <alignment horizontal="center"/>
    </xf>
    <xf numFmtId="0" fontId="14" fillId="0" borderId="0" xfId="14" applyAlignment="1">
      <alignment horizontal="center"/>
    </xf>
    <xf numFmtId="0" fontId="18" fillId="0" borderId="0" xfId="0" applyFont="1"/>
    <xf numFmtId="0" fontId="5" fillId="0" borderId="28" xfId="5" applyBorder="1" applyAlignment="1">
      <alignment horizontal="center"/>
    </xf>
    <xf numFmtId="0" fontId="5" fillId="0" borderId="30" xfId="5" applyBorder="1" applyAlignment="1">
      <alignment horizontal="center"/>
    </xf>
    <xf numFmtId="0" fontId="5" fillId="0" borderId="33" xfId="5" applyBorder="1" applyAlignment="1">
      <alignment horizontal="center"/>
    </xf>
    <xf numFmtId="0" fontId="5" fillId="0" borderId="32" xfId="5" applyBorder="1" applyAlignment="1">
      <alignment horizontal="center"/>
    </xf>
    <xf numFmtId="0" fontId="5" fillId="0" borderId="31" xfId="5" applyBorder="1" applyAlignment="1">
      <alignment horizontal="center"/>
    </xf>
    <xf numFmtId="0" fontId="5" fillId="0" borderId="66" xfId="5" applyBorder="1" applyAlignment="1">
      <alignment horizontal="center"/>
    </xf>
    <xf numFmtId="0" fontId="5" fillId="0" borderId="65" xfId="5" applyBorder="1" applyAlignment="1">
      <alignment horizontal="center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Procentowy" xfId="42" builtinId="5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2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fgColor rgb="FFFF6969"/>
          <bgColor rgb="FFFF6D6D"/>
        </patternFill>
      </fill>
    </dxf>
    <dxf>
      <fill>
        <patternFill>
          <bgColor rgb="FFFF6969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alignment horizontal="center"/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FF6D6D"/>
      <color rgb="FFFF6969"/>
      <color rgb="FFA568D2"/>
      <color rgb="FFFF5050"/>
      <color rgb="FFFF6161"/>
      <color rgb="FFFF7575"/>
      <color rgb="FFFF8B8B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BL11%20v2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84.005259143516" createdVersion="6" refreshedVersion="6" minRefreshableVersion="3" recordCount="150" xr:uid="{6DAE52AB-7D09-4772-9CD8-9D807EBDE207}">
  <cacheSource type="worksheet">
    <worksheetSource ref="E1:F151" sheet="LDA" r:id="rId2"/>
  </cacheSource>
  <cacheFields count="2">
    <cacheField name="Colour" numFmtId="0">
      <sharedItems count="4">
        <s v="blue"/>
        <s v="violet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89.85439108796" createdVersion="6" refreshedVersion="6" minRefreshableVersion="3" recordCount="150" xr:uid="{BEB8C755-100E-4141-A104-EDD72B189876}">
  <cacheSource type="worksheet">
    <worksheetSource ref="O1:P151" sheet="NaiwnyBayes(bootstrapping)"/>
  </cacheSource>
  <cacheFields count="2">
    <cacheField name="Colour" numFmtId="0">
      <sharedItems count="4">
        <s v="blue"/>
        <s v="violet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3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60E40D-3E46-4A17-B150-D9B44B02575C}" name="Tabela przestawna1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W21:AA27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formats count="1">
    <format dxfId="15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EB0AB-F5B9-46E9-A552-608BB49FCA64}" name="Tabela przestawna3" cacheId="1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W15:AA21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1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EE8F5-BD64-4EBC-84F3-661821494ECE}">
  <sheetPr codeName="Arkusz1"/>
  <dimension ref="A1:AB154"/>
  <sheetViews>
    <sheetView tabSelected="1" topLeftCell="I1" workbookViewId="0">
      <selection activeCell="AB5" sqref="AB5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6" max="6" width="9.7109375" bestFit="1" customWidth="1"/>
    <col min="7" max="7" width="13.28515625" bestFit="1" customWidth="1"/>
    <col min="8" max="11" width="9.7109375" customWidth="1"/>
    <col min="12" max="12" width="16.140625" bestFit="1" customWidth="1"/>
    <col min="13" max="13" width="11.42578125" bestFit="1" customWidth="1"/>
    <col min="14" max="16" width="9.7109375" customWidth="1"/>
    <col min="17" max="17" width="16.140625" bestFit="1" customWidth="1"/>
    <col min="18" max="18" width="11.42578125" bestFit="1" customWidth="1"/>
    <col min="19" max="21" width="9.7109375" customWidth="1"/>
    <col min="22" max="22" width="13.28515625" bestFit="1" customWidth="1"/>
    <col min="23" max="24" width="20" bestFit="1" customWidth="1"/>
    <col min="25" max="25" width="18.85546875" customWidth="1"/>
    <col min="26" max="26" width="19.7109375" customWidth="1"/>
    <col min="27" max="27" width="14.28515625" bestFit="1" customWidth="1"/>
    <col min="28" max="30" width="12" bestFit="1" customWidth="1"/>
    <col min="31" max="31" width="9.7109375" customWidth="1"/>
    <col min="32" max="32" width="12" customWidth="1"/>
  </cols>
  <sheetData>
    <row r="1" spans="1:26" ht="15.75" thickBot="1" x14ac:dyDescent="0.3">
      <c r="A1" s="16" t="s">
        <v>0</v>
      </c>
      <c r="B1" s="17" t="s">
        <v>1</v>
      </c>
      <c r="C1" s="17" t="s">
        <v>2</v>
      </c>
      <c r="D1" s="18" t="s">
        <v>3</v>
      </c>
      <c r="E1" s="16" t="s">
        <v>10</v>
      </c>
      <c r="F1" s="19" t="s">
        <v>4</v>
      </c>
      <c r="G1" s="5" t="s">
        <v>29</v>
      </c>
      <c r="H1" s="5" t="s">
        <v>30</v>
      </c>
      <c r="I1" s="5" t="s">
        <v>31</v>
      </c>
      <c r="J1" s="5" t="s">
        <v>32</v>
      </c>
      <c r="K1" s="5" t="s">
        <v>33</v>
      </c>
      <c r="L1" s="47" t="s">
        <v>35</v>
      </c>
      <c r="M1" s="5" t="s">
        <v>34</v>
      </c>
      <c r="N1" s="5" t="s">
        <v>36</v>
      </c>
      <c r="O1" s="5" t="s">
        <v>37</v>
      </c>
      <c r="P1" s="5" t="s">
        <v>38</v>
      </c>
      <c r="Q1" s="47" t="s">
        <v>39</v>
      </c>
      <c r="R1" s="5" t="s">
        <v>40</v>
      </c>
      <c r="S1" s="5" t="s">
        <v>41</v>
      </c>
      <c r="T1" s="5" t="s">
        <v>42</v>
      </c>
      <c r="U1" s="6" t="s">
        <v>43</v>
      </c>
    </row>
    <row r="2" spans="1:26" ht="15.75" thickBot="1" x14ac:dyDescent="0.3">
      <c r="A2" s="9">
        <v>5.0999999999999996</v>
      </c>
      <c r="B2" s="3">
        <v>3.5</v>
      </c>
      <c r="C2" s="3">
        <v>1.4</v>
      </c>
      <c r="D2" s="8">
        <v>0.2</v>
      </c>
      <c r="E2" s="9" t="s">
        <v>11</v>
      </c>
      <c r="F2" s="49" t="s">
        <v>5</v>
      </c>
      <c r="G2" s="39" t="str">
        <f t="shared" ref="G2:G33" si="0">IF(I2&gt;MAX(J2:K2),$F$2,IF(J2&gt;K2,$F$52,$F$102))</f>
        <v>setosa</v>
      </c>
      <c r="H2" s="40" cm="1">
        <f t="array" ref="H2">X$8*EstymacjaGaussowska($C2,$C$2:$C$51,X$14)*EstymacjaGaussowska($D2,$D$2:$D$51,X$15)+Y$8*EstymacjaGaussowska($C2,$C$52:$C$101,Y$14)*EstymacjaGaussowska($D2,$D$52:$D$101,Y$15)+Z$8*EstymacjaGaussowska($C2,$C$102:$C$151,Z$14)*EstymacjaGaussowska($D2,$D$102:$D$151,Z$15)</f>
        <v>3.5560587505669878</v>
      </c>
      <c r="I2" s="40" cm="1">
        <f t="array" ref="I2">X$8*EstymacjaGaussowska($C2,$C$2:$C$51,X$14)*EstymacjaGaussowska($D2,$D$2:$D$51,X$15)/$H2</f>
        <v>1</v>
      </c>
      <c r="J2" s="40" cm="1">
        <f t="array" ref="J2">Y$8*EstymacjaGaussowska($C2,$C$52:$C$101,Y$14)*EstymacjaGaussowska($D2,$D$52:$D$101,Y$15)/$H2</f>
        <v>2.7804302735408849E-29</v>
      </c>
      <c r="K2" s="41" cm="1">
        <f t="array" ref="K2">Z$8*EstymacjaGaussowska($C2,$C$102:$C$151,Z$14)*EstymacjaGaussowska($D2,$D$102:$D$151,Z$15)/$H2</f>
        <v>2.6701995154540739E-51</v>
      </c>
      <c r="L2" s="46" t="str">
        <f t="shared" ref="L2:L65" si="1">IF(N2&gt;MAX(O2:P2),$F$2,IF(O2&gt;P2,$F$52,$F$102))</f>
        <v>setosa</v>
      </c>
      <c r="M2" s="40" cm="1">
        <f t="array" ref="M2">X$8*EstymacjaGaussowska($C2,$C$2:$C$51,X$14)*EstymacjaGaussowska($D2,$D$2:$D$51,X$15)*VLOOKUP($E2,$W$29:$AA$32,2)+Y$8*EstymacjaGaussowska($C2,$C$52:$C$101,Y$14)*EstymacjaGaussowska($D2,$D$52:$D$101,Y$15)*VLOOKUP($E2,$W$29:$AA$32,3)+Z$8*EstymacjaGaussowska($C2,$C$102:$C$151,Z$14)*EstymacjaGaussowska($D2,$D$102:$D$151,Z$15)*VLOOKUP($E2,$W$29:$AA$32,4)</f>
        <v>1.5646658502494746</v>
      </c>
      <c r="N2" s="40" cm="1">
        <f t="array" ref="N2">X$8*EstymacjaGaussowska($C2,$C$2:$C$51,X$14)*EstymacjaGaussowska($D2,$D$2:$D$51,X$15)*VLOOKUP($E2,$W$29:$AA$32,2)/$M2</f>
        <v>1</v>
      </c>
      <c r="O2" s="40" cm="1">
        <f t="array" ref="O2">Y$8*EstymacjaGaussowska($C2,$C$52:$C$101,Y$14)*EstymacjaGaussowska($D2,$D$52:$D$101,Y$15)*VLOOKUP($E2,$W$29:$AA$32,3)/$M2</f>
        <v>1.1374487482667257E-29</v>
      </c>
      <c r="P2" s="41" cm="1">
        <f t="array" ref="P2">Z$8*EstymacjaGaussowska($C2,$C$102:$C$151,Z$14)*EstymacjaGaussowska($D2,$D$102:$D$151,Z$15)*VLOOKUP($E2,$W$29:$AA$32,4)/$M2</f>
        <v>3.6411811574373734E-51</v>
      </c>
      <c r="Q2" s="46" t="str">
        <f>IF(S2&gt;MAX(T2:U2),$F$2,IF(T2&gt;U2,$F$52,$F$102))</f>
        <v>setosa</v>
      </c>
      <c r="R2" s="40" cm="1">
        <f t="array" ref="R2">X$8*EstymacjaGaussowska($C2,$C$2:$C$51,X$14)*EstymacjaGaussowska($D2,$D$2:$D$51,X$15)*EstymacjaGaussowska($A2,$A$2:$A$51,X$18)*EstymacjaGaussowska($B2,$B$2:$B$51,X$19)*VLOOKUP($E2,$W$29:$AA$32,2)+Y$8*EstymacjaGaussowska($C2,$C$52:$C$101,Y$14)*EstymacjaGaussowska($D2,$D$52:$D$101,Y$15)*EstymacjaGaussowska($A2,$A$52:$A$101,Y$18)*EstymacjaGaussowska($B2,$B$52:$B$101,Y$19)*VLOOKUP($E2,$W$29:$AA$32,3)+Z$8*EstymacjaGaussowska($C2,$C$102:$C$151,Z$14)*EstymacjaGaussowska($D2,$D$102:$D$151,Z$15)*EstymacjaGaussowska($A2,$A$102:$A$151,Z$18)*EstymacjaGaussowska($B2,$B$102:$B$151,Z$19)*VLOOKUP($E2,$W$29:$AA$32,4)</f>
        <v>1.5693796011445347</v>
      </c>
      <c r="S2" s="40" cm="1">
        <f t="array" ref="S2">X$8*EstymacjaGaussowska($C2,$C$2:$C$51,X$14)*EstymacjaGaussowska($D2,$D$2:$D$51,X$15)*EstymacjaGaussowska($A2,$A$2:$A$51,X$18)*EstymacjaGaussowska($B2,$B$2:$B$51,X$19)*VLOOKUP($E2,$W$29:$AA$32,2)/$R2</f>
        <v>1</v>
      </c>
      <c r="T2" s="40" cm="1">
        <f t="array" ref="T2">Y$8*EstymacjaGaussowska($C2,$C$52:$C$101,Y$14)*EstymacjaGaussowska($D2,$D$52:$D$101,Y$15)*EstymacjaGaussowska($A2,$A$52:$A$101,Y$18)*EstymacjaGaussowska($B2,$B$52:$B$101,Y$19)*VLOOKUP($E2,$W$29:$AA$32,3)/$R2</f>
        <v>2.5180324080499053E-31</v>
      </c>
      <c r="U2" s="41" cm="1">
        <f t="array" ref="U2">Z$8*EstymacjaGaussowska($C2,$C$102:$C$151,Z$14)*EstymacjaGaussowska($D2,$D$102:$D$151,Z$15)*EstymacjaGaussowska($A2,$A$102:$A$151,Z$18)*EstymacjaGaussowska($B2,$B$102:$B$151,Z$19)*VLOOKUP($E2,$W$29:$AA$32,4)/$R2</f>
        <v>3.7618935302472527E-53</v>
      </c>
      <c r="W2" s="95" t="s">
        <v>9</v>
      </c>
      <c r="X2" s="95"/>
      <c r="Y2" s="95"/>
    </row>
    <row r="3" spans="1:26" ht="16.5" thickTop="1" thickBot="1" x14ac:dyDescent="0.3">
      <c r="A3" s="9">
        <v>4.9000000000000004</v>
      </c>
      <c r="B3" s="3">
        <v>3</v>
      </c>
      <c r="C3" s="3">
        <v>1.4</v>
      </c>
      <c r="D3" s="8">
        <v>0.2</v>
      </c>
      <c r="E3" s="9" t="s">
        <v>11</v>
      </c>
      <c r="F3" s="50" t="s">
        <v>5</v>
      </c>
      <c r="G3" s="9" t="str">
        <f t="shared" si="0"/>
        <v>setosa</v>
      </c>
      <c r="H3" s="3" cm="1">
        <f t="array" ref="H3">X$8*EstymacjaGaussowska($C3,$C$2:$C$51,X$14)*EstymacjaGaussowska($D3,$D$2:$D$51,X$15)+Y$8*EstymacjaGaussowska($C3,$C$52:$C$101,Y$14)*EstymacjaGaussowska($D3,$D$52:$D$101,Y$15)+Z$8*EstymacjaGaussowska($C3,$C$102:$C$151,Z$14)*EstymacjaGaussowska($D3,$D$102:$D$151,Z$15)</f>
        <v>3.5560587505669878</v>
      </c>
      <c r="I3" s="3" cm="1">
        <f t="array" ref="I3">X$8*EstymacjaGaussowska($C3,$C$2:$C$51,X$14)*EstymacjaGaussowska($D3,$D$2:$D$51,X$15)/$H3</f>
        <v>1</v>
      </c>
      <c r="J3" s="3" cm="1">
        <f t="array" ref="J3">Y$8*EstymacjaGaussowska($C3,$C$52:$C$101,Y$14)*EstymacjaGaussowska($D3,$D$52:$D$101,Y$15)/$H3</f>
        <v>2.7804302735408849E-29</v>
      </c>
      <c r="K3" s="42" cm="1">
        <f t="array" ref="K3">Z$8*EstymacjaGaussowska($C3,$C$102:$C$151,Z$14)*EstymacjaGaussowska($D3,$D$102:$D$151,Z$15)/$H3</f>
        <v>2.6701995154540739E-51</v>
      </c>
      <c r="L3" s="43" t="str">
        <f t="shared" si="1"/>
        <v>setosa</v>
      </c>
      <c r="M3" s="3" cm="1">
        <f t="array" ref="M3">X$8*EstymacjaGaussowska($C3,$C$2:$C$51,X$14)*EstymacjaGaussowska($D3,$D$2:$D$51,X$15)*VLOOKUP($E3,$W$29:$AA$32,2)+Y$8*EstymacjaGaussowska($C3,$C$52:$C$101,Y$14)*EstymacjaGaussowska($D3,$D$52:$D$101,Y$15)*VLOOKUP($E3,$W$29:$AA$32,3)+Z$8*EstymacjaGaussowska($C3,$C$102:$C$151,Z$14)*EstymacjaGaussowska($D3,$D$102:$D$151,Z$15)*VLOOKUP($E3,$W$29:$AA$32,4)</f>
        <v>1.5646658502494746</v>
      </c>
      <c r="N3" s="3" cm="1">
        <f t="array" ref="N3">X$8*EstymacjaGaussowska($C3,$C$2:$C$51,X$14)*EstymacjaGaussowska($D3,$D$2:$D$51,X$15)*VLOOKUP($E3,$W$29:$AA$32,2)/$M3</f>
        <v>1</v>
      </c>
      <c r="O3" s="3" cm="1">
        <f t="array" ref="O3">Y$8*EstymacjaGaussowska($C3,$C$52:$C$101,Y$14)*EstymacjaGaussowska($D3,$D$52:$D$101,Y$15)*VLOOKUP($E3,$W$29:$AA$32,3)/$M3</f>
        <v>1.1374487482667257E-29</v>
      </c>
      <c r="P3" s="42" cm="1">
        <f t="array" ref="P3">Z$8*EstymacjaGaussowska($C3,$C$102:$C$151,Z$14)*EstymacjaGaussowska($D3,$D$102:$D$151,Z$15)*VLOOKUP($E3,$W$29:$AA$32,4)/$M3</f>
        <v>3.6411811574373734E-51</v>
      </c>
      <c r="Q3" s="43" t="str">
        <f t="shared" ref="Q3:Q66" si="2">IF(S3&gt;MAX(T3:U3),$F$2,IF(T3&gt;U3,$F$52,$F$102))</f>
        <v>setosa</v>
      </c>
      <c r="R3" s="3" cm="1">
        <f t="array" ref="R3">X$8*EstymacjaGaussowska($C3,$C$2:$C$51,X$14)*EstymacjaGaussowska($D3,$D$2:$D$51,X$15)*EstymacjaGaussowska($A3,$A$2:$A$51,X$18)*EstymacjaGaussowska($B3,$B$2:$B$51,X$19)*VLOOKUP($E3,$W$29:$AA$32,2)+Y$8*EstymacjaGaussowska($C3,$C$52:$C$101,Y$14)*EstymacjaGaussowska($D3,$D$52:$D$101,Y$15)*EstymacjaGaussowska($A3,$A$52:$A$101,Y$18)*EstymacjaGaussowska($B3,$B$52:$B$101,Y$19)*VLOOKUP($E3,$W$29:$AA$32,3)+Z$8*EstymacjaGaussowska($C3,$C$102:$C$151,Z$14)*EstymacjaGaussowska($D3,$D$102:$D$151,Z$15)*EstymacjaGaussowska($A3,$A$102:$A$151,Z$18)*EstymacjaGaussowska($B3,$B$102:$B$151,Z$19)*VLOOKUP($E3,$W$29:$AA$32,4)</f>
        <v>1.0077887376255947</v>
      </c>
      <c r="S3" s="3" cm="1">
        <f t="array" ref="S3">X$8*EstymacjaGaussowska($C3,$C$2:$C$51,X$14)*EstymacjaGaussowska($D3,$D$2:$D$51,X$15)*EstymacjaGaussowska($A3,$A$2:$A$51,X$18)*EstymacjaGaussowska($B3,$B$2:$B$51,X$19)*VLOOKUP($E3,$W$29:$AA$32,2)/$R3</f>
        <v>1</v>
      </c>
      <c r="T3" s="3" cm="1">
        <f t="array" ref="T3">Y$8*EstymacjaGaussowska($C3,$C$52:$C$101,Y$14)*EstymacjaGaussowska($D3,$D$52:$D$101,Y$15)*EstymacjaGaussowska($A3,$A$52:$A$101,Y$18)*EstymacjaGaussowska($B3,$B$52:$B$101,Y$19)*VLOOKUP($E3,$W$29:$AA$32,3)/$R3</f>
        <v>2.8418490231054832E-30</v>
      </c>
      <c r="U3" s="42" cm="1">
        <f t="array" ref="U3">Z$8*EstymacjaGaussowska($C3,$C$102:$C$151,Z$14)*EstymacjaGaussowska($D3,$D$102:$D$151,Z$15)*EstymacjaGaussowska($A3,$A$102:$A$151,Z$18)*EstymacjaGaussowska($B3,$B$102:$B$151,Z$19)*VLOOKUP($E3,$W$29:$AA$32,4)/$R3</f>
        <v>2.0765062737927235E-52</v>
      </c>
      <c r="W3" s="96" t="s">
        <v>28</v>
      </c>
      <c r="X3" s="97"/>
      <c r="Y3" s="13">
        <f>COUNTIF(G2:G51,F2)/150+COUNTIF(G52:G101,F52)/150+COUNTIF(G102:G151,F102)/150</f>
        <v>0.96000000000000008</v>
      </c>
    </row>
    <row r="4" spans="1:26" ht="16.5" thickTop="1" thickBot="1" x14ac:dyDescent="0.3">
      <c r="A4" s="9">
        <v>4.7</v>
      </c>
      <c r="B4" s="3">
        <v>3.2</v>
      </c>
      <c r="C4" s="3">
        <v>1.3</v>
      </c>
      <c r="D4" s="8">
        <v>0.2</v>
      </c>
      <c r="E4" s="9" t="s">
        <v>11</v>
      </c>
      <c r="F4" s="50" t="s">
        <v>5</v>
      </c>
      <c r="G4" s="9" t="str">
        <f t="shared" si="0"/>
        <v>setosa</v>
      </c>
      <c r="H4" s="3" cm="1">
        <f t="array" ref="H4">X$8*EstymacjaGaussowska($C4,$C$2:$C$51,X$14)*EstymacjaGaussowska($D4,$D$2:$D$51,X$15)+Y$8*EstymacjaGaussowska($C4,$C$52:$C$101,Y$14)*EstymacjaGaussowska($D4,$D$52:$D$101,Y$15)+Z$8*EstymacjaGaussowska($C4,$C$102:$C$151,Z$14)*EstymacjaGaussowska($D4,$D$102:$D$151,Z$15)</f>
        <v>2.3161054553068587</v>
      </c>
      <c r="I4" s="3" cm="1">
        <f t="array" ref="I4">X$8*EstymacjaGaussowska($C4,$C$2:$C$51,X$14)*EstymacjaGaussowska($D4,$D$2:$D$51,X$15)/$H4</f>
        <v>1</v>
      </c>
      <c r="J4" s="3" cm="1">
        <f t="array" ref="J4">Y$8*EstymacjaGaussowska($C4,$C$52:$C$101,Y$14)*EstymacjaGaussowska($D4,$D$52:$D$101,Y$15)/$H4</f>
        <v>1.7751893032826261E-30</v>
      </c>
      <c r="K4" s="42" cm="1">
        <f t="array" ref="K4">Z$8*EstymacjaGaussowska($C4,$C$102:$C$151,Z$14)*EstymacjaGaussowska($D4,$D$102:$D$151,Z$15)/$H4</f>
        <v>5.0271591220826073E-53</v>
      </c>
      <c r="L4" s="43" t="str">
        <f t="shared" si="1"/>
        <v>setosa</v>
      </c>
      <c r="M4" s="3" cm="1">
        <f t="array" ref="M4">X$8*EstymacjaGaussowska($C4,$C$2:$C$51,X$14)*EstymacjaGaussowska($D4,$D$2:$D$51,X$15)*VLOOKUP($E4,$W$29:$AA$32,2)+Y$8*EstymacjaGaussowska($C4,$C$52:$C$101,Y$14)*EstymacjaGaussowska($D4,$D$52:$D$101,Y$15)*VLOOKUP($E4,$W$29:$AA$32,3)+Z$8*EstymacjaGaussowska($C4,$C$102:$C$151,Z$14)*EstymacjaGaussowska($D4,$D$102:$D$151,Z$15)*VLOOKUP($E4,$W$29:$AA$32,4)</f>
        <v>1.019086400335018</v>
      </c>
      <c r="N4" s="3" cm="1">
        <f t="array" ref="N4">X$8*EstymacjaGaussowska($C4,$C$2:$C$51,X$14)*EstymacjaGaussowska($D4,$D$2:$D$51,X$15)*VLOOKUP($E4,$W$29:$AA$32,2)/$M4</f>
        <v>1</v>
      </c>
      <c r="O4" s="3" cm="1">
        <f t="array" ref="O4">Y$8*EstymacjaGaussowska($C4,$C$52:$C$101,Y$14)*EstymacjaGaussowska($D4,$D$52:$D$101,Y$15)*VLOOKUP($E4,$W$29:$AA$32,3)/$M4</f>
        <v>7.2621380588834695E-31</v>
      </c>
      <c r="P4" s="42" cm="1">
        <f t="array" ref="P4">Z$8*EstymacjaGaussowska($C4,$C$102:$C$151,Z$14)*EstymacjaGaussowska($D4,$D$102:$D$151,Z$15)*VLOOKUP($E4,$W$29:$AA$32,4)/$M4</f>
        <v>6.8552169846580999E-53</v>
      </c>
      <c r="Q4" s="43" t="str">
        <f t="shared" si="2"/>
        <v>setosa</v>
      </c>
      <c r="R4" s="3" cm="1">
        <f t="array" ref="R4">X$8*EstymacjaGaussowska($C4,$C$2:$C$51,X$14)*EstymacjaGaussowska($D4,$D$2:$D$51,X$15)*EstymacjaGaussowska($A4,$A$2:$A$51,X$18)*EstymacjaGaussowska($B4,$B$2:$B$51,X$19)*VLOOKUP($E4,$W$29:$AA$32,2)+Y$8*EstymacjaGaussowska($C4,$C$52:$C$101,Y$14)*EstymacjaGaussowska($D4,$D$52:$D$101,Y$15)*EstymacjaGaussowska($A4,$A$52:$A$101,Y$18)*EstymacjaGaussowska($B4,$B$52:$B$101,Y$19)*VLOOKUP($E4,$W$29:$AA$32,3)+Z$8*EstymacjaGaussowska($C4,$C$102:$C$151,Z$14)*EstymacjaGaussowska($D4,$D$102:$D$151,Z$15)*EstymacjaGaussowska($A4,$A$102:$A$151,Z$18)*EstymacjaGaussowska($B4,$B$102:$B$151,Z$19)*VLOOKUP($E4,$W$29:$AA$32,4)</f>
        <v>0.64495178348376125</v>
      </c>
      <c r="S4" s="3" cm="1">
        <f t="array" ref="S4">X$8*EstymacjaGaussowska($C4,$C$2:$C$51,X$14)*EstymacjaGaussowska($D4,$D$2:$D$51,X$15)*EstymacjaGaussowska($A4,$A$2:$A$51,X$18)*EstymacjaGaussowska($B4,$B$2:$B$51,X$19)*VLOOKUP($E4,$W$29:$AA$32,2)/$R4</f>
        <v>1</v>
      </c>
      <c r="T4" s="3" cm="1">
        <f t="array" ref="T4">Y$8*EstymacjaGaussowska($C4,$C$52:$C$101,Y$14)*EstymacjaGaussowska($D4,$D$52:$D$101,Y$15)*EstymacjaGaussowska($A4,$A$52:$A$101,Y$18)*EstymacjaGaussowska($B4,$B$52:$B$101,Y$19)*VLOOKUP($E4,$W$29:$AA$32,3)/$R4</f>
        <v>4.6884071416131372E-32</v>
      </c>
      <c r="U4" s="42" cm="1">
        <f t="array" ref="U4">Z$8*EstymacjaGaussowska($C4,$C$102:$C$151,Z$14)*EstymacjaGaussowska($D4,$D$102:$D$151,Z$15)*EstymacjaGaussowska($A4,$A$102:$A$151,Z$18)*EstymacjaGaussowska($B4,$B$102:$B$151,Z$19)*VLOOKUP($E4,$W$29:$AA$32,4)/$R4</f>
        <v>2.1001780995018433E-54</v>
      </c>
      <c r="W4" s="98" t="s">
        <v>27</v>
      </c>
      <c r="X4" s="99"/>
      <c r="Y4" s="13">
        <f>COUNTIF(L2:L51,F2)/150+COUNTIF(L52:L101,F52)/150+COUNTIF(L102:L151,F102)/150</f>
        <v>0.98</v>
      </c>
    </row>
    <row r="5" spans="1:26" ht="16.5" thickTop="1" thickBot="1" x14ac:dyDescent="0.3">
      <c r="A5" s="9">
        <v>4.5999999999999996</v>
      </c>
      <c r="B5" s="3">
        <v>3.1</v>
      </c>
      <c r="C5" s="3">
        <v>1.5</v>
      </c>
      <c r="D5" s="8">
        <v>0.2</v>
      </c>
      <c r="E5" s="9" t="s">
        <v>11</v>
      </c>
      <c r="F5" s="50" t="s">
        <v>5</v>
      </c>
      <c r="G5" s="9" t="str">
        <f t="shared" si="0"/>
        <v>setosa</v>
      </c>
      <c r="H5" s="3" cm="1">
        <f t="array" ref="H5">X$8*EstymacjaGaussowska($C5,$C$2:$C$51,X$14)*EstymacjaGaussowska($D5,$D$2:$D$51,X$15)+Y$8*EstymacjaGaussowska($C5,$C$52:$C$101,Y$14)*EstymacjaGaussowska($D5,$D$52:$D$101,Y$15)+Z$8*EstymacjaGaussowska($C5,$C$102:$C$151,Z$14)*EstymacjaGaussowska($D5,$D$102:$D$151,Z$15)</f>
        <v>3.5733275585592028</v>
      </c>
      <c r="I5" s="3" cm="1">
        <f t="array" ref="I5">X$8*EstymacjaGaussowska($C5,$C$2:$C$51,X$14)*EstymacjaGaussowska($D5,$D$2:$D$51,X$15)/$H5</f>
        <v>1</v>
      </c>
      <c r="J5" s="3" cm="1">
        <f t="array" ref="J5">Y$8*EstymacjaGaussowska($C5,$C$52:$C$101,Y$14)*EstymacjaGaussowska($D5,$D$52:$D$101,Y$15)/$H5</f>
        <v>5.4877881518809053E-28</v>
      </c>
      <c r="K5" s="42" cm="1">
        <f t="array" ref="K5">Z$8*EstymacjaGaussowska($C5,$C$102:$C$151,Z$14)*EstymacjaGaussowska($D5,$D$102:$D$151,Z$15)/$H5</f>
        <v>1.8844790900793386E-49</v>
      </c>
      <c r="L5" s="43" t="str">
        <f t="shared" si="1"/>
        <v>setosa</v>
      </c>
      <c r="M5" s="3" cm="1">
        <f t="array" ref="M5">X$8*EstymacjaGaussowska($C5,$C$2:$C$51,X$14)*EstymacjaGaussowska($D5,$D$2:$D$51,X$15)*VLOOKUP($E5,$W$29:$AA$32,2)+Y$8*EstymacjaGaussowska($C5,$C$52:$C$101,Y$14)*EstymacjaGaussowska($D5,$D$52:$D$101,Y$15)*VLOOKUP($E5,$W$29:$AA$32,3)+Z$8*EstymacjaGaussowska($C5,$C$102:$C$151,Z$14)*EstymacjaGaussowska($D5,$D$102:$D$151,Z$15)*VLOOKUP($E5,$W$29:$AA$32,4)</f>
        <v>1.5722641257660492</v>
      </c>
      <c r="N5" s="3" cm="1">
        <f t="array" ref="N5">X$8*EstymacjaGaussowska($C5,$C$2:$C$51,X$14)*EstymacjaGaussowska($D5,$D$2:$D$51,X$15)*VLOOKUP($E5,$W$29:$AA$32,2)/$M5</f>
        <v>1</v>
      </c>
      <c r="O5" s="3" cm="1">
        <f t="array" ref="O5">Y$8*EstymacjaGaussowska($C5,$C$52:$C$101,Y$14)*EstymacjaGaussowska($D5,$D$52:$D$101,Y$15)*VLOOKUP($E5,$W$29:$AA$32,3)/$M5</f>
        <v>2.2450042439512796E-28</v>
      </c>
      <c r="P5" s="42" cm="1">
        <f t="array" ref="P5">Z$8*EstymacjaGaussowska($C5,$C$102:$C$151,Z$14)*EstymacjaGaussowska($D5,$D$102:$D$151,Z$15)*VLOOKUP($E5,$W$29:$AA$32,4)/$M5</f>
        <v>2.5697442137445526E-49</v>
      </c>
      <c r="Q5" s="43" t="str">
        <f t="shared" si="2"/>
        <v>setosa</v>
      </c>
      <c r="R5" s="3" cm="1">
        <f t="array" ref="R5">X$8*EstymacjaGaussowska($C5,$C$2:$C$51,X$14)*EstymacjaGaussowska($D5,$D$2:$D$51,X$15)*EstymacjaGaussowska($A5,$A$2:$A$51,X$18)*EstymacjaGaussowska($B5,$B$2:$B$51,X$19)*VLOOKUP($E5,$W$29:$AA$32,2)+Y$8*EstymacjaGaussowska($C5,$C$52:$C$101,Y$14)*EstymacjaGaussowska($D5,$D$52:$D$101,Y$15)*EstymacjaGaussowska($A5,$A$52:$A$101,Y$18)*EstymacjaGaussowska($B5,$B$52:$B$101,Y$19)*VLOOKUP($E5,$W$29:$AA$32,3)+Z$8*EstymacjaGaussowska($C5,$C$102:$C$151,Z$14)*EstymacjaGaussowska($D5,$D$102:$D$151,Z$15)*EstymacjaGaussowska($A5,$A$102:$A$151,Z$18)*EstymacjaGaussowska($B5,$B$102:$B$151,Z$19)*VLOOKUP($E5,$W$29:$AA$32,4)</f>
        <v>0.71049874228059717</v>
      </c>
      <c r="S5" s="3" cm="1">
        <f t="array" ref="S5">X$8*EstymacjaGaussowska($C5,$C$2:$C$51,X$14)*EstymacjaGaussowska($D5,$D$2:$D$51,X$15)*EstymacjaGaussowska($A5,$A$2:$A$51,X$18)*EstymacjaGaussowska($B5,$B$2:$B$51,X$19)*VLOOKUP($E5,$W$29:$AA$32,2)/$R5</f>
        <v>1</v>
      </c>
      <c r="T5" s="3" cm="1">
        <f t="array" ref="T5">Y$8*EstymacjaGaussowska($C5,$C$52:$C$101,Y$14)*EstymacjaGaussowska($D5,$D$52:$D$101,Y$15)*EstymacjaGaussowska($A5,$A$52:$A$101,Y$18)*EstymacjaGaussowska($B5,$B$52:$B$101,Y$19)*VLOOKUP($E5,$W$29:$AA$32,3)/$R5</f>
        <v>1.7078066169158278E-29</v>
      </c>
      <c r="U5" s="42" cm="1">
        <f t="array" ref="U5">Z$8*EstymacjaGaussowska($C5,$C$102:$C$151,Z$14)*EstymacjaGaussowska($D5,$D$102:$D$151,Z$15)*EstymacjaGaussowska($A5,$A$102:$A$151,Z$18)*EstymacjaGaussowska($B5,$B$102:$B$151,Z$19)*VLOOKUP($E5,$W$29:$AA$32,4)/$R5</f>
        <v>1.0349818156639513E-50</v>
      </c>
      <c r="W5" s="98" t="s">
        <v>26</v>
      </c>
      <c r="X5" s="99"/>
      <c r="Y5" s="13">
        <f>COUNTIF(Q2:Q51,F2)/150+COUNTIF(Q52:Q101,F52)/150+COUNTIF(Q102:Q151,F102)/150</f>
        <v>0.94666666666666655</v>
      </c>
    </row>
    <row r="6" spans="1:26" ht="16.5" thickTop="1" thickBot="1" x14ac:dyDescent="0.3">
      <c r="A6" s="9">
        <v>5</v>
      </c>
      <c r="B6" s="3">
        <v>3.6</v>
      </c>
      <c r="C6" s="3">
        <v>1.4</v>
      </c>
      <c r="D6" s="8">
        <v>0.2</v>
      </c>
      <c r="E6" s="9" t="s">
        <v>11</v>
      </c>
      <c r="F6" s="50" t="s">
        <v>5</v>
      </c>
      <c r="G6" s="9" t="str">
        <f t="shared" si="0"/>
        <v>setosa</v>
      </c>
      <c r="H6" s="3" cm="1">
        <f t="array" ref="H6">X$8*EstymacjaGaussowska($C6,$C$2:$C$51,X$14)*EstymacjaGaussowska($D6,$D$2:$D$51,X$15)+Y$8*EstymacjaGaussowska($C6,$C$52:$C$101,Y$14)*EstymacjaGaussowska($D6,$D$52:$D$101,Y$15)+Z$8*EstymacjaGaussowska($C6,$C$102:$C$151,Z$14)*EstymacjaGaussowska($D6,$D$102:$D$151,Z$15)</f>
        <v>3.5560587505669878</v>
      </c>
      <c r="I6" s="3" cm="1">
        <f t="array" ref="I6">X$8*EstymacjaGaussowska($C6,$C$2:$C$51,X$14)*EstymacjaGaussowska($D6,$D$2:$D$51,X$15)/$H6</f>
        <v>1</v>
      </c>
      <c r="J6" s="3" cm="1">
        <f t="array" ref="J6">Y$8*EstymacjaGaussowska($C6,$C$52:$C$101,Y$14)*EstymacjaGaussowska($D6,$D$52:$D$101,Y$15)/$H6</f>
        <v>2.7804302735408849E-29</v>
      </c>
      <c r="K6" s="42" cm="1">
        <f t="array" ref="K6">Z$8*EstymacjaGaussowska($C6,$C$102:$C$151,Z$14)*EstymacjaGaussowska($D6,$D$102:$D$151,Z$15)/$H6</f>
        <v>2.6701995154540739E-51</v>
      </c>
      <c r="L6" s="43" t="str">
        <f t="shared" si="1"/>
        <v>setosa</v>
      </c>
      <c r="M6" s="3" cm="1">
        <f t="array" ref="M6">X$8*EstymacjaGaussowska($C6,$C$2:$C$51,X$14)*EstymacjaGaussowska($D6,$D$2:$D$51,X$15)*VLOOKUP($E6,$W$29:$AA$32,2)+Y$8*EstymacjaGaussowska($C6,$C$52:$C$101,Y$14)*EstymacjaGaussowska($D6,$D$52:$D$101,Y$15)*VLOOKUP($E6,$W$29:$AA$32,3)+Z$8*EstymacjaGaussowska($C6,$C$102:$C$151,Z$14)*EstymacjaGaussowska($D6,$D$102:$D$151,Z$15)*VLOOKUP($E6,$W$29:$AA$32,4)</f>
        <v>1.5646658502494746</v>
      </c>
      <c r="N6" s="3" cm="1">
        <f t="array" ref="N6">X$8*EstymacjaGaussowska($C6,$C$2:$C$51,X$14)*EstymacjaGaussowska($D6,$D$2:$D$51,X$15)*VLOOKUP($E6,$W$29:$AA$32,2)/$M6</f>
        <v>1</v>
      </c>
      <c r="O6" s="3" cm="1">
        <f t="array" ref="O6">Y$8*EstymacjaGaussowska($C6,$C$52:$C$101,Y$14)*EstymacjaGaussowska($D6,$D$52:$D$101,Y$15)*VLOOKUP($E6,$W$29:$AA$32,3)/$M6</f>
        <v>1.1374487482667257E-29</v>
      </c>
      <c r="P6" s="42" cm="1">
        <f t="array" ref="P6">Z$8*EstymacjaGaussowska($C6,$C$102:$C$151,Z$14)*EstymacjaGaussowska($D6,$D$102:$D$151,Z$15)*VLOOKUP($E6,$W$29:$AA$32,4)/$M6</f>
        <v>3.6411811574373734E-51</v>
      </c>
      <c r="Q6" s="43" t="str">
        <f t="shared" si="2"/>
        <v>setosa</v>
      </c>
      <c r="R6" s="3" cm="1">
        <f t="array" ref="R6">X$8*EstymacjaGaussowska($C6,$C$2:$C$51,X$14)*EstymacjaGaussowska($D6,$D$2:$D$51,X$15)*EstymacjaGaussowska($A6,$A$2:$A$51,X$18)*EstymacjaGaussowska($B6,$B$2:$B$51,X$19)*VLOOKUP($E6,$W$29:$AA$32,2)+Y$8*EstymacjaGaussowska($C6,$C$52:$C$101,Y$14)*EstymacjaGaussowska($D6,$D$52:$D$101,Y$15)*EstymacjaGaussowska($A6,$A$52:$A$101,Y$18)*EstymacjaGaussowska($B6,$B$52:$B$101,Y$19)*VLOOKUP($E6,$W$29:$AA$32,3)+Z$8*EstymacjaGaussowska($C6,$C$102:$C$151,Z$14)*EstymacjaGaussowska($D6,$D$102:$D$151,Z$15)*EstymacjaGaussowska($A6,$A$102:$A$151,Z$18)*EstymacjaGaussowska($B6,$B$102:$B$151,Z$19)*VLOOKUP($E6,$W$29:$AA$32,4)</f>
        <v>1.4653264410668176</v>
      </c>
      <c r="S6" s="3" cm="1">
        <f t="array" ref="S6">X$8*EstymacjaGaussowska($C6,$C$2:$C$51,X$14)*EstymacjaGaussowska($D6,$D$2:$D$51,X$15)*EstymacjaGaussowska($A6,$A$2:$A$51,X$18)*EstymacjaGaussowska($B6,$B$2:$B$51,X$19)*VLOOKUP($E6,$W$29:$AA$32,2)/$R6</f>
        <v>1</v>
      </c>
      <c r="T6" s="3" cm="1">
        <f t="array" ref="T6">Y$8*EstymacjaGaussowska($C6,$C$52:$C$101,Y$14)*EstymacjaGaussowska($D6,$D$52:$D$101,Y$15)*EstymacjaGaussowska($A6,$A$52:$A$101,Y$18)*EstymacjaGaussowska($B6,$B$52:$B$101,Y$19)*VLOOKUP($E6,$W$29:$AA$32,3)/$R6</f>
        <v>8.1498958071483973E-32</v>
      </c>
      <c r="U6" s="42" cm="1">
        <f t="array" ref="U6">Z$8*EstymacjaGaussowska($C6,$C$102:$C$151,Z$14)*EstymacjaGaussowska($D6,$D$102:$D$151,Z$15)*EstymacjaGaussowska($A6,$A$102:$A$151,Z$18)*EstymacjaGaussowska($B6,$B$102:$B$151,Z$19)*VLOOKUP($E6,$W$29:$AA$32,4)/$R6</f>
        <v>2.3262337687201289E-53</v>
      </c>
    </row>
    <row r="7" spans="1:26" ht="15.75" thickBot="1" x14ac:dyDescent="0.3">
      <c r="A7" s="9">
        <v>5.4</v>
      </c>
      <c r="B7" s="3">
        <v>3.9</v>
      </c>
      <c r="C7" s="3">
        <v>1.7</v>
      </c>
      <c r="D7" s="8">
        <v>0.4</v>
      </c>
      <c r="E7" s="9" t="s">
        <v>11</v>
      </c>
      <c r="F7" s="50" t="s">
        <v>5</v>
      </c>
      <c r="G7" s="9" t="str">
        <f t="shared" si="0"/>
        <v>setosa</v>
      </c>
      <c r="H7" s="3" cm="1">
        <f t="array" ref="H7">X$8*EstymacjaGaussowska($C7,$C$2:$C$51,X$14)*EstymacjaGaussowska($D7,$D$2:$D$51,X$15)+Y$8*EstymacjaGaussowska($C7,$C$52:$C$101,Y$14)*EstymacjaGaussowska($D7,$D$52:$D$101,Y$15)+Z$8*EstymacjaGaussowska($C7,$C$102:$C$151,Z$14)*EstymacjaGaussowska($D7,$D$102:$D$151,Z$15)</f>
        <v>0.3384049830436674</v>
      </c>
      <c r="I7" s="3" cm="1">
        <f t="array" ref="I7">X$8*EstymacjaGaussowska($C7,$C$2:$C$51,X$14)*EstymacjaGaussowska($D7,$D$2:$D$51,X$15)/$H7</f>
        <v>1</v>
      </c>
      <c r="J7" s="3" cm="1">
        <f t="array" ref="J7">Y$8*EstymacjaGaussowska($C7,$C$52:$C$101,Y$14)*EstymacjaGaussowska($D7,$D$52:$D$101,Y$15)/$H7</f>
        <v>5.2925826030566214E-18</v>
      </c>
      <c r="K7" s="42" cm="1">
        <f t="array" ref="K7">Z$8*EstymacjaGaussowska($C7,$C$102:$C$151,Z$14)*EstymacjaGaussowska($D7,$D$102:$D$151,Z$15)/$H7</f>
        <v>1.6229076713898873E-39</v>
      </c>
      <c r="L7" s="43" t="str">
        <f t="shared" si="1"/>
        <v>setosa</v>
      </c>
      <c r="M7" s="3" cm="1">
        <f t="array" ref="M7">X$8*EstymacjaGaussowska($C7,$C$2:$C$51,X$14)*EstymacjaGaussowska($D7,$D$2:$D$51,X$15)*VLOOKUP($E7,$W$29:$AA$32,2)+Y$8*EstymacjaGaussowska($C7,$C$52:$C$101,Y$14)*EstymacjaGaussowska($D7,$D$52:$D$101,Y$15)*VLOOKUP($E7,$W$29:$AA$32,3)+Z$8*EstymacjaGaussowska($C7,$C$102:$C$151,Z$14)*EstymacjaGaussowska($D7,$D$102:$D$151,Z$15)*VLOOKUP($E7,$W$29:$AA$32,4)</f>
        <v>0.14889819253921366</v>
      </c>
      <c r="N7" s="3" cm="1">
        <f t="array" ref="N7">X$8*EstymacjaGaussowska($C7,$C$2:$C$51,X$14)*EstymacjaGaussowska($D7,$D$2:$D$51,X$15)*VLOOKUP($E7,$W$29:$AA$32,2)/$M7</f>
        <v>1</v>
      </c>
      <c r="O7" s="3" cm="1">
        <f t="array" ref="O7">Y$8*EstymacjaGaussowska($C7,$C$52:$C$101,Y$14)*EstymacjaGaussowska($D7,$D$52:$D$101,Y$15)*VLOOKUP($E7,$W$29:$AA$32,3)/$M7</f>
        <v>2.1651474285231635E-18</v>
      </c>
      <c r="P7" s="42" cm="1">
        <f t="array" ref="P7">Z$8*EstymacjaGaussowska($C7,$C$102:$C$151,Z$14)*EstymacjaGaussowska($D7,$D$102:$D$151,Z$15)*VLOOKUP($E7,$W$29:$AA$32,4)/$M7</f>
        <v>2.2130559155316642E-39</v>
      </c>
      <c r="Q7" s="43" t="str">
        <f t="shared" si="2"/>
        <v>setosa</v>
      </c>
      <c r="R7" s="3" cm="1">
        <f t="array" ref="R7">X$8*EstymacjaGaussowska($C7,$C$2:$C$51,X$14)*EstymacjaGaussowska($D7,$D$2:$D$51,X$15)*EstymacjaGaussowska($A7,$A$2:$A$51,X$18)*EstymacjaGaussowska($B7,$B$2:$B$51,X$19)*VLOOKUP($E7,$W$29:$AA$32,2)+Y$8*EstymacjaGaussowska($C7,$C$52:$C$101,Y$14)*EstymacjaGaussowska($D7,$D$52:$D$101,Y$15)*EstymacjaGaussowska($A7,$A$52:$A$101,Y$18)*EstymacjaGaussowska($B7,$B$52:$B$101,Y$19)*VLOOKUP($E7,$W$29:$AA$32,3)+Z$8*EstymacjaGaussowska($C7,$C$102:$C$151,Z$14)*EstymacjaGaussowska($D7,$D$102:$D$151,Z$15)*EstymacjaGaussowska($A7,$A$102:$A$151,Z$18)*EstymacjaGaussowska($B7,$B$102:$B$151,Z$19)*VLOOKUP($E7,$W$29:$AA$32,4)</f>
        <v>3.714120827267807E-2</v>
      </c>
      <c r="S7" s="3" cm="1">
        <f t="array" ref="S7">X$8*EstymacjaGaussowska($C7,$C$2:$C$51,X$14)*EstymacjaGaussowska($D7,$D$2:$D$51,X$15)*EstymacjaGaussowska($A7,$A$2:$A$51,X$18)*EstymacjaGaussowska($B7,$B$2:$B$51,X$19)*VLOOKUP($E7,$W$29:$AA$32,2)/$R7</f>
        <v>1</v>
      </c>
      <c r="T7" s="3" cm="1">
        <f t="array" ref="T7">Y$8*EstymacjaGaussowska($C7,$C$52:$C$101,Y$14)*EstymacjaGaussowska($D7,$D$52:$D$101,Y$15)*EstymacjaGaussowska($A7,$A$52:$A$101,Y$18)*EstymacjaGaussowska($B7,$B$52:$B$101,Y$19)*VLOOKUP($E7,$W$29:$AA$32,3)/$R7</f>
        <v>1.0912126683212327E-21</v>
      </c>
      <c r="U7" s="42" cm="1">
        <f t="array" ref="U7">Z$8*EstymacjaGaussowska($C7,$C$102:$C$151,Z$14)*EstymacjaGaussowska($D7,$D$102:$D$151,Z$15)*EstymacjaGaussowska($A7,$A$102:$A$151,Z$18)*EstymacjaGaussowska($B7,$B$102:$B$151,Z$19)*VLOOKUP($E7,$W$29:$AA$32,4)/$R7</f>
        <v>8.2441002588700553E-41</v>
      </c>
      <c r="W7" s="28"/>
      <c r="X7" s="32" t="s">
        <v>5</v>
      </c>
      <c r="Y7" s="33" t="s">
        <v>6</v>
      </c>
      <c r="Z7" s="34" t="s">
        <v>7</v>
      </c>
    </row>
    <row r="8" spans="1:26" x14ac:dyDescent="0.25">
      <c r="A8" s="9">
        <v>4.5999999999999996</v>
      </c>
      <c r="B8" s="3">
        <v>3.4</v>
      </c>
      <c r="C8" s="3">
        <v>1.4</v>
      </c>
      <c r="D8" s="8">
        <v>0.3</v>
      </c>
      <c r="E8" s="9" t="s">
        <v>11</v>
      </c>
      <c r="F8" s="50" t="s">
        <v>5</v>
      </c>
      <c r="G8" s="9" t="str">
        <f t="shared" si="0"/>
        <v>setosa</v>
      </c>
      <c r="H8" s="3" cm="1">
        <f t="array" ref="H8">X$8*EstymacjaGaussowska($C8,$C$2:$C$51,X$14)*EstymacjaGaussowska($D8,$D$2:$D$51,X$15)+Y$8*EstymacjaGaussowska($C8,$C$52:$C$101,Y$14)*EstymacjaGaussowska($D8,$D$52:$D$101,Y$15)+Z$8*EstymacjaGaussowska($C8,$C$102:$C$151,Z$14)*EstymacjaGaussowska($D8,$D$102:$D$151,Z$15)</f>
        <v>1.4217543129736698</v>
      </c>
      <c r="I8" s="3" cm="1">
        <f t="array" ref="I8">X$8*EstymacjaGaussowska($C8,$C$2:$C$51,X$14)*EstymacjaGaussowska($D8,$D$2:$D$51,X$15)/$H8</f>
        <v>1</v>
      </c>
      <c r="J8" s="3" cm="1">
        <f t="array" ref="J8">Y$8*EstymacjaGaussowska($C8,$C$52:$C$101,Y$14)*EstymacjaGaussowska($D8,$D$52:$D$101,Y$15)/$H8</f>
        <v>2.4376539630988169E-25</v>
      </c>
      <c r="K8" s="42" cm="1">
        <f t="array" ref="K8">Z$8*EstymacjaGaussowska($C8,$C$102:$C$151,Z$14)*EstymacjaGaussowska($D8,$D$102:$D$151,Z$15)/$H8</f>
        <v>4.3952618871040619E-48</v>
      </c>
      <c r="L8" s="43" t="str">
        <f t="shared" si="1"/>
        <v>setosa</v>
      </c>
      <c r="M8" s="3" cm="1">
        <f t="array" ref="M8">X$8*EstymacjaGaussowska($C8,$C$2:$C$51,X$14)*EstymacjaGaussowska($D8,$D$2:$D$51,X$15)*VLOOKUP($E8,$W$29:$AA$32,2)+Y$8*EstymacjaGaussowska($C8,$C$52:$C$101,Y$14)*EstymacjaGaussowska($D8,$D$52:$D$101,Y$15)*VLOOKUP($E8,$W$29:$AA$32,3)+Z$8*EstymacjaGaussowska($C8,$C$102:$C$151,Z$14)*EstymacjaGaussowska($D8,$D$102:$D$151,Z$15)*VLOOKUP($E8,$W$29:$AA$32,4)</f>
        <v>0.6255718977084147</v>
      </c>
      <c r="N8" s="3" cm="1">
        <f t="array" ref="N8">X$8*EstymacjaGaussowska($C8,$C$2:$C$51,X$14)*EstymacjaGaussowska($D8,$D$2:$D$51,X$15)*VLOOKUP($E8,$W$29:$AA$32,2)/$M8</f>
        <v>1</v>
      </c>
      <c r="O8" s="3" cm="1">
        <f t="array" ref="O8">Y$8*EstymacjaGaussowska($C8,$C$52:$C$101,Y$14)*EstymacjaGaussowska($D8,$D$52:$D$101,Y$15)*VLOOKUP($E8,$W$29:$AA$32,3)/$M8</f>
        <v>9.9722207581315233E-26</v>
      </c>
      <c r="P8" s="42" cm="1">
        <f t="array" ref="P8">Z$8*EstymacjaGaussowska($C8,$C$102:$C$151,Z$14)*EstymacjaGaussowska($D8,$D$102:$D$151,Z$15)*VLOOKUP($E8,$W$29:$AA$32,4)/$M8</f>
        <v>5.9935389369600835E-48</v>
      </c>
      <c r="Q8" s="43" t="str">
        <f t="shared" si="2"/>
        <v>setosa</v>
      </c>
      <c r="R8" s="3" cm="1">
        <f t="array" ref="R8">X$8*EstymacjaGaussowska($C8,$C$2:$C$51,X$14)*EstymacjaGaussowska($D8,$D$2:$D$51,X$15)*EstymacjaGaussowska($A8,$A$2:$A$51,X$18)*EstymacjaGaussowska($B8,$B$2:$B$51,X$19)*VLOOKUP($E8,$W$29:$AA$32,2)+Y$8*EstymacjaGaussowska($C8,$C$52:$C$101,Y$14)*EstymacjaGaussowska($D8,$D$52:$D$101,Y$15)*EstymacjaGaussowska($A8,$A$52:$A$101,Y$18)*EstymacjaGaussowska($B8,$B$52:$B$101,Y$19)*VLOOKUP($E8,$W$29:$AA$32,3)+Z$8*EstymacjaGaussowska($C8,$C$102:$C$151,Z$14)*EstymacjaGaussowska($D8,$D$102:$D$151,Z$15)*EstymacjaGaussowska($A8,$A$102:$A$151,Z$18)*EstymacjaGaussowska($B8,$B$102:$B$151,Z$19)*VLOOKUP($E8,$W$29:$AA$32,4)</f>
        <v>0.36067665038158109</v>
      </c>
      <c r="S8" s="3" cm="1">
        <f t="array" ref="S8">X$8*EstymacjaGaussowska($C8,$C$2:$C$51,X$14)*EstymacjaGaussowska($D8,$D$2:$D$51,X$15)*EstymacjaGaussowska($A8,$A$2:$A$51,X$18)*EstymacjaGaussowska($B8,$B$2:$B$51,X$19)*VLOOKUP($E8,$W$29:$AA$32,2)/$R8</f>
        <v>1</v>
      </c>
      <c r="T8" s="3" cm="1">
        <f t="array" ref="T8">Y$8*EstymacjaGaussowska($C8,$C$52:$C$101,Y$14)*EstymacjaGaussowska($D8,$D$52:$D$101,Y$15)*EstymacjaGaussowska($A8,$A$52:$A$101,Y$18)*EstymacjaGaussowska($B8,$B$52:$B$101,Y$19)*VLOOKUP($E8,$W$29:$AA$32,3)/$R8</f>
        <v>1.3716444000901419E-27</v>
      </c>
      <c r="U8" s="42" cm="1">
        <f t="array" ref="U8">Z$8*EstymacjaGaussowska($C8,$C$102:$C$151,Z$14)*EstymacjaGaussowska($D8,$D$102:$D$151,Z$15)*EstymacjaGaussowska($A8,$A$102:$A$151,Z$18)*EstymacjaGaussowska($B8,$B$102:$B$151,Z$19)*VLOOKUP($E8,$W$29:$AA$32,4)/$R8</f>
        <v>7.1745959762280786E-50</v>
      </c>
      <c r="W8" s="36" t="s">
        <v>19</v>
      </c>
      <c r="X8" s="35">
        <f>1/3</f>
        <v>0.33333333333333331</v>
      </c>
      <c r="Y8" s="30">
        <f>1/3</f>
        <v>0.33333333333333331</v>
      </c>
      <c r="Z8" s="31">
        <f>1-X8-Y8</f>
        <v>0.33333333333333343</v>
      </c>
    </row>
    <row r="9" spans="1:26" x14ac:dyDescent="0.25">
      <c r="A9" s="9">
        <v>5</v>
      </c>
      <c r="B9" s="3">
        <v>3.4</v>
      </c>
      <c r="C9" s="3">
        <v>1.5</v>
      </c>
      <c r="D9" s="8">
        <v>0.2</v>
      </c>
      <c r="E9" s="9" t="s">
        <v>11</v>
      </c>
      <c r="F9" s="50" t="s">
        <v>5</v>
      </c>
      <c r="G9" s="9" t="str">
        <f t="shared" si="0"/>
        <v>setosa</v>
      </c>
      <c r="H9" s="3" cm="1">
        <f t="array" ref="H9">X$8*EstymacjaGaussowska($C9,$C$2:$C$51,X$14)*EstymacjaGaussowska($D9,$D$2:$D$51,X$15)+Y$8*EstymacjaGaussowska($C9,$C$52:$C$101,Y$14)*EstymacjaGaussowska($D9,$D$52:$D$101,Y$15)+Z$8*EstymacjaGaussowska($C9,$C$102:$C$151,Z$14)*EstymacjaGaussowska($D9,$D$102:$D$151,Z$15)</f>
        <v>3.5733275585592028</v>
      </c>
      <c r="I9" s="3" cm="1">
        <f t="array" ref="I9">X$8*EstymacjaGaussowska($C9,$C$2:$C$51,X$14)*EstymacjaGaussowska($D9,$D$2:$D$51,X$15)/$H9</f>
        <v>1</v>
      </c>
      <c r="J9" s="3" cm="1">
        <f t="array" ref="J9">Y$8*EstymacjaGaussowska($C9,$C$52:$C$101,Y$14)*EstymacjaGaussowska($D9,$D$52:$D$101,Y$15)/$H9</f>
        <v>5.4877881518809053E-28</v>
      </c>
      <c r="K9" s="42" cm="1">
        <f t="array" ref="K9">Z$8*EstymacjaGaussowska($C9,$C$102:$C$151,Z$14)*EstymacjaGaussowska($D9,$D$102:$D$151,Z$15)/$H9</f>
        <v>1.8844790900793386E-49</v>
      </c>
      <c r="L9" s="43" t="str">
        <f t="shared" si="1"/>
        <v>setosa</v>
      </c>
      <c r="M9" s="3" cm="1">
        <f t="array" ref="M9">X$8*EstymacjaGaussowska($C9,$C$2:$C$51,X$14)*EstymacjaGaussowska($D9,$D$2:$D$51,X$15)*VLOOKUP($E9,$W$29:$AA$32,2)+Y$8*EstymacjaGaussowska($C9,$C$52:$C$101,Y$14)*EstymacjaGaussowska($D9,$D$52:$D$101,Y$15)*VLOOKUP($E9,$W$29:$AA$32,3)+Z$8*EstymacjaGaussowska($C9,$C$102:$C$151,Z$14)*EstymacjaGaussowska($D9,$D$102:$D$151,Z$15)*VLOOKUP($E9,$W$29:$AA$32,4)</f>
        <v>1.5722641257660492</v>
      </c>
      <c r="N9" s="3" cm="1">
        <f t="array" ref="N9">X$8*EstymacjaGaussowska($C9,$C$2:$C$51,X$14)*EstymacjaGaussowska($D9,$D$2:$D$51,X$15)*VLOOKUP($E9,$W$29:$AA$32,2)/$M9</f>
        <v>1</v>
      </c>
      <c r="O9" s="3" cm="1">
        <f t="array" ref="O9">Y$8*EstymacjaGaussowska($C9,$C$52:$C$101,Y$14)*EstymacjaGaussowska($D9,$D$52:$D$101,Y$15)*VLOOKUP($E9,$W$29:$AA$32,3)/$M9</f>
        <v>2.2450042439512796E-28</v>
      </c>
      <c r="P9" s="42" cm="1">
        <f t="array" ref="P9">Z$8*EstymacjaGaussowska($C9,$C$102:$C$151,Z$14)*EstymacjaGaussowska($D9,$D$102:$D$151,Z$15)*VLOOKUP($E9,$W$29:$AA$32,4)/$M9</f>
        <v>2.5697442137445526E-49</v>
      </c>
      <c r="Q9" s="43" t="str">
        <f t="shared" si="2"/>
        <v>setosa</v>
      </c>
      <c r="R9" s="3" cm="1">
        <f t="array" ref="R9">X$8*EstymacjaGaussowska($C9,$C$2:$C$51,X$14)*EstymacjaGaussowska($D9,$D$2:$D$51,X$15)*EstymacjaGaussowska($A9,$A$2:$A$51,X$18)*EstymacjaGaussowska($B9,$B$2:$B$51,X$19)*VLOOKUP($E9,$W$29:$AA$32,2)+Y$8*EstymacjaGaussowska($C9,$C$52:$C$101,Y$14)*EstymacjaGaussowska($D9,$D$52:$D$101,Y$15)*EstymacjaGaussowska($A9,$A$52:$A$101,Y$18)*EstymacjaGaussowska($B9,$B$52:$B$101,Y$19)*VLOOKUP($E9,$W$29:$AA$32,3)+Z$8*EstymacjaGaussowska($C9,$C$102:$C$151,Z$14)*EstymacjaGaussowska($D9,$D$102:$D$151,Z$15)*EstymacjaGaussowska($A9,$A$102:$A$151,Z$18)*EstymacjaGaussowska($B9,$B$102:$B$151,Z$19)*VLOOKUP($E9,$W$29:$AA$32,4)</f>
        <v>1.7306941543446832</v>
      </c>
      <c r="S9" s="3" cm="1">
        <f t="array" ref="S9">X$8*EstymacjaGaussowska($C9,$C$2:$C$51,X$14)*EstymacjaGaussowska($D9,$D$2:$D$51,X$15)*EstymacjaGaussowska($A9,$A$2:$A$51,X$18)*EstymacjaGaussowska($B9,$B$2:$B$51,X$19)*VLOOKUP($E9,$W$29:$AA$32,2)/$R9</f>
        <v>1</v>
      </c>
      <c r="T9" s="3" cm="1">
        <f t="array" ref="T9">Y$8*EstymacjaGaussowska($C9,$C$52:$C$101,Y$14)*EstymacjaGaussowska($D9,$D$52:$D$101,Y$15)*EstymacjaGaussowska($A9,$A$52:$A$101,Y$18)*EstymacjaGaussowska($B9,$B$52:$B$101,Y$19)*VLOOKUP($E9,$W$29:$AA$32,3)/$R9</f>
        <v>7.6635433028243845E-30</v>
      </c>
      <c r="U9" s="42" cm="1">
        <f t="array" ref="U9">Z$8*EstymacjaGaussowska($C9,$C$102:$C$151,Z$14)*EstymacjaGaussowska($D9,$D$102:$D$151,Z$15)*EstymacjaGaussowska($A9,$A$102:$A$151,Z$18)*EstymacjaGaussowska($B9,$B$102:$B$151,Z$19)*VLOOKUP($E9,$W$29:$AA$32,4)/$R9</f>
        <v>3.3385411359562819E-51</v>
      </c>
      <c r="W9" s="37" t="s">
        <v>8</v>
      </c>
      <c r="X9" s="29">
        <f>COUNTIF($F:$F,X7)</f>
        <v>50</v>
      </c>
      <c r="Y9" s="29">
        <f>COUNTIF($F:$F,Y7)</f>
        <v>50</v>
      </c>
      <c r="Z9" s="21">
        <f>COUNTIF($F:$F,Z7)</f>
        <v>50</v>
      </c>
    </row>
    <row r="10" spans="1:26" x14ac:dyDescent="0.25">
      <c r="A10" s="9">
        <v>4.4000000000000004</v>
      </c>
      <c r="B10" s="3">
        <v>2.9</v>
      </c>
      <c r="C10" s="3">
        <v>1.4</v>
      </c>
      <c r="D10" s="8">
        <v>0.2</v>
      </c>
      <c r="E10" s="9" t="s">
        <v>11</v>
      </c>
      <c r="F10" s="50" t="s">
        <v>5</v>
      </c>
      <c r="G10" s="9" t="str">
        <f t="shared" si="0"/>
        <v>setosa</v>
      </c>
      <c r="H10" s="3" cm="1">
        <f t="array" ref="H10">X$8*EstymacjaGaussowska($C10,$C$2:$C$51,X$14)*EstymacjaGaussowska($D10,$D$2:$D$51,X$15)+Y$8*EstymacjaGaussowska($C10,$C$52:$C$101,Y$14)*EstymacjaGaussowska($D10,$D$52:$D$101,Y$15)+Z$8*EstymacjaGaussowska($C10,$C$102:$C$151,Z$14)*EstymacjaGaussowska($D10,$D$102:$D$151,Z$15)</f>
        <v>3.5560587505669878</v>
      </c>
      <c r="I10" s="3" cm="1">
        <f t="array" ref="I10">X$8*EstymacjaGaussowska($C10,$C$2:$C$51,X$14)*EstymacjaGaussowska($D10,$D$2:$D$51,X$15)/$H10</f>
        <v>1</v>
      </c>
      <c r="J10" s="3" cm="1">
        <f t="array" ref="J10">Y$8*EstymacjaGaussowska($C10,$C$52:$C$101,Y$14)*EstymacjaGaussowska($D10,$D$52:$D$101,Y$15)/$H10</f>
        <v>2.7804302735408849E-29</v>
      </c>
      <c r="K10" s="42" cm="1">
        <f t="array" ref="K10">Z$8*EstymacjaGaussowska($C10,$C$102:$C$151,Z$14)*EstymacjaGaussowska($D10,$D$102:$D$151,Z$15)/$H10</f>
        <v>2.6701995154540739E-51</v>
      </c>
      <c r="L10" s="43" t="str">
        <f t="shared" si="1"/>
        <v>setosa</v>
      </c>
      <c r="M10" s="3" cm="1">
        <f t="array" ref="M10">X$8*EstymacjaGaussowska($C10,$C$2:$C$51,X$14)*EstymacjaGaussowska($D10,$D$2:$D$51,X$15)*VLOOKUP($E10,$W$29:$AA$32,2)+Y$8*EstymacjaGaussowska($C10,$C$52:$C$101,Y$14)*EstymacjaGaussowska($D10,$D$52:$D$101,Y$15)*VLOOKUP($E10,$W$29:$AA$32,3)+Z$8*EstymacjaGaussowska($C10,$C$102:$C$151,Z$14)*EstymacjaGaussowska($D10,$D$102:$D$151,Z$15)*VLOOKUP($E10,$W$29:$AA$32,4)</f>
        <v>1.5646658502494746</v>
      </c>
      <c r="N10" s="3" cm="1">
        <f t="array" ref="N10">X$8*EstymacjaGaussowska($C10,$C$2:$C$51,X$14)*EstymacjaGaussowska($D10,$D$2:$D$51,X$15)*VLOOKUP($E10,$W$29:$AA$32,2)/$M10</f>
        <v>1</v>
      </c>
      <c r="O10" s="3" cm="1">
        <f t="array" ref="O10">Y$8*EstymacjaGaussowska($C10,$C$52:$C$101,Y$14)*EstymacjaGaussowska($D10,$D$52:$D$101,Y$15)*VLOOKUP($E10,$W$29:$AA$32,3)/$M10</f>
        <v>1.1374487482667257E-29</v>
      </c>
      <c r="P10" s="42" cm="1">
        <f t="array" ref="P10">Z$8*EstymacjaGaussowska($C10,$C$102:$C$151,Z$14)*EstymacjaGaussowska($D10,$D$102:$D$151,Z$15)*VLOOKUP($E10,$W$29:$AA$32,4)/$M10</f>
        <v>3.6411811574373734E-51</v>
      </c>
      <c r="Q10" s="43" t="str">
        <f t="shared" si="2"/>
        <v>setosa</v>
      </c>
      <c r="R10" s="3" cm="1">
        <f t="array" ref="R10">X$8*EstymacjaGaussowska($C10,$C$2:$C$51,X$14)*EstymacjaGaussowska($D10,$D$2:$D$51,X$15)*EstymacjaGaussowska($A10,$A$2:$A$51,X$18)*EstymacjaGaussowska($B10,$B$2:$B$51,X$19)*VLOOKUP($E10,$W$29:$AA$32,2)+Y$8*EstymacjaGaussowska($C10,$C$52:$C$101,Y$14)*EstymacjaGaussowska($D10,$D$52:$D$101,Y$15)*EstymacjaGaussowska($A10,$A$52:$A$101,Y$18)*EstymacjaGaussowska($B10,$B$52:$B$101,Y$19)*VLOOKUP($E10,$W$29:$AA$32,3)+Z$8*EstymacjaGaussowska($C10,$C$102:$C$151,Z$14)*EstymacjaGaussowska($D10,$D$102:$D$151,Z$15)*EstymacjaGaussowska($A10,$A$102:$A$151,Z$18)*EstymacjaGaussowska($B10,$B$102:$B$151,Z$19)*VLOOKUP($E10,$W$29:$AA$32,4)</f>
        <v>0.24237419193479381</v>
      </c>
      <c r="S10" s="3" cm="1">
        <f t="array" ref="S10">X$8*EstymacjaGaussowska($C10,$C$2:$C$51,X$14)*EstymacjaGaussowska($D10,$D$2:$D$51,X$15)*EstymacjaGaussowska($A10,$A$2:$A$51,X$18)*EstymacjaGaussowska($B10,$B$2:$B$51,X$19)*VLOOKUP($E10,$W$29:$AA$32,2)/$R10</f>
        <v>1</v>
      </c>
      <c r="T10" s="3" cm="1">
        <f t="array" ref="T10">Y$8*EstymacjaGaussowska($C10,$C$52:$C$101,Y$14)*EstymacjaGaussowska($D10,$D$52:$D$101,Y$15)*EstymacjaGaussowska($A10,$A$52:$A$101,Y$18)*EstymacjaGaussowska($B10,$B$52:$B$101,Y$19)*VLOOKUP($E10,$W$29:$AA$32,3)/$R10</f>
        <v>7.6709948952004684E-31</v>
      </c>
      <c r="U10" s="42" cm="1">
        <f t="array" ref="U10">Z$8*EstymacjaGaussowska($C10,$C$102:$C$151,Z$14)*EstymacjaGaussowska($D10,$D$102:$D$151,Z$15)*EstymacjaGaussowska($A10,$A$102:$A$151,Z$18)*EstymacjaGaussowska($B10,$B$102:$B$151,Z$19)*VLOOKUP($E10,$W$29:$AA$32,4)/$R10</f>
        <v>1.9398836613343463E-52</v>
      </c>
      <c r="W10" s="37" t="s">
        <v>20</v>
      </c>
      <c r="X10" s="29">
        <f>AVERAGEIF($F$2:$F$152,X7,$C$2:$C$152)</f>
        <v>1.4620000000000002</v>
      </c>
      <c r="Y10" s="29">
        <f>AVERAGEIF($F$2:$F$152,Y7,$C$2:$C$152)</f>
        <v>4.26</v>
      </c>
      <c r="Z10" s="21">
        <f>AVERAGEIF($F$2:$F$152,Z7,$C$2:$C$152)</f>
        <v>5.5519999999999996</v>
      </c>
    </row>
    <row r="11" spans="1:26" ht="15.75" thickBot="1" x14ac:dyDescent="0.3">
      <c r="A11" s="9">
        <v>4.9000000000000004</v>
      </c>
      <c r="B11" s="3">
        <v>3.1</v>
      </c>
      <c r="C11" s="3">
        <v>1.5</v>
      </c>
      <c r="D11" s="8">
        <v>0.1</v>
      </c>
      <c r="E11" s="9" t="s">
        <v>11</v>
      </c>
      <c r="F11" s="50" t="s">
        <v>5</v>
      </c>
      <c r="G11" s="9" t="str">
        <f t="shared" si="0"/>
        <v>setosa</v>
      </c>
      <c r="H11" s="3" cm="1">
        <f t="array" ref="H11">X$8*EstymacjaGaussowska($C11,$C$2:$C$51,X$14)*EstymacjaGaussowska($D11,$D$2:$D$51,X$15)+Y$8*EstymacjaGaussowska($C11,$C$52:$C$101,Y$14)*EstymacjaGaussowska($D11,$D$52:$D$101,Y$15)+Z$8*EstymacjaGaussowska($C11,$C$102:$C$151,Z$14)*EstymacjaGaussowska($D11,$D$102:$D$151,Z$15)</f>
        <v>1.0767870103132964</v>
      </c>
      <c r="I11" s="3" cm="1">
        <f t="array" ref="I11">X$8*EstymacjaGaussowska($C11,$C$2:$C$51,X$14)*EstymacjaGaussowska($D11,$D$2:$D$51,X$15)/$H11</f>
        <v>1</v>
      </c>
      <c r="J11" s="3" cm="1">
        <f t="array" ref="J11">Y$8*EstymacjaGaussowska($C11,$C$52:$C$101,Y$14)*EstymacjaGaussowska($D11,$D$52:$D$101,Y$15)/$H11</f>
        <v>1.7499433331118026E-31</v>
      </c>
      <c r="K11" s="42" cm="1">
        <f t="array" ref="K11">Z$8*EstymacjaGaussowska($C11,$C$102:$C$151,Z$14)*EstymacjaGaussowska($D11,$D$102:$D$151,Z$15)/$H11</f>
        <v>5.4083264311879549E-52</v>
      </c>
      <c r="L11" s="43" t="str">
        <f t="shared" si="1"/>
        <v>setosa</v>
      </c>
      <c r="M11" s="3" cm="1">
        <f t="array" ref="M11">X$8*EstymacjaGaussowska($C11,$C$2:$C$51,X$14)*EstymacjaGaussowska($D11,$D$2:$D$51,X$15)*VLOOKUP($E11,$W$29:$AA$32,2)+Y$8*EstymacjaGaussowska($C11,$C$52:$C$101,Y$14)*EstymacjaGaussowska($D11,$D$52:$D$101,Y$15)*VLOOKUP($E11,$W$29:$AA$32,3)+Z$8*EstymacjaGaussowska($C11,$C$102:$C$151,Z$14)*EstymacjaGaussowska($D11,$D$102:$D$151,Z$15)*VLOOKUP($E11,$W$29:$AA$32,4)</f>
        <v>0.47378628453785043</v>
      </c>
      <c r="N11" s="3" cm="1">
        <f t="array" ref="N11">X$8*EstymacjaGaussowska($C11,$C$2:$C$51,X$14)*EstymacjaGaussowska($D11,$D$2:$D$51,X$15)*VLOOKUP($E11,$W$29:$AA$32,2)/$M11</f>
        <v>1</v>
      </c>
      <c r="O11" s="3" cm="1">
        <f t="array" ref="O11">Y$8*EstymacjaGaussowska($C11,$C$52:$C$101,Y$14)*EstymacjaGaussowska($D11,$D$52:$D$101,Y$15)*VLOOKUP($E11,$W$29:$AA$32,3)/$M11</f>
        <v>7.1588590900028277E-32</v>
      </c>
      <c r="P11" s="42" cm="1">
        <f t="array" ref="P11">Z$8*EstymacjaGaussowska($C11,$C$102:$C$151,Z$14)*EstymacjaGaussowska($D11,$D$102:$D$151,Z$15)*VLOOKUP($E11,$W$29:$AA$32,4)/$M11</f>
        <v>7.374990587983575E-52</v>
      </c>
      <c r="Q11" s="43" t="str">
        <f t="shared" si="2"/>
        <v>setosa</v>
      </c>
      <c r="R11" s="3" cm="1">
        <f t="array" ref="R11">X$8*EstymacjaGaussowska($C11,$C$2:$C$51,X$14)*EstymacjaGaussowska($D11,$D$2:$D$51,X$15)*EstymacjaGaussowska($A11,$A$2:$A$51,X$18)*EstymacjaGaussowska($B11,$B$2:$B$51,X$19)*VLOOKUP($E11,$W$29:$AA$32,2)+Y$8*EstymacjaGaussowska($C11,$C$52:$C$101,Y$14)*EstymacjaGaussowska($D11,$D$52:$D$101,Y$15)*EstymacjaGaussowska($A11,$A$52:$A$101,Y$18)*EstymacjaGaussowska($B11,$B$52:$B$101,Y$19)*VLOOKUP($E11,$W$29:$AA$32,3)+Z$8*EstymacjaGaussowska($C11,$C$102:$C$151,Z$14)*EstymacjaGaussowska($D11,$D$102:$D$151,Z$15)*EstymacjaGaussowska($A11,$A$102:$A$151,Z$18)*EstymacjaGaussowska($B11,$B$102:$B$151,Z$19)*VLOOKUP($E11,$W$29:$AA$32,4)</f>
        <v>0.3795016572839286</v>
      </c>
      <c r="S11" s="3" cm="1">
        <f t="array" ref="S11">X$8*EstymacjaGaussowska($C11,$C$2:$C$51,X$14)*EstymacjaGaussowska($D11,$D$2:$D$51,X$15)*EstymacjaGaussowska($A11,$A$2:$A$51,X$18)*EstymacjaGaussowska($B11,$B$2:$B$51,X$19)*VLOOKUP($E11,$W$29:$AA$32,2)/$R11</f>
        <v>1</v>
      </c>
      <c r="T11" s="3" cm="1">
        <f t="array" ref="T11">Y$8*EstymacjaGaussowska($C11,$C$52:$C$101,Y$14)*EstymacjaGaussowska($D11,$D$52:$D$101,Y$15)*EstymacjaGaussowska($A11,$A$52:$A$101,Y$18)*EstymacjaGaussowska($B11,$B$52:$B$101,Y$19)*VLOOKUP($E11,$W$29:$AA$32,3)/$R11</f>
        <v>1.1316294473147248E-32</v>
      </c>
      <c r="U11" s="42" cm="1">
        <f t="array" ref="U11">Z$8*EstymacjaGaussowska($C11,$C$102:$C$151,Z$14)*EstymacjaGaussowska($D11,$D$102:$D$151,Z$15)*EstymacjaGaussowska($A11,$A$102:$A$151,Z$18)*EstymacjaGaussowska($B11,$B$102:$B$151,Z$19)*VLOOKUP($E11,$W$29:$AA$32,4)/$R11</f>
        <v>3.0859850823069375E-53</v>
      </c>
      <c r="W11" s="48" t="s">
        <v>21</v>
      </c>
      <c r="X11" s="29">
        <f>AVERAGEIF($F$2:$F$152,X7,$D$2:$D$152)</f>
        <v>0.24599999999999991</v>
      </c>
      <c r="Y11" s="29">
        <f>AVERAGEIF($F$2:$F$152,Y7,$D$2:$D$152)</f>
        <v>1.3259999999999998</v>
      </c>
      <c r="Z11" s="21">
        <f>AVERAGEIF($F$2:$F$152,Z7,$D$2:$D$152)</f>
        <v>2.0259999999999998</v>
      </c>
    </row>
    <row r="12" spans="1:26" x14ac:dyDescent="0.25">
      <c r="A12" s="9">
        <v>5.4</v>
      </c>
      <c r="B12" s="3">
        <v>3.7</v>
      </c>
      <c r="C12" s="3">
        <v>1.5</v>
      </c>
      <c r="D12" s="8">
        <v>0.2</v>
      </c>
      <c r="E12" s="9" t="s">
        <v>11</v>
      </c>
      <c r="F12" s="50" t="s">
        <v>5</v>
      </c>
      <c r="G12" s="9" t="str">
        <f t="shared" si="0"/>
        <v>setosa</v>
      </c>
      <c r="H12" s="3" cm="1">
        <f t="array" ref="H12">X$8*EstymacjaGaussowska($C12,$C$2:$C$51,X$14)*EstymacjaGaussowska($D12,$D$2:$D$51,X$15)+Y$8*EstymacjaGaussowska($C12,$C$52:$C$101,Y$14)*EstymacjaGaussowska($D12,$D$52:$D$101,Y$15)+Z$8*EstymacjaGaussowska($C12,$C$102:$C$151,Z$14)*EstymacjaGaussowska($D12,$D$102:$D$151,Z$15)</f>
        <v>3.5733275585592028</v>
      </c>
      <c r="I12" s="3" cm="1">
        <f t="array" ref="I12">X$8*EstymacjaGaussowska($C12,$C$2:$C$51,X$14)*EstymacjaGaussowska($D12,$D$2:$D$51,X$15)/$H12</f>
        <v>1</v>
      </c>
      <c r="J12" s="3" cm="1">
        <f t="array" ref="J12">Y$8*EstymacjaGaussowska($C12,$C$52:$C$101,Y$14)*EstymacjaGaussowska($D12,$D$52:$D$101,Y$15)/$H12</f>
        <v>5.4877881518809053E-28</v>
      </c>
      <c r="K12" s="42" cm="1">
        <f t="array" ref="K12">Z$8*EstymacjaGaussowska($C12,$C$102:$C$151,Z$14)*EstymacjaGaussowska($D12,$D$102:$D$151,Z$15)/$H12</f>
        <v>1.8844790900793386E-49</v>
      </c>
      <c r="L12" s="43" t="str">
        <f t="shared" si="1"/>
        <v>setosa</v>
      </c>
      <c r="M12" s="3" cm="1">
        <f t="array" ref="M12">X$8*EstymacjaGaussowska($C12,$C$2:$C$51,X$14)*EstymacjaGaussowska($D12,$D$2:$D$51,X$15)*VLOOKUP($E12,$W$29:$AA$32,2)+Y$8*EstymacjaGaussowska($C12,$C$52:$C$101,Y$14)*EstymacjaGaussowska($D12,$D$52:$D$101,Y$15)*VLOOKUP($E12,$W$29:$AA$32,3)+Z$8*EstymacjaGaussowska($C12,$C$102:$C$151,Z$14)*EstymacjaGaussowska($D12,$D$102:$D$151,Z$15)*VLOOKUP($E12,$W$29:$AA$32,4)</f>
        <v>1.5722641257660492</v>
      </c>
      <c r="N12" s="3" cm="1">
        <f t="array" ref="N12">X$8*EstymacjaGaussowska($C12,$C$2:$C$51,X$14)*EstymacjaGaussowska($D12,$D$2:$D$51,X$15)*VLOOKUP($E12,$W$29:$AA$32,2)/$M12</f>
        <v>1</v>
      </c>
      <c r="O12" s="3" cm="1">
        <f t="array" ref="O12">Y$8*EstymacjaGaussowska($C12,$C$52:$C$101,Y$14)*EstymacjaGaussowska($D12,$D$52:$D$101,Y$15)*VLOOKUP($E12,$W$29:$AA$32,3)/$M12</f>
        <v>2.2450042439512796E-28</v>
      </c>
      <c r="P12" s="42" cm="1">
        <f t="array" ref="P12">Z$8*EstymacjaGaussowska($C12,$C$102:$C$151,Z$14)*EstymacjaGaussowska($D12,$D$102:$D$151,Z$15)*VLOOKUP($E12,$W$29:$AA$32,4)/$M12</f>
        <v>2.5697442137445526E-49</v>
      </c>
      <c r="Q12" s="43" t="str">
        <f t="shared" si="2"/>
        <v>setosa</v>
      </c>
      <c r="R12" s="3" cm="1">
        <f t="array" ref="R12">X$8*EstymacjaGaussowska($C12,$C$2:$C$51,X$14)*EstymacjaGaussowska($D12,$D$2:$D$51,X$15)*EstymacjaGaussowska($A12,$A$2:$A$51,X$18)*EstymacjaGaussowska($B12,$B$2:$B$51,X$19)*VLOOKUP($E12,$W$29:$AA$32,2)+Y$8*EstymacjaGaussowska($C12,$C$52:$C$101,Y$14)*EstymacjaGaussowska($D12,$D$52:$D$101,Y$15)*EstymacjaGaussowska($A12,$A$52:$A$101,Y$18)*EstymacjaGaussowska($B12,$B$52:$B$101,Y$19)*VLOOKUP($E12,$W$29:$AA$32,3)+Z$8*EstymacjaGaussowska($C12,$C$102:$C$151,Z$14)*EstymacjaGaussowska($D12,$D$102:$D$151,Z$15)*EstymacjaGaussowska($A12,$A$102:$A$151,Z$18)*EstymacjaGaussowska($B12,$B$102:$B$151,Z$19)*VLOOKUP($E12,$W$29:$AA$32,4)</f>
        <v>0.62412684192281676</v>
      </c>
      <c r="S12" s="3" cm="1">
        <f t="array" ref="S12">X$8*EstymacjaGaussowska($C12,$C$2:$C$51,X$14)*EstymacjaGaussowska($D12,$D$2:$D$51,X$15)*EstymacjaGaussowska($A12,$A$2:$A$51,X$18)*EstymacjaGaussowska($B12,$B$2:$B$51,X$19)*VLOOKUP($E12,$W$29:$AA$32,2)/$R12</f>
        <v>1</v>
      </c>
      <c r="T12" s="3" cm="1">
        <f t="array" ref="T12">Y$8*EstymacjaGaussowska($C12,$C$52:$C$101,Y$14)*EstymacjaGaussowska($D12,$D$52:$D$101,Y$15)*EstymacjaGaussowska($A12,$A$52:$A$101,Y$18)*EstymacjaGaussowska($B12,$B$52:$B$101,Y$19)*VLOOKUP($E12,$W$29:$AA$32,3)/$R12</f>
        <v>2.6930284010418708E-30</v>
      </c>
      <c r="U12" s="42" cm="1">
        <f t="array" ref="U12">Z$8*EstymacjaGaussowska($C12,$C$102:$C$151,Z$14)*EstymacjaGaussowska($D12,$D$102:$D$151,Z$15)*EstymacjaGaussowska($A12,$A$102:$A$151,Z$18)*EstymacjaGaussowska($B12,$B$102:$B$151,Z$19)*VLOOKUP($E12,$W$29:$AA$32,4)/$R12</f>
        <v>9.7064146201001469E-51</v>
      </c>
      <c r="W12" s="36" t="s">
        <v>22</v>
      </c>
      <c r="X12" s="29">
        <f>_xlfn.STDEV.S($C$2:$C$51)</f>
        <v>0.17366399648018002</v>
      </c>
      <c r="Y12" s="29">
        <f>_xlfn.STDEV.S($C$52:$C$101)</f>
        <v>0.46991097723996639</v>
      </c>
      <c r="Z12" s="21">
        <f>_xlfn.STDEV.S($C$102:$C$151)</f>
        <v>0.55189469566398353</v>
      </c>
    </row>
    <row r="13" spans="1:26" x14ac:dyDescent="0.25">
      <c r="A13" s="9">
        <v>4.8</v>
      </c>
      <c r="B13" s="3">
        <v>3.4</v>
      </c>
      <c r="C13" s="3">
        <v>1.6</v>
      </c>
      <c r="D13" s="8">
        <v>0.2</v>
      </c>
      <c r="E13" s="9" t="s">
        <v>11</v>
      </c>
      <c r="F13" s="50" t="s">
        <v>5</v>
      </c>
      <c r="G13" s="9" t="str">
        <f t="shared" si="0"/>
        <v>setosa</v>
      </c>
      <c r="H13" s="3" cm="1">
        <f t="array" ref="H13">X$8*EstymacjaGaussowska($C13,$C$2:$C$51,X$14)*EstymacjaGaussowska($D13,$D$2:$D$51,X$15)+Y$8*EstymacjaGaussowska($C13,$C$52:$C$101,Y$14)*EstymacjaGaussowska($D13,$D$52:$D$101,Y$15)+Z$8*EstymacjaGaussowska($C13,$C$102:$C$151,Z$14)*EstymacjaGaussowska($D13,$D$102:$D$151,Z$15)</f>
        <v>2.4572987568847924</v>
      </c>
      <c r="I13" s="3" cm="1">
        <f t="array" ref="I13">X$8*EstymacjaGaussowska($C13,$C$2:$C$51,X$14)*EstymacjaGaussowska($D13,$D$2:$D$51,X$15)/$H13</f>
        <v>1</v>
      </c>
      <c r="J13" s="3" cm="1">
        <f t="array" ref="J13">Y$8*EstymacjaGaussowska($C13,$C$52:$C$101,Y$14)*EstymacjaGaussowska($D13,$D$52:$D$101,Y$15)/$H13</f>
        <v>1.3053355949206849E-26</v>
      </c>
      <c r="K13" s="42" cm="1">
        <f t="array" ref="K13">Z$8*EstymacjaGaussowska($C13,$C$102:$C$151,Z$14)*EstymacjaGaussowska($D13,$D$102:$D$151,Z$15)/$H13</f>
        <v>1.6899647107158646E-47</v>
      </c>
      <c r="L13" s="43" t="str">
        <f t="shared" si="1"/>
        <v>setosa</v>
      </c>
      <c r="M13" s="3" cm="1">
        <f t="array" ref="M13">X$8*EstymacjaGaussowska($C13,$C$2:$C$51,X$14)*EstymacjaGaussowska($D13,$D$2:$D$51,X$15)*VLOOKUP($E13,$W$29:$AA$32,2)+Y$8*EstymacjaGaussowska($C13,$C$52:$C$101,Y$14)*EstymacjaGaussowska($D13,$D$52:$D$101,Y$15)*VLOOKUP($E13,$W$29:$AA$32,3)+Z$8*EstymacjaGaussowska($C13,$C$102:$C$151,Z$14)*EstymacjaGaussowska($D13,$D$102:$D$151,Z$15)*VLOOKUP($E13,$W$29:$AA$32,4)</f>
        <v>1.0812114530293087</v>
      </c>
      <c r="N13" s="3" cm="1">
        <f t="array" ref="N13">X$8*EstymacjaGaussowska($C13,$C$2:$C$51,X$14)*EstymacjaGaussowska($D13,$D$2:$D$51,X$15)*VLOOKUP($E13,$W$29:$AA$32,2)/$M13</f>
        <v>1</v>
      </c>
      <c r="O13" s="3" cm="1">
        <f t="array" ref="O13">Y$8*EstymacjaGaussowska($C13,$C$52:$C$101,Y$14)*EstymacjaGaussowska($D13,$D$52:$D$101,Y$15)*VLOOKUP($E13,$W$29:$AA$32,3)/$M13</f>
        <v>5.3400092519482561E-27</v>
      </c>
      <c r="P13" s="42" cm="1">
        <f t="array" ref="P13">Z$8*EstymacjaGaussowska($C13,$C$102:$C$151,Z$14)*EstymacjaGaussowska($D13,$D$102:$D$151,Z$15)*VLOOKUP($E13,$W$29:$AA$32,4)/$M13</f>
        <v>2.3044973327943604E-47</v>
      </c>
      <c r="Q13" s="43" t="str">
        <f t="shared" si="2"/>
        <v>setosa</v>
      </c>
      <c r="R13" s="3" cm="1">
        <f t="array" ref="R13">X$8*EstymacjaGaussowska($C13,$C$2:$C$51,X$14)*EstymacjaGaussowska($D13,$D$2:$D$51,X$15)*EstymacjaGaussowska($A13,$A$2:$A$51,X$18)*EstymacjaGaussowska($B13,$B$2:$B$51,X$19)*VLOOKUP($E13,$W$29:$AA$32,2)+Y$8*EstymacjaGaussowska($C13,$C$52:$C$101,Y$14)*EstymacjaGaussowska($D13,$D$52:$D$101,Y$15)*EstymacjaGaussowska($A13,$A$52:$A$101,Y$18)*EstymacjaGaussowska($B13,$B$52:$B$101,Y$19)*VLOOKUP($E13,$W$29:$AA$32,3)+Z$8*EstymacjaGaussowska($C13,$C$102:$C$151,Z$14)*EstymacjaGaussowska($D13,$D$102:$D$151,Z$15)*EstymacjaGaussowska($A13,$A$102:$A$151,Z$18)*EstymacjaGaussowska($B13,$B$102:$B$151,Z$19)*VLOOKUP($E13,$W$29:$AA$32,4)</f>
        <v>0.93814162398864964</v>
      </c>
      <c r="S13" s="3" cm="1">
        <f t="array" ref="S13">X$8*EstymacjaGaussowska($C13,$C$2:$C$51,X$14)*EstymacjaGaussowska($D13,$D$2:$D$51,X$15)*EstymacjaGaussowska($A13,$A$2:$A$51,X$18)*EstymacjaGaussowska($B13,$B$2:$B$51,X$19)*VLOOKUP($E13,$W$29:$AA$32,2)/$R13</f>
        <v>1</v>
      </c>
      <c r="T13" s="3" cm="1">
        <f t="array" ref="T13">Y$8*EstymacjaGaussowska($C13,$C$52:$C$101,Y$14)*EstymacjaGaussowska($D13,$D$52:$D$101,Y$15)*EstymacjaGaussowska($A13,$A$52:$A$101,Y$18)*EstymacjaGaussowska($B13,$B$52:$B$101,Y$19)*VLOOKUP($E13,$W$29:$AA$32,3)/$R13</f>
        <v>1.3004313654744375E-28</v>
      </c>
      <c r="U13" s="42" cm="1">
        <f t="array" ref="U13">Z$8*EstymacjaGaussowska($C13,$C$102:$C$151,Z$14)*EstymacjaGaussowska($D13,$D$102:$D$151,Z$15)*EstymacjaGaussowska($A13,$A$102:$A$151,Z$18)*EstymacjaGaussowska($B13,$B$102:$B$151,Z$19)*VLOOKUP($E13,$W$29:$AA$32,4)/$R13</f>
        <v>2.949496578672759E-49</v>
      </c>
      <c r="W13" s="37" t="s">
        <v>25</v>
      </c>
      <c r="X13" s="29">
        <f>_xlfn.STDEV.S($D$2:$D$51)</f>
        <v>0.10538558938004595</v>
      </c>
      <c r="Y13" s="29">
        <f>_xlfn.STDEV.S($D$52:$D$101)</f>
        <v>0.19775268000454274</v>
      </c>
      <c r="Z13" s="21">
        <f>_xlfn.STDEV.S($D$102:$D$151)</f>
        <v>0.27465005563666967</v>
      </c>
    </row>
    <row r="14" spans="1:26" x14ac:dyDescent="0.25">
      <c r="A14" s="9">
        <v>4.8</v>
      </c>
      <c r="B14" s="3">
        <v>3</v>
      </c>
      <c r="C14" s="3">
        <v>1.4</v>
      </c>
      <c r="D14" s="8">
        <v>0.1</v>
      </c>
      <c r="E14" s="9" t="s">
        <v>11</v>
      </c>
      <c r="F14" s="50" t="s">
        <v>5</v>
      </c>
      <c r="G14" s="9" t="str">
        <f t="shared" si="0"/>
        <v>setosa</v>
      </c>
      <c r="H14" s="3" cm="1">
        <f t="array" ref="H14">X$8*EstymacjaGaussowska($C14,$C$2:$C$51,X$14)*EstymacjaGaussowska($D14,$D$2:$D$51,X$15)+Y$8*EstymacjaGaussowska($C14,$C$52:$C$101,Y$14)*EstymacjaGaussowska($D14,$D$52:$D$101,Y$15)+Z$8*EstymacjaGaussowska($C14,$C$102:$C$151,Z$14)*EstymacjaGaussowska($D14,$D$102:$D$151,Z$15)</f>
        <v>1.0715832253747812</v>
      </c>
      <c r="I14" s="3" cm="1">
        <f t="array" ref="I14">X$8*EstymacjaGaussowska($C14,$C$2:$C$51,X$14)*EstymacjaGaussowska($D14,$D$2:$D$51,X$15)/$H14</f>
        <v>1</v>
      </c>
      <c r="J14" s="3" cm="1">
        <f t="array" ref="J14">Y$8*EstymacjaGaussowska($C14,$C$52:$C$101,Y$14)*EstymacjaGaussowska($D14,$D$52:$D$101,Y$15)/$H14</f>
        <v>8.86622312251147E-33</v>
      </c>
      <c r="K14" s="42" cm="1">
        <f t="array" ref="K14">Z$8*EstymacjaGaussowska($C14,$C$102:$C$151,Z$14)*EstymacjaGaussowska($D14,$D$102:$D$151,Z$15)/$H14</f>
        <v>7.6632904509264386E-54</v>
      </c>
      <c r="L14" s="43" t="str">
        <f t="shared" si="1"/>
        <v>setosa</v>
      </c>
      <c r="M14" s="3" cm="1">
        <f t="array" ref="M14">X$8*EstymacjaGaussowska($C14,$C$2:$C$51,X$14)*EstymacjaGaussowska($D14,$D$2:$D$51,X$15)*VLOOKUP($E14,$W$29:$AA$32,2)+Y$8*EstymacjaGaussowska($C14,$C$52:$C$101,Y$14)*EstymacjaGaussowska($D14,$D$52:$D$101,Y$15)*VLOOKUP($E14,$W$29:$AA$32,3)+Z$8*EstymacjaGaussowska($C14,$C$102:$C$151,Z$14)*EstymacjaGaussowska($D14,$D$102:$D$151,Z$15)*VLOOKUP($E14,$W$29:$AA$32,4)</f>
        <v>0.47149661916490376</v>
      </c>
      <c r="N14" s="3" cm="1">
        <f t="array" ref="N14">X$8*EstymacjaGaussowska($C14,$C$2:$C$51,X$14)*EstymacjaGaussowska($D14,$D$2:$D$51,X$15)*VLOOKUP($E14,$W$29:$AA$32,2)/$M14</f>
        <v>1</v>
      </c>
      <c r="O14" s="3" cm="1">
        <f t="array" ref="O14">Y$8*EstymacjaGaussowska($C14,$C$52:$C$101,Y$14)*EstymacjaGaussowska($D14,$D$52:$D$101,Y$15)*VLOOKUP($E14,$W$29:$AA$32,3)/$M14</f>
        <v>3.6270912773910556E-33</v>
      </c>
      <c r="P14" s="42" cm="1">
        <f t="array" ref="P14">Z$8*EstymacjaGaussowska($C14,$C$102:$C$151,Z$14)*EstymacjaGaussowska($D14,$D$102:$D$151,Z$15)*VLOOKUP($E14,$W$29:$AA$32,4)/$M14</f>
        <v>1.0449941523990597E-53</v>
      </c>
      <c r="Q14" s="43" t="str">
        <f t="shared" si="2"/>
        <v>setosa</v>
      </c>
      <c r="R14" s="3" cm="1">
        <f t="array" ref="R14">X$8*EstymacjaGaussowska($C14,$C$2:$C$51,X$14)*EstymacjaGaussowska($D14,$D$2:$D$51,X$15)*EstymacjaGaussowska($A14,$A$2:$A$51,X$18)*EstymacjaGaussowska($B14,$B$2:$B$51,X$19)*VLOOKUP($E14,$W$29:$AA$32,2)+Y$8*EstymacjaGaussowska($C14,$C$52:$C$101,Y$14)*EstymacjaGaussowska($D14,$D$52:$D$101,Y$15)*EstymacjaGaussowska($A14,$A$52:$A$101,Y$18)*EstymacjaGaussowska($B14,$B$52:$B$101,Y$19)*VLOOKUP($E14,$W$29:$AA$32,3)+Z$8*EstymacjaGaussowska($C14,$C$102:$C$151,Z$14)*EstymacjaGaussowska($D14,$D$102:$D$151,Z$15)*EstymacjaGaussowska($A14,$A$102:$A$151,Z$18)*EstymacjaGaussowska($B14,$B$102:$B$151,Z$19)*VLOOKUP($E14,$W$29:$AA$32,4)</f>
        <v>0.25783986588864566</v>
      </c>
      <c r="S14" s="3" cm="1">
        <f t="array" ref="S14">X$8*EstymacjaGaussowska($C14,$C$2:$C$51,X$14)*EstymacjaGaussowska($D14,$D$2:$D$51,X$15)*EstymacjaGaussowska($A14,$A$2:$A$51,X$18)*EstymacjaGaussowska($B14,$B$2:$B$51,X$19)*VLOOKUP($E14,$W$29:$AA$32,2)/$R14</f>
        <v>1</v>
      </c>
      <c r="T14" s="3" cm="1">
        <f t="array" ref="T14">Y$8*EstymacjaGaussowska($C14,$C$52:$C$101,Y$14)*EstymacjaGaussowska($D14,$D$52:$D$101,Y$15)*EstymacjaGaussowska($A14,$A$52:$A$101,Y$18)*EstymacjaGaussowska($B14,$B$52:$B$101,Y$19)*VLOOKUP($E14,$W$29:$AA$32,3)/$R14</f>
        <v>7.7211950709544819E-34</v>
      </c>
      <c r="U14" s="42" cm="1">
        <f t="array" ref="U14">Z$8*EstymacjaGaussowska($C14,$C$102:$C$151,Z$14)*EstymacjaGaussowska($D14,$D$102:$D$151,Z$15)*EstymacjaGaussowska($A14,$A$102:$A$151,Z$18)*EstymacjaGaussowska($B14,$B$102:$B$151,Z$19)*VLOOKUP($E14,$W$29:$AA$32,4)/$R14</f>
        <v>6.1329985239274111E-55</v>
      </c>
      <c r="W14" s="37" t="s">
        <v>23</v>
      </c>
      <c r="X14" s="29">
        <f t="shared" ref="X14:Z15" si="3">1.06*X12/X$9^(1/5)</f>
        <v>8.4182468303972288E-2</v>
      </c>
      <c r="Y14" s="29">
        <f t="shared" si="3"/>
        <v>0.22778622367882012</v>
      </c>
      <c r="Z14" s="21">
        <f t="shared" si="3"/>
        <v>0.26752728640657603</v>
      </c>
    </row>
    <row r="15" spans="1:26" ht="15.75" thickBot="1" x14ac:dyDescent="0.3">
      <c r="A15" s="9">
        <v>4.3</v>
      </c>
      <c r="B15" s="3">
        <v>3</v>
      </c>
      <c r="C15" s="3">
        <v>1.1000000000000001</v>
      </c>
      <c r="D15" s="8">
        <v>0.1</v>
      </c>
      <c r="E15" s="9" t="s">
        <v>11</v>
      </c>
      <c r="F15" s="50" t="s">
        <v>5</v>
      </c>
      <c r="G15" s="9" t="str">
        <f t="shared" si="0"/>
        <v>setosa</v>
      </c>
      <c r="H15" s="3" cm="1">
        <f t="array" ref="H15">X$8*EstymacjaGaussowska($C15,$C$2:$C$51,X$14)*EstymacjaGaussowska($D15,$D$2:$D$51,X$15)+Y$8*EstymacjaGaussowska($C15,$C$52:$C$101,Y$14)*EstymacjaGaussowska($D15,$D$52:$D$101,Y$15)+Z$8*EstymacjaGaussowska($C15,$C$102:$C$151,Z$14)*EstymacjaGaussowska($D15,$D$102:$D$151,Z$15)</f>
        <v>0.13363290927662855</v>
      </c>
      <c r="I15" s="3" cm="1">
        <f t="array" ref="I15">X$8*EstymacjaGaussowska($C15,$C$2:$C$51,X$14)*EstymacjaGaussowska($D15,$D$2:$D$51,X$15)/$H15</f>
        <v>1</v>
      </c>
      <c r="J15" s="3" cm="1">
        <f t="array" ref="J15">Y$8*EstymacjaGaussowska($C15,$C$52:$C$101,Y$14)*EstymacjaGaussowska($D15,$D$52:$D$101,Y$15)/$H15</f>
        <v>2.8676911003682597E-36</v>
      </c>
      <c r="K15" s="42" cm="1">
        <f t="array" ref="K15">Z$8*EstymacjaGaussowska($C15,$C$102:$C$151,Z$14)*EstymacjaGaussowska($D15,$D$102:$D$151,Z$15)/$H15</f>
        <v>7.4506127275251293E-59</v>
      </c>
      <c r="L15" s="43" t="str">
        <f t="shared" si="1"/>
        <v>setosa</v>
      </c>
      <c r="M15" s="3" cm="1">
        <f t="array" ref="M15">X$8*EstymacjaGaussowska($C15,$C$2:$C$51,X$14)*EstymacjaGaussowska($D15,$D$2:$D$51,X$15)*VLOOKUP($E15,$W$29:$AA$32,2)+Y$8*EstymacjaGaussowska($C15,$C$52:$C$101,Y$14)*EstymacjaGaussowska($D15,$D$52:$D$101,Y$15)*VLOOKUP($E15,$W$29:$AA$32,3)+Z$8*EstymacjaGaussowska($C15,$C$102:$C$151,Z$14)*EstymacjaGaussowska($D15,$D$102:$D$151,Z$15)*VLOOKUP($E15,$W$29:$AA$32,4)</f>
        <v>5.8798480081716564E-2</v>
      </c>
      <c r="N15" s="3" cm="1">
        <f t="array" ref="N15">X$8*EstymacjaGaussowska($C15,$C$2:$C$51,X$14)*EstymacjaGaussowska($D15,$D$2:$D$51,X$15)*VLOOKUP($E15,$W$29:$AA$32,2)/$M15</f>
        <v>1</v>
      </c>
      <c r="O15" s="3" cm="1">
        <f t="array" ref="O15">Y$8*EstymacjaGaussowska($C15,$C$52:$C$101,Y$14)*EstymacjaGaussowska($D15,$D$52:$D$101,Y$15)*VLOOKUP($E15,$W$29:$AA$32,3)/$M15</f>
        <v>1.1731463592415607E-36</v>
      </c>
      <c r="P15" s="42" cm="1">
        <f t="array" ref="P15">Z$8*EstymacjaGaussowska($C15,$C$102:$C$151,Z$14)*EstymacjaGaussowska($D15,$D$102:$D$151,Z$15)*VLOOKUP($E15,$W$29:$AA$32,4)/$M15</f>
        <v>1.0159926446625174E-58</v>
      </c>
      <c r="Q15" s="43" t="str">
        <f t="shared" si="2"/>
        <v>setosa</v>
      </c>
      <c r="R15" s="3" cm="1">
        <f t="array" ref="R15">X$8*EstymacjaGaussowska($C15,$C$2:$C$51,X$14)*EstymacjaGaussowska($D15,$D$2:$D$51,X$15)*EstymacjaGaussowska($A15,$A$2:$A$51,X$18)*EstymacjaGaussowska($B15,$B$2:$B$51,X$19)*VLOOKUP($E15,$W$29:$AA$32,2)+Y$8*EstymacjaGaussowska($C15,$C$52:$C$101,Y$14)*EstymacjaGaussowska($D15,$D$52:$D$101,Y$15)*EstymacjaGaussowska($A15,$A$52:$A$101,Y$18)*EstymacjaGaussowska($B15,$B$52:$B$101,Y$19)*VLOOKUP($E15,$W$29:$AA$32,3)+Z$8*EstymacjaGaussowska($C15,$C$102:$C$151,Z$14)*EstymacjaGaussowska($D15,$D$102:$D$151,Z$15)*EstymacjaGaussowska($A15,$A$102:$A$151,Z$18)*EstymacjaGaussowska($B15,$B$102:$B$151,Z$19)*VLOOKUP($E15,$W$29:$AA$32,4)</f>
        <v>8.8791537808152656E-3</v>
      </c>
      <c r="S15" s="3" cm="1">
        <f t="array" ref="S15">X$8*EstymacjaGaussowska($C15,$C$2:$C$51,X$14)*EstymacjaGaussowska($D15,$D$2:$D$51,X$15)*EstymacjaGaussowska($A15,$A$2:$A$51,X$18)*EstymacjaGaussowska($B15,$B$2:$B$51,X$19)*VLOOKUP($E15,$W$29:$AA$32,2)/$R15</f>
        <v>1</v>
      </c>
      <c r="T15" s="3" cm="1">
        <f t="array" ref="T15">Y$8*EstymacjaGaussowska($C15,$C$52:$C$101,Y$14)*EstymacjaGaussowska($D15,$D$52:$D$101,Y$15)*EstymacjaGaussowska($A15,$A$52:$A$101,Y$18)*EstymacjaGaussowska($B15,$B$52:$B$101,Y$19)*VLOOKUP($E15,$W$29:$AA$32,3)/$R15</f>
        <v>2.8193870728410322E-38</v>
      </c>
      <c r="U15" s="42" cm="1">
        <f t="array" ref="U15">Z$8*EstymacjaGaussowska($C15,$C$102:$C$151,Z$14)*EstymacjaGaussowska($D15,$D$102:$D$151,Z$15)*EstymacjaGaussowska($A15,$A$102:$A$151,Z$18)*EstymacjaGaussowska($B15,$B$102:$B$151,Z$19)*VLOOKUP($E15,$W$29:$AA$32,4)/$R15</f>
        <v>3.2005301290618852E-60</v>
      </c>
      <c r="W15" s="38" t="s">
        <v>24</v>
      </c>
      <c r="X15" s="29">
        <f>1.06*X13/X$9^(1/5)</f>
        <v>5.1084964169263836E-2</v>
      </c>
      <c r="Y15" s="29">
        <f t="shared" si="3"/>
        <v>9.5859297574140093E-2</v>
      </c>
      <c r="Z15" s="21">
        <f t="shared" si="3"/>
        <v>0.13313478943205651</v>
      </c>
    </row>
    <row r="16" spans="1:26" x14ac:dyDescent="0.25">
      <c r="A16" s="9">
        <v>5.8</v>
      </c>
      <c r="B16" s="3">
        <v>4</v>
      </c>
      <c r="C16" s="3">
        <v>1.2</v>
      </c>
      <c r="D16" s="8">
        <v>0.2</v>
      </c>
      <c r="E16" s="9" t="s">
        <v>11</v>
      </c>
      <c r="F16" s="50" t="s">
        <v>5</v>
      </c>
      <c r="G16" s="9" t="str">
        <f t="shared" si="0"/>
        <v>setosa</v>
      </c>
      <c r="H16" s="3" cm="1">
        <f t="array" ref="H16">X$8*EstymacjaGaussowska($C16,$C$2:$C$51,X$14)*EstymacjaGaussowska($D16,$D$2:$D$51,X$15)+Y$8*EstymacjaGaussowska($C16,$C$52:$C$101,Y$14)*EstymacjaGaussowska($D16,$D$52:$D$101,Y$15)+Z$8*EstymacjaGaussowska($C16,$C$102:$C$151,Z$14)*EstymacjaGaussowska($D16,$D$102:$D$151,Z$15)</f>
        <v>1.0334021380056975</v>
      </c>
      <c r="I16" s="3" cm="1">
        <f t="array" ref="I16">X$8*EstymacjaGaussowska($C16,$C$2:$C$51,X$14)*EstymacjaGaussowska($D16,$D$2:$D$51,X$15)/$H16</f>
        <v>1</v>
      </c>
      <c r="J16" s="3" cm="1">
        <f t="array" ref="J16">Y$8*EstymacjaGaussowska($C16,$C$52:$C$101,Y$14)*EstymacjaGaussowska($D16,$D$52:$D$101,Y$15)/$H16</f>
        <v>1.3644628390339724E-31</v>
      </c>
      <c r="K16" s="42" cm="1">
        <f t="array" ref="K16">Z$8*EstymacjaGaussowska($C16,$C$102:$C$151,Z$14)*EstymacjaGaussowska($D16,$D$102:$D$151,Z$15)/$H16</f>
        <v>1.2014333790737702E-54</v>
      </c>
      <c r="L16" s="43" t="str">
        <f t="shared" si="1"/>
        <v>setosa</v>
      </c>
      <c r="M16" s="3" cm="1">
        <f t="array" ref="M16">X$8*EstymacjaGaussowska($C16,$C$2:$C$51,X$14)*EstymacjaGaussowska($D16,$D$2:$D$51,X$15)*VLOOKUP($E16,$W$29:$AA$32,2)+Y$8*EstymacjaGaussowska($C16,$C$52:$C$101,Y$14)*EstymacjaGaussowska($D16,$D$52:$D$101,Y$15)*VLOOKUP($E16,$W$29:$AA$32,3)+Z$8*EstymacjaGaussowska($C16,$C$102:$C$151,Z$14)*EstymacjaGaussowska($D16,$D$102:$D$151,Z$15)*VLOOKUP($E16,$W$29:$AA$32,4)</f>
        <v>0.45469694072250688</v>
      </c>
      <c r="N16" s="3" cm="1">
        <f t="array" ref="N16">X$8*EstymacjaGaussowska($C16,$C$2:$C$51,X$14)*EstymacjaGaussowska($D16,$D$2:$D$51,X$15)*VLOOKUP($E16,$W$29:$AA$32,2)/$M16</f>
        <v>1</v>
      </c>
      <c r="O16" s="3" cm="1">
        <f t="array" ref="O16">Y$8*EstymacjaGaussowska($C16,$C$52:$C$101,Y$14)*EstymacjaGaussowska($D16,$D$52:$D$101,Y$15)*VLOOKUP($E16,$W$29:$AA$32,3)/$M16</f>
        <v>5.5818934324117046E-32</v>
      </c>
      <c r="P16" s="42" cm="1">
        <f t="array" ref="P16">Z$8*EstymacjaGaussowska($C16,$C$102:$C$151,Z$14)*EstymacjaGaussowska($D16,$D$102:$D$151,Z$15)*VLOOKUP($E16,$W$29:$AA$32,4)/$M16</f>
        <v>1.6383182441915049E-54</v>
      </c>
      <c r="Q16" s="43" t="str">
        <f t="shared" si="2"/>
        <v>setosa</v>
      </c>
      <c r="R16" s="3" cm="1">
        <f t="array" ref="R16">X$8*EstymacjaGaussowska($C16,$C$2:$C$51,X$14)*EstymacjaGaussowska($D16,$D$2:$D$51,X$15)*EstymacjaGaussowska($A16,$A$2:$A$51,X$18)*EstymacjaGaussowska($B16,$B$2:$B$51,X$19)*VLOOKUP($E16,$W$29:$AA$32,2)+Y$8*EstymacjaGaussowska($C16,$C$52:$C$101,Y$14)*EstymacjaGaussowska($D16,$D$52:$D$101,Y$15)*EstymacjaGaussowska($A16,$A$52:$A$101,Y$18)*EstymacjaGaussowska($B16,$B$52:$B$101,Y$19)*VLOOKUP($E16,$W$29:$AA$32,3)+Z$8*EstymacjaGaussowska($C16,$C$102:$C$151,Z$14)*EstymacjaGaussowska($D16,$D$102:$D$151,Z$15)*EstymacjaGaussowska($A16,$A$102:$A$151,Z$18)*EstymacjaGaussowska($B16,$B$102:$B$151,Z$19)*VLOOKUP($E16,$W$29:$AA$32,4)</f>
        <v>2.4585938035165237E-2</v>
      </c>
      <c r="S16" s="3" cm="1">
        <f t="array" ref="S16">X$8*EstymacjaGaussowska($C16,$C$2:$C$51,X$14)*EstymacjaGaussowska($D16,$D$2:$D$51,X$15)*EstymacjaGaussowska($A16,$A$2:$A$51,X$18)*EstymacjaGaussowska($B16,$B$2:$B$51,X$19)*VLOOKUP($E16,$W$29:$AA$32,2)/$R16</f>
        <v>1</v>
      </c>
      <c r="T16" s="3" cm="1">
        <f t="array" ref="T16">Y$8*EstymacjaGaussowska($C16,$C$52:$C$101,Y$14)*EstymacjaGaussowska($D16,$D$52:$D$101,Y$15)*EstymacjaGaussowska($A16,$A$52:$A$101,Y$18)*EstymacjaGaussowska($B16,$B$52:$B$101,Y$19)*VLOOKUP($E16,$W$29:$AA$32,3)/$R16</f>
        <v>1.6861751857918248E-35</v>
      </c>
      <c r="U16" s="42" cm="1">
        <f t="array" ref="U16">Z$8*EstymacjaGaussowska($C16,$C$102:$C$151,Z$14)*EstymacjaGaussowska($D16,$D$102:$D$151,Z$15)*EstymacjaGaussowska($A16,$A$102:$A$151,Z$18)*EstymacjaGaussowska($B16,$B$102:$B$151,Z$19)*VLOOKUP($E16,$W$29:$AA$32,4)/$R16</f>
        <v>4.5009473360200833E-55</v>
      </c>
      <c r="W16" s="37" t="s">
        <v>44</v>
      </c>
      <c r="X16" s="29">
        <f>_xlfn.STDEV.S($A$2:$A$51)</f>
        <v>0.3524896872134512</v>
      </c>
      <c r="Y16" s="29">
        <f>_xlfn.STDEV.S($A$52:$A$101)</f>
        <v>0.51617114706386347</v>
      </c>
      <c r="Z16" s="21">
        <f>_xlfn.STDEV.S($A$102:$A$151)</f>
        <v>0.635879593274432</v>
      </c>
    </row>
    <row r="17" spans="1:28" x14ac:dyDescent="0.25">
      <c r="A17" s="9">
        <v>5.7</v>
      </c>
      <c r="B17" s="3">
        <v>4.4000000000000004</v>
      </c>
      <c r="C17" s="3">
        <v>1.5</v>
      </c>
      <c r="D17" s="8">
        <v>0.4</v>
      </c>
      <c r="E17" s="9" t="s">
        <v>11</v>
      </c>
      <c r="F17" s="50" t="s">
        <v>5</v>
      </c>
      <c r="G17" s="9" t="str">
        <f t="shared" si="0"/>
        <v>setosa</v>
      </c>
      <c r="H17" s="3" cm="1">
        <f t="array" ref="H17">X$8*EstymacjaGaussowska($C17,$C$2:$C$51,X$14)*EstymacjaGaussowska($D17,$D$2:$D$51,X$15)+Y$8*EstymacjaGaussowska($C17,$C$52:$C$101,Y$14)*EstymacjaGaussowska($D17,$D$52:$D$101,Y$15)+Z$8*EstymacjaGaussowska($C17,$C$102:$C$151,Z$14)*EstymacjaGaussowska($D17,$D$102:$D$151,Z$15)</f>
        <v>0.95131335117582871</v>
      </c>
      <c r="I17" s="3" cm="1">
        <f t="array" ref="I17">X$8*EstymacjaGaussowska($C17,$C$2:$C$51,X$14)*EstymacjaGaussowska($D17,$D$2:$D$51,X$15)/$H17</f>
        <v>1</v>
      </c>
      <c r="J17" s="3" cm="1">
        <f t="array" ref="J17">Y$8*EstymacjaGaussowska($C17,$C$52:$C$101,Y$14)*EstymacjaGaussowska($D17,$D$52:$D$101,Y$15)/$H17</f>
        <v>8.5314578025219679E-21</v>
      </c>
      <c r="K17" s="42" cm="1">
        <f t="array" ref="K17">Z$8*EstymacjaGaussowska($C17,$C$102:$C$151,Z$14)*EstymacjaGaussowska($D17,$D$102:$D$151,Z$15)/$H17</f>
        <v>1.7455970234447626E-43</v>
      </c>
      <c r="L17" s="43" t="str">
        <f t="shared" si="1"/>
        <v>setosa</v>
      </c>
      <c r="M17" s="3" cm="1">
        <f t="array" ref="M17">X$8*EstymacjaGaussowska($C17,$C$2:$C$51,X$14)*EstymacjaGaussowska($D17,$D$2:$D$51,X$15)*VLOOKUP($E17,$W$29:$AA$32,2)+Y$8*EstymacjaGaussowska($C17,$C$52:$C$101,Y$14)*EstymacjaGaussowska($D17,$D$52:$D$101,Y$15)*VLOOKUP($E17,$W$29:$AA$32,3)+Z$8*EstymacjaGaussowska($C17,$C$102:$C$151,Z$14)*EstymacjaGaussowska($D17,$D$102:$D$151,Z$15)*VLOOKUP($E17,$W$29:$AA$32,4)</f>
        <v>0.41857787451736461</v>
      </c>
      <c r="N17" s="3" cm="1">
        <f t="array" ref="N17">X$8*EstymacjaGaussowska($C17,$C$2:$C$51,X$14)*EstymacjaGaussowska($D17,$D$2:$D$51,X$15)*VLOOKUP($E17,$W$29:$AA$32,2)/$M17</f>
        <v>1</v>
      </c>
      <c r="O17" s="3" cm="1">
        <f t="array" ref="O17">Y$8*EstymacjaGaussowska($C17,$C$52:$C$101,Y$14)*EstymacjaGaussowska($D17,$D$52:$D$101,Y$15)*VLOOKUP($E17,$W$29:$AA$32,3)/$M17</f>
        <v>3.4901418283044409E-21</v>
      </c>
      <c r="P17" s="42" cm="1">
        <f t="array" ref="P17">Z$8*EstymacjaGaussowska($C17,$C$102:$C$151,Z$14)*EstymacjaGaussowska($D17,$D$102:$D$151,Z$15)*VLOOKUP($E17,$W$29:$AA$32,4)/$M17</f>
        <v>2.380359577424676E-43</v>
      </c>
      <c r="Q17" s="43" t="str">
        <f t="shared" si="2"/>
        <v>setosa</v>
      </c>
      <c r="R17" s="3" cm="1">
        <f t="array" ref="R17">X$8*EstymacjaGaussowska($C17,$C$2:$C$51,X$14)*EstymacjaGaussowska($D17,$D$2:$D$51,X$15)*EstymacjaGaussowska($A17,$A$2:$A$51,X$18)*EstymacjaGaussowska($B17,$B$2:$B$51,X$19)*VLOOKUP($E17,$W$29:$AA$32,2)+Y$8*EstymacjaGaussowska($C17,$C$52:$C$101,Y$14)*EstymacjaGaussowska($D17,$D$52:$D$101,Y$15)*EstymacjaGaussowska($A17,$A$52:$A$101,Y$18)*EstymacjaGaussowska($B17,$B$52:$B$101,Y$19)*VLOOKUP($E17,$W$29:$AA$32,3)+Z$8*EstymacjaGaussowska($C17,$C$102:$C$151,Z$14)*EstymacjaGaussowska($D17,$D$102:$D$151,Z$15)*EstymacjaGaussowska($A17,$A$102:$A$151,Z$18)*EstymacjaGaussowska($B17,$B$102:$B$151,Z$19)*VLOOKUP($E17,$W$29:$AA$32,4)</f>
        <v>8.4856256545656934E-3</v>
      </c>
      <c r="S17" s="3" cm="1">
        <f t="array" ref="S17">X$8*EstymacjaGaussowska($C17,$C$2:$C$51,X$14)*EstymacjaGaussowska($D17,$D$2:$D$51,X$15)*EstymacjaGaussowska($A17,$A$2:$A$51,X$18)*EstymacjaGaussowska($B17,$B$2:$B$51,X$19)*VLOOKUP($E17,$W$29:$AA$32,2)/$R17</f>
        <v>1</v>
      </c>
      <c r="T17" s="3" cm="1">
        <f t="array" ref="T17">Y$8*EstymacjaGaussowska($C17,$C$52:$C$101,Y$14)*EstymacjaGaussowska($D17,$D$52:$D$101,Y$15)*EstymacjaGaussowska($A17,$A$52:$A$101,Y$18)*EstymacjaGaussowska($B17,$B$52:$B$101,Y$19)*VLOOKUP($E17,$W$29:$AA$32,3)/$R17</f>
        <v>2.6101862196448048E-30</v>
      </c>
      <c r="U17" s="42" cm="1">
        <f t="array" ref="U17">Z$8*EstymacjaGaussowska($C17,$C$102:$C$151,Z$14)*EstymacjaGaussowska($D17,$D$102:$D$151,Z$15)*EstymacjaGaussowska($A17,$A$102:$A$151,Z$18)*EstymacjaGaussowska($B17,$B$102:$B$151,Z$19)*VLOOKUP($E17,$W$29:$AA$32,4)/$R17</f>
        <v>1.9140084517301732E-46</v>
      </c>
      <c r="W17" s="37" t="s">
        <v>45</v>
      </c>
      <c r="X17" s="29">
        <f>_xlfn.STDEV.S($B$2:$B$51)</f>
        <v>0.37906436909629143</v>
      </c>
      <c r="Y17" s="29">
        <f>_xlfn.STDEV.S($B$52:$B$101)</f>
        <v>0.31379832337840918</v>
      </c>
      <c r="Z17" s="21">
        <f>_xlfn.STDEV.S($B$102:$B$151)</f>
        <v>0.32249663817263963</v>
      </c>
    </row>
    <row r="18" spans="1:28" x14ac:dyDescent="0.25">
      <c r="A18" s="9">
        <v>5.4</v>
      </c>
      <c r="B18" s="3">
        <v>3.9</v>
      </c>
      <c r="C18" s="3">
        <v>1.3</v>
      </c>
      <c r="D18" s="8">
        <v>0.4</v>
      </c>
      <c r="E18" s="9" t="s">
        <v>11</v>
      </c>
      <c r="F18" s="50" t="s">
        <v>5</v>
      </c>
      <c r="G18" s="9" t="str">
        <f t="shared" si="0"/>
        <v>setosa</v>
      </c>
      <c r="H18" s="3" cm="1">
        <f t="array" ref="H18">X$8*EstymacjaGaussowska($C18,$C$2:$C$51,X$14)*EstymacjaGaussowska($D18,$D$2:$D$51,X$15)+Y$8*EstymacjaGaussowska($C18,$C$52:$C$101,Y$14)*EstymacjaGaussowska($D18,$D$52:$D$101,Y$15)+Z$8*EstymacjaGaussowska($C18,$C$102:$C$151,Z$14)*EstymacjaGaussowska($D18,$D$102:$D$151,Z$15)</f>
        <v>0.61660791132537363</v>
      </c>
      <c r="I18" s="3" cm="1">
        <f t="array" ref="I18">X$8*EstymacjaGaussowska($C18,$C$2:$C$51,X$14)*EstymacjaGaussowska($D18,$D$2:$D$51,X$15)/$H18</f>
        <v>1</v>
      </c>
      <c r="J18" s="3" cm="1">
        <f t="array" ref="J18">Y$8*EstymacjaGaussowska($C18,$C$52:$C$101,Y$14)*EstymacjaGaussowska($D18,$D$52:$D$101,Y$15)/$H18</f>
        <v>2.7597553355359118E-23</v>
      </c>
      <c r="K18" s="42" cm="1">
        <f t="array" ref="K18">Z$8*EstymacjaGaussowska($C18,$C$102:$C$151,Z$14)*EstymacjaGaussowska($D18,$D$102:$D$151,Z$15)/$H18</f>
        <v>4.6566682782991928E-47</v>
      </c>
      <c r="L18" s="43" t="str">
        <f t="shared" si="1"/>
        <v>setosa</v>
      </c>
      <c r="M18" s="3" cm="1">
        <f t="array" ref="M18">X$8*EstymacjaGaussowska($C18,$C$2:$C$51,X$14)*EstymacjaGaussowska($D18,$D$2:$D$51,X$15)*VLOOKUP($E18,$W$29:$AA$32,2)+Y$8*EstymacjaGaussowska($C18,$C$52:$C$101,Y$14)*EstymacjaGaussowska($D18,$D$52:$D$101,Y$15)*VLOOKUP($E18,$W$29:$AA$32,3)+Z$8*EstymacjaGaussowska($C18,$C$102:$C$151,Z$14)*EstymacjaGaussowska($D18,$D$102:$D$151,Z$15)*VLOOKUP($E18,$W$29:$AA$32,4)</f>
        <v>0.27130748098316437</v>
      </c>
      <c r="N18" s="3" cm="1">
        <f t="array" ref="N18">X$8*EstymacjaGaussowska($C18,$C$2:$C$51,X$14)*EstymacjaGaussowska($D18,$D$2:$D$51,X$15)*VLOOKUP($E18,$W$29:$AA$32,2)/$M18</f>
        <v>1</v>
      </c>
      <c r="O18" s="3" cm="1">
        <f t="array" ref="O18">Y$8*EstymacjaGaussowska($C18,$C$52:$C$101,Y$14)*EstymacjaGaussowska($D18,$D$52:$D$101,Y$15)*VLOOKUP($E18,$W$29:$AA$32,3)/$M18</f>
        <v>1.1289908190828732E-23</v>
      </c>
      <c r="P18" s="42" cm="1">
        <f t="array" ref="P18">Z$8*EstymacjaGaussowska($C18,$C$102:$C$151,Z$14)*EstymacjaGaussowska($D18,$D$102:$D$151,Z$15)*VLOOKUP($E18,$W$29:$AA$32,4)/$M18</f>
        <v>6.3500021976807184E-47</v>
      </c>
      <c r="Q18" s="43" t="str">
        <f t="shared" si="2"/>
        <v>setosa</v>
      </c>
      <c r="R18" s="3" cm="1">
        <f t="array" ref="R18">X$8*EstymacjaGaussowska($C18,$C$2:$C$51,X$14)*EstymacjaGaussowska($D18,$D$2:$D$51,X$15)*EstymacjaGaussowska($A18,$A$2:$A$51,X$18)*EstymacjaGaussowska($B18,$B$2:$B$51,X$19)*VLOOKUP($E18,$W$29:$AA$32,2)+Y$8*EstymacjaGaussowska($C18,$C$52:$C$101,Y$14)*EstymacjaGaussowska($D18,$D$52:$D$101,Y$15)*EstymacjaGaussowska($A18,$A$52:$A$101,Y$18)*EstymacjaGaussowska($B18,$B$52:$B$101,Y$19)*VLOOKUP($E18,$W$29:$AA$32,3)+Z$8*EstymacjaGaussowska($C18,$C$102:$C$151,Z$14)*EstymacjaGaussowska($D18,$D$102:$D$151,Z$15)*EstymacjaGaussowska($A18,$A$102:$A$151,Z$18)*EstymacjaGaussowska($B18,$B$102:$B$151,Z$19)*VLOOKUP($E18,$W$29:$AA$32,4)</f>
        <v>6.7675016635796767E-2</v>
      </c>
      <c r="S18" s="3" cm="1">
        <f t="array" ref="S18">X$8*EstymacjaGaussowska($C18,$C$2:$C$51,X$14)*EstymacjaGaussowska($D18,$D$2:$D$51,X$15)*EstymacjaGaussowska($A18,$A$2:$A$51,X$18)*EstymacjaGaussowska($B18,$B$2:$B$51,X$19)*VLOOKUP($E18,$W$29:$AA$32,2)/$R18</f>
        <v>1</v>
      </c>
      <c r="T18" s="3" cm="1">
        <f t="array" ref="T18">Y$8*EstymacjaGaussowska($C18,$C$52:$C$101,Y$14)*EstymacjaGaussowska($D18,$D$52:$D$101,Y$15)*EstymacjaGaussowska($A18,$A$52:$A$101,Y$18)*EstymacjaGaussowska($B18,$B$52:$B$101,Y$19)*VLOOKUP($E18,$W$29:$AA$32,3)/$R18</f>
        <v>5.6900009115864962E-27</v>
      </c>
      <c r="U18" s="42" cm="1">
        <f t="array" ref="U18">Z$8*EstymacjaGaussowska($C18,$C$102:$C$151,Z$14)*EstymacjaGaussowska($D18,$D$102:$D$151,Z$15)*EstymacjaGaussowska($A18,$A$102:$A$151,Z$18)*EstymacjaGaussowska($B18,$B$102:$B$151,Z$19)*VLOOKUP($E18,$W$29:$AA$32,4)/$R18</f>
        <v>2.3655098090528111E-48</v>
      </c>
      <c r="W18" s="37" t="s">
        <v>46</v>
      </c>
      <c r="X18" s="29">
        <f>1.06*X16/X$9^(1/5)</f>
        <v>0.17086703359789399</v>
      </c>
      <c r="Y18" s="29">
        <f t="shared" ref="X18:Z19" si="4">1.06*Y16/Y$9^(1/5)</f>
        <v>0.25021053360411333</v>
      </c>
      <c r="Z18" s="21">
        <f t="shared" si="4"/>
        <v>0.30823840744720471</v>
      </c>
    </row>
    <row r="19" spans="1:28" ht="15.75" thickBot="1" x14ac:dyDescent="0.3">
      <c r="A19" s="9">
        <v>5.0999999999999996</v>
      </c>
      <c r="B19" s="3">
        <v>3.5</v>
      </c>
      <c r="C19" s="3">
        <v>1.4</v>
      </c>
      <c r="D19" s="8">
        <v>0.3</v>
      </c>
      <c r="E19" s="9" t="s">
        <v>11</v>
      </c>
      <c r="F19" s="50" t="s">
        <v>5</v>
      </c>
      <c r="G19" s="9" t="str">
        <f t="shared" si="0"/>
        <v>setosa</v>
      </c>
      <c r="H19" s="3" cm="1">
        <f t="array" ref="H19">X$8*EstymacjaGaussowska($C19,$C$2:$C$51,X$14)*EstymacjaGaussowska($D19,$D$2:$D$51,X$15)+Y$8*EstymacjaGaussowska($C19,$C$52:$C$101,Y$14)*EstymacjaGaussowska($D19,$D$52:$D$101,Y$15)+Z$8*EstymacjaGaussowska($C19,$C$102:$C$151,Z$14)*EstymacjaGaussowska($D19,$D$102:$D$151,Z$15)</f>
        <v>1.4217543129736698</v>
      </c>
      <c r="I19" s="3" cm="1">
        <f t="array" ref="I19">X$8*EstymacjaGaussowska($C19,$C$2:$C$51,X$14)*EstymacjaGaussowska($D19,$D$2:$D$51,X$15)/$H19</f>
        <v>1</v>
      </c>
      <c r="J19" s="3" cm="1">
        <f t="array" ref="J19">Y$8*EstymacjaGaussowska($C19,$C$52:$C$101,Y$14)*EstymacjaGaussowska($D19,$D$52:$D$101,Y$15)/$H19</f>
        <v>2.4376539630988169E-25</v>
      </c>
      <c r="K19" s="42" cm="1">
        <f t="array" ref="K19">Z$8*EstymacjaGaussowska($C19,$C$102:$C$151,Z$14)*EstymacjaGaussowska($D19,$D$102:$D$151,Z$15)/$H19</f>
        <v>4.3952618871040619E-48</v>
      </c>
      <c r="L19" s="43" t="str">
        <f t="shared" si="1"/>
        <v>setosa</v>
      </c>
      <c r="M19" s="3" cm="1">
        <f t="array" ref="M19">X$8*EstymacjaGaussowska($C19,$C$2:$C$51,X$14)*EstymacjaGaussowska($D19,$D$2:$D$51,X$15)*VLOOKUP($E19,$W$29:$AA$32,2)+Y$8*EstymacjaGaussowska($C19,$C$52:$C$101,Y$14)*EstymacjaGaussowska($D19,$D$52:$D$101,Y$15)*VLOOKUP($E19,$W$29:$AA$32,3)+Z$8*EstymacjaGaussowska($C19,$C$102:$C$151,Z$14)*EstymacjaGaussowska($D19,$D$102:$D$151,Z$15)*VLOOKUP($E19,$W$29:$AA$32,4)</f>
        <v>0.6255718977084147</v>
      </c>
      <c r="N19" s="3" cm="1">
        <f t="array" ref="N19">X$8*EstymacjaGaussowska($C19,$C$2:$C$51,X$14)*EstymacjaGaussowska($D19,$D$2:$D$51,X$15)*VLOOKUP($E19,$W$29:$AA$32,2)/$M19</f>
        <v>1</v>
      </c>
      <c r="O19" s="3" cm="1">
        <f t="array" ref="O19">Y$8*EstymacjaGaussowska($C19,$C$52:$C$101,Y$14)*EstymacjaGaussowska($D19,$D$52:$D$101,Y$15)*VLOOKUP($E19,$W$29:$AA$32,3)/$M19</f>
        <v>9.9722207581315233E-26</v>
      </c>
      <c r="P19" s="42" cm="1">
        <f t="array" ref="P19">Z$8*EstymacjaGaussowska($C19,$C$102:$C$151,Z$14)*EstymacjaGaussowska($D19,$D$102:$D$151,Z$15)*VLOOKUP($E19,$W$29:$AA$32,4)/$M19</f>
        <v>5.9935389369600835E-48</v>
      </c>
      <c r="Q19" s="43" t="str">
        <f t="shared" si="2"/>
        <v>setosa</v>
      </c>
      <c r="R19" s="3" cm="1">
        <f t="array" ref="R19">X$8*EstymacjaGaussowska($C19,$C$2:$C$51,X$14)*EstymacjaGaussowska($D19,$D$2:$D$51,X$15)*EstymacjaGaussowska($A19,$A$2:$A$51,X$18)*EstymacjaGaussowska($B19,$B$2:$B$51,X$19)*VLOOKUP($E19,$W$29:$AA$32,2)+Y$8*EstymacjaGaussowska($C19,$C$52:$C$101,Y$14)*EstymacjaGaussowska($D19,$D$52:$D$101,Y$15)*EstymacjaGaussowska($A19,$A$52:$A$101,Y$18)*EstymacjaGaussowska($B19,$B$52:$B$101,Y$19)*VLOOKUP($E19,$W$29:$AA$32,3)+Z$8*EstymacjaGaussowska($C19,$C$102:$C$151,Z$14)*EstymacjaGaussowska($D19,$D$102:$D$151,Z$15)*EstymacjaGaussowska($A19,$A$102:$A$151,Z$18)*EstymacjaGaussowska($B19,$B$102:$B$151,Z$19)*VLOOKUP($E19,$W$29:$AA$32,4)</f>
        <v>0.62745651102203515</v>
      </c>
      <c r="S19" s="3" cm="1">
        <f t="array" ref="S19">X$8*EstymacjaGaussowska($C19,$C$2:$C$51,X$14)*EstymacjaGaussowska($D19,$D$2:$D$51,X$15)*EstymacjaGaussowska($A19,$A$2:$A$51,X$18)*EstymacjaGaussowska($B19,$B$2:$B$51,X$19)*VLOOKUP($E19,$W$29:$AA$32,2)/$R19</f>
        <v>1</v>
      </c>
      <c r="T19" s="3" cm="1">
        <f t="array" ref="T19">Y$8*EstymacjaGaussowska($C19,$C$52:$C$101,Y$14)*EstymacjaGaussowska($D19,$D$52:$D$101,Y$15)*EstymacjaGaussowska($A19,$A$52:$A$101,Y$18)*EstymacjaGaussowska($B19,$B$52:$B$101,Y$19)*VLOOKUP($E19,$W$29:$AA$32,3)/$R19</f>
        <v>2.2076049657153367E-27</v>
      </c>
      <c r="U19" s="42" cm="1">
        <f t="array" ref="U19">Z$8*EstymacjaGaussowska($C19,$C$102:$C$151,Z$14)*EstymacjaGaussowska($D19,$D$102:$D$151,Z$15)*EstymacjaGaussowska($A19,$A$102:$A$151,Z$18)*EstymacjaGaussowska($B19,$B$102:$B$151,Z$19)*VLOOKUP($E19,$W$29:$AA$32,4)/$R19</f>
        <v>6.1922366329346628E-50</v>
      </c>
      <c r="W19" s="38" t="s">
        <v>47</v>
      </c>
      <c r="X19" s="29">
        <f t="shared" si="4"/>
        <v>0.18374893405298148</v>
      </c>
      <c r="Y19" s="29">
        <f t="shared" si="4"/>
        <v>0.15211165208130764</v>
      </c>
      <c r="Z19" s="21">
        <f t="shared" si="4"/>
        <v>0.15632810237788275</v>
      </c>
      <c r="AB19" s="1"/>
    </row>
    <row r="20" spans="1:28" x14ac:dyDescent="0.25">
      <c r="A20" s="9">
        <v>5.7</v>
      </c>
      <c r="B20" s="3">
        <v>3.8</v>
      </c>
      <c r="C20" s="3">
        <v>1.7</v>
      </c>
      <c r="D20" s="8">
        <v>0.3</v>
      </c>
      <c r="E20" s="9" t="s">
        <v>11</v>
      </c>
      <c r="F20" s="50" t="s">
        <v>5</v>
      </c>
      <c r="G20" s="9" t="str">
        <f t="shared" si="0"/>
        <v>setosa</v>
      </c>
      <c r="H20" s="3" cm="1">
        <f t="array" ref="H20">X$8*EstymacjaGaussowska($C20,$C$2:$C$51,X$14)*EstymacjaGaussowska($D20,$D$2:$D$51,X$15)+Y$8*EstymacjaGaussowska($C20,$C$52:$C$101,Y$14)*EstymacjaGaussowska($D20,$D$52:$D$101,Y$15)+Z$8*EstymacjaGaussowska($C20,$C$102:$C$151,Z$14)*EstymacjaGaussowska($D20,$D$102:$D$151,Z$15)</f>
        <v>0.50820813577114843</v>
      </c>
      <c r="I20" s="3" cm="1">
        <f t="array" ref="I20">X$8*EstymacjaGaussowska($C20,$C$2:$C$51,X$14)*EstymacjaGaussowska($D20,$D$2:$D$51,X$15)/$H20</f>
        <v>1</v>
      </c>
      <c r="J20" s="3" cm="1">
        <f t="array" ref="J20">Y$8*EstymacjaGaussowska($C20,$C$52:$C$101,Y$14)*EstymacjaGaussowska($D20,$D$52:$D$101,Y$15)/$H20</f>
        <v>2.9847075386965102E-21</v>
      </c>
      <c r="K20" s="42" cm="1">
        <f t="array" ref="K20">Z$8*EstymacjaGaussowska($C20,$C$102:$C$151,Z$14)*EstymacjaGaussowska($D20,$D$102:$D$151,Z$15)/$H20</f>
        <v>2.8839132195440535E-42</v>
      </c>
      <c r="L20" s="43" t="str">
        <f t="shared" si="1"/>
        <v>setosa</v>
      </c>
      <c r="M20" s="3" cm="1">
        <f t="array" ref="M20">X$8*EstymacjaGaussowska($C20,$C$2:$C$51,X$14)*EstymacjaGaussowska($D20,$D$2:$D$51,X$15)*VLOOKUP($E20,$W$29:$AA$32,2)+Y$8*EstymacjaGaussowska($C20,$C$52:$C$101,Y$14)*EstymacjaGaussowska($D20,$D$52:$D$101,Y$15)*VLOOKUP($E20,$W$29:$AA$32,3)+Z$8*EstymacjaGaussowska($C20,$C$102:$C$151,Z$14)*EstymacjaGaussowska($D20,$D$102:$D$151,Z$15)*VLOOKUP($E20,$W$29:$AA$32,4)</f>
        <v>0.22361157973930532</v>
      </c>
      <c r="N20" s="3" cm="1">
        <f t="array" ref="N20">X$8*EstymacjaGaussowska($C20,$C$2:$C$51,X$14)*EstymacjaGaussowska($D20,$D$2:$D$51,X$15)*VLOOKUP($E20,$W$29:$AA$32,2)/$M20</f>
        <v>1</v>
      </c>
      <c r="O20" s="3" cm="1">
        <f t="array" ref="O20">Y$8*EstymacjaGaussowska($C20,$C$52:$C$101,Y$14)*EstymacjaGaussowska($D20,$D$52:$D$101,Y$15)*VLOOKUP($E20,$W$29:$AA$32,3)/$M20</f>
        <v>1.2210167203758452E-21</v>
      </c>
      <c r="P20" s="42" cm="1">
        <f t="array" ref="P20">Z$8*EstymacjaGaussowska($C20,$C$102:$C$151,Z$14)*EstymacjaGaussowska($D20,$D$102:$D$151,Z$15)*VLOOKUP($E20,$W$29:$AA$32,4)/$M20</f>
        <v>3.932608935741891E-42</v>
      </c>
      <c r="Q20" s="43" t="str">
        <f t="shared" si="2"/>
        <v>setosa</v>
      </c>
      <c r="R20" s="3" cm="1">
        <f t="array" ref="R20">X$8*EstymacjaGaussowska($C20,$C$2:$C$51,X$14)*EstymacjaGaussowska($D20,$D$2:$D$51,X$15)*EstymacjaGaussowska($A20,$A$2:$A$51,X$18)*EstymacjaGaussowska($B20,$B$2:$B$51,X$19)*VLOOKUP($E20,$W$29:$AA$32,2)+Y$8*EstymacjaGaussowska($C20,$C$52:$C$101,Y$14)*EstymacjaGaussowska($D20,$D$52:$D$101,Y$15)*EstymacjaGaussowska($A20,$A$52:$A$101,Y$18)*EstymacjaGaussowska($B20,$B$52:$B$101,Y$19)*VLOOKUP($E20,$W$29:$AA$32,3)+Z$8*EstymacjaGaussowska($C20,$C$102:$C$151,Z$14)*EstymacjaGaussowska($D20,$D$102:$D$151,Z$15)*EstymacjaGaussowska($A20,$A$102:$A$151,Z$18)*EstymacjaGaussowska($B20,$B$102:$B$151,Z$19)*VLOOKUP($E20,$W$29:$AA$32,4)</f>
        <v>3.0628078638925599E-2</v>
      </c>
      <c r="S20" s="3" cm="1">
        <f t="array" ref="S20">X$8*EstymacjaGaussowska($C20,$C$2:$C$51,X$14)*EstymacjaGaussowska($D20,$D$2:$D$51,X$15)*EstymacjaGaussowska($A20,$A$2:$A$51,X$18)*EstymacjaGaussowska($B20,$B$2:$B$51,X$19)*VLOOKUP($E20,$W$29:$AA$32,2)/$R20</f>
        <v>1</v>
      </c>
      <c r="T20" s="3" cm="1">
        <f t="array" ref="T20">Y$8*EstymacjaGaussowska($C20,$C$52:$C$101,Y$14)*EstymacjaGaussowska($D20,$D$52:$D$101,Y$15)*EstymacjaGaussowska($A20,$A$52:$A$101,Y$18)*EstymacjaGaussowska($B20,$B$52:$B$101,Y$19)*VLOOKUP($E20,$W$29:$AA$32,3)/$R20</f>
        <v>1.2114996473543906E-23</v>
      </c>
      <c r="U20" s="42" cm="1">
        <f t="array" ref="U20">Z$8*EstymacjaGaussowska($C20,$C$102:$C$151,Z$14)*EstymacjaGaussowska($D20,$D$102:$D$151,Z$15)*EstymacjaGaussowska($A20,$A$102:$A$151,Z$18)*EstymacjaGaussowska($B20,$B$102:$B$151,Z$19)*VLOOKUP($E20,$W$29:$AA$32,4)/$R20</f>
        <v>9.3720449925975193E-43</v>
      </c>
    </row>
    <row r="21" spans="1:28" x14ac:dyDescent="0.25">
      <c r="A21" s="9">
        <v>5.0999999999999996</v>
      </c>
      <c r="B21" s="3">
        <v>3.8</v>
      </c>
      <c r="C21" s="3">
        <v>1.5</v>
      </c>
      <c r="D21" s="8">
        <v>0.3</v>
      </c>
      <c r="E21" s="9" t="s">
        <v>11</v>
      </c>
      <c r="F21" s="50" t="s">
        <v>5</v>
      </c>
      <c r="G21" s="9" t="str">
        <f t="shared" si="0"/>
        <v>setosa</v>
      </c>
      <c r="H21" s="3" cm="1">
        <f t="array" ref="H21">X$8*EstymacjaGaussowska($C21,$C$2:$C$51,X$14)*EstymacjaGaussowska($D21,$D$2:$D$51,X$15)+Y$8*EstymacjaGaussowska($C21,$C$52:$C$101,Y$14)*EstymacjaGaussowska($D21,$D$52:$D$101,Y$15)+Z$8*EstymacjaGaussowska($C21,$C$102:$C$151,Z$14)*EstymacjaGaussowska($D21,$D$102:$D$151,Z$15)</f>
        <v>1.4286585864868482</v>
      </c>
      <c r="I21" s="3" cm="1">
        <f t="array" ref="I21">X$8*EstymacjaGaussowska($C21,$C$2:$C$51,X$14)*EstymacjaGaussowska($D21,$D$2:$D$51,X$15)/$H21</f>
        <v>1</v>
      </c>
      <c r="J21" s="3" cm="1">
        <f t="array" ref="J21">Y$8*EstymacjaGaussowska($C21,$C$52:$C$101,Y$14)*EstymacjaGaussowska($D21,$D$52:$D$101,Y$15)/$H21</f>
        <v>4.8112440237687245E-24</v>
      </c>
      <c r="K21" s="42" cm="1">
        <f t="array" ref="K21">Z$8*EstymacjaGaussowska($C21,$C$102:$C$151,Z$14)*EstymacjaGaussowska($D21,$D$102:$D$151,Z$15)/$H21</f>
        <v>3.1019326734698142E-46</v>
      </c>
      <c r="L21" s="43" t="str">
        <f t="shared" si="1"/>
        <v>setosa</v>
      </c>
      <c r="M21" s="3" cm="1">
        <f t="array" ref="M21">X$8*EstymacjaGaussowska($C21,$C$2:$C$51,X$14)*EstymacjaGaussowska($D21,$D$2:$D$51,X$15)*VLOOKUP($E21,$W$29:$AA$32,2)+Y$8*EstymacjaGaussowska($C21,$C$52:$C$101,Y$14)*EstymacjaGaussowska($D21,$D$52:$D$101,Y$15)*VLOOKUP($E21,$W$29:$AA$32,3)+Z$8*EstymacjaGaussowska($C21,$C$102:$C$151,Z$14)*EstymacjaGaussowska($D21,$D$102:$D$151,Z$15)*VLOOKUP($E21,$W$29:$AA$32,4)</f>
        <v>0.62860977805421325</v>
      </c>
      <c r="N21" s="3" cm="1">
        <f t="array" ref="N21">X$8*EstymacjaGaussowska($C21,$C$2:$C$51,X$14)*EstymacjaGaussowska($D21,$D$2:$D$51,X$15)*VLOOKUP($E21,$W$29:$AA$32,2)/$M21</f>
        <v>1</v>
      </c>
      <c r="O21" s="3" cm="1">
        <f t="array" ref="O21">Y$8*EstymacjaGaussowska($C21,$C$52:$C$101,Y$14)*EstymacjaGaussowska($D21,$D$52:$D$101,Y$15)*VLOOKUP($E21,$W$29:$AA$32,3)/$M21</f>
        <v>1.9682361915417506E-24</v>
      </c>
      <c r="P21" s="42" cm="1">
        <f t="array" ref="P21">Z$8*EstymacjaGaussowska($C21,$C$102:$C$151,Z$14)*EstymacjaGaussowska($D21,$D$102:$D$151,Z$15)*VLOOKUP($E21,$W$29:$AA$32,4)/$M21</f>
        <v>4.2299081910952006E-46</v>
      </c>
      <c r="Q21" s="43" t="str">
        <f t="shared" si="2"/>
        <v>setosa</v>
      </c>
      <c r="R21" s="3" cm="1">
        <f t="array" ref="R21">X$8*EstymacjaGaussowska($C21,$C$2:$C$51,X$14)*EstymacjaGaussowska($D21,$D$2:$D$51,X$15)*EstymacjaGaussowska($A21,$A$2:$A$51,X$18)*EstymacjaGaussowska($B21,$B$2:$B$51,X$19)*VLOOKUP($E21,$W$29:$AA$32,2)+Y$8*EstymacjaGaussowska($C21,$C$52:$C$101,Y$14)*EstymacjaGaussowska($D21,$D$52:$D$101,Y$15)*EstymacjaGaussowska($A21,$A$52:$A$101,Y$18)*EstymacjaGaussowska($B21,$B$52:$B$101,Y$19)*VLOOKUP($E21,$W$29:$AA$32,3)+Z$8*EstymacjaGaussowska($C21,$C$102:$C$151,Z$14)*EstymacjaGaussowska($D21,$D$102:$D$151,Z$15)*EstymacjaGaussowska($A21,$A$102:$A$151,Z$18)*EstymacjaGaussowska($B21,$B$102:$B$151,Z$19)*VLOOKUP($E21,$W$29:$AA$32,4)</f>
        <v>0.37967109631998242</v>
      </c>
      <c r="S21" s="3" cm="1">
        <f t="array" ref="S21">X$8*EstymacjaGaussowska($C21,$C$2:$C$51,X$14)*EstymacjaGaussowska($D21,$D$2:$D$51,X$15)*EstymacjaGaussowska($A21,$A$2:$A$51,X$18)*EstymacjaGaussowska($B21,$B$2:$B$51,X$19)*VLOOKUP($E21,$W$29:$AA$32,2)/$R21</f>
        <v>1</v>
      </c>
      <c r="T21" s="3" cm="1">
        <f t="array" ref="T21">Y$8*EstymacjaGaussowska($C21,$C$52:$C$101,Y$14)*EstymacjaGaussowska($D21,$D$52:$D$101,Y$15)*EstymacjaGaussowska($A21,$A$52:$A$101,Y$18)*EstymacjaGaussowska($B21,$B$52:$B$101,Y$19)*VLOOKUP($E21,$W$29:$AA$32,3)/$R21</f>
        <v>1.5101941337483879E-27</v>
      </c>
      <c r="U21" s="42" cm="1">
        <f t="array" ref="U21">Z$8*EstymacjaGaussowska($C21,$C$102:$C$151,Z$14)*EstymacjaGaussowska($D21,$D$102:$D$151,Z$15)*EstymacjaGaussowska($A21,$A$102:$A$151,Z$18)*EstymacjaGaussowska($B21,$B$102:$B$151,Z$19)*VLOOKUP($E21,$W$29:$AA$32,4)/$R21</f>
        <v>3.6092942552655817E-48</v>
      </c>
      <c r="W21" s="23" t="s">
        <v>18</v>
      </c>
      <c r="X21" s="4" t="s">
        <v>17</v>
      </c>
      <c r="Y21" s="4"/>
      <c r="Z21" s="4"/>
      <c r="AA21" s="4"/>
    </row>
    <row r="22" spans="1:28" x14ac:dyDescent="0.25">
      <c r="A22" s="9">
        <v>5.4</v>
      </c>
      <c r="B22" s="3">
        <v>3.4</v>
      </c>
      <c r="C22" s="3">
        <v>1.7</v>
      </c>
      <c r="D22" s="8">
        <v>0.2</v>
      </c>
      <c r="E22" s="9" t="s">
        <v>11</v>
      </c>
      <c r="F22" s="50" t="s">
        <v>5</v>
      </c>
      <c r="G22" s="9" t="str">
        <f t="shared" si="0"/>
        <v>setosa</v>
      </c>
      <c r="H22" s="3" cm="1">
        <f t="array" ref="H22">X$8*EstymacjaGaussowska($C22,$C$2:$C$51,X$14)*EstymacjaGaussowska($D22,$D$2:$D$51,X$15)+Y$8*EstymacjaGaussowska($C22,$C$52:$C$101,Y$14)*EstymacjaGaussowska($D22,$D$52:$D$101,Y$15)+Z$8*EstymacjaGaussowska($C22,$C$102:$C$151,Z$14)*EstymacjaGaussowska($D22,$D$102:$D$151,Z$15)</f>
        <v>1.27111834430693</v>
      </c>
      <c r="I22" s="3" cm="1">
        <f t="array" ref="I22">X$8*EstymacjaGaussowska($C22,$C$2:$C$51,X$14)*EstymacjaGaussowska($D22,$D$2:$D$51,X$15)/$H22</f>
        <v>1</v>
      </c>
      <c r="J22" s="3" cm="1">
        <f t="array" ref="J22">Y$8*EstymacjaGaussowska($C22,$C$52:$C$101,Y$14)*EstymacjaGaussowska($D22,$D$52:$D$101,Y$15)/$H22</f>
        <v>3.4044090440580176E-25</v>
      </c>
      <c r="K22" s="42" cm="1">
        <f t="array" ref="K22">Z$8*EstymacjaGaussowska($C22,$C$102:$C$151,Z$14)*EstymacjaGaussowska($D22,$D$102:$D$151,Z$15)/$H22</f>
        <v>1.7520284067787138E-45</v>
      </c>
      <c r="L22" s="43" t="str">
        <f t="shared" si="1"/>
        <v>setosa</v>
      </c>
      <c r="M22" s="3" cm="1">
        <f t="array" ref="M22">X$8*EstymacjaGaussowska($C22,$C$2:$C$51,X$14)*EstymacjaGaussowska($D22,$D$2:$D$51,X$15)*VLOOKUP($E22,$W$29:$AA$32,2)+Y$8*EstymacjaGaussowska($C22,$C$52:$C$101,Y$14)*EstymacjaGaussowska($D22,$D$52:$D$101,Y$15)*VLOOKUP($E22,$W$29:$AA$32,3)+Z$8*EstymacjaGaussowska($C22,$C$102:$C$151,Z$14)*EstymacjaGaussowska($D22,$D$102:$D$151,Z$15)*VLOOKUP($E22,$W$29:$AA$32,4)</f>
        <v>0.55929207149504923</v>
      </c>
      <c r="N22" s="3" cm="1">
        <f t="array" ref="N22">X$8*EstymacjaGaussowska($C22,$C$2:$C$51,X$14)*EstymacjaGaussowska($D22,$D$2:$D$51,X$15)*VLOOKUP($E22,$W$29:$AA$32,2)/$M22</f>
        <v>1</v>
      </c>
      <c r="O22" s="3" cm="1">
        <f t="array" ref="O22">Y$8*EstymacjaGaussowska($C22,$C$52:$C$101,Y$14)*EstymacjaGaussowska($D22,$D$52:$D$101,Y$15)*VLOOKUP($E22,$W$29:$AA$32,3)/$M22</f>
        <v>1.392712790751007E-25</v>
      </c>
      <c r="P22" s="42" cm="1">
        <f t="array" ref="P22">Z$8*EstymacjaGaussowska($C22,$C$102:$C$151,Z$14)*EstymacjaGaussowska($D22,$D$102:$D$151,Z$15)*VLOOKUP($E22,$W$29:$AA$32,4)/$M22</f>
        <v>2.3891296456073366E-45</v>
      </c>
      <c r="Q22" s="43" t="str">
        <f t="shared" si="2"/>
        <v>setosa</v>
      </c>
      <c r="R22" s="3" cm="1">
        <f t="array" ref="R22">X$8*EstymacjaGaussowska($C22,$C$2:$C$51,X$14)*EstymacjaGaussowska($D22,$D$2:$D$51,X$15)*EstymacjaGaussowska($A22,$A$2:$A$51,X$18)*EstymacjaGaussowska($B22,$B$2:$B$51,X$19)*VLOOKUP($E22,$W$29:$AA$32,2)+Y$8*EstymacjaGaussowska($C22,$C$52:$C$101,Y$14)*EstymacjaGaussowska($D22,$D$52:$D$101,Y$15)*EstymacjaGaussowska($A22,$A$52:$A$101,Y$18)*EstymacjaGaussowska($B22,$B$52:$B$101,Y$19)*VLOOKUP($E22,$W$29:$AA$32,3)+Z$8*EstymacjaGaussowska($C22,$C$102:$C$151,Z$14)*EstymacjaGaussowska($D22,$D$102:$D$151,Z$15)*EstymacjaGaussowska($A22,$A$102:$A$151,Z$18)*EstymacjaGaussowska($B22,$B$102:$B$151,Z$19)*VLOOKUP($E22,$W$29:$AA$32,4)</f>
        <v>0.31099405112161771</v>
      </c>
      <c r="S22" s="3" cm="1">
        <f t="array" ref="S22">X$8*EstymacjaGaussowska($C22,$C$2:$C$51,X$14)*EstymacjaGaussowska($D22,$D$2:$D$51,X$15)*EstymacjaGaussowska($A22,$A$2:$A$51,X$18)*EstymacjaGaussowska($B22,$B$2:$B$51,X$19)*VLOOKUP($E22,$W$29:$AA$32,2)/$R22</f>
        <v>1</v>
      </c>
      <c r="T22" s="3" cm="1">
        <f t="array" ref="T22">Y$8*EstymacjaGaussowska($C22,$C$52:$C$101,Y$14)*EstymacjaGaussowska($D22,$D$52:$D$101,Y$15)*EstymacjaGaussowska($A22,$A$52:$A$101,Y$18)*EstymacjaGaussowska($B22,$B$52:$B$101,Y$19)*VLOOKUP($E22,$W$29:$AA$32,3)/$R22</f>
        <v>2.3821444937767754E-26</v>
      </c>
      <c r="U22" s="42" cm="1">
        <f t="array" ref="U22">Z$8*EstymacjaGaussowska($C22,$C$102:$C$151,Z$14)*EstymacjaGaussowska($D22,$D$102:$D$151,Z$15)*EstymacjaGaussowska($A22,$A$102:$A$151,Z$18)*EstymacjaGaussowska($B22,$B$102:$B$151,Z$19)*VLOOKUP($E22,$W$29:$AA$32,4)/$R22</f>
        <v>1.8323974898107094E-46</v>
      </c>
      <c r="W22" s="4" t="s">
        <v>15</v>
      </c>
      <c r="X22" s="4" t="s">
        <v>5</v>
      </c>
      <c r="Y22" s="4" t="s">
        <v>6</v>
      </c>
      <c r="Z22" s="4" t="s">
        <v>7</v>
      </c>
      <c r="AA22" s="4" t="s">
        <v>16</v>
      </c>
    </row>
    <row r="23" spans="1:28" x14ac:dyDescent="0.25">
      <c r="A23" s="9">
        <v>5.0999999999999996</v>
      </c>
      <c r="B23" s="3">
        <v>3.7</v>
      </c>
      <c r="C23" s="3">
        <v>1.5</v>
      </c>
      <c r="D23" s="8">
        <v>0.4</v>
      </c>
      <c r="E23" s="9" t="s">
        <v>11</v>
      </c>
      <c r="F23" s="50" t="s">
        <v>5</v>
      </c>
      <c r="G23" s="9" t="str">
        <f t="shared" si="0"/>
        <v>setosa</v>
      </c>
      <c r="H23" s="3" cm="1">
        <f t="array" ref="H23">X$8*EstymacjaGaussowska($C23,$C$2:$C$51,X$14)*EstymacjaGaussowska($D23,$D$2:$D$51,X$15)+Y$8*EstymacjaGaussowska($C23,$C$52:$C$101,Y$14)*EstymacjaGaussowska($D23,$D$52:$D$101,Y$15)+Z$8*EstymacjaGaussowska($C23,$C$102:$C$151,Z$14)*EstymacjaGaussowska($D23,$D$102:$D$151,Z$15)</f>
        <v>0.95131335117582871</v>
      </c>
      <c r="I23" s="3" cm="1">
        <f t="array" ref="I23">X$8*EstymacjaGaussowska($C23,$C$2:$C$51,X$14)*EstymacjaGaussowska($D23,$D$2:$D$51,X$15)/$H23</f>
        <v>1</v>
      </c>
      <c r="J23" s="3" cm="1">
        <f t="array" ref="J23">Y$8*EstymacjaGaussowska($C23,$C$52:$C$101,Y$14)*EstymacjaGaussowska($D23,$D$52:$D$101,Y$15)/$H23</f>
        <v>8.5314578025219679E-21</v>
      </c>
      <c r="K23" s="42" cm="1">
        <f t="array" ref="K23">Z$8*EstymacjaGaussowska($C23,$C$102:$C$151,Z$14)*EstymacjaGaussowska($D23,$D$102:$D$151,Z$15)/$H23</f>
        <v>1.7455970234447626E-43</v>
      </c>
      <c r="L23" s="43" t="str">
        <f t="shared" si="1"/>
        <v>setosa</v>
      </c>
      <c r="M23" s="3" cm="1">
        <f t="array" ref="M23">X$8*EstymacjaGaussowska($C23,$C$2:$C$51,X$14)*EstymacjaGaussowska($D23,$D$2:$D$51,X$15)*VLOOKUP($E23,$W$29:$AA$32,2)+Y$8*EstymacjaGaussowska($C23,$C$52:$C$101,Y$14)*EstymacjaGaussowska($D23,$D$52:$D$101,Y$15)*VLOOKUP($E23,$W$29:$AA$32,3)+Z$8*EstymacjaGaussowska($C23,$C$102:$C$151,Z$14)*EstymacjaGaussowska($D23,$D$102:$D$151,Z$15)*VLOOKUP($E23,$W$29:$AA$32,4)</f>
        <v>0.41857787451736461</v>
      </c>
      <c r="N23" s="3" cm="1">
        <f t="array" ref="N23">X$8*EstymacjaGaussowska($C23,$C$2:$C$51,X$14)*EstymacjaGaussowska($D23,$D$2:$D$51,X$15)*VLOOKUP($E23,$W$29:$AA$32,2)/$M23</f>
        <v>1</v>
      </c>
      <c r="O23" s="3" cm="1">
        <f t="array" ref="O23">Y$8*EstymacjaGaussowska($C23,$C$52:$C$101,Y$14)*EstymacjaGaussowska($D23,$D$52:$D$101,Y$15)*VLOOKUP($E23,$W$29:$AA$32,3)/$M23</f>
        <v>3.4901418283044409E-21</v>
      </c>
      <c r="P23" s="42" cm="1">
        <f t="array" ref="P23">Z$8*EstymacjaGaussowska($C23,$C$102:$C$151,Z$14)*EstymacjaGaussowska($D23,$D$102:$D$151,Z$15)*VLOOKUP($E23,$W$29:$AA$32,4)/$M23</f>
        <v>2.380359577424676E-43</v>
      </c>
      <c r="Q23" s="43" t="str">
        <f t="shared" si="2"/>
        <v>setosa</v>
      </c>
      <c r="R23" s="3" cm="1">
        <f t="array" ref="R23">X$8*EstymacjaGaussowska($C23,$C$2:$C$51,X$14)*EstymacjaGaussowska($D23,$D$2:$D$51,X$15)*EstymacjaGaussowska($A23,$A$2:$A$51,X$18)*EstymacjaGaussowska($B23,$B$2:$B$51,X$19)*VLOOKUP($E23,$W$29:$AA$32,2)+Y$8*EstymacjaGaussowska($C23,$C$52:$C$101,Y$14)*EstymacjaGaussowska($D23,$D$52:$D$101,Y$15)*EstymacjaGaussowska($A23,$A$52:$A$101,Y$18)*EstymacjaGaussowska($B23,$B$52:$B$101,Y$19)*VLOOKUP($E23,$W$29:$AA$32,3)+Z$8*EstymacjaGaussowska($C23,$C$102:$C$151,Z$14)*EstymacjaGaussowska($D23,$D$102:$D$151,Z$15)*EstymacjaGaussowska($A23,$A$102:$A$151,Z$18)*EstymacjaGaussowska($B23,$B$102:$B$151,Z$19)*VLOOKUP($E23,$W$29:$AA$32,4)</f>
        <v>0.312567164143844</v>
      </c>
      <c r="S23" s="3" cm="1">
        <f t="array" ref="S23">X$8*EstymacjaGaussowska($C23,$C$2:$C$51,X$14)*EstymacjaGaussowska($D23,$D$2:$D$51,X$15)*EstymacjaGaussowska($A23,$A$2:$A$51,X$18)*EstymacjaGaussowska($B23,$B$2:$B$51,X$19)*VLOOKUP($E23,$W$29:$AA$32,2)/$R23</f>
        <v>1</v>
      </c>
      <c r="T23" s="3" cm="1">
        <f t="array" ref="T23">Y$8*EstymacjaGaussowska($C23,$C$52:$C$101,Y$14)*EstymacjaGaussowska($D23,$D$52:$D$101,Y$15)*EstymacjaGaussowska($A23,$A$52:$A$101,Y$18)*EstymacjaGaussowska($B23,$B$52:$B$101,Y$19)*VLOOKUP($E23,$W$29:$AA$32,3)/$R23</f>
        <v>1.098867247988821E-23</v>
      </c>
      <c r="U23" s="42" cm="1">
        <f t="array" ref="U23">Z$8*EstymacjaGaussowska($C23,$C$102:$C$151,Z$14)*EstymacjaGaussowska($D23,$D$102:$D$151,Z$15)*EstymacjaGaussowska($A23,$A$102:$A$151,Z$18)*EstymacjaGaussowska($B23,$B$102:$B$151,Z$19)*VLOOKUP($E23,$W$29:$AA$32,4)/$R23</f>
        <v>1.882678321807435E-45</v>
      </c>
      <c r="W23" s="4" t="s">
        <v>11</v>
      </c>
      <c r="X23" s="4">
        <v>22</v>
      </c>
      <c r="Y23" s="4">
        <v>9</v>
      </c>
      <c r="Z23" s="4">
        <v>30</v>
      </c>
      <c r="AA23" s="4">
        <v>61</v>
      </c>
    </row>
    <row r="24" spans="1:28" x14ac:dyDescent="0.25">
      <c r="A24" s="9">
        <v>4.5999999999999996</v>
      </c>
      <c r="B24" s="3">
        <v>3.6</v>
      </c>
      <c r="C24" s="3">
        <v>1</v>
      </c>
      <c r="D24" s="8">
        <v>0.2</v>
      </c>
      <c r="E24" s="9" t="s">
        <v>12</v>
      </c>
      <c r="F24" s="50" t="s">
        <v>5</v>
      </c>
      <c r="G24" s="9" t="str">
        <f t="shared" si="0"/>
        <v>setosa</v>
      </c>
      <c r="H24" s="3" cm="1">
        <f t="array" ref="H24">X$8*EstymacjaGaussowska($C24,$C$2:$C$51,X$14)*EstymacjaGaussowska($D24,$D$2:$D$51,X$15)+Y$8*EstymacjaGaussowska($C24,$C$52:$C$101,Y$14)*EstymacjaGaussowska($D24,$D$52:$D$101,Y$15)+Z$8*EstymacjaGaussowska($C24,$C$102:$C$151,Z$14)*EstymacjaGaussowska($D24,$D$102:$D$151,Z$15)</f>
        <v>0.24675666938059898</v>
      </c>
      <c r="I24" s="3" cm="1">
        <f t="array" ref="I24">X$8*EstymacjaGaussowska($C24,$C$2:$C$51,X$14)*EstymacjaGaussowska($D24,$D$2:$D$51,X$15)/$H24</f>
        <v>1</v>
      </c>
      <c r="J24" s="3" cm="1">
        <f t="array" ref="J24">Y$8*EstymacjaGaussowska($C24,$C$52:$C$101,Y$14)*EstymacjaGaussowska($D24,$D$52:$D$101,Y$15)/$H24</f>
        <v>3.769864394017094E-34</v>
      </c>
      <c r="K24" s="42" cm="1">
        <f t="array" ref="K24">Z$8*EstymacjaGaussowska($C24,$C$102:$C$151,Z$14)*EstymacjaGaussowska($D24,$D$102:$D$151,Z$15)/$H24</f>
        <v>3.7621444573261574E-58</v>
      </c>
      <c r="L24" s="43" t="str">
        <f t="shared" si="1"/>
        <v>setosa</v>
      </c>
      <c r="M24" s="3" cm="1">
        <f t="array" ref="M24">X$8*EstymacjaGaussowska($C24,$C$2:$C$51,X$14)*EstymacjaGaussowska($D24,$D$2:$D$51,X$15)*VLOOKUP($E24,$W$29:$AA$32,2)+Y$8*EstymacjaGaussowska($C24,$C$52:$C$101,Y$14)*EstymacjaGaussowska($D24,$D$52:$D$101,Y$15)*VLOOKUP($E24,$W$29:$AA$32,3)+Z$8*EstymacjaGaussowska($C24,$C$102:$C$151,Z$14)*EstymacjaGaussowska($D24,$D$102:$D$151,Z$15)*VLOOKUP($E24,$W$29:$AA$32,4)</f>
        <v>4.4416200488507813E-2</v>
      </c>
      <c r="N24" s="3" cm="1">
        <f t="array" ref="N24">X$8*EstymacjaGaussowska($C24,$C$2:$C$51,X$14)*EstymacjaGaussowska($D24,$D$2:$D$51,X$15)*VLOOKUP($E24,$W$29:$AA$32,2)/$M24</f>
        <v>1</v>
      </c>
      <c r="O24" s="3" cm="1">
        <f t="array" ref="O24">Y$8*EstymacjaGaussowska($C24,$C$52:$C$101,Y$14)*EstymacjaGaussowska($D24,$D$52:$D$101,Y$15)*VLOOKUP($E24,$W$29:$AA$32,3)/$M24</f>
        <v>7.9586026095916427E-34</v>
      </c>
      <c r="P24" s="42" cm="1">
        <f t="array" ref="P24">Z$8*EstymacjaGaussowska($C24,$C$102:$C$151,Z$14)*EstymacjaGaussowska($D24,$D$102:$D$151,Z$15)*VLOOKUP($E24,$W$29:$AA$32,4)/$M24</f>
        <v>7.942304965466333E-58</v>
      </c>
      <c r="Q24" s="43" t="str">
        <f t="shared" si="2"/>
        <v>setosa</v>
      </c>
      <c r="R24" s="3" cm="1">
        <f t="array" ref="R24">X$8*EstymacjaGaussowska($C24,$C$2:$C$51,X$14)*EstymacjaGaussowska($D24,$D$2:$D$51,X$15)*EstymacjaGaussowska($A24,$A$2:$A$51,X$18)*EstymacjaGaussowska($B24,$B$2:$B$51,X$19)*VLOOKUP($E24,$W$29:$AA$32,2)+Y$8*EstymacjaGaussowska($C24,$C$52:$C$101,Y$14)*EstymacjaGaussowska($D24,$D$52:$D$101,Y$15)*EstymacjaGaussowska($A24,$A$52:$A$101,Y$18)*EstymacjaGaussowska($B24,$B$52:$B$101,Y$19)*VLOOKUP($E24,$W$29:$AA$32,3)+Z$8*EstymacjaGaussowska($C24,$C$102:$C$151,Z$14)*EstymacjaGaussowska($D24,$D$102:$D$151,Z$15)*EstymacjaGaussowska($A24,$A$102:$A$151,Z$18)*EstymacjaGaussowska($B24,$B$102:$B$151,Z$19)*VLOOKUP($E24,$W$29:$AA$32,4)</f>
        <v>2.1787136908036762E-2</v>
      </c>
      <c r="S24" s="3" cm="1">
        <f t="array" ref="S24">X$8*EstymacjaGaussowska($C24,$C$2:$C$51,X$14)*EstymacjaGaussowska($D24,$D$2:$D$51,X$15)*EstymacjaGaussowska($A24,$A$2:$A$51,X$18)*EstymacjaGaussowska($B24,$B$2:$B$51,X$19)*VLOOKUP($E24,$W$29:$AA$32,2)/$R24</f>
        <v>1</v>
      </c>
      <c r="T24" s="3" cm="1">
        <f t="array" ref="T24">Y$8*EstymacjaGaussowska($C24,$C$52:$C$101,Y$14)*EstymacjaGaussowska($D24,$D$52:$D$101,Y$15)*EstymacjaGaussowska($A24,$A$52:$A$101,Y$18)*EstymacjaGaussowska($B24,$B$52:$B$101,Y$19)*VLOOKUP($E24,$W$29:$AA$32,3)/$R24</f>
        <v>2.2977048486331829E-36</v>
      </c>
      <c r="U24" s="42" cm="1">
        <f t="array" ref="U24">Z$8*EstymacjaGaussowska($C24,$C$102:$C$151,Z$14)*EstymacjaGaussowska($D24,$D$102:$D$151,Z$15)*EstymacjaGaussowska($A24,$A$102:$A$151,Z$18)*EstymacjaGaussowska($B24,$B$102:$B$151,Z$19)*VLOOKUP($E24,$W$29:$AA$32,4)/$R24</f>
        <v>4.6752507842526388E-60</v>
      </c>
      <c r="W24" s="4" t="s">
        <v>12</v>
      </c>
      <c r="X24" s="4">
        <v>9</v>
      </c>
      <c r="Y24" s="4">
        <v>19</v>
      </c>
      <c r="Z24" s="4">
        <v>19</v>
      </c>
      <c r="AA24" s="4">
        <v>47</v>
      </c>
    </row>
    <row r="25" spans="1:28" x14ac:dyDescent="0.25">
      <c r="A25" s="9">
        <v>5.0999999999999996</v>
      </c>
      <c r="B25" s="3">
        <v>3.3</v>
      </c>
      <c r="C25" s="3">
        <v>1.7</v>
      </c>
      <c r="D25" s="8">
        <v>0.5</v>
      </c>
      <c r="E25" s="9" t="s">
        <v>12</v>
      </c>
      <c r="F25" s="50" t="s">
        <v>5</v>
      </c>
      <c r="G25" s="9" t="str">
        <f t="shared" si="0"/>
        <v>setosa</v>
      </c>
      <c r="H25" s="3" cm="1">
        <f t="array" ref="H25">X$8*EstymacjaGaussowska($C25,$C$2:$C$51,X$14)*EstymacjaGaussowska($D25,$D$2:$D$51,X$15)+Y$8*EstymacjaGaussowska($C25,$C$52:$C$101,Y$14)*EstymacjaGaussowska($D25,$D$52:$D$101,Y$15)+Z$8*EstymacjaGaussowska($C25,$C$102:$C$151,Z$14)*EstymacjaGaussowska($D25,$D$102:$D$151,Z$15)</f>
        <v>9.0094703766406964E-2</v>
      </c>
      <c r="I25" s="3" cm="1">
        <f t="array" ref="I25">X$8*EstymacjaGaussowska($C25,$C$2:$C$51,X$14)*EstymacjaGaussowska($D25,$D$2:$D$51,X$15)/$H25</f>
        <v>0.99999999999999212</v>
      </c>
      <c r="J25" s="3" cm="1">
        <f t="array" ref="J25">Y$8*EstymacjaGaussowska($C25,$C$52:$C$101,Y$14)*EstymacjaGaussowska($D25,$D$52:$D$101,Y$15)/$H25</f>
        <v>7.9094865922916698E-15</v>
      </c>
      <c r="K25" s="42" cm="1">
        <f t="array" ref="K25">Z$8*EstymacjaGaussowska($C25,$C$102:$C$151,Z$14)*EstymacjaGaussowska($D25,$D$102:$D$151,Z$15)/$H25</f>
        <v>1.301581425108272E-36</v>
      </c>
      <c r="L25" s="43" t="str">
        <f t="shared" si="1"/>
        <v>setosa</v>
      </c>
      <c r="M25" s="3" cm="1">
        <f t="array" ref="M25">X$8*EstymacjaGaussowska($C25,$C$2:$C$51,X$14)*EstymacjaGaussowska($D25,$D$2:$D$51,X$15)*VLOOKUP($E25,$W$29:$AA$32,2)+Y$8*EstymacjaGaussowska($C25,$C$52:$C$101,Y$14)*EstymacjaGaussowska($D25,$D$52:$D$101,Y$15)*VLOOKUP($E25,$W$29:$AA$32,3)+Z$8*EstymacjaGaussowska($C25,$C$102:$C$151,Z$14)*EstymacjaGaussowska($D25,$D$102:$D$151,Z$15)*VLOOKUP($E25,$W$29:$AA$32,4)</f>
        <v>1.6217046677953397E-2</v>
      </c>
      <c r="N25" s="3" cm="1">
        <f t="array" ref="N25">X$8*EstymacjaGaussowska($C25,$C$2:$C$51,X$14)*EstymacjaGaussowska($D25,$D$2:$D$51,X$15)*VLOOKUP($E25,$W$29:$AA$32,2)/$M25</f>
        <v>0.99999999999998335</v>
      </c>
      <c r="O25" s="3" cm="1">
        <f t="array" ref="O25">Y$8*EstymacjaGaussowska($C25,$C$52:$C$101,Y$14)*EstymacjaGaussowska($D25,$D$52:$D$101,Y$15)*VLOOKUP($E25,$W$29:$AA$32,3)/$M25</f>
        <v>1.6697805028171155E-14</v>
      </c>
      <c r="P25" s="42" cm="1">
        <f t="array" ref="P25">Z$8*EstymacjaGaussowska($C25,$C$102:$C$151,Z$14)*EstymacjaGaussowska($D25,$D$102:$D$151,Z$15)*VLOOKUP($E25,$W$29:$AA$32,4)/$M25</f>
        <v>2.7477830085618831E-36</v>
      </c>
      <c r="Q25" s="43" t="str">
        <f t="shared" si="2"/>
        <v>setosa</v>
      </c>
      <c r="R25" s="3" cm="1">
        <f t="array" ref="R25">X$8*EstymacjaGaussowska($C25,$C$2:$C$51,X$14)*EstymacjaGaussowska($D25,$D$2:$D$51,X$15)*EstymacjaGaussowska($A25,$A$2:$A$51,X$18)*EstymacjaGaussowska($B25,$B$2:$B$51,X$19)*VLOOKUP($E25,$W$29:$AA$32,2)+Y$8*EstymacjaGaussowska($C25,$C$52:$C$101,Y$14)*EstymacjaGaussowska($D25,$D$52:$D$101,Y$15)*EstymacjaGaussowska($A25,$A$52:$A$101,Y$18)*EstymacjaGaussowska($B25,$B$52:$B$101,Y$19)*VLOOKUP($E25,$W$29:$AA$32,3)+Z$8*EstymacjaGaussowska($C25,$C$102:$C$151,Z$14)*EstymacjaGaussowska($D25,$D$102:$D$151,Z$15)*EstymacjaGaussowska($A25,$A$102:$A$151,Z$18)*EstymacjaGaussowska($B25,$B$102:$B$151,Z$19)*VLOOKUP($E25,$W$29:$AA$32,4)</f>
        <v>1.6433330761913448E-2</v>
      </c>
      <c r="S25" s="3" cm="1">
        <f t="array" ref="S25">X$8*EstymacjaGaussowska($C25,$C$2:$C$51,X$14)*EstymacjaGaussowska($D25,$D$2:$D$51,X$15)*EstymacjaGaussowska($A25,$A$2:$A$51,X$18)*EstymacjaGaussowska($B25,$B$2:$B$51,X$19)*VLOOKUP($E25,$W$29:$AA$32,2)/$R25</f>
        <v>0.99999999999999856</v>
      </c>
      <c r="T25" s="3" cm="1">
        <f t="array" ref="T25">Y$8*EstymacjaGaussowska($C25,$C$52:$C$101,Y$14)*EstymacjaGaussowska($D25,$D$52:$D$101,Y$15)*EstymacjaGaussowska($A25,$A$52:$A$101,Y$18)*EstymacjaGaussowska($B25,$B$52:$B$101,Y$19)*VLOOKUP($E25,$W$29:$AA$32,3)/$R25</f>
        <v>1.4066532493888972E-15</v>
      </c>
      <c r="U25" s="42" cm="1">
        <f t="array" ref="U25">Z$8*EstymacjaGaussowska($C25,$C$102:$C$151,Z$14)*EstymacjaGaussowska($D25,$D$102:$D$151,Z$15)*EstymacjaGaussowska($A25,$A$102:$A$151,Z$18)*EstymacjaGaussowska($B25,$B$102:$B$151,Z$19)*VLOOKUP($E25,$W$29:$AA$32,4)/$R25</f>
        <v>6.9754661137493607E-38</v>
      </c>
      <c r="W25" s="4" t="s">
        <v>13</v>
      </c>
      <c r="X25" s="4">
        <v>9</v>
      </c>
      <c r="Y25" s="4">
        <v>9</v>
      </c>
      <c r="Z25" s="4"/>
      <c r="AA25" s="4">
        <v>18</v>
      </c>
    </row>
    <row r="26" spans="1:28" x14ac:dyDescent="0.25">
      <c r="A26" s="9">
        <v>4.8</v>
      </c>
      <c r="B26" s="3">
        <v>3.4</v>
      </c>
      <c r="C26" s="3">
        <v>1.9</v>
      </c>
      <c r="D26" s="8">
        <v>0.2</v>
      </c>
      <c r="E26" s="9" t="s">
        <v>12</v>
      </c>
      <c r="F26" s="50" t="s">
        <v>5</v>
      </c>
      <c r="G26" s="9" t="str">
        <f t="shared" si="0"/>
        <v>setosa</v>
      </c>
      <c r="H26" s="3" cm="1">
        <f t="array" ref="H26">X$8*EstymacjaGaussowska($C26,$C$2:$C$51,X$14)*EstymacjaGaussowska($D26,$D$2:$D$51,X$15)+Y$8*EstymacjaGaussowska($C26,$C$52:$C$101,Y$14)*EstymacjaGaussowska($D26,$D$52:$D$101,Y$15)+Z$8*EstymacjaGaussowska($C26,$C$102:$C$151,Z$14)*EstymacjaGaussowska($D26,$D$102:$D$151,Z$15)</f>
        <v>0.34166975215183859</v>
      </c>
      <c r="I26" s="3" cm="1">
        <f t="array" ref="I26">X$8*EstymacjaGaussowska($C26,$C$2:$C$51,X$14)*EstymacjaGaussowska($D26,$D$2:$D$51,X$15)/$H26</f>
        <v>1</v>
      </c>
      <c r="J26" s="3" cm="1">
        <f t="array" ref="J26">Y$8*EstymacjaGaussowska($C26,$C$52:$C$101,Y$14)*EstymacjaGaussowska($D26,$D$52:$D$101,Y$15)/$H26</f>
        <v>1.2938180114857669E-22</v>
      </c>
      <c r="K26" s="42" cm="1">
        <f t="array" ref="K26">Z$8*EstymacjaGaussowska($C26,$C$102:$C$151,Z$14)*EstymacjaGaussowska($D26,$D$102:$D$151,Z$15)/$H26</f>
        <v>1.2327215646314459E-41</v>
      </c>
      <c r="L26" s="43" t="str">
        <f t="shared" si="1"/>
        <v>setosa</v>
      </c>
      <c r="M26" s="3" cm="1">
        <f t="array" ref="M26">X$8*EstymacjaGaussowska($C26,$C$2:$C$51,X$14)*EstymacjaGaussowska($D26,$D$2:$D$51,X$15)*VLOOKUP($E26,$W$29:$AA$32,2)+Y$8*EstymacjaGaussowska($C26,$C$52:$C$101,Y$14)*EstymacjaGaussowska($D26,$D$52:$D$101,Y$15)*VLOOKUP($E26,$W$29:$AA$32,3)+Z$8*EstymacjaGaussowska($C26,$C$102:$C$151,Z$14)*EstymacjaGaussowska($D26,$D$102:$D$151,Z$15)*VLOOKUP($E26,$W$29:$AA$32,4)</f>
        <v>6.1500555387330944E-2</v>
      </c>
      <c r="N26" s="3" cm="1">
        <f t="array" ref="N26">X$8*EstymacjaGaussowska($C26,$C$2:$C$51,X$14)*EstymacjaGaussowska($D26,$D$2:$D$51,X$15)*VLOOKUP($E26,$W$29:$AA$32,2)/$M26</f>
        <v>1</v>
      </c>
      <c r="O26" s="3" cm="1">
        <f t="array" ref="O26">Y$8*EstymacjaGaussowska($C26,$C$52:$C$101,Y$14)*EstymacjaGaussowska($D26,$D$52:$D$101,Y$15)*VLOOKUP($E26,$W$29:$AA$32,3)/$M26</f>
        <v>2.7313935798032857E-22</v>
      </c>
      <c r="P26" s="42" cm="1">
        <f t="array" ref="P26">Z$8*EstymacjaGaussowska($C26,$C$102:$C$151,Z$14)*EstymacjaGaussowska($D26,$D$102:$D$151,Z$15)*VLOOKUP($E26,$W$29:$AA$32,4)/$M26</f>
        <v>2.6024121919997196E-41</v>
      </c>
      <c r="Q26" s="43" t="str">
        <f t="shared" si="2"/>
        <v>setosa</v>
      </c>
      <c r="R26" s="3" cm="1">
        <f t="array" ref="R26">X$8*EstymacjaGaussowska($C26,$C$2:$C$51,X$14)*EstymacjaGaussowska($D26,$D$2:$D$51,X$15)*EstymacjaGaussowska($A26,$A$2:$A$51,X$18)*EstymacjaGaussowska($B26,$B$2:$B$51,X$19)*VLOOKUP($E26,$W$29:$AA$32,2)+Y$8*EstymacjaGaussowska($C26,$C$52:$C$101,Y$14)*EstymacjaGaussowska($D26,$D$52:$D$101,Y$15)*EstymacjaGaussowska($A26,$A$52:$A$101,Y$18)*EstymacjaGaussowska($B26,$B$52:$B$101,Y$19)*VLOOKUP($E26,$W$29:$AA$32,3)+Z$8*EstymacjaGaussowska($C26,$C$102:$C$151,Z$14)*EstymacjaGaussowska($D26,$D$102:$D$151,Z$15)*EstymacjaGaussowska($A26,$A$102:$A$151,Z$18)*EstymacjaGaussowska($B26,$B$102:$B$151,Z$19)*VLOOKUP($E26,$W$29:$AA$32,4)</f>
        <v>5.336257837967108E-2</v>
      </c>
      <c r="S26" s="3" cm="1">
        <f t="array" ref="S26">X$8*EstymacjaGaussowska($C26,$C$2:$C$51,X$14)*EstymacjaGaussowska($D26,$D$2:$D$51,X$15)*EstymacjaGaussowska($A26,$A$2:$A$51,X$18)*EstymacjaGaussowska($B26,$B$2:$B$51,X$19)*VLOOKUP($E26,$W$29:$AA$32,2)/$R26</f>
        <v>1</v>
      </c>
      <c r="T26" s="3" cm="1">
        <f t="array" ref="T26">Y$8*EstymacjaGaussowska($C26,$C$52:$C$101,Y$14)*EstymacjaGaussowska($D26,$D$52:$D$101,Y$15)*EstymacjaGaussowska($A26,$A$52:$A$101,Y$18)*EstymacjaGaussowska($B26,$B$52:$B$101,Y$19)*VLOOKUP($E26,$W$29:$AA$32,3)/$R26</f>
        <v>6.6516549223876095E-24</v>
      </c>
      <c r="U26" s="42" cm="1">
        <f t="array" ref="U26">Z$8*EstymacjaGaussowska($C26,$C$102:$C$151,Z$14)*EstymacjaGaussowska($D26,$D$102:$D$151,Z$15)*EstymacjaGaussowska($A26,$A$102:$A$151,Z$18)*EstymacjaGaussowska($B26,$B$102:$B$151,Z$19)*VLOOKUP($E26,$W$29:$AA$32,4)/$R26</f>
        <v>3.3307939859023435E-43</v>
      </c>
      <c r="W26" s="4" t="s">
        <v>14</v>
      </c>
      <c r="X26" s="4">
        <v>10</v>
      </c>
      <c r="Y26" s="4">
        <v>13</v>
      </c>
      <c r="Z26" s="4">
        <v>1</v>
      </c>
      <c r="AA26" s="4">
        <v>24</v>
      </c>
    </row>
    <row r="27" spans="1:28" x14ac:dyDescent="0.25">
      <c r="A27" s="9">
        <v>5</v>
      </c>
      <c r="B27" s="3">
        <v>3</v>
      </c>
      <c r="C27" s="3">
        <v>1.6</v>
      </c>
      <c r="D27" s="8">
        <v>0.2</v>
      </c>
      <c r="E27" s="9" t="s">
        <v>12</v>
      </c>
      <c r="F27" s="50" t="s">
        <v>5</v>
      </c>
      <c r="G27" s="9" t="str">
        <f t="shared" si="0"/>
        <v>setosa</v>
      </c>
      <c r="H27" s="3" cm="1">
        <f t="array" ref="H27">X$8*EstymacjaGaussowska($C27,$C$2:$C$51,X$14)*EstymacjaGaussowska($D27,$D$2:$D$51,X$15)+Y$8*EstymacjaGaussowska($C27,$C$52:$C$101,Y$14)*EstymacjaGaussowska($D27,$D$52:$D$101,Y$15)+Z$8*EstymacjaGaussowska($C27,$C$102:$C$151,Z$14)*EstymacjaGaussowska($D27,$D$102:$D$151,Z$15)</f>
        <v>2.4572987568847924</v>
      </c>
      <c r="I27" s="3" cm="1">
        <f t="array" ref="I27">X$8*EstymacjaGaussowska($C27,$C$2:$C$51,X$14)*EstymacjaGaussowska($D27,$D$2:$D$51,X$15)/$H27</f>
        <v>1</v>
      </c>
      <c r="J27" s="3" cm="1">
        <f t="array" ref="J27">Y$8*EstymacjaGaussowska($C27,$C$52:$C$101,Y$14)*EstymacjaGaussowska($D27,$D$52:$D$101,Y$15)/$H27</f>
        <v>1.3053355949206849E-26</v>
      </c>
      <c r="K27" s="42" cm="1">
        <f t="array" ref="K27">Z$8*EstymacjaGaussowska($C27,$C$102:$C$151,Z$14)*EstymacjaGaussowska($D27,$D$102:$D$151,Z$15)/$H27</f>
        <v>1.6899647107158646E-47</v>
      </c>
      <c r="L27" s="43" t="str">
        <f t="shared" si="1"/>
        <v>setosa</v>
      </c>
      <c r="M27" s="3" cm="1">
        <f t="array" ref="M27">X$8*EstymacjaGaussowska($C27,$C$2:$C$51,X$14)*EstymacjaGaussowska($D27,$D$2:$D$51,X$15)*VLOOKUP($E27,$W$29:$AA$32,2)+Y$8*EstymacjaGaussowska($C27,$C$52:$C$101,Y$14)*EstymacjaGaussowska($D27,$D$52:$D$101,Y$15)*VLOOKUP($E27,$W$29:$AA$32,3)+Z$8*EstymacjaGaussowska($C27,$C$102:$C$151,Z$14)*EstymacjaGaussowska($D27,$D$102:$D$151,Z$15)*VLOOKUP($E27,$W$29:$AA$32,4)</f>
        <v>0.4423137762392626</v>
      </c>
      <c r="N27" s="3" cm="1">
        <f t="array" ref="N27">X$8*EstymacjaGaussowska($C27,$C$2:$C$51,X$14)*EstymacjaGaussowska($D27,$D$2:$D$51,X$15)*VLOOKUP($E27,$W$29:$AA$32,2)/$M27</f>
        <v>1</v>
      </c>
      <c r="O27" s="3" cm="1">
        <f t="array" ref="O27">Y$8*EstymacjaGaussowska($C27,$C$52:$C$101,Y$14)*EstymacjaGaussowska($D27,$D$52:$D$101,Y$15)*VLOOKUP($E27,$W$29:$AA$32,3)/$M27</f>
        <v>2.7557084781658906E-26</v>
      </c>
      <c r="P27" s="42" cm="1">
        <f t="array" ref="P27">Z$8*EstymacjaGaussowska($C27,$C$102:$C$151,Z$14)*EstymacjaGaussowska($D27,$D$102:$D$151,Z$15)*VLOOKUP($E27,$W$29:$AA$32,4)/$M27</f>
        <v>3.5677032781779364E-47</v>
      </c>
      <c r="Q27" s="43" t="str">
        <f t="shared" si="2"/>
        <v>setosa</v>
      </c>
      <c r="R27" s="3" cm="1">
        <f t="array" ref="R27">X$8*EstymacjaGaussowska($C27,$C$2:$C$51,X$14)*EstymacjaGaussowska($D27,$D$2:$D$51,X$15)*EstymacjaGaussowska($A27,$A$2:$A$51,X$18)*EstymacjaGaussowska($B27,$B$2:$B$51,X$19)*VLOOKUP($E27,$W$29:$AA$32,2)+Y$8*EstymacjaGaussowska($C27,$C$52:$C$101,Y$14)*EstymacjaGaussowska($D27,$D$52:$D$101,Y$15)*EstymacjaGaussowska($A27,$A$52:$A$101,Y$18)*EstymacjaGaussowska($B27,$B$52:$B$101,Y$19)*VLOOKUP($E27,$W$29:$AA$32,3)+Z$8*EstymacjaGaussowska($C27,$C$102:$C$151,Z$14)*EstymacjaGaussowska($D27,$D$102:$D$151,Z$15)*EstymacjaGaussowska($A27,$A$102:$A$151,Z$18)*EstymacjaGaussowska($B27,$B$102:$B$151,Z$19)*VLOOKUP($E27,$W$29:$AA$32,4)</f>
        <v>0.30685909735798611</v>
      </c>
      <c r="S27" s="3" cm="1">
        <f t="array" ref="S27">X$8*EstymacjaGaussowska($C27,$C$2:$C$51,X$14)*EstymacjaGaussowska($D27,$D$2:$D$51,X$15)*EstymacjaGaussowska($A27,$A$2:$A$51,X$18)*EstymacjaGaussowska($B27,$B$2:$B$51,X$19)*VLOOKUP($E27,$W$29:$AA$32,2)/$R27</f>
        <v>1</v>
      </c>
      <c r="T27" s="3" cm="1">
        <f t="array" ref="T27">Y$8*EstymacjaGaussowska($C27,$C$52:$C$101,Y$14)*EstymacjaGaussowska($D27,$D$52:$D$101,Y$15)*EstymacjaGaussowska($A27,$A$52:$A$101,Y$18)*EstymacjaGaussowska($B27,$B$52:$B$101,Y$19)*VLOOKUP($E27,$W$29:$AA$32,3)/$R27</f>
        <v>8.2229251154685532E-27</v>
      </c>
      <c r="U27" s="42" cm="1">
        <f t="array" ref="U27">Z$8*EstymacjaGaussowska($C27,$C$102:$C$151,Z$14)*EstymacjaGaussowska($D27,$D$102:$D$151,Z$15)*EstymacjaGaussowska($A27,$A$102:$A$151,Z$18)*EstymacjaGaussowska($B27,$B$102:$B$151,Z$19)*VLOOKUP($E27,$W$29:$AA$32,4)/$R27</f>
        <v>2.125410762447861E-48</v>
      </c>
      <c r="W27" s="4" t="s">
        <v>16</v>
      </c>
      <c r="X27" s="4">
        <v>50</v>
      </c>
      <c r="Y27" s="4">
        <v>50</v>
      </c>
      <c r="Z27" s="4">
        <v>50</v>
      </c>
      <c r="AA27" s="4">
        <v>150</v>
      </c>
    </row>
    <row r="28" spans="1:28" ht="15.75" thickBot="1" x14ac:dyDescent="0.3">
      <c r="A28" s="9">
        <v>5</v>
      </c>
      <c r="B28" s="3">
        <v>3.4</v>
      </c>
      <c r="C28" s="3">
        <v>1.6</v>
      </c>
      <c r="D28" s="8">
        <v>0.4</v>
      </c>
      <c r="E28" s="9" t="s">
        <v>12</v>
      </c>
      <c r="F28" s="50" t="s">
        <v>5</v>
      </c>
      <c r="G28" s="9" t="str">
        <f t="shared" si="0"/>
        <v>setosa</v>
      </c>
      <c r="H28" s="3" cm="1">
        <f t="array" ref="H28">X$8*EstymacjaGaussowska($C28,$C$2:$C$51,X$14)*EstymacjaGaussowska($D28,$D$2:$D$51,X$15)+Y$8*EstymacjaGaussowska($C28,$C$52:$C$101,Y$14)*EstymacjaGaussowska($D28,$D$52:$D$101,Y$15)+Z$8*EstymacjaGaussowska($C28,$C$102:$C$151,Z$14)*EstymacjaGaussowska($D28,$D$102:$D$151,Z$15)</f>
        <v>0.65419726485831475</v>
      </c>
      <c r="I28" s="3" cm="1">
        <f t="array" ref="I28">X$8*EstymacjaGaussowska($C28,$C$2:$C$51,X$14)*EstymacjaGaussowska($D28,$D$2:$D$51,X$15)/$H28</f>
        <v>1</v>
      </c>
      <c r="J28" s="3" cm="1">
        <f t="array" ref="J28">Y$8*EstymacjaGaussowska($C28,$C$52:$C$101,Y$14)*EstymacjaGaussowska($D28,$D$52:$D$101,Y$15)/$H28</f>
        <v>2.0293085735058472E-19</v>
      </c>
      <c r="K28" s="42" cm="1">
        <f t="array" ref="K28">Z$8*EstymacjaGaussowska($C28,$C$102:$C$151,Z$14)*EstymacjaGaussowska($D28,$D$102:$D$151,Z$15)/$H28</f>
        <v>1.5654179365970596E-41</v>
      </c>
      <c r="L28" s="43" t="str">
        <f t="shared" si="1"/>
        <v>setosa</v>
      </c>
      <c r="M28" s="3" cm="1">
        <f t="array" ref="M28">X$8*EstymacjaGaussowska($C28,$C$2:$C$51,X$14)*EstymacjaGaussowska($D28,$D$2:$D$51,X$15)*VLOOKUP($E28,$W$29:$AA$32,2)+Y$8*EstymacjaGaussowska($C28,$C$52:$C$101,Y$14)*EstymacjaGaussowska($D28,$D$52:$D$101,Y$15)*VLOOKUP($E28,$W$29:$AA$32,3)+Z$8*EstymacjaGaussowska($C28,$C$102:$C$151,Z$14)*EstymacjaGaussowska($D28,$D$102:$D$151,Z$15)*VLOOKUP($E28,$W$29:$AA$32,4)</f>
        <v>0.11775550767449665</v>
      </c>
      <c r="N28" s="3" cm="1">
        <f t="array" ref="N28">X$8*EstymacjaGaussowska($C28,$C$2:$C$51,X$14)*EstymacjaGaussowska($D28,$D$2:$D$51,X$15)*VLOOKUP($E28,$W$29:$AA$32,2)/$M28</f>
        <v>1</v>
      </c>
      <c r="O28" s="3" cm="1">
        <f t="array" ref="O28">Y$8*EstymacjaGaussowska($C28,$C$52:$C$101,Y$14)*EstymacjaGaussowska($D28,$D$52:$D$101,Y$15)*VLOOKUP($E28,$W$29:$AA$32,3)/$M28</f>
        <v>4.2840958774012334E-19</v>
      </c>
      <c r="P28" s="42" cm="1">
        <f t="array" ref="P28">Z$8*EstymacjaGaussowska($C28,$C$102:$C$151,Z$14)*EstymacjaGaussowska($D28,$D$102:$D$151,Z$15)*VLOOKUP($E28,$W$29:$AA$32,4)/$M28</f>
        <v>3.3047711994826815E-41</v>
      </c>
      <c r="Q28" s="43" t="str">
        <f t="shared" si="2"/>
        <v>setosa</v>
      </c>
      <c r="R28" s="3" cm="1">
        <f t="array" ref="R28">X$8*EstymacjaGaussowska($C28,$C$2:$C$51,X$14)*EstymacjaGaussowska($D28,$D$2:$D$51,X$15)*EstymacjaGaussowska($A28,$A$2:$A$51,X$18)*EstymacjaGaussowska($B28,$B$2:$B$51,X$19)*VLOOKUP($E28,$W$29:$AA$32,2)+Y$8*EstymacjaGaussowska($C28,$C$52:$C$101,Y$14)*EstymacjaGaussowska($D28,$D$52:$D$101,Y$15)*EstymacjaGaussowska($A28,$A$52:$A$101,Y$18)*EstymacjaGaussowska($B28,$B$52:$B$101,Y$19)*VLOOKUP($E28,$W$29:$AA$32,3)+Z$8*EstymacjaGaussowska($C28,$C$102:$C$151,Z$14)*EstymacjaGaussowska($D28,$D$102:$D$151,Z$15)*EstymacjaGaussowska($A28,$A$102:$A$151,Z$18)*EstymacjaGaussowska($B28,$B$102:$B$151,Z$19)*VLOOKUP($E28,$W$29:$AA$32,4)</f>
        <v>0.12962120386410622</v>
      </c>
      <c r="S28" s="3" cm="1">
        <f t="array" ref="S28">X$8*EstymacjaGaussowska($C28,$C$2:$C$51,X$14)*EstymacjaGaussowska($D28,$D$2:$D$51,X$15)*EstymacjaGaussowska($A28,$A$2:$A$51,X$18)*EstymacjaGaussowska($B28,$B$2:$B$51,X$19)*VLOOKUP($E28,$W$29:$AA$32,2)/$R28</f>
        <v>1</v>
      </c>
      <c r="T28" s="3" cm="1">
        <f t="array" ref="T28">Y$8*EstymacjaGaussowska($C28,$C$52:$C$101,Y$14)*EstymacjaGaussowska($D28,$D$52:$D$101,Y$15)*EstymacjaGaussowska($A28,$A$52:$A$101,Y$18)*EstymacjaGaussowska($B28,$B$52:$B$101,Y$19)*VLOOKUP($E28,$W$29:$AA$32,3)/$R28</f>
        <v>1.4624183610509144E-20</v>
      </c>
      <c r="U28" s="42" cm="1">
        <f t="array" ref="U28">Z$8*EstymacjaGaussowska($C28,$C$102:$C$151,Z$14)*EstymacjaGaussowska($D28,$D$102:$D$151,Z$15)*EstymacjaGaussowska($A28,$A$102:$A$151,Z$18)*EstymacjaGaussowska($B28,$B$102:$B$151,Z$19)*VLOOKUP($E28,$W$29:$AA$32,4)/$R28</f>
        <v>4.293468017316556E-43</v>
      </c>
    </row>
    <row r="29" spans="1:28" x14ac:dyDescent="0.25">
      <c r="A29" s="9">
        <v>5.2</v>
      </c>
      <c r="B29" s="3">
        <v>3.5</v>
      </c>
      <c r="C29" s="3">
        <v>1.5</v>
      </c>
      <c r="D29" s="8">
        <v>0.2</v>
      </c>
      <c r="E29" s="9" t="s">
        <v>12</v>
      </c>
      <c r="F29" s="50" t="s">
        <v>5</v>
      </c>
      <c r="G29" s="9" t="str">
        <f t="shared" si="0"/>
        <v>setosa</v>
      </c>
      <c r="H29" s="3" cm="1">
        <f t="array" ref="H29">X$8*EstymacjaGaussowska($C29,$C$2:$C$51,X$14)*EstymacjaGaussowska($D29,$D$2:$D$51,X$15)+Y$8*EstymacjaGaussowska($C29,$C$52:$C$101,Y$14)*EstymacjaGaussowska($D29,$D$52:$D$101,Y$15)+Z$8*EstymacjaGaussowska($C29,$C$102:$C$151,Z$14)*EstymacjaGaussowska($D29,$D$102:$D$151,Z$15)</f>
        <v>3.5733275585592028</v>
      </c>
      <c r="I29" s="3" cm="1">
        <f t="array" ref="I29">X$8*EstymacjaGaussowska($C29,$C$2:$C$51,X$14)*EstymacjaGaussowska($D29,$D$2:$D$51,X$15)/$H29</f>
        <v>1</v>
      </c>
      <c r="J29" s="3" cm="1">
        <f t="array" ref="J29">Y$8*EstymacjaGaussowska($C29,$C$52:$C$101,Y$14)*EstymacjaGaussowska($D29,$D$52:$D$101,Y$15)/$H29</f>
        <v>5.4877881518809053E-28</v>
      </c>
      <c r="K29" s="42" cm="1">
        <f t="array" ref="K29">Z$8*EstymacjaGaussowska($C29,$C$102:$C$151,Z$14)*EstymacjaGaussowska($D29,$D$102:$D$151,Z$15)/$H29</f>
        <v>1.8844790900793386E-49</v>
      </c>
      <c r="L29" s="43" t="str">
        <f t="shared" si="1"/>
        <v>setosa</v>
      </c>
      <c r="M29" s="3" cm="1">
        <f t="array" ref="M29">X$8*EstymacjaGaussowska($C29,$C$2:$C$51,X$14)*EstymacjaGaussowska($D29,$D$2:$D$51,X$15)*VLOOKUP($E29,$W$29:$AA$32,2)+Y$8*EstymacjaGaussowska($C29,$C$52:$C$101,Y$14)*EstymacjaGaussowska($D29,$D$52:$D$101,Y$15)*VLOOKUP($E29,$W$29:$AA$32,3)+Z$8*EstymacjaGaussowska($C29,$C$102:$C$151,Z$14)*EstymacjaGaussowska($D29,$D$102:$D$151,Z$15)*VLOOKUP($E29,$W$29:$AA$32,4)</f>
        <v>0.64319896054065651</v>
      </c>
      <c r="N29" s="3" cm="1">
        <f t="array" ref="N29">X$8*EstymacjaGaussowska($C29,$C$2:$C$51,X$14)*EstymacjaGaussowska($D29,$D$2:$D$51,X$15)*VLOOKUP($E29,$W$29:$AA$32,2)/$M29</f>
        <v>1</v>
      </c>
      <c r="O29" s="3" cm="1">
        <f t="array" ref="O29">Y$8*EstymacjaGaussowska($C29,$C$52:$C$101,Y$14)*EstymacjaGaussowska($D29,$D$52:$D$101,Y$15)*VLOOKUP($E29,$W$29:$AA$32,3)/$M29</f>
        <v>1.158533054285969E-27</v>
      </c>
      <c r="P29" s="42" cm="1">
        <f t="array" ref="P29">Z$8*EstymacjaGaussowska($C29,$C$102:$C$151,Z$14)*EstymacjaGaussowska($D29,$D$102:$D$151,Z$15)*VLOOKUP($E29,$W$29:$AA$32,4)/$M29</f>
        <v>3.9783447457230479E-49</v>
      </c>
      <c r="Q29" s="43" t="str">
        <f t="shared" si="2"/>
        <v>setosa</v>
      </c>
      <c r="R29" s="3" cm="1">
        <f t="array" ref="R29">X$8*EstymacjaGaussowska($C29,$C$2:$C$51,X$14)*EstymacjaGaussowska($D29,$D$2:$D$51,X$15)*EstymacjaGaussowska($A29,$A$2:$A$51,X$18)*EstymacjaGaussowska($B29,$B$2:$B$51,X$19)*VLOOKUP($E29,$W$29:$AA$32,2)+Y$8*EstymacjaGaussowska($C29,$C$52:$C$101,Y$14)*EstymacjaGaussowska($D29,$D$52:$D$101,Y$15)*EstymacjaGaussowska($A29,$A$52:$A$101,Y$18)*EstymacjaGaussowska($B29,$B$52:$B$101,Y$19)*VLOOKUP($E29,$W$29:$AA$32,3)+Z$8*EstymacjaGaussowska($C29,$C$102:$C$151,Z$14)*EstymacjaGaussowska($D29,$D$102:$D$151,Z$15)*EstymacjaGaussowska($A29,$A$102:$A$151,Z$18)*EstymacjaGaussowska($B29,$B$102:$B$151,Z$19)*VLOOKUP($E29,$W$29:$AA$32,4)</f>
        <v>0.5453714505835191</v>
      </c>
      <c r="S29" s="3" cm="1">
        <f t="array" ref="S29">X$8*EstymacjaGaussowska($C29,$C$2:$C$51,X$14)*EstymacjaGaussowska($D29,$D$2:$D$51,X$15)*EstymacjaGaussowska($A29,$A$2:$A$51,X$18)*EstymacjaGaussowska($B29,$B$2:$B$51,X$19)*VLOOKUP($E29,$W$29:$AA$32,2)/$R29</f>
        <v>1</v>
      </c>
      <c r="T29" s="3" cm="1">
        <f t="array" ref="T29">Y$8*EstymacjaGaussowska($C29,$C$52:$C$101,Y$14)*EstymacjaGaussowska($D29,$D$52:$D$101,Y$15)*EstymacjaGaussowska($A29,$A$52:$A$101,Y$18)*EstymacjaGaussowska($B29,$B$52:$B$101,Y$19)*VLOOKUP($E29,$W$29:$AA$32,3)/$R29</f>
        <v>3.8199816984351404E-29</v>
      </c>
      <c r="U29" s="42" cm="1">
        <f t="array" ref="U29">Z$8*EstymacjaGaussowska($C29,$C$102:$C$151,Z$14)*EstymacjaGaussowska($D29,$D$102:$D$151,Z$15)*EstymacjaGaussowska($A29,$A$102:$A$151,Z$18)*EstymacjaGaussowska($B29,$B$102:$B$151,Z$19)*VLOOKUP($E29,$W$29:$AA$32,4)/$R29</f>
        <v>6.232048974709545E-51</v>
      </c>
      <c r="W29" s="25" t="str">
        <f>W23</f>
        <v>blue</v>
      </c>
      <c r="X29" s="21">
        <f t="shared" ref="X29:Z32" si="5">X23/$X$27</f>
        <v>0.44</v>
      </c>
      <c r="Y29" s="21">
        <f t="shared" si="5"/>
        <v>0.18</v>
      </c>
      <c r="Z29" s="21">
        <f t="shared" si="5"/>
        <v>0.6</v>
      </c>
      <c r="AA29" s="22">
        <f>X29*$X$8+Y29*$Y$8+Z29*$Z$8</f>
        <v>0.40666666666666673</v>
      </c>
    </row>
    <row r="30" spans="1:28" x14ac:dyDescent="0.25">
      <c r="A30" s="9">
        <v>5.2</v>
      </c>
      <c r="B30" s="3">
        <v>3.4</v>
      </c>
      <c r="C30" s="3">
        <v>1.4</v>
      </c>
      <c r="D30" s="8">
        <v>0.2</v>
      </c>
      <c r="E30" s="9" t="s">
        <v>12</v>
      </c>
      <c r="F30" s="50" t="s">
        <v>5</v>
      </c>
      <c r="G30" s="9" t="str">
        <f t="shared" si="0"/>
        <v>setosa</v>
      </c>
      <c r="H30" s="3" cm="1">
        <f t="array" ref="H30">X$8*EstymacjaGaussowska($C30,$C$2:$C$51,X$14)*EstymacjaGaussowska($D30,$D$2:$D$51,X$15)+Y$8*EstymacjaGaussowska($C30,$C$52:$C$101,Y$14)*EstymacjaGaussowska($D30,$D$52:$D$101,Y$15)+Z$8*EstymacjaGaussowska($C30,$C$102:$C$151,Z$14)*EstymacjaGaussowska($D30,$D$102:$D$151,Z$15)</f>
        <v>3.5560587505669878</v>
      </c>
      <c r="I30" s="3" cm="1">
        <f t="array" ref="I30">X$8*EstymacjaGaussowska($C30,$C$2:$C$51,X$14)*EstymacjaGaussowska($D30,$D$2:$D$51,X$15)/$H30</f>
        <v>1</v>
      </c>
      <c r="J30" s="3" cm="1">
        <f t="array" ref="J30">Y$8*EstymacjaGaussowska($C30,$C$52:$C$101,Y$14)*EstymacjaGaussowska($D30,$D$52:$D$101,Y$15)/$H30</f>
        <v>2.7804302735408849E-29</v>
      </c>
      <c r="K30" s="42" cm="1">
        <f t="array" ref="K30">Z$8*EstymacjaGaussowska($C30,$C$102:$C$151,Z$14)*EstymacjaGaussowska($D30,$D$102:$D$151,Z$15)/$H30</f>
        <v>2.6701995154540739E-51</v>
      </c>
      <c r="L30" s="43" t="str">
        <f t="shared" si="1"/>
        <v>setosa</v>
      </c>
      <c r="M30" s="3" cm="1">
        <f t="array" ref="M30">X$8*EstymacjaGaussowska($C30,$C$2:$C$51,X$14)*EstymacjaGaussowska($D30,$D$2:$D$51,X$15)*VLOOKUP($E30,$W$29:$AA$32,2)+Y$8*EstymacjaGaussowska($C30,$C$52:$C$101,Y$14)*EstymacjaGaussowska($D30,$D$52:$D$101,Y$15)*VLOOKUP($E30,$W$29:$AA$32,3)+Z$8*EstymacjaGaussowska($C30,$C$102:$C$151,Z$14)*EstymacjaGaussowska($D30,$D$102:$D$151,Z$15)*VLOOKUP($E30,$W$29:$AA$32,4)</f>
        <v>0.6400905751020578</v>
      </c>
      <c r="N30" s="3" cm="1">
        <f t="array" ref="N30">X$8*EstymacjaGaussowska($C30,$C$2:$C$51,X$14)*EstymacjaGaussowska($D30,$D$2:$D$51,X$15)*VLOOKUP($E30,$W$29:$AA$32,2)/$M30</f>
        <v>1</v>
      </c>
      <c r="O30" s="3" cm="1">
        <f t="array" ref="O30">Y$8*EstymacjaGaussowska($C30,$C$52:$C$101,Y$14)*EstymacjaGaussowska($D30,$D$52:$D$101,Y$15)*VLOOKUP($E30,$W$29:$AA$32,3)/$M30</f>
        <v>5.8697972441418681E-29</v>
      </c>
      <c r="P30" s="42" cm="1">
        <f t="array" ref="P30">Z$8*EstymacjaGaussowska($C30,$C$102:$C$151,Z$14)*EstymacjaGaussowska($D30,$D$102:$D$151,Z$15)*VLOOKUP($E30,$W$29:$AA$32,4)/$M30</f>
        <v>5.6370878659586006E-51</v>
      </c>
      <c r="Q30" s="43" t="str">
        <f t="shared" si="2"/>
        <v>setosa</v>
      </c>
      <c r="R30" s="3" cm="1">
        <f t="array" ref="R30">X$8*EstymacjaGaussowska($C30,$C$2:$C$51,X$14)*EstymacjaGaussowska($D30,$D$2:$D$51,X$15)*EstymacjaGaussowska($A30,$A$2:$A$51,X$18)*EstymacjaGaussowska($B30,$B$2:$B$51,X$19)*VLOOKUP($E30,$W$29:$AA$32,2)+Y$8*EstymacjaGaussowska($C30,$C$52:$C$101,Y$14)*EstymacjaGaussowska($D30,$D$52:$D$101,Y$15)*EstymacjaGaussowska($A30,$A$52:$A$101,Y$18)*EstymacjaGaussowska($B30,$B$52:$B$101,Y$19)*VLOOKUP($E30,$W$29:$AA$32,3)+Z$8*EstymacjaGaussowska($C30,$C$102:$C$151,Z$14)*EstymacjaGaussowska($D30,$D$102:$D$151,Z$15)*EstymacjaGaussowska($A30,$A$102:$A$151,Z$18)*EstymacjaGaussowska($B30,$B$102:$B$151,Z$19)*VLOOKUP($E30,$W$29:$AA$32,4)</f>
        <v>0.56599845572963459</v>
      </c>
      <c r="S30" s="3" cm="1">
        <f t="array" ref="S30">X$8*EstymacjaGaussowska($C30,$C$2:$C$51,X$14)*EstymacjaGaussowska($D30,$D$2:$D$51,X$15)*EstymacjaGaussowska($A30,$A$2:$A$51,X$18)*EstymacjaGaussowska($B30,$B$2:$B$51,X$19)*VLOOKUP($E30,$W$29:$AA$32,2)/$R30</f>
        <v>1</v>
      </c>
      <c r="T30" s="3" cm="1">
        <f t="array" ref="T30">Y$8*EstymacjaGaussowska($C30,$C$52:$C$101,Y$14)*EstymacjaGaussowska($D30,$D$52:$D$101,Y$15)*EstymacjaGaussowska($A30,$A$52:$A$101,Y$18)*EstymacjaGaussowska($B30,$B$52:$B$101,Y$19)*VLOOKUP($E30,$W$29:$AA$32,3)/$R30</f>
        <v>3.9249253212960916E-30</v>
      </c>
      <c r="U30" s="42" cm="1">
        <f t="array" ref="U30">Z$8*EstymacjaGaussowska($C30,$C$102:$C$151,Z$14)*EstymacjaGaussowska($D30,$D$102:$D$151,Z$15)*EstymacjaGaussowska($A30,$A$102:$A$151,Z$18)*EstymacjaGaussowska($B30,$B$102:$B$151,Z$19)*VLOOKUP($E30,$W$29:$AA$32,4)/$R30</f>
        <v>1.3726620233494803E-52</v>
      </c>
      <c r="W30" s="24" t="str">
        <f>W24</f>
        <v>violet</v>
      </c>
      <c r="X30" s="21">
        <f t="shared" si="5"/>
        <v>0.18</v>
      </c>
      <c r="Y30" s="21">
        <f t="shared" si="5"/>
        <v>0.38</v>
      </c>
      <c r="Z30" s="21">
        <f t="shared" si="5"/>
        <v>0.38</v>
      </c>
      <c r="AA30" s="22">
        <f t="shared" ref="AA30:AA32" si="6">X30*$X$8+Y30*$Y$8+Z30*$Z$8</f>
        <v>0.31333333333333335</v>
      </c>
    </row>
    <row r="31" spans="1:28" x14ac:dyDescent="0.25">
      <c r="A31" s="9">
        <v>4.7</v>
      </c>
      <c r="B31" s="3">
        <v>3.2</v>
      </c>
      <c r="C31" s="3">
        <v>1.6</v>
      </c>
      <c r="D31" s="8">
        <v>0.2</v>
      </c>
      <c r="E31" s="9" t="s">
        <v>12</v>
      </c>
      <c r="F31" s="50" t="s">
        <v>5</v>
      </c>
      <c r="G31" s="9" t="str">
        <f t="shared" si="0"/>
        <v>setosa</v>
      </c>
      <c r="H31" s="3" cm="1">
        <f t="array" ref="H31">X$8*EstymacjaGaussowska($C31,$C$2:$C$51,X$14)*EstymacjaGaussowska($D31,$D$2:$D$51,X$15)+Y$8*EstymacjaGaussowska($C31,$C$52:$C$101,Y$14)*EstymacjaGaussowska($D31,$D$52:$D$101,Y$15)+Z$8*EstymacjaGaussowska($C31,$C$102:$C$151,Z$14)*EstymacjaGaussowska($D31,$D$102:$D$151,Z$15)</f>
        <v>2.4572987568847924</v>
      </c>
      <c r="I31" s="3" cm="1">
        <f t="array" ref="I31">X$8*EstymacjaGaussowska($C31,$C$2:$C$51,X$14)*EstymacjaGaussowska($D31,$D$2:$D$51,X$15)/$H31</f>
        <v>1</v>
      </c>
      <c r="J31" s="3" cm="1">
        <f t="array" ref="J31">Y$8*EstymacjaGaussowska($C31,$C$52:$C$101,Y$14)*EstymacjaGaussowska($D31,$D$52:$D$101,Y$15)/$H31</f>
        <v>1.3053355949206849E-26</v>
      </c>
      <c r="K31" s="42" cm="1">
        <f t="array" ref="K31">Z$8*EstymacjaGaussowska($C31,$C$102:$C$151,Z$14)*EstymacjaGaussowska($D31,$D$102:$D$151,Z$15)/$H31</f>
        <v>1.6899647107158646E-47</v>
      </c>
      <c r="L31" s="43" t="str">
        <f t="shared" si="1"/>
        <v>setosa</v>
      </c>
      <c r="M31" s="3" cm="1">
        <f t="array" ref="M31">X$8*EstymacjaGaussowska($C31,$C$2:$C$51,X$14)*EstymacjaGaussowska($D31,$D$2:$D$51,X$15)*VLOOKUP($E31,$W$29:$AA$32,2)+Y$8*EstymacjaGaussowska($C31,$C$52:$C$101,Y$14)*EstymacjaGaussowska($D31,$D$52:$D$101,Y$15)*VLOOKUP($E31,$W$29:$AA$32,3)+Z$8*EstymacjaGaussowska($C31,$C$102:$C$151,Z$14)*EstymacjaGaussowska($D31,$D$102:$D$151,Z$15)*VLOOKUP($E31,$W$29:$AA$32,4)</f>
        <v>0.4423137762392626</v>
      </c>
      <c r="N31" s="3" cm="1">
        <f t="array" ref="N31">X$8*EstymacjaGaussowska($C31,$C$2:$C$51,X$14)*EstymacjaGaussowska($D31,$D$2:$D$51,X$15)*VLOOKUP($E31,$W$29:$AA$32,2)/$M31</f>
        <v>1</v>
      </c>
      <c r="O31" s="3" cm="1">
        <f t="array" ref="O31">Y$8*EstymacjaGaussowska($C31,$C$52:$C$101,Y$14)*EstymacjaGaussowska($D31,$D$52:$D$101,Y$15)*VLOOKUP($E31,$W$29:$AA$32,3)/$M31</f>
        <v>2.7557084781658906E-26</v>
      </c>
      <c r="P31" s="42" cm="1">
        <f t="array" ref="P31">Z$8*EstymacjaGaussowska($C31,$C$102:$C$151,Z$14)*EstymacjaGaussowska($D31,$D$102:$D$151,Z$15)*VLOOKUP($E31,$W$29:$AA$32,4)/$M31</f>
        <v>3.5677032781779364E-47</v>
      </c>
      <c r="Q31" s="43" t="str">
        <f t="shared" si="2"/>
        <v>setosa</v>
      </c>
      <c r="R31" s="3" cm="1">
        <f t="array" ref="R31">X$8*EstymacjaGaussowska($C31,$C$2:$C$51,X$14)*EstymacjaGaussowska($D31,$D$2:$D$51,X$15)*EstymacjaGaussowska($A31,$A$2:$A$51,X$18)*EstymacjaGaussowska($B31,$B$2:$B$51,X$19)*VLOOKUP($E31,$W$29:$AA$32,2)+Y$8*EstymacjaGaussowska($C31,$C$52:$C$101,Y$14)*EstymacjaGaussowska($D31,$D$52:$D$101,Y$15)*EstymacjaGaussowska($A31,$A$52:$A$101,Y$18)*EstymacjaGaussowska($B31,$B$52:$B$101,Y$19)*VLOOKUP($E31,$W$29:$AA$32,3)+Z$8*EstymacjaGaussowska($C31,$C$102:$C$151,Z$14)*EstymacjaGaussowska($D31,$D$102:$D$151,Z$15)*EstymacjaGaussowska($A31,$A$102:$A$151,Z$18)*EstymacjaGaussowska($B31,$B$102:$B$151,Z$19)*VLOOKUP($E31,$W$29:$AA$32,4)</f>
        <v>0.27992823645882114</v>
      </c>
      <c r="S31" s="3" cm="1">
        <f t="array" ref="S31">X$8*EstymacjaGaussowska($C31,$C$2:$C$51,X$14)*EstymacjaGaussowska($D31,$D$2:$D$51,X$15)*EstymacjaGaussowska($A31,$A$2:$A$51,X$18)*EstymacjaGaussowska($B31,$B$2:$B$51,X$19)*VLOOKUP($E31,$W$29:$AA$32,2)/$R31</f>
        <v>1</v>
      </c>
      <c r="T31" s="3" cm="1">
        <f t="array" ref="T31">Y$8*EstymacjaGaussowska($C31,$C$52:$C$101,Y$14)*EstymacjaGaussowska($D31,$D$52:$D$101,Y$15)*EstymacjaGaussowska($A31,$A$52:$A$101,Y$18)*EstymacjaGaussowska($B31,$B$52:$B$101,Y$19)*VLOOKUP($E31,$W$29:$AA$32,3)/$R31</f>
        <v>1.7790743172986741E-27</v>
      </c>
      <c r="U31" s="42" cm="1">
        <f t="array" ref="U31">Z$8*EstymacjaGaussowska($C31,$C$102:$C$151,Z$14)*EstymacjaGaussowska($D31,$D$102:$D$151,Z$15)*EstymacjaGaussowska($A31,$A$102:$A$151,Z$18)*EstymacjaGaussowska($B31,$B$102:$B$151,Z$19)*VLOOKUP($E31,$W$29:$AA$32,4)/$R31</f>
        <v>1.0930087708556949E-48</v>
      </c>
      <c r="W31" s="20" t="str">
        <f>W25</f>
        <v>white</v>
      </c>
      <c r="X31" s="21">
        <f>X25/$X$27</f>
        <v>0.18</v>
      </c>
      <c r="Y31" s="21">
        <f t="shared" si="5"/>
        <v>0.18</v>
      </c>
      <c r="Z31" s="21">
        <f t="shared" si="5"/>
        <v>0</v>
      </c>
      <c r="AA31" s="22">
        <f t="shared" si="6"/>
        <v>0.12</v>
      </c>
    </row>
    <row r="32" spans="1:28" ht="15.75" thickBot="1" x14ac:dyDescent="0.3">
      <c r="A32" s="9">
        <v>4.8</v>
      </c>
      <c r="B32" s="3">
        <v>3.1</v>
      </c>
      <c r="C32" s="3">
        <v>1.6</v>
      </c>
      <c r="D32" s="8">
        <v>0.2</v>
      </c>
      <c r="E32" s="9" t="s">
        <v>12</v>
      </c>
      <c r="F32" s="50" t="s">
        <v>5</v>
      </c>
      <c r="G32" s="9" t="str">
        <f t="shared" si="0"/>
        <v>setosa</v>
      </c>
      <c r="H32" s="3" cm="1">
        <f t="array" ref="H32">X$8*EstymacjaGaussowska($C32,$C$2:$C$51,X$14)*EstymacjaGaussowska($D32,$D$2:$D$51,X$15)+Y$8*EstymacjaGaussowska($C32,$C$52:$C$101,Y$14)*EstymacjaGaussowska($D32,$D$52:$D$101,Y$15)+Z$8*EstymacjaGaussowska($C32,$C$102:$C$151,Z$14)*EstymacjaGaussowska($D32,$D$102:$D$151,Z$15)</f>
        <v>2.4572987568847924</v>
      </c>
      <c r="I32" s="3" cm="1">
        <f t="array" ref="I32">X$8*EstymacjaGaussowska($C32,$C$2:$C$51,X$14)*EstymacjaGaussowska($D32,$D$2:$D$51,X$15)/$H32</f>
        <v>1</v>
      </c>
      <c r="J32" s="3" cm="1">
        <f t="array" ref="J32">Y$8*EstymacjaGaussowska($C32,$C$52:$C$101,Y$14)*EstymacjaGaussowska($D32,$D$52:$D$101,Y$15)/$H32</f>
        <v>1.3053355949206849E-26</v>
      </c>
      <c r="K32" s="42" cm="1">
        <f t="array" ref="K32">Z$8*EstymacjaGaussowska($C32,$C$102:$C$151,Z$14)*EstymacjaGaussowska($D32,$D$102:$D$151,Z$15)/$H32</f>
        <v>1.6899647107158646E-47</v>
      </c>
      <c r="L32" s="43" t="str">
        <f t="shared" si="1"/>
        <v>setosa</v>
      </c>
      <c r="M32" s="3" cm="1">
        <f t="array" ref="M32">X$8*EstymacjaGaussowska($C32,$C$2:$C$51,X$14)*EstymacjaGaussowska($D32,$D$2:$D$51,X$15)*VLOOKUP($E32,$W$29:$AA$32,2)+Y$8*EstymacjaGaussowska($C32,$C$52:$C$101,Y$14)*EstymacjaGaussowska($D32,$D$52:$D$101,Y$15)*VLOOKUP($E32,$W$29:$AA$32,3)+Z$8*EstymacjaGaussowska($C32,$C$102:$C$151,Z$14)*EstymacjaGaussowska($D32,$D$102:$D$151,Z$15)*VLOOKUP($E32,$W$29:$AA$32,4)</f>
        <v>0.4423137762392626</v>
      </c>
      <c r="N32" s="3" cm="1">
        <f t="array" ref="N32">X$8*EstymacjaGaussowska($C32,$C$2:$C$51,X$14)*EstymacjaGaussowska($D32,$D$2:$D$51,X$15)*VLOOKUP($E32,$W$29:$AA$32,2)/$M32</f>
        <v>1</v>
      </c>
      <c r="O32" s="3" cm="1">
        <f t="array" ref="O32">Y$8*EstymacjaGaussowska($C32,$C$52:$C$101,Y$14)*EstymacjaGaussowska($D32,$D$52:$D$101,Y$15)*VLOOKUP($E32,$W$29:$AA$32,3)/$M32</f>
        <v>2.7557084781658906E-26</v>
      </c>
      <c r="P32" s="42" cm="1">
        <f t="array" ref="P32">Z$8*EstymacjaGaussowska($C32,$C$102:$C$151,Z$14)*EstymacjaGaussowska($D32,$D$102:$D$151,Z$15)*VLOOKUP($E32,$W$29:$AA$32,4)/$M32</f>
        <v>3.5677032781779364E-47</v>
      </c>
      <c r="Q32" s="43" t="str">
        <f t="shared" si="2"/>
        <v>setosa</v>
      </c>
      <c r="R32" s="3" cm="1">
        <f t="array" ref="R32">X$8*EstymacjaGaussowska($C32,$C$2:$C$51,X$14)*EstymacjaGaussowska($D32,$D$2:$D$51,X$15)*EstymacjaGaussowska($A32,$A$2:$A$51,X$18)*EstymacjaGaussowska($B32,$B$2:$B$51,X$19)*VLOOKUP($E32,$W$29:$AA$32,2)+Y$8*EstymacjaGaussowska($C32,$C$52:$C$101,Y$14)*EstymacjaGaussowska($D32,$D$52:$D$101,Y$15)*EstymacjaGaussowska($A32,$A$52:$A$101,Y$18)*EstymacjaGaussowska($B32,$B$52:$B$101,Y$19)*VLOOKUP($E32,$W$29:$AA$32,3)+Z$8*EstymacjaGaussowska($C32,$C$102:$C$151,Z$14)*EstymacjaGaussowska($D32,$D$102:$D$151,Z$15)*EstymacjaGaussowska($A32,$A$102:$A$151,Z$18)*EstymacjaGaussowska($B32,$B$102:$B$151,Z$19)*VLOOKUP($E32,$W$29:$AA$32,4)</f>
        <v>0.30080513474612691</v>
      </c>
      <c r="S32" s="3" cm="1">
        <f t="array" ref="S32">X$8*EstymacjaGaussowska($C32,$C$2:$C$51,X$14)*EstymacjaGaussowska($D32,$D$2:$D$51,X$15)*EstymacjaGaussowska($A32,$A$2:$A$51,X$18)*EstymacjaGaussowska($B32,$B$2:$B$51,X$19)*VLOOKUP($E32,$W$29:$AA$32,2)/$R32</f>
        <v>1</v>
      </c>
      <c r="T32" s="3" cm="1">
        <f t="array" ref="T32">Y$8*EstymacjaGaussowska($C32,$C$52:$C$101,Y$14)*EstymacjaGaussowska($D32,$D$52:$D$101,Y$15)*EstymacjaGaussowska($A32,$A$52:$A$101,Y$18)*EstymacjaGaussowska($B32,$B$52:$B$101,Y$19)*VLOOKUP($E32,$W$29:$AA$32,3)/$R32</f>
        <v>3.7115094748608615E-27</v>
      </c>
      <c r="U32" s="42" cm="1">
        <f t="array" ref="U32">Z$8*EstymacjaGaussowska($C32,$C$102:$C$151,Z$14)*EstymacjaGaussowska($D32,$D$102:$D$151,Z$15)*EstymacjaGaussowska($A32,$A$102:$A$151,Z$18)*EstymacjaGaussowska($B32,$B$102:$B$151,Z$19)*VLOOKUP($E32,$W$29:$AA$32,4)/$R32</f>
        <v>1.5363462983887779E-48</v>
      </c>
      <c r="W32" s="26" t="str">
        <f>W26</f>
        <v>yellow</v>
      </c>
      <c r="X32" s="21">
        <f>X26/$X$27</f>
        <v>0.2</v>
      </c>
      <c r="Y32" s="21">
        <f t="shared" si="5"/>
        <v>0.26</v>
      </c>
      <c r="Z32" s="21">
        <f t="shared" si="5"/>
        <v>0.02</v>
      </c>
      <c r="AA32" s="22">
        <f t="shared" si="6"/>
        <v>0.16</v>
      </c>
    </row>
    <row r="33" spans="1:28" x14ac:dyDescent="0.25">
      <c r="A33" s="9">
        <v>5.4</v>
      </c>
      <c r="B33" s="3">
        <v>3.4</v>
      </c>
      <c r="C33" s="3">
        <v>1.5</v>
      </c>
      <c r="D33" s="8">
        <v>0.4</v>
      </c>
      <c r="E33" s="9" t="s">
        <v>13</v>
      </c>
      <c r="F33" s="50" t="s">
        <v>5</v>
      </c>
      <c r="G33" s="9" t="str">
        <f t="shared" si="0"/>
        <v>setosa</v>
      </c>
      <c r="H33" s="3" cm="1">
        <f t="array" ref="H33">X$8*EstymacjaGaussowska($C33,$C$2:$C$51,X$14)*EstymacjaGaussowska($D33,$D$2:$D$51,X$15)+Y$8*EstymacjaGaussowska($C33,$C$52:$C$101,Y$14)*EstymacjaGaussowska($D33,$D$52:$D$101,Y$15)+Z$8*EstymacjaGaussowska($C33,$C$102:$C$151,Z$14)*EstymacjaGaussowska($D33,$D$102:$D$151,Z$15)</f>
        <v>0.95131335117582871</v>
      </c>
      <c r="I33" s="3" cm="1">
        <f t="array" ref="I33">X$8*EstymacjaGaussowska($C33,$C$2:$C$51,X$14)*EstymacjaGaussowska($D33,$D$2:$D$51,X$15)/$H33</f>
        <v>1</v>
      </c>
      <c r="J33" s="3" cm="1">
        <f t="array" ref="J33">Y$8*EstymacjaGaussowska($C33,$C$52:$C$101,Y$14)*EstymacjaGaussowska($D33,$D$52:$D$101,Y$15)/$H33</f>
        <v>8.5314578025219679E-21</v>
      </c>
      <c r="K33" s="42" cm="1">
        <f t="array" ref="K33">Z$8*EstymacjaGaussowska($C33,$C$102:$C$151,Z$14)*EstymacjaGaussowska($D33,$D$102:$D$151,Z$15)/$H33</f>
        <v>1.7455970234447626E-43</v>
      </c>
      <c r="L33" s="43" t="str">
        <f t="shared" si="1"/>
        <v>setosa</v>
      </c>
      <c r="M33" s="3" cm="1">
        <f t="array" ref="M33">X$8*EstymacjaGaussowska($C33,$C$2:$C$51,X$14)*EstymacjaGaussowska($D33,$D$2:$D$51,X$15)*VLOOKUP($E33,$W$29:$AA$32,2)+Y$8*EstymacjaGaussowska($C33,$C$52:$C$101,Y$14)*EstymacjaGaussowska($D33,$D$52:$D$101,Y$15)*VLOOKUP($E33,$W$29:$AA$32,3)+Z$8*EstymacjaGaussowska($C33,$C$102:$C$151,Z$14)*EstymacjaGaussowska($D33,$D$102:$D$151,Z$15)*VLOOKUP($E33,$W$29:$AA$32,4)</f>
        <v>0.17123640321164915</v>
      </c>
      <c r="N33" s="3" cm="1">
        <f t="array" ref="N33">X$8*EstymacjaGaussowska($C33,$C$2:$C$51,X$14)*EstymacjaGaussowska($D33,$D$2:$D$51,X$15)*VLOOKUP($E33,$W$29:$AA$32,2)/$M33</f>
        <v>1</v>
      </c>
      <c r="O33" s="3" cm="1">
        <f t="array" ref="O33">Y$8*EstymacjaGaussowska($C33,$C$52:$C$101,Y$14)*EstymacjaGaussowska($D33,$D$52:$D$101,Y$15)*VLOOKUP($E33,$W$29:$AA$32,3)/$M33</f>
        <v>8.5314578025219679E-21</v>
      </c>
      <c r="P33" s="42" cm="1">
        <f t="array" ref="P33">Z$8*EstymacjaGaussowska($C33,$C$102:$C$151,Z$14)*EstymacjaGaussowska($D33,$D$102:$D$151,Z$15)*VLOOKUP($E33,$W$29:$AA$32,4)/$M33</f>
        <v>0</v>
      </c>
      <c r="Q33" s="43" t="str">
        <f t="shared" si="2"/>
        <v>setosa</v>
      </c>
      <c r="R33" s="3" cm="1">
        <f t="array" ref="R33">X$8*EstymacjaGaussowska($C33,$C$2:$C$51,X$14)*EstymacjaGaussowska($D33,$D$2:$D$51,X$15)*EstymacjaGaussowska($A33,$A$2:$A$51,X$18)*EstymacjaGaussowska($B33,$B$2:$B$51,X$19)*VLOOKUP($E33,$W$29:$AA$32,2)+Y$8*EstymacjaGaussowska($C33,$C$52:$C$101,Y$14)*EstymacjaGaussowska($D33,$D$52:$D$101,Y$15)*EstymacjaGaussowska($A33,$A$52:$A$101,Y$18)*EstymacjaGaussowska($B33,$B$52:$B$101,Y$19)*VLOOKUP($E33,$W$29:$AA$32,3)+Z$8*EstymacjaGaussowska($C33,$C$102:$C$151,Z$14)*EstymacjaGaussowska($D33,$D$102:$D$151,Z$15)*EstymacjaGaussowska($A33,$A$102:$A$151,Z$18)*EstymacjaGaussowska($B33,$B$102:$B$151,Z$19)*VLOOKUP($E33,$W$29:$AA$32,4)</f>
        <v>9.5215908553706277E-2</v>
      </c>
      <c r="S33" s="3" cm="1">
        <f t="array" ref="S33">X$8*EstymacjaGaussowska($C33,$C$2:$C$51,X$14)*EstymacjaGaussowska($D33,$D$2:$D$51,X$15)*EstymacjaGaussowska($A33,$A$2:$A$51,X$18)*EstymacjaGaussowska($B33,$B$2:$B$51,X$19)*VLOOKUP($E33,$W$29:$AA$32,2)/$R33</f>
        <v>1</v>
      </c>
      <c r="T33" s="3" cm="1">
        <f t="array" ref="T33">Y$8*EstymacjaGaussowska($C33,$C$52:$C$101,Y$14)*EstymacjaGaussowska($D33,$D$52:$D$101,Y$15)*EstymacjaGaussowska($A33,$A$52:$A$101,Y$18)*EstymacjaGaussowska($B33,$B$52:$B$101,Y$19)*VLOOKUP($E33,$W$29:$AA$32,3)/$R33</f>
        <v>1.4592502749405741E-21</v>
      </c>
      <c r="U33" s="42" cm="1">
        <f t="array" ref="U33">Z$8*EstymacjaGaussowska($C33,$C$102:$C$151,Z$14)*EstymacjaGaussowska($D33,$D$102:$D$151,Z$15)*EstymacjaGaussowska($A33,$A$102:$A$151,Z$18)*EstymacjaGaussowska($B33,$B$102:$B$151,Z$19)*VLOOKUP($E33,$W$29:$AA$32,4)/$R33</f>
        <v>0</v>
      </c>
      <c r="W33" s="27"/>
      <c r="X33" s="27"/>
      <c r="Y33" s="27"/>
      <c r="Z33" s="27"/>
      <c r="AA33" s="27"/>
    </row>
    <row r="34" spans="1:28" x14ac:dyDescent="0.25">
      <c r="A34" s="9">
        <v>5.2</v>
      </c>
      <c r="B34" s="3">
        <v>4.0999999999999996</v>
      </c>
      <c r="C34" s="3">
        <v>1.5</v>
      </c>
      <c r="D34" s="8">
        <v>0.1</v>
      </c>
      <c r="E34" s="9" t="s">
        <v>13</v>
      </c>
      <c r="F34" s="50" t="s">
        <v>5</v>
      </c>
      <c r="G34" s="9" t="str">
        <f t="shared" ref="G34:G65" si="7">IF(I34&gt;MAX(J34:K34),$F$2,IF(J34&gt;K34,$F$52,$F$102))</f>
        <v>setosa</v>
      </c>
      <c r="H34" s="3" cm="1">
        <f t="array" ref="H34">X$8*EstymacjaGaussowska($C34,$C$2:$C$51,X$14)*EstymacjaGaussowska($D34,$D$2:$D$51,X$15)+Y$8*EstymacjaGaussowska($C34,$C$52:$C$101,Y$14)*EstymacjaGaussowska($D34,$D$52:$D$101,Y$15)+Z$8*EstymacjaGaussowska($C34,$C$102:$C$151,Z$14)*EstymacjaGaussowska($D34,$D$102:$D$151,Z$15)</f>
        <v>1.0767870103132964</v>
      </c>
      <c r="I34" s="3" cm="1">
        <f t="array" ref="I34">X$8*EstymacjaGaussowska($C34,$C$2:$C$51,X$14)*EstymacjaGaussowska($D34,$D$2:$D$51,X$15)/$H34</f>
        <v>1</v>
      </c>
      <c r="J34" s="3" cm="1">
        <f t="array" ref="J34">Y$8*EstymacjaGaussowska($C34,$C$52:$C$101,Y$14)*EstymacjaGaussowska($D34,$D$52:$D$101,Y$15)/$H34</f>
        <v>1.7499433331118026E-31</v>
      </c>
      <c r="K34" s="42" cm="1">
        <f t="array" ref="K34">Z$8*EstymacjaGaussowska($C34,$C$102:$C$151,Z$14)*EstymacjaGaussowska($D34,$D$102:$D$151,Z$15)/$H34</f>
        <v>5.4083264311879549E-52</v>
      </c>
      <c r="L34" s="43" t="str">
        <f t="shared" si="1"/>
        <v>setosa</v>
      </c>
      <c r="M34" s="3" cm="1">
        <f t="array" ref="M34">X$8*EstymacjaGaussowska($C34,$C$2:$C$51,X$14)*EstymacjaGaussowska($D34,$D$2:$D$51,X$15)*VLOOKUP($E34,$W$29:$AA$32,2)+Y$8*EstymacjaGaussowska($C34,$C$52:$C$101,Y$14)*EstymacjaGaussowska($D34,$D$52:$D$101,Y$15)*VLOOKUP($E34,$W$29:$AA$32,3)+Z$8*EstymacjaGaussowska($C34,$C$102:$C$151,Z$14)*EstymacjaGaussowska($D34,$D$102:$D$151,Z$15)*VLOOKUP($E34,$W$29:$AA$32,4)</f>
        <v>0.19382166185639335</v>
      </c>
      <c r="N34" s="3" cm="1">
        <f t="array" ref="N34">X$8*EstymacjaGaussowska($C34,$C$2:$C$51,X$14)*EstymacjaGaussowska($D34,$D$2:$D$51,X$15)*VLOOKUP($E34,$W$29:$AA$32,2)/$M34</f>
        <v>1</v>
      </c>
      <c r="O34" s="3" cm="1">
        <f t="array" ref="O34">Y$8*EstymacjaGaussowska($C34,$C$52:$C$101,Y$14)*EstymacjaGaussowska($D34,$D$52:$D$101,Y$15)*VLOOKUP($E34,$W$29:$AA$32,3)/$M34</f>
        <v>1.7499433331118024E-31</v>
      </c>
      <c r="P34" s="42" cm="1">
        <f t="array" ref="P34">Z$8*EstymacjaGaussowska($C34,$C$102:$C$151,Z$14)*EstymacjaGaussowska($D34,$D$102:$D$151,Z$15)*VLOOKUP($E34,$W$29:$AA$32,4)/$M34</f>
        <v>0</v>
      </c>
      <c r="Q34" s="43" t="str">
        <f t="shared" si="2"/>
        <v>setosa</v>
      </c>
      <c r="R34" s="3" cm="1">
        <f t="array" ref="R34">X$8*EstymacjaGaussowska($C34,$C$2:$C$51,X$14)*EstymacjaGaussowska($D34,$D$2:$D$51,X$15)*EstymacjaGaussowska($A34,$A$2:$A$51,X$18)*EstymacjaGaussowska($B34,$B$2:$B$51,X$19)*VLOOKUP($E34,$W$29:$AA$32,2)+Y$8*EstymacjaGaussowska($C34,$C$52:$C$101,Y$14)*EstymacjaGaussowska($D34,$D$52:$D$101,Y$15)*EstymacjaGaussowska($A34,$A$52:$A$101,Y$18)*EstymacjaGaussowska($B34,$B$52:$B$101,Y$19)*VLOOKUP($E34,$W$29:$AA$32,3)+Z$8*EstymacjaGaussowska($C34,$C$102:$C$151,Z$14)*EstymacjaGaussowska($D34,$D$102:$D$151,Z$15)*EstymacjaGaussowska($A34,$A$102:$A$151,Z$18)*EstymacjaGaussowska($B34,$B$102:$B$151,Z$19)*VLOOKUP($E34,$W$29:$AA$32,4)</f>
        <v>4.095108815225592E-2</v>
      </c>
      <c r="S34" s="3" cm="1">
        <f t="array" ref="S34">X$8*EstymacjaGaussowska($C34,$C$2:$C$51,X$14)*EstymacjaGaussowska($D34,$D$2:$D$51,X$15)*EstymacjaGaussowska($A34,$A$2:$A$51,X$18)*EstymacjaGaussowska($B34,$B$2:$B$51,X$19)*VLOOKUP($E34,$W$29:$AA$32,2)/$R34</f>
        <v>1</v>
      </c>
      <c r="T34" s="3" cm="1">
        <f t="array" ref="T34">Y$8*EstymacjaGaussowska($C34,$C$52:$C$101,Y$14)*EstymacjaGaussowska($D34,$D$52:$D$101,Y$15)*EstymacjaGaussowska($A34,$A$52:$A$101,Y$18)*EstymacjaGaussowska($B34,$B$52:$B$101,Y$19)*VLOOKUP($E34,$W$29:$AA$32,3)/$R34</f>
        <v>3.3979733637010608E-37</v>
      </c>
      <c r="U34" s="42" cm="1">
        <f t="array" ref="U34">Z$8*EstymacjaGaussowska($C34,$C$102:$C$151,Z$14)*EstymacjaGaussowska($D34,$D$102:$D$151,Z$15)*EstymacjaGaussowska($A34,$A$102:$A$151,Z$18)*EstymacjaGaussowska($B34,$B$102:$B$151,Z$19)*VLOOKUP($E34,$W$29:$AA$32,4)/$R34</f>
        <v>0</v>
      </c>
      <c r="W34" s="93" t="s">
        <v>73</v>
      </c>
      <c r="X34" s="94" t="s">
        <v>74</v>
      </c>
    </row>
    <row r="35" spans="1:28" x14ac:dyDescent="0.25">
      <c r="A35" s="9">
        <v>5.5</v>
      </c>
      <c r="B35" s="3">
        <v>4.2</v>
      </c>
      <c r="C35" s="3">
        <v>1.4</v>
      </c>
      <c r="D35" s="8">
        <v>0.2</v>
      </c>
      <c r="E35" s="9" t="s">
        <v>13</v>
      </c>
      <c r="F35" s="50" t="s">
        <v>5</v>
      </c>
      <c r="G35" s="9" t="str">
        <f t="shared" si="7"/>
        <v>setosa</v>
      </c>
      <c r="H35" s="3" cm="1">
        <f t="array" ref="H35">X$8*EstymacjaGaussowska($C35,$C$2:$C$51,X$14)*EstymacjaGaussowska($D35,$D$2:$D$51,X$15)+Y$8*EstymacjaGaussowska($C35,$C$52:$C$101,Y$14)*EstymacjaGaussowska($D35,$D$52:$D$101,Y$15)+Z$8*EstymacjaGaussowska($C35,$C$102:$C$151,Z$14)*EstymacjaGaussowska($D35,$D$102:$D$151,Z$15)</f>
        <v>3.5560587505669878</v>
      </c>
      <c r="I35" s="3" cm="1">
        <f t="array" ref="I35">X$8*EstymacjaGaussowska($C35,$C$2:$C$51,X$14)*EstymacjaGaussowska($D35,$D$2:$D$51,X$15)/$H35</f>
        <v>1</v>
      </c>
      <c r="J35" s="3" cm="1">
        <f t="array" ref="J35">Y$8*EstymacjaGaussowska($C35,$C$52:$C$101,Y$14)*EstymacjaGaussowska($D35,$D$52:$D$101,Y$15)/$H35</f>
        <v>2.7804302735408849E-29</v>
      </c>
      <c r="K35" s="42" cm="1">
        <f t="array" ref="K35">Z$8*EstymacjaGaussowska($C35,$C$102:$C$151,Z$14)*EstymacjaGaussowska($D35,$D$102:$D$151,Z$15)/$H35</f>
        <v>2.6701995154540739E-51</v>
      </c>
      <c r="L35" s="43" t="str">
        <f t="shared" si="1"/>
        <v>setosa</v>
      </c>
      <c r="M35" s="3" cm="1">
        <f t="array" ref="M35">X$8*EstymacjaGaussowska($C35,$C$2:$C$51,X$14)*EstymacjaGaussowska($D35,$D$2:$D$51,X$15)*VLOOKUP($E35,$W$29:$AA$32,2)+Y$8*EstymacjaGaussowska($C35,$C$52:$C$101,Y$14)*EstymacjaGaussowska($D35,$D$52:$D$101,Y$15)*VLOOKUP($E35,$W$29:$AA$32,3)+Z$8*EstymacjaGaussowska($C35,$C$102:$C$151,Z$14)*EstymacjaGaussowska($D35,$D$102:$D$151,Z$15)*VLOOKUP($E35,$W$29:$AA$32,4)</f>
        <v>0.6400905751020578</v>
      </c>
      <c r="N35" s="3" cm="1">
        <f t="array" ref="N35">X$8*EstymacjaGaussowska($C35,$C$2:$C$51,X$14)*EstymacjaGaussowska($D35,$D$2:$D$51,X$15)*VLOOKUP($E35,$W$29:$AA$32,2)/$M35</f>
        <v>1</v>
      </c>
      <c r="O35" s="3" cm="1">
        <f t="array" ref="O35">Y$8*EstymacjaGaussowska($C35,$C$52:$C$101,Y$14)*EstymacjaGaussowska($D35,$D$52:$D$101,Y$15)*VLOOKUP($E35,$W$29:$AA$32,3)/$M35</f>
        <v>2.7804302735408849E-29</v>
      </c>
      <c r="P35" s="42" cm="1">
        <f t="array" ref="P35">Z$8*EstymacjaGaussowska($C35,$C$102:$C$151,Z$14)*EstymacjaGaussowska($D35,$D$102:$D$151,Z$15)*VLOOKUP($E35,$W$29:$AA$32,4)/$M35</f>
        <v>0</v>
      </c>
      <c r="Q35" s="43" t="str">
        <f t="shared" si="2"/>
        <v>setosa</v>
      </c>
      <c r="R35" s="3" cm="1">
        <f t="array" ref="R35">X$8*EstymacjaGaussowska($C35,$C$2:$C$51,X$14)*EstymacjaGaussowska($D35,$D$2:$D$51,X$15)*EstymacjaGaussowska($A35,$A$2:$A$51,X$18)*EstymacjaGaussowska($B35,$B$2:$B$51,X$19)*VLOOKUP($E35,$W$29:$AA$32,2)+Y$8*EstymacjaGaussowska($C35,$C$52:$C$101,Y$14)*EstymacjaGaussowska($D35,$D$52:$D$101,Y$15)*EstymacjaGaussowska($A35,$A$52:$A$101,Y$18)*EstymacjaGaussowska($B35,$B$52:$B$101,Y$19)*VLOOKUP($E35,$W$29:$AA$32,3)+Z$8*EstymacjaGaussowska($C35,$C$102:$C$151,Z$14)*EstymacjaGaussowska($D35,$D$102:$D$151,Z$15)*EstymacjaGaussowska($A35,$A$102:$A$151,Z$18)*EstymacjaGaussowska($B35,$B$102:$B$151,Z$19)*VLOOKUP($E35,$W$29:$AA$32,4)</f>
        <v>4.7420348945509949E-2</v>
      </c>
      <c r="S35" s="3" cm="1">
        <f t="array" ref="S35">X$8*EstymacjaGaussowska($C35,$C$2:$C$51,X$14)*EstymacjaGaussowska($D35,$D$2:$D$51,X$15)*EstymacjaGaussowska($A35,$A$2:$A$51,X$18)*EstymacjaGaussowska($B35,$B$2:$B$51,X$19)*VLOOKUP($E35,$W$29:$AA$32,2)/$R35</f>
        <v>1</v>
      </c>
      <c r="T35" s="3" cm="1">
        <f t="array" ref="T35">Y$8*EstymacjaGaussowska($C35,$C$52:$C$101,Y$14)*EstymacjaGaussowska($D35,$D$52:$D$101,Y$15)*EstymacjaGaussowska($A35,$A$52:$A$101,Y$18)*EstymacjaGaussowska($B35,$B$52:$B$101,Y$19)*VLOOKUP($E35,$W$29:$AA$32,3)/$R35</f>
        <v>1.1506702700994389E-35</v>
      </c>
      <c r="U35" s="42" cm="1">
        <f t="array" ref="U35">Z$8*EstymacjaGaussowska($C35,$C$102:$C$151,Z$14)*EstymacjaGaussowska($D35,$D$102:$D$151,Z$15)*EstymacjaGaussowska($A35,$A$102:$A$151,Z$18)*EstymacjaGaussowska($B35,$B$102:$B$151,Z$19)*VLOOKUP($E35,$W$29:$AA$32,4)/$R35</f>
        <v>0</v>
      </c>
    </row>
    <row r="36" spans="1:28" x14ac:dyDescent="0.25">
      <c r="A36" s="9">
        <v>4.9000000000000004</v>
      </c>
      <c r="B36" s="3">
        <v>3.1</v>
      </c>
      <c r="C36" s="3">
        <v>1.5</v>
      </c>
      <c r="D36" s="8">
        <v>0.2</v>
      </c>
      <c r="E36" s="9" t="s">
        <v>13</v>
      </c>
      <c r="F36" s="50" t="s">
        <v>5</v>
      </c>
      <c r="G36" s="9" t="str">
        <f t="shared" si="7"/>
        <v>setosa</v>
      </c>
      <c r="H36" s="3" cm="1">
        <f t="array" ref="H36">X$8*EstymacjaGaussowska($C36,$C$2:$C$51,X$14)*EstymacjaGaussowska($D36,$D$2:$D$51,X$15)+Y$8*EstymacjaGaussowska($C36,$C$52:$C$101,Y$14)*EstymacjaGaussowska($D36,$D$52:$D$101,Y$15)+Z$8*EstymacjaGaussowska($C36,$C$102:$C$151,Z$14)*EstymacjaGaussowska($D36,$D$102:$D$151,Z$15)</f>
        <v>3.5733275585592028</v>
      </c>
      <c r="I36" s="3" cm="1">
        <f t="array" ref="I36">X$8*EstymacjaGaussowska($C36,$C$2:$C$51,X$14)*EstymacjaGaussowska($D36,$D$2:$D$51,X$15)/$H36</f>
        <v>1</v>
      </c>
      <c r="J36" s="3" cm="1">
        <f t="array" ref="J36">Y$8*EstymacjaGaussowska($C36,$C$52:$C$101,Y$14)*EstymacjaGaussowska($D36,$D$52:$D$101,Y$15)/$H36</f>
        <v>5.4877881518809053E-28</v>
      </c>
      <c r="K36" s="42" cm="1">
        <f t="array" ref="K36">Z$8*EstymacjaGaussowska($C36,$C$102:$C$151,Z$14)*EstymacjaGaussowska($D36,$D$102:$D$151,Z$15)/$H36</f>
        <v>1.8844790900793386E-49</v>
      </c>
      <c r="L36" s="43" t="str">
        <f t="shared" si="1"/>
        <v>setosa</v>
      </c>
      <c r="M36" s="3" cm="1">
        <f t="array" ref="M36">X$8*EstymacjaGaussowska($C36,$C$2:$C$51,X$14)*EstymacjaGaussowska($D36,$D$2:$D$51,X$15)*VLOOKUP($E36,$W$29:$AA$32,2)+Y$8*EstymacjaGaussowska($C36,$C$52:$C$101,Y$14)*EstymacjaGaussowska($D36,$D$52:$D$101,Y$15)*VLOOKUP($E36,$W$29:$AA$32,3)+Z$8*EstymacjaGaussowska($C36,$C$102:$C$151,Z$14)*EstymacjaGaussowska($D36,$D$102:$D$151,Z$15)*VLOOKUP($E36,$W$29:$AA$32,4)</f>
        <v>0.64319896054065651</v>
      </c>
      <c r="N36" s="3" cm="1">
        <f t="array" ref="N36">X$8*EstymacjaGaussowska($C36,$C$2:$C$51,X$14)*EstymacjaGaussowska($D36,$D$2:$D$51,X$15)*VLOOKUP($E36,$W$29:$AA$32,2)/$M36</f>
        <v>1</v>
      </c>
      <c r="O36" s="3" cm="1">
        <f t="array" ref="O36">Y$8*EstymacjaGaussowska($C36,$C$52:$C$101,Y$14)*EstymacjaGaussowska($D36,$D$52:$D$101,Y$15)*VLOOKUP($E36,$W$29:$AA$32,3)/$M36</f>
        <v>5.4877881518809053E-28</v>
      </c>
      <c r="P36" s="42" cm="1">
        <f t="array" ref="P36">Z$8*EstymacjaGaussowska($C36,$C$102:$C$151,Z$14)*EstymacjaGaussowska($D36,$D$102:$D$151,Z$15)*VLOOKUP($E36,$W$29:$AA$32,4)/$M36</f>
        <v>0</v>
      </c>
      <c r="Q36" s="43" t="str">
        <f t="shared" si="2"/>
        <v>setosa</v>
      </c>
      <c r="R36" s="3" cm="1">
        <f t="array" ref="R36">X$8*EstymacjaGaussowska($C36,$C$2:$C$51,X$14)*EstymacjaGaussowska($D36,$D$2:$D$51,X$15)*EstymacjaGaussowska($A36,$A$2:$A$51,X$18)*EstymacjaGaussowska($B36,$B$2:$B$51,X$19)*VLOOKUP($E36,$W$29:$AA$32,2)+Y$8*EstymacjaGaussowska($C36,$C$52:$C$101,Y$14)*EstymacjaGaussowska($D36,$D$52:$D$101,Y$15)*EstymacjaGaussowska($A36,$A$52:$A$101,Y$18)*EstymacjaGaussowska($B36,$B$52:$B$101,Y$19)*VLOOKUP($E36,$W$29:$AA$32,3)+Z$8*EstymacjaGaussowska($C36,$C$102:$C$151,Z$14)*EstymacjaGaussowska($D36,$D$102:$D$151,Z$15)*EstymacjaGaussowska($A36,$A$102:$A$151,Z$18)*EstymacjaGaussowska($B36,$B$102:$B$151,Z$19)*VLOOKUP($E36,$W$29:$AA$32,4)</f>
        <v>0.51520079718343714</v>
      </c>
      <c r="S36" s="3" cm="1">
        <f t="array" ref="S36">X$8*EstymacjaGaussowska($C36,$C$2:$C$51,X$14)*EstymacjaGaussowska($D36,$D$2:$D$51,X$15)*EstymacjaGaussowska($A36,$A$2:$A$51,X$18)*EstymacjaGaussowska($B36,$B$2:$B$51,X$19)*VLOOKUP($E36,$W$29:$AA$32,2)/$R36</f>
        <v>1</v>
      </c>
      <c r="T36" s="3" cm="1">
        <f t="array" ref="T36">Y$8*EstymacjaGaussowska($C36,$C$52:$C$101,Y$14)*EstymacjaGaussowska($D36,$D$52:$D$101,Y$15)*EstymacjaGaussowska($A36,$A$52:$A$101,Y$18)*EstymacjaGaussowska($B36,$B$52:$B$101,Y$19)*VLOOKUP($E36,$W$29:$AA$32,3)/$R36</f>
        <v>8.6747659022449517E-29</v>
      </c>
      <c r="U36" s="42" cm="1">
        <f t="array" ref="U36">Z$8*EstymacjaGaussowska($C36,$C$102:$C$151,Z$14)*EstymacjaGaussowska($D36,$D$102:$D$151,Z$15)*EstymacjaGaussowska($A36,$A$102:$A$151,Z$18)*EstymacjaGaussowska($B36,$B$102:$B$151,Z$19)*VLOOKUP($E36,$W$29:$AA$32,4)/$R36</f>
        <v>0</v>
      </c>
    </row>
    <row r="37" spans="1:28" x14ac:dyDescent="0.25">
      <c r="A37" s="9">
        <v>5</v>
      </c>
      <c r="B37" s="3">
        <v>3.2</v>
      </c>
      <c r="C37" s="3">
        <v>1.2</v>
      </c>
      <c r="D37" s="8">
        <v>0.2</v>
      </c>
      <c r="E37" s="9" t="s">
        <v>13</v>
      </c>
      <c r="F37" s="50" t="s">
        <v>5</v>
      </c>
      <c r="G37" s="9" t="str">
        <f t="shared" si="7"/>
        <v>setosa</v>
      </c>
      <c r="H37" s="3" cm="1">
        <f t="array" ref="H37">X$8*EstymacjaGaussowska($C37,$C$2:$C$51,X$14)*EstymacjaGaussowska($D37,$D$2:$D$51,X$15)+Y$8*EstymacjaGaussowska($C37,$C$52:$C$101,Y$14)*EstymacjaGaussowska($D37,$D$52:$D$101,Y$15)+Z$8*EstymacjaGaussowska($C37,$C$102:$C$151,Z$14)*EstymacjaGaussowska($D37,$D$102:$D$151,Z$15)</f>
        <v>1.0334021380056975</v>
      </c>
      <c r="I37" s="3" cm="1">
        <f t="array" ref="I37">X$8*EstymacjaGaussowska($C37,$C$2:$C$51,X$14)*EstymacjaGaussowska($D37,$D$2:$D$51,X$15)/$H37</f>
        <v>1</v>
      </c>
      <c r="J37" s="3" cm="1">
        <f t="array" ref="J37">Y$8*EstymacjaGaussowska($C37,$C$52:$C$101,Y$14)*EstymacjaGaussowska($D37,$D$52:$D$101,Y$15)/$H37</f>
        <v>1.3644628390339724E-31</v>
      </c>
      <c r="K37" s="42" cm="1">
        <f t="array" ref="K37">Z$8*EstymacjaGaussowska($C37,$C$102:$C$151,Z$14)*EstymacjaGaussowska($D37,$D$102:$D$151,Z$15)/$H37</f>
        <v>1.2014333790737702E-54</v>
      </c>
      <c r="L37" s="43" t="str">
        <f t="shared" si="1"/>
        <v>setosa</v>
      </c>
      <c r="M37" s="3" cm="1">
        <f t="array" ref="M37">X$8*EstymacjaGaussowska($C37,$C$2:$C$51,X$14)*EstymacjaGaussowska($D37,$D$2:$D$51,X$15)*VLOOKUP($E37,$W$29:$AA$32,2)+Y$8*EstymacjaGaussowska($C37,$C$52:$C$101,Y$14)*EstymacjaGaussowska($D37,$D$52:$D$101,Y$15)*VLOOKUP($E37,$W$29:$AA$32,3)+Z$8*EstymacjaGaussowska($C37,$C$102:$C$151,Z$14)*EstymacjaGaussowska($D37,$D$102:$D$151,Z$15)*VLOOKUP($E37,$W$29:$AA$32,4)</f>
        <v>0.18601238484102553</v>
      </c>
      <c r="N37" s="3" cm="1">
        <f t="array" ref="N37">X$8*EstymacjaGaussowska($C37,$C$2:$C$51,X$14)*EstymacjaGaussowska($D37,$D$2:$D$51,X$15)*VLOOKUP($E37,$W$29:$AA$32,2)/$M37</f>
        <v>1</v>
      </c>
      <c r="O37" s="3" cm="1">
        <f t="array" ref="O37">Y$8*EstymacjaGaussowska($C37,$C$52:$C$101,Y$14)*EstymacjaGaussowska($D37,$D$52:$D$101,Y$15)*VLOOKUP($E37,$W$29:$AA$32,3)/$M37</f>
        <v>1.3644628390339724E-31</v>
      </c>
      <c r="P37" s="42" cm="1">
        <f t="array" ref="P37">Z$8*EstymacjaGaussowska($C37,$C$102:$C$151,Z$14)*EstymacjaGaussowska($D37,$D$102:$D$151,Z$15)*VLOOKUP($E37,$W$29:$AA$32,4)/$M37</f>
        <v>0</v>
      </c>
      <c r="Q37" s="43" t="str">
        <f t="shared" si="2"/>
        <v>setosa</v>
      </c>
      <c r="R37" s="3" cm="1">
        <f t="array" ref="R37">X$8*EstymacjaGaussowska($C37,$C$2:$C$51,X$14)*EstymacjaGaussowska($D37,$D$2:$D$51,X$15)*EstymacjaGaussowska($A37,$A$2:$A$51,X$18)*EstymacjaGaussowska($B37,$B$2:$B$51,X$19)*VLOOKUP($E37,$W$29:$AA$32,2)+Y$8*EstymacjaGaussowska($C37,$C$52:$C$101,Y$14)*EstymacjaGaussowska($D37,$D$52:$D$101,Y$15)*EstymacjaGaussowska($A37,$A$52:$A$101,Y$18)*EstymacjaGaussowska($B37,$B$52:$B$101,Y$19)*VLOOKUP($E37,$W$29:$AA$32,3)+Z$8*EstymacjaGaussowska($C37,$C$102:$C$151,Z$14)*EstymacjaGaussowska($D37,$D$102:$D$151,Z$15)*EstymacjaGaussowska($A37,$A$102:$A$151,Z$18)*EstymacjaGaussowska($B37,$B$102:$B$151,Z$19)*VLOOKUP($E37,$W$29:$AA$32,4)</f>
        <v>0.1827380946467885</v>
      </c>
      <c r="S37" s="3" cm="1">
        <f t="array" ref="S37">X$8*EstymacjaGaussowska($C37,$C$2:$C$51,X$14)*EstymacjaGaussowska($D37,$D$2:$D$51,X$15)*EstymacjaGaussowska($A37,$A$2:$A$51,X$18)*EstymacjaGaussowska($B37,$B$2:$B$51,X$19)*VLOOKUP($E37,$W$29:$AA$32,2)/$R37</f>
        <v>1</v>
      </c>
      <c r="T37" s="3" cm="1">
        <f t="array" ref="T37">Y$8*EstymacjaGaussowska($C37,$C$52:$C$101,Y$14)*EstymacjaGaussowska($D37,$D$52:$D$101,Y$15)*EstymacjaGaussowska($A37,$A$52:$A$101,Y$18)*EstymacjaGaussowska($B37,$B$52:$B$101,Y$19)*VLOOKUP($E37,$W$29:$AA$32,3)/$R37</f>
        <v>1.5482856866555511E-32</v>
      </c>
      <c r="U37" s="42" cm="1">
        <f t="array" ref="U37">Z$8*EstymacjaGaussowska($C37,$C$102:$C$151,Z$14)*EstymacjaGaussowska($D37,$D$102:$D$151,Z$15)*EstymacjaGaussowska($A37,$A$102:$A$151,Z$18)*EstymacjaGaussowska($B37,$B$102:$B$151,Z$19)*VLOOKUP($E37,$W$29:$AA$32,4)/$R37</f>
        <v>0</v>
      </c>
    </row>
    <row r="38" spans="1:28" x14ac:dyDescent="0.25">
      <c r="A38" s="9">
        <v>5.5</v>
      </c>
      <c r="B38" s="3">
        <v>3.5</v>
      </c>
      <c r="C38" s="3">
        <v>1.3</v>
      </c>
      <c r="D38" s="8">
        <v>0.2</v>
      </c>
      <c r="E38" s="9" t="s">
        <v>13</v>
      </c>
      <c r="F38" s="50" t="s">
        <v>5</v>
      </c>
      <c r="G38" s="9" t="str">
        <f t="shared" si="7"/>
        <v>setosa</v>
      </c>
      <c r="H38" s="3" cm="1">
        <f t="array" ref="H38">X$8*EstymacjaGaussowska($C38,$C$2:$C$51,X$14)*EstymacjaGaussowska($D38,$D$2:$D$51,X$15)+Y$8*EstymacjaGaussowska($C38,$C$52:$C$101,Y$14)*EstymacjaGaussowska($D38,$D$52:$D$101,Y$15)+Z$8*EstymacjaGaussowska($C38,$C$102:$C$151,Z$14)*EstymacjaGaussowska($D38,$D$102:$D$151,Z$15)</f>
        <v>2.3161054553068587</v>
      </c>
      <c r="I38" s="3" cm="1">
        <f t="array" ref="I38">X$8*EstymacjaGaussowska($C38,$C$2:$C$51,X$14)*EstymacjaGaussowska($D38,$D$2:$D$51,X$15)/$H38</f>
        <v>1</v>
      </c>
      <c r="J38" s="3" cm="1">
        <f t="array" ref="J38">Y$8*EstymacjaGaussowska($C38,$C$52:$C$101,Y$14)*EstymacjaGaussowska($D38,$D$52:$D$101,Y$15)/$H38</f>
        <v>1.7751893032826261E-30</v>
      </c>
      <c r="K38" s="42" cm="1">
        <f t="array" ref="K38">Z$8*EstymacjaGaussowska($C38,$C$102:$C$151,Z$14)*EstymacjaGaussowska($D38,$D$102:$D$151,Z$15)/$H38</f>
        <v>5.0271591220826073E-53</v>
      </c>
      <c r="L38" s="43" t="str">
        <f t="shared" si="1"/>
        <v>setosa</v>
      </c>
      <c r="M38" s="3" cm="1">
        <f t="array" ref="M38">X$8*EstymacjaGaussowska($C38,$C$2:$C$51,X$14)*EstymacjaGaussowska($D38,$D$2:$D$51,X$15)*VLOOKUP($E38,$W$29:$AA$32,2)+Y$8*EstymacjaGaussowska($C38,$C$52:$C$101,Y$14)*EstymacjaGaussowska($D38,$D$52:$D$101,Y$15)*VLOOKUP($E38,$W$29:$AA$32,3)+Z$8*EstymacjaGaussowska($C38,$C$102:$C$151,Z$14)*EstymacjaGaussowska($D38,$D$102:$D$151,Z$15)*VLOOKUP($E38,$W$29:$AA$32,4)</f>
        <v>0.41689898195523456</v>
      </c>
      <c r="N38" s="3" cm="1">
        <f t="array" ref="N38">X$8*EstymacjaGaussowska($C38,$C$2:$C$51,X$14)*EstymacjaGaussowska($D38,$D$2:$D$51,X$15)*VLOOKUP($E38,$W$29:$AA$32,2)/$M38</f>
        <v>1</v>
      </c>
      <c r="O38" s="3" cm="1">
        <f t="array" ref="O38">Y$8*EstymacjaGaussowska($C38,$C$52:$C$101,Y$14)*EstymacjaGaussowska($D38,$D$52:$D$101,Y$15)*VLOOKUP($E38,$W$29:$AA$32,3)/$M38</f>
        <v>1.7751893032826261E-30</v>
      </c>
      <c r="P38" s="42" cm="1">
        <f t="array" ref="P38">Z$8*EstymacjaGaussowska($C38,$C$102:$C$151,Z$14)*EstymacjaGaussowska($D38,$D$102:$D$151,Z$15)*VLOOKUP($E38,$W$29:$AA$32,4)/$M38</f>
        <v>0</v>
      </c>
      <c r="Q38" s="43" t="str">
        <f t="shared" si="2"/>
        <v>setosa</v>
      </c>
      <c r="R38" s="3" cm="1">
        <f t="array" ref="R38">X$8*EstymacjaGaussowska($C38,$C$2:$C$51,X$14)*EstymacjaGaussowska($D38,$D$2:$D$51,X$15)*EstymacjaGaussowska($A38,$A$2:$A$51,X$18)*EstymacjaGaussowska($B38,$B$2:$B$51,X$19)*VLOOKUP($E38,$W$29:$AA$32,2)+Y$8*EstymacjaGaussowska($C38,$C$52:$C$101,Y$14)*EstymacjaGaussowska($D38,$D$52:$D$101,Y$15)*EstymacjaGaussowska($A38,$A$52:$A$101,Y$18)*EstymacjaGaussowska($B38,$B$52:$B$101,Y$19)*VLOOKUP($E38,$W$29:$AA$32,3)+Z$8*EstymacjaGaussowska($C38,$C$102:$C$151,Z$14)*EstymacjaGaussowska($D38,$D$102:$D$151,Z$15)*EstymacjaGaussowska($A38,$A$102:$A$151,Z$18)*EstymacjaGaussowska($B38,$B$102:$B$151,Z$19)*VLOOKUP($E38,$W$29:$AA$32,4)</f>
        <v>0.17323759459160371</v>
      </c>
      <c r="S38" s="3" cm="1">
        <f t="array" ref="S38">X$8*EstymacjaGaussowska($C38,$C$2:$C$51,X$14)*EstymacjaGaussowska($D38,$D$2:$D$51,X$15)*EstymacjaGaussowska($A38,$A$2:$A$51,X$18)*EstymacjaGaussowska($B38,$B$2:$B$51,X$19)*VLOOKUP($E38,$W$29:$AA$32,2)/$R38</f>
        <v>1</v>
      </c>
      <c r="T38" s="3" cm="1">
        <f t="array" ref="T38">Y$8*EstymacjaGaussowska($C38,$C$52:$C$101,Y$14)*EstymacjaGaussowska($D38,$D$52:$D$101,Y$15)*EstymacjaGaussowska($A38,$A$52:$A$101,Y$18)*EstymacjaGaussowska($B38,$B$52:$B$101,Y$19)*VLOOKUP($E38,$W$29:$AA$32,3)/$R38</f>
        <v>2.3167088055345225E-31</v>
      </c>
      <c r="U38" s="42" cm="1">
        <f t="array" ref="U38">Z$8*EstymacjaGaussowska($C38,$C$102:$C$151,Z$14)*EstymacjaGaussowska($D38,$D$102:$D$151,Z$15)*EstymacjaGaussowska($A38,$A$102:$A$151,Z$18)*EstymacjaGaussowska($B38,$B$102:$B$151,Z$19)*VLOOKUP($E38,$W$29:$AA$32,4)/$R38</f>
        <v>0</v>
      </c>
    </row>
    <row r="39" spans="1:28" x14ac:dyDescent="0.25">
      <c r="A39" s="9">
        <v>4.9000000000000004</v>
      </c>
      <c r="B39" s="3">
        <v>3.6</v>
      </c>
      <c r="C39" s="3">
        <v>1.4</v>
      </c>
      <c r="D39" s="8">
        <v>0.1</v>
      </c>
      <c r="E39" s="9" t="s">
        <v>13</v>
      </c>
      <c r="F39" s="50" t="s">
        <v>5</v>
      </c>
      <c r="G39" s="9" t="str">
        <f t="shared" si="7"/>
        <v>setosa</v>
      </c>
      <c r="H39" s="3" cm="1">
        <f t="array" ref="H39">X$8*EstymacjaGaussowska($C39,$C$2:$C$51,X$14)*EstymacjaGaussowska($D39,$D$2:$D$51,X$15)+Y$8*EstymacjaGaussowska($C39,$C$52:$C$101,Y$14)*EstymacjaGaussowska($D39,$D$52:$D$101,Y$15)+Z$8*EstymacjaGaussowska($C39,$C$102:$C$151,Z$14)*EstymacjaGaussowska($D39,$D$102:$D$151,Z$15)</f>
        <v>1.0715832253747812</v>
      </c>
      <c r="I39" s="3" cm="1">
        <f t="array" ref="I39">X$8*EstymacjaGaussowska($C39,$C$2:$C$51,X$14)*EstymacjaGaussowska($D39,$D$2:$D$51,X$15)/$H39</f>
        <v>1</v>
      </c>
      <c r="J39" s="3" cm="1">
        <f t="array" ref="J39">Y$8*EstymacjaGaussowska($C39,$C$52:$C$101,Y$14)*EstymacjaGaussowska($D39,$D$52:$D$101,Y$15)/$H39</f>
        <v>8.86622312251147E-33</v>
      </c>
      <c r="K39" s="42" cm="1">
        <f t="array" ref="K39">Z$8*EstymacjaGaussowska($C39,$C$102:$C$151,Z$14)*EstymacjaGaussowska($D39,$D$102:$D$151,Z$15)/$H39</f>
        <v>7.6632904509264386E-54</v>
      </c>
      <c r="L39" s="43" t="str">
        <f t="shared" si="1"/>
        <v>setosa</v>
      </c>
      <c r="M39" s="3" cm="1">
        <f t="array" ref="M39">X$8*EstymacjaGaussowska($C39,$C$2:$C$51,X$14)*EstymacjaGaussowska($D39,$D$2:$D$51,X$15)*VLOOKUP($E39,$W$29:$AA$32,2)+Y$8*EstymacjaGaussowska($C39,$C$52:$C$101,Y$14)*EstymacjaGaussowska($D39,$D$52:$D$101,Y$15)*VLOOKUP($E39,$W$29:$AA$32,3)+Z$8*EstymacjaGaussowska($C39,$C$102:$C$151,Z$14)*EstymacjaGaussowska($D39,$D$102:$D$151,Z$15)*VLOOKUP($E39,$W$29:$AA$32,4)</f>
        <v>0.19288498056746062</v>
      </c>
      <c r="N39" s="3" cm="1">
        <f t="array" ref="N39">X$8*EstymacjaGaussowska($C39,$C$2:$C$51,X$14)*EstymacjaGaussowska($D39,$D$2:$D$51,X$15)*VLOOKUP($E39,$W$29:$AA$32,2)/$M39</f>
        <v>1</v>
      </c>
      <c r="O39" s="3" cm="1">
        <f t="array" ref="O39">Y$8*EstymacjaGaussowska($C39,$C$52:$C$101,Y$14)*EstymacjaGaussowska($D39,$D$52:$D$101,Y$15)*VLOOKUP($E39,$W$29:$AA$32,3)/$M39</f>
        <v>8.86622312251147E-33</v>
      </c>
      <c r="P39" s="42" cm="1">
        <f t="array" ref="P39">Z$8*EstymacjaGaussowska($C39,$C$102:$C$151,Z$14)*EstymacjaGaussowska($D39,$D$102:$D$151,Z$15)*VLOOKUP($E39,$W$29:$AA$32,4)/$M39</f>
        <v>0</v>
      </c>
      <c r="Q39" s="43" t="str">
        <f t="shared" si="2"/>
        <v>setosa</v>
      </c>
      <c r="R39" s="3" cm="1">
        <f t="array" ref="R39">X$8*EstymacjaGaussowska($C39,$C$2:$C$51,X$14)*EstymacjaGaussowska($D39,$D$2:$D$51,X$15)*EstymacjaGaussowska($A39,$A$2:$A$51,X$18)*EstymacjaGaussowska($B39,$B$2:$B$51,X$19)*VLOOKUP($E39,$W$29:$AA$32,2)+Y$8*EstymacjaGaussowska($C39,$C$52:$C$101,Y$14)*EstymacjaGaussowska($D39,$D$52:$D$101,Y$15)*EstymacjaGaussowska($A39,$A$52:$A$101,Y$18)*EstymacjaGaussowska($B39,$B$52:$B$101,Y$19)*VLOOKUP($E39,$W$29:$AA$32,3)+Z$8*EstymacjaGaussowska($C39,$C$102:$C$151,Z$14)*EstymacjaGaussowska($D39,$D$102:$D$151,Z$15)*EstymacjaGaussowska($A39,$A$102:$A$151,Z$18)*EstymacjaGaussowska($B39,$B$102:$B$151,Z$19)*VLOOKUP($E39,$W$29:$AA$32,4)</f>
        <v>0.1677067541545266</v>
      </c>
      <c r="S39" s="3" cm="1">
        <f t="array" ref="S39">X$8*EstymacjaGaussowska($C39,$C$2:$C$51,X$14)*EstymacjaGaussowska($D39,$D$2:$D$51,X$15)*EstymacjaGaussowska($A39,$A$2:$A$51,X$18)*EstymacjaGaussowska($B39,$B$2:$B$51,X$19)*VLOOKUP($E39,$W$29:$AA$32,2)/$R39</f>
        <v>1</v>
      </c>
      <c r="T39" s="3" cm="1">
        <f t="array" ref="T39">Y$8*EstymacjaGaussowska($C39,$C$52:$C$101,Y$14)*EstymacjaGaussowska($D39,$D$52:$D$101,Y$15)*EstymacjaGaussowska($A39,$A$52:$A$101,Y$18)*EstymacjaGaussowska($B39,$B$52:$B$101,Y$19)*VLOOKUP($E39,$W$29:$AA$32,3)/$R39</f>
        <v>5.3190610803442139E-35</v>
      </c>
      <c r="U39" s="42" cm="1">
        <f t="array" ref="U39">Z$8*EstymacjaGaussowska($C39,$C$102:$C$151,Z$14)*EstymacjaGaussowska($D39,$D$102:$D$151,Z$15)*EstymacjaGaussowska($A39,$A$102:$A$151,Z$18)*EstymacjaGaussowska($B39,$B$102:$B$151,Z$19)*VLOOKUP($E39,$W$29:$AA$32,4)/$R39</f>
        <v>0</v>
      </c>
      <c r="AB39" s="4"/>
    </row>
    <row r="40" spans="1:28" x14ac:dyDescent="0.25">
      <c r="A40" s="9">
        <v>4.4000000000000004</v>
      </c>
      <c r="B40" s="3">
        <v>3</v>
      </c>
      <c r="C40" s="3">
        <v>1.3</v>
      </c>
      <c r="D40" s="8">
        <v>0.2</v>
      </c>
      <c r="E40" s="9" t="s">
        <v>13</v>
      </c>
      <c r="F40" s="50" t="s">
        <v>5</v>
      </c>
      <c r="G40" s="9" t="str">
        <f t="shared" si="7"/>
        <v>setosa</v>
      </c>
      <c r="H40" s="3" cm="1">
        <f t="array" ref="H40">X$8*EstymacjaGaussowska($C40,$C$2:$C$51,X$14)*EstymacjaGaussowska($D40,$D$2:$D$51,X$15)+Y$8*EstymacjaGaussowska($C40,$C$52:$C$101,Y$14)*EstymacjaGaussowska($D40,$D$52:$D$101,Y$15)+Z$8*EstymacjaGaussowska($C40,$C$102:$C$151,Z$14)*EstymacjaGaussowska($D40,$D$102:$D$151,Z$15)</f>
        <v>2.3161054553068587</v>
      </c>
      <c r="I40" s="3" cm="1">
        <f t="array" ref="I40">X$8*EstymacjaGaussowska($C40,$C$2:$C$51,X$14)*EstymacjaGaussowska($D40,$D$2:$D$51,X$15)/$H40</f>
        <v>1</v>
      </c>
      <c r="J40" s="3" cm="1">
        <f t="array" ref="J40">Y$8*EstymacjaGaussowska($C40,$C$52:$C$101,Y$14)*EstymacjaGaussowska($D40,$D$52:$D$101,Y$15)/$H40</f>
        <v>1.7751893032826261E-30</v>
      </c>
      <c r="K40" s="42" cm="1">
        <f t="array" ref="K40">Z$8*EstymacjaGaussowska($C40,$C$102:$C$151,Z$14)*EstymacjaGaussowska($D40,$D$102:$D$151,Z$15)/$H40</f>
        <v>5.0271591220826073E-53</v>
      </c>
      <c r="L40" s="43" t="str">
        <f t="shared" si="1"/>
        <v>setosa</v>
      </c>
      <c r="M40" s="3" cm="1">
        <f t="array" ref="M40">X$8*EstymacjaGaussowska($C40,$C$2:$C$51,X$14)*EstymacjaGaussowska($D40,$D$2:$D$51,X$15)*VLOOKUP($E40,$W$29:$AA$32,2)+Y$8*EstymacjaGaussowska($C40,$C$52:$C$101,Y$14)*EstymacjaGaussowska($D40,$D$52:$D$101,Y$15)*VLOOKUP($E40,$W$29:$AA$32,3)+Z$8*EstymacjaGaussowska($C40,$C$102:$C$151,Z$14)*EstymacjaGaussowska($D40,$D$102:$D$151,Z$15)*VLOOKUP($E40,$W$29:$AA$32,4)</f>
        <v>0.41689898195523456</v>
      </c>
      <c r="N40" s="3" cm="1">
        <f t="array" ref="N40">X$8*EstymacjaGaussowska($C40,$C$2:$C$51,X$14)*EstymacjaGaussowska($D40,$D$2:$D$51,X$15)*VLOOKUP($E40,$W$29:$AA$32,2)/$M40</f>
        <v>1</v>
      </c>
      <c r="O40" s="3" cm="1">
        <f t="array" ref="O40">Y$8*EstymacjaGaussowska($C40,$C$52:$C$101,Y$14)*EstymacjaGaussowska($D40,$D$52:$D$101,Y$15)*VLOOKUP($E40,$W$29:$AA$32,3)/$M40</f>
        <v>1.7751893032826261E-30</v>
      </c>
      <c r="P40" s="42" cm="1">
        <f t="array" ref="P40">Z$8*EstymacjaGaussowska($C40,$C$102:$C$151,Z$14)*EstymacjaGaussowska($D40,$D$102:$D$151,Z$15)*VLOOKUP($E40,$W$29:$AA$32,4)/$M40</f>
        <v>0</v>
      </c>
      <c r="Q40" s="43" t="str">
        <f t="shared" si="2"/>
        <v>setosa</v>
      </c>
      <c r="R40" s="3" cm="1">
        <f t="array" ref="R40">X$8*EstymacjaGaussowska($C40,$C$2:$C$51,X$14)*EstymacjaGaussowska($D40,$D$2:$D$51,X$15)*EstymacjaGaussowska($A40,$A$2:$A$51,X$18)*EstymacjaGaussowska($B40,$B$2:$B$51,X$19)*VLOOKUP($E40,$W$29:$AA$32,2)+Y$8*EstymacjaGaussowska($C40,$C$52:$C$101,Y$14)*EstymacjaGaussowska($D40,$D$52:$D$101,Y$15)*EstymacjaGaussowska($A40,$A$52:$A$101,Y$18)*EstymacjaGaussowska($B40,$B$52:$B$101,Y$19)*VLOOKUP($E40,$W$29:$AA$32,3)+Z$8*EstymacjaGaussowska($C40,$C$102:$C$151,Z$14)*EstymacjaGaussowska($D40,$D$102:$D$151,Z$15)*EstymacjaGaussowska($A40,$A$102:$A$151,Z$18)*EstymacjaGaussowska($B40,$B$102:$B$151,Z$19)*VLOOKUP($E40,$W$29:$AA$32,4)</f>
        <v>9.2966021429495241E-2</v>
      </c>
      <c r="S40" s="3" cm="1">
        <f t="array" ref="S40">X$8*EstymacjaGaussowska($C40,$C$2:$C$51,X$14)*EstymacjaGaussowska($D40,$D$2:$D$51,X$15)*EstymacjaGaussowska($A40,$A$2:$A$51,X$18)*EstymacjaGaussowska($B40,$B$2:$B$51,X$19)*VLOOKUP($E40,$W$29:$AA$32,2)/$R40</f>
        <v>1</v>
      </c>
      <c r="T40" s="3" cm="1">
        <f t="array" ref="T40">Y$8*EstymacjaGaussowska($C40,$C$52:$C$101,Y$14)*EstymacjaGaussowska($D40,$D$52:$D$101,Y$15)*EstymacjaGaussowska($A40,$A$52:$A$101,Y$18)*EstymacjaGaussowska($B40,$B$52:$B$101,Y$19)*VLOOKUP($E40,$W$29:$AA$32,3)/$R40</f>
        <v>7.6444864383681187E-32</v>
      </c>
      <c r="U40" s="42" cm="1">
        <f t="array" ref="U40">Z$8*EstymacjaGaussowska($C40,$C$102:$C$151,Z$14)*EstymacjaGaussowska($D40,$D$102:$D$151,Z$15)*EstymacjaGaussowska($A40,$A$102:$A$151,Z$18)*EstymacjaGaussowska($B40,$B$102:$B$151,Z$19)*VLOOKUP($E40,$W$29:$AA$32,4)/$R40</f>
        <v>0</v>
      </c>
      <c r="AB40" s="4"/>
    </row>
    <row r="41" spans="1:28" x14ac:dyDescent="0.25">
      <c r="A41" s="9">
        <v>5.0999999999999996</v>
      </c>
      <c r="B41" s="3">
        <v>3.4</v>
      </c>
      <c r="C41" s="3">
        <v>1.5</v>
      </c>
      <c r="D41" s="8">
        <v>0.2</v>
      </c>
      <c r="E41" s="9" t="s">
        <v>13</v>
      </c>
      <c r="F41" s="50" t="s">
        <v>5</v>
      </c>
      <c r="G41" s="9" t="str">
        <f t="shared" si="7"/>
        <v>setosa</v>
      </c>
      <c r="H41" s="3" cm="1">
        <f t="array" ref="H41">X$8*EstymacjaGaussowska($C41,$C$2:$C$51,X$14)*EstymacjaGaussowska($D41,$D$2:$D$51,X$15)+Y$8*EstymacjaGaussowska($C41,$C$52:$C$101,Y$14)*EstymacjaGaussowska($D41,$D$52:$D$101,Y$15)+Z$8*EstymacjaGaussowska($C41,$C$102:$C$151,Z$14)*EstymacjaGaussowska($D41,$D$102:$D$151,Z$15)</f>
        <v>3.5733275585592028</v>
      </c>
      <c r="I41" s="3" cm="1">
        <f t="array" ref="I41">X$8*EstymacjaGaussowska($C41,$C$2:$C$51,X$14)*EstymacjaGaussowska($D41,$D$2:$D$51,X$15)/$H41</f>
        <v>1</v>
      </c>
      <c r="J41" s="3" cm="1">
        <f t="array" ref="J41">Y$8*EstymacjaGaussowska($C41,$C$52:$C$101,Y$14)*EstymacjaGaussowska($D41,$D$52:$D$101,Y$15)/$H41</f>
        <v>5.4877881518809053E-28</v>
      </c>
      <c r="K41" s="42" cm="1">
        <f t="array" ref="K41">Z$8*EstymacjaGaussowska($C41,$C$102:$C$151,Z$14)*EstymacjaGaussowska($D41,$D$102:$D$151,Z$15)/$H41</f>
        <v>1.8844790900793386E-49</v>
      </c>
      <c r="L41" s="43" t="str">
        <f t="shared" si="1"/>
        <v>setosa</v>
      </c>
      <c r="M41" s="3" cm="1">
        <f t="array" ref="M41">X$8*EstymacjaGaussowska($C41,$C$2:$C$51,X$14)*EstymacjaGaussowska($D41,$D$2:$D$51,X$15)*VLOOKUP($E41,$W$29:$AA$32,2)+Y$8*EstymacjaGaussowska($C41,$C$52:$C$101,Y$14)*EstymacjaGaussowska($D41,$D$52:$D$101,Y$15)*VLOOKUP($E41,$W$29:$AA$32,3)+Z$8*EstymacjaGaussowska($C41,$C$102:$C$151,Z$14)*EstymacjaGaussowska($D41,$D$102:$D$151,Z$15)*VLOOKUP($E41,$W$29:$AA$32,4)</f>
        <v>0.64319896054065651</v>
      </c>
      <c r="N41" s="3" cm="1">
        <f t="array" ref="N41">X$8*EstymacjaGaussowska($C41,$C$2:$C$51,X$14)*EstymacjaGaussowska($D41,$D$2:$D$51,X$15)*VLOOKUP($E41,$W$29:$AA$32,2)/$M41</f>
        <v>1</v>
      </c>
      <c r="O41" s="3" cm="1">
        <f t="array" ref="O41">Y$8*EstymacjaGaussowska($C41,$C$52:$C$101,Y$14)*EstymacjaGaussowska($D41,$D$52:$D$101,Y$15)*VLOOKUP($E41,$W$29:$AA$32,3)/$M41</f>
        <v>5.4877881518809053E-28</v>
      </c>
      <c r="P41" s="42" cm="1">
        <f t="array" ref="P41">Z$8*EstymacjaGaussowska($C41,$C$102:$C$151,Z$14)*EstymacjaGaussowska($D41,$D$102:$D$151,Z$15)*VLOOKUP($E41,$W$29:$AA$32,4)/$M41</f>
        <v>0</v>
      </c>
      <c r="Q41" s="43" t="str">
        <f t="shared" si="2"/>
        <v>setosa</v>
      </c>
      <c r="R41" s="3" cm="1">
        <f t="array" ref="R41">X$8*EstymacjaGaussowska($C41,$C$2:$C$51,X$14)*EstymacjaGaussowska($D41,$D$2:$D$51,X$15)*EstymacjaGaussowska($A41,$A$2:$A$51,X$18)*EstymacjaGaussowska($B41,$B$2:$B$51,X$19)*VLOOKUP($E41,$W$29:$AA$32,2)+Y$8*EstymacjaGaussowska($C41,$C$52:$C$101,Y$14)*EstymacjaGaussowska($D41,$D$52:$D$101,Y$15)*EstymacjaGaussowska($A41,$A$52:$A$101,Y$18)*EstymacjaGaussowska($B41,$B$52:$B$101,Y$19)*VLOOKUP($E41,$W$29:$AA$32,3)+Z$8*EstymacjaGaussowska($C41,$C$102:$C$151,Z$14)*EstymacjaGaussowska($D41,$D$102:$D$151,Z$15)*EstymacjaGaussowska($A41,$A$102:$A$151,Z$18)*EstymacjaGaussowska($B41,$B$102:$B$151,Z$19)*VLOOKUP($E41,$W$29:$AA$32,4)</f>
        <v>0.67278837906728761</v>
      </c>
      <c r="S41" s="3" cm="1">
        <f t="array" ref="S41">X$8*EstymacjaGaussowska($C41,$C$2:$C$51,X$14)*EstymacjaGaussowska($D41,$D$2:$D$51,X$15)*EstymacjaGaussowska($A41,$A$2:$A$51,X$18)*EstymacjaGaussowska($B41,$B$2:$B$51,X$19)*VLOOKUP($E41,$W$29:$AA$32,2)/$R41</f>
        <v>1</v>
      </c>
      <c r="T41" s="3" cm="1">
        <f t="array" ref="T41">Y$8*EstymacjaGaussowska($C41,$C$52:$C$101,Y$14)*EstymacjaGaussowska($D41,$D$52:$D$101,Y$15)*EstymacjaGaussowska($A41,$A$52:$A$101,Y$18)*EstymacjaGaussowska($B41,$B$52:$B$101,Y$19)*VLOOKUP($E41,$W$29:$AA$32,3)/$R41</f>
        <v>2.4636684441163199E-29</v>
      </c>
      <c r="U41" s="42" cm="1">
        <f t="array" ref="U41">Z$8*EstymacjaGaussowska($C41,$C$102:$C$151,Z$14)*EstymacjaGaussowska($D41,$D$102:$D$151,Z$15)*EstymacjaGaussowska($A41,$A$102:$A$151,Z$18)*EstymacjaGaussowska($B41,$B$102:$B$151,Z$19)*VLOOKUP($E41,$W$29:$AA$32,4)/$R41</f>
        <v>0</v>
      </c>
      <c r="AB41" s="4"/>
    </row>
    <row r="42" spans="1:28" x14ac:dyDescent="0.25">
      <c r="A42" s="9">
        <v>5</v>
      </c>
      <c r="B42" s="3">
        <v>3.5</v>
      </c>
      <c r="C42" s="3">
        <v>1.3</v>
      </c>
      <c r="D42" s="8">
        <v>0.3</v>
      </c>
      <c r="E42" s="9" t="s">
        <v>14</v>
      </c>
      <c r="F42" s="50" t="s">
        <v>5</v>
      </c>
      <c r="G42" s="9" t="str">
        <f t="shared" si="7"/>
        <v>setosa</v>
      </c>
      <c r="H42" s="3" cm="1">
        <f t="array" ref="H42">X$8*EstymacjaGaussowska($C42,$C$2:$C$51,X$14)*EstymacjaGaussowska($D42,$D$2:$D$51,X$15)+Y$8*EstymacjaGaussowska($C42,$C$52:$C$101,Y$14)*EstymacjaGaussowska($D42,$D$52:$D$101,Y$15)+Z$8*EstymacjaGaussowska($C42,$C$102:$C$151,Z$14)*EstymacjaGaussowska($D42,$D$102:$D$151,Z$15)</f>
        <v>0.92600633211117167</v>
      </c>
      <c r="I42" s="3" cm="1">
        <f t="array" ref="I42">X$8*EstymacjaGaussowska($C42,$C$2:$C$51,X$14)*EstymacjaGaussowska($D42,$D$2:$D$51,X$15)/$H42</f>
        <v>1</v>
      </c>
      <c r="J42" s="3" cm="1">
        <f t="array" ref="J42">Y$8*EstymacjaGaussowska($C42,$C$52:$C$101,Y$14)*EstymacjaGaussowska($D42,$D$52:$D$101,Y$15)/$H42</f>
        <v>1.5563408590306764E-26</v>
      </c>
      <c r="K42" s="42" cm="1">
        <f t="array" ref="K42">Z$8*EstymacjaGaussowska($C42,$C$102:$C$151,Z$14)*EstymacjaGaussowska($D42,$D$102:$D$151,Z$15)/$H42</f>
        <v>8.2749175714458808E-50</v>
      </c>
      <c r="L42" s="43" t="str">
        <f t="shared" si="1"/>
        <v>setosa</v>
      </c>
      <c r="M42" s="3" cm="1">
        <f t="array" ref="M42">X$8*EstymacjaGaussowska($C42,$C$2:$C$51,X$14)*EstymacjaGaussowska($D42,$D$2:$D$51,X$15)*VLOOKUP($E42,$W$29:$AA$32,2)+Y$8*EstymacjaGaussowska($C42,$C$52:$C$101,Y$14)*EstymacjaGaussowska($D42,$D$52:$D$101,Y$15)*VLOOKUP($E42,$W$29:$AA$32,3)+Z$8*EstymacjaGaussowska($C42,$C$102:$C$151,Z$14)*EstymacjaGaussowska($D42,$D$102:$D$151,Z$15)*VLOOKUP($E42,$W$29:$AA$32,4)</f>
        <v>0.18520126642223433</v>
      </c>
      <c r="N42" s="3" cm="1">
        <f t="array" ref="N42">X$8*EstymacjaGaussowska($C42,$C$2:$C$51,X$14)*EstymacjaGaussowska($D42,$D$2:$D$51,X$15)*VLOOKUP($E42,$W$29:$AA$32,2)/$M42</f>
        <v>1</v>
      </c>
      <c r="O42" s="3" cm="1">
        <f t="array" ref="O42">Y$8*EstymacjaGaussowska($C42,$C$52:$C$101,Y$14)*EstymacjaGaussowska($D42,$D$52:$D$101,Y$15)*VLOOKUP($E42,$W$29:$AA$32,3)/$M42</f>
        <v>2.0232431167398794E-26</v>
      </c>
      <c r="P42" s="42" cm="1">
        <f t="array" ref="P42">Z$8*EstymacjaGaussowska($C42,$C$102:$C$151,Z$14)*EstymacjaGaussowska($D42,$D$102:$D$151,Z$15)*VLOOKUP($E42,$W$29:$AA$32,4)/$M42</f>
        <v>8.274917571445882E-51</v>
      </c>
      <c r="Q42" s="43" t="str">
        <f t="shared" si="2"/>
        <v>setosa</v>
      </c>
      <c r="R42" s="3" cm="1">
        <f t="array" ref="R42">X$8*EstymacjaGaussowska($C42,$C$2:$C$51,X$14)*EstymacjaGaussowska($D42,$D$2:$D$51,X$15)*EstymacjaGaussowska($A42,$A$2:$A$51,X$18)*EstymacjaGaussowska($B42,$B$2:$B$51,X$19)*VLOOKUP($E42,$W$29:$AA$32,2)+Y$8*EstymacjaGaussowska($C42,$C$52:$C$101,Y$14)*EstymacjaGaussowska($D42,$D$52:$D$101,Y$15)*EstymacjaGaussowska($A42,$A$52:$A$101,Y$18)*EstymacjaGaussowska($B42,$B$52:$B$101,Y$19)*VLOOKUP($E42,$W$29:$AA$32,3)+Z$8*EstymacjaGaussowska($C42,$C$102:$C$151,Z$14)*EstymacjaGaussowska($D42,$D$102:$D$151,Z$15)*EstymacjaGaussowska($A42,$A$102:$A$151,Z$18)*EstymacjaGaussowska($B42,$B$102:$B$151,Z$19)*VLOOKUP($E42,$W$29:$AA$32,4)</f>
        <v>0.19548436393667937</v>
      </c>
      <c r="S42" s="3" cm="1">
        <f t="array" ref="S42">X$8*EstymacjaGaussowska($C42,$C$2:$C$51,X$14)*EstymacjaGaussowska($D42,$D$2:$D$51,X$15)*EstymacjaGaussowska($A42,$A$2:$A$51,X$18)*EstymacjaGaussowska($B42,$B$2:$B$51,X$19)*VLOOKUP($E42,$W$29:$AA$32,2)/$R42</f>
        <v>1</v>
      </c>
      <c r="T42" s="3" cm="1">
        <f t="array" ref="T42">Y$8*EstymacjaGaussowska($C42,$C$52:$C$101,Y$14)*EstymacjaGaussowska($D42,$D$52:$D$101,Y$15)*EstymacjaGaussowska($A42,$A$52:$A$101,Y$18)*EstymacjaGaussowska($B42,$B$52:$B$101,Y$19)*VLOOKUP($E42,$W$29:$AA$32,3)/$R42</f>
        <v>3.4056897009569363E-28</v>
      </c>
      <c r="U42" s="42" cm="1">
        <f t="array" ref="U42">Z$8*EstymacjaGaussowska($C42,$C$102:$C$151,Z$14)*EstymacjaGaussowska($D42,$D$102:$D$151,Z$15)*EstymacjaGaussowska($A42,$A$102:$A$151,Z$18)*EstymacjaGaussowska($B42,$B$102:$B$151,Z$19)*VLOOKUP($E42,$W$29:$AA$32,4)/$R42</f>
        <v>6.9159228553523213E-53</v>
      </c>
    </row>
    <row r="43" spans="1:28" x14ac:dyDescent="0.25">
      <c r="A43" s="9">
        <v>4.5</v>
      </c>
      <c r="B43" s="3">
        <v>2.2999999999999998</v>
      </c>
      <c r="C43" s="3">
        <v>1.3</v>
      </c>
      <c r="D43" s="8">
        <v>0.3</v>
      </c>
      <c r="E43" s="9" t="s">
        <v>14</v>
      </c>
      <c r="F43" s="50" t="s">
        <v>5</v>
      </c>
      <c r="G43" s="9" t="str">
        <f t="shared" si="7"/>
        <v>setosa</v>
      </c>
      <c r="H43" s="3" cm="1">
        <f t="array" ref="H43">X$8*EstymacjaGaussowska($C43,$C$2:$C$51,X$14)*EstymacjaGaussowska($D43,$D$2:$D$51,X$15)+Y$8*EstymacjaGaussowska($C43,$C$52:$C$101,Y$14)*EstymacjaGaussowska($D43,$D$52:$D$101,Y$15)+Z$8*EstymacjaGaussowska($C43,$C$102:$C$151,Z$14)*EstymacjaGaussowska($D43,$D$102:$D$151,Z$15)</f>
        <v>0.92600633211117167</v>
      </c>
      <c r="I43" s="3" cm="1">
        <f t="array" ref="I43">X$8*EstymacjaGaussowska($C43,$C$2:$C$51,X$14)*EstymacjaGaussowska($D43,$D$2:$D$51,X$15)/$H43</f>
        <v>1</v>
      </c>
      <c r="J43" s="3" cm="1">
        <f t="array" ref="J43">Y$8*EstymacjaGaussowska($C43,$C$52:$C$101,Y$14)*EstymacjaGaussowska($D43,$D$52:$D$101,Y$15)/$H43</f>
        <v>1.5563408590306764E-26</v>
      </c>
      <c r="K43" s="42" cm="1">
        <f t="array" ref="K43">Z$8*EstymacjaGaussowska($C43,$C$102:$C$151,Z$14)*EstymacjaGaussowska($D43,$D$102:$D$151,Z$15)/$H43</f>
        <v>8.2749175714458808E-50</v>
      </c>
      <c r="L43" s="43" t="str">
        <f t="shared" si="1"/>
        <v>setosa</v>
      </c>
      <c r="M43" s="3" cm="1">
        <f t="array" ref="M43">X$8*EstymacjaGaussowska($C43,$C$2:$C$51,X$14)*EstymacjaGaussowska($D43,$D$2:$D$51,X$15)*VLOOKUP($E43,$W$29:$AA$32,2)+Y$8*EstymacjaGaussowska($C43,$C$52:$C$101,Y$14)*EstymacjaGaussowska($D43,$D$52:$D$101,Y$15)*VLOOKUP($E43,$W$29:$AA$32,3)+Z$8*EstymacjaGaussowska($C43,$C$102:$C$151,Z$14)*EstymacjaGaussowska($D43,$D$102:$D$151,Z$15)*VLOOKUP($E43,$W$29:$AA$32,4)</f>
        <v>0.18520126642223433</v>
      </c>
      <c r="N43" s="3" cm="1">
        <f t="array" ref="N43">X$8*EstymacjaGaussowska($C43,$C$2:$C$51,X$14)*EstymacjaGaussowska($D43,$D$2:$D$51,X$15)*VLOOKUP($E43,$W$29:$AA$32,2)/$M43</f>
        <v>1</v>
      </c>
      <c r="O43" s="3" cm="1">
        <f t="array" ref="O43">Y$8*EstymacjaGaussowska($C43,$C$52:$C$101,Y$14)*EstymacjaGaussowska($D43,$D$52:$D$101,Y$15)*VLOOKUP($E43,$W$29:$AA$32,3)/$M43</f>
        <v>2.0232431167398794E-26</v>
      </c>
      <c r="P43" s="42" cm="1">
        <f t="array" ref="P43">Z$8*EstymacjaGaussowska($C43,$C$102:$C$151,Z$14)*EstymacjaGaussowska($D43,$D$102:$D$151,Z$15)*VLOOKUP($E43,$W$29:$AA$32,4)/$M43</f>
        <v>8.274917571445882E-51</v>
      </c>
      <c r="Q43" s="43" t="str">
        <f t="shared" si="2"/>
        <v>setosa</v>
      </c>
      <c r="R43" s="3" cm="1">
        <f t="array" ref="R43">X$8*EstymacjaGaussowska($C43,$C$2:$C$51,X$14)*EstymacjaGaussowska($D43,$D$2:$D$51,X$15)*EstymacjaGaussowska($A43,$A$2:$A$51,X$18)*EstymacjaGaussowska($B43,$B$2:$B$51,X$19)*VLOOKUP($E43,$W$29:$AA$32,2)+Y$8*EstymacjaGaussowska($C43,$C$52:$C$101,Y$14)*EstymacjaGaussowska($D43,$D$52:$D$101,Y$15)*EstymacjaGaussowska($A43,$A$52:$A$101,Y$18)*EstymacjaGaussowska($B43,$B$52:$B$101,Y$19)*VLOOKUP($E43,$W$29:$AA$32,3)+Z$8*EstymacjaGaussowska($C43,$C$102:$C$151,Z$14)*EstymacjaGaussowska($D43,$D$102:$D$151,Z$15)*EstymacjaGaussowska($A43,$A$102:$A$151,Z$18)*EstymacjaGaussowska($B43,$B$102:$B$151,Z$19)*VLOOKUP($E43,$W$29:$AA$32,4)</f>
        <v>3.7402876457892499E-3</v>
      </c>
      <c r="S43" s="3" cm="1">
        <f t="array" ref="S43">X$8*EstymacjaGaussowska($C43,$C$2:$C$51,X$14)*EstymacjaGaussowska($D43,$D$2:$D$51,X$15)*EstymacjaGaussowska($A43,$A$2:$A$51,X$18)*EstymacjaGaussowska($B43,$B$2:$B$51,X$19)*VLOOKUP($E43,$W$29:$AA$32,2)/$R43</f>
        <v>1</v>
      </c>
      <c r="T43" s="3" cm="1">
        <f t="array" ref="T43">Y$8*EstymacjaGaussowska($C43,$C$52:$C$101,Y$14)*EstymacjaGaussowska($D43,$D$52:$D$101,Y$15)*EstymacjaGaussowska($A43,$A$52:$A$101,Y$18)*EstymacjaGaussowska($B43,$B$52:$B$101,Y$19)*VLOOKUP($E43,$W$29:$AA$32,3)/$R43</f>
        <v>1.0004454128934702E-26</v>
      </c>
      <c r="U43" s="42" cm="1">
        <f t="array" ref="U43">Z$8*EstymacjaGaussowska($C43,$C$102:$C$151,Z$14)*EstymacjaGaussowska($D43,$D$102:$D$151,Z$15)*EstymacjaGaussowska($A43,$A$102:$A$151,Z$18)*EstymacjaGaussowska($B43,$B$102:$B$151,Z$19)*VLOOKUP($E43,$W$29:$AA$32,4)/$R43</f>
        <v>7.27075893026146E-52</v>
      </c>
    </row>
    <row r="44" spans="1:28" x14ac:dyDescent="0.25">
      <c r="A44" s="9">
        <v>4.4000000000000004</v>
      </c>
      <c r="B44" s="3">
        <v>3.2</v>
      </c>
      <c r="C44" s="3">
        <v>1.3</v>
      </c>
      <c r="D44" s="8">
        <v>0.2</v>
      </c>
      <c r="E44" s="9" t="s">
        <v>14</v>
      </c>
      <c r="F44" s="50" t="s">
        <v>5</v>
      </c>
      <c r="G44" s="9" t="str">
        <f t="shared" si="7"/>
        <v>setosa</v>
      </c>
      <c r="H44" s="3" cm="1">
        <f t="array" ref="H44">X$8*EstymacjaGaussowska($C44,$C$2:$C$51,X$14)*EstymacjaGaussowska($D44,$D$2:$D$51,X$15)+Y$8*EstymacjaGaussowska($C44,$C$52:$C$101,Y$14)*EstymacjaGaussowska($D44,$D$52:$D$101,Y$15)+Z$8*EstymacjaGaussowska($C44,$C$102:$C$151,Z$14)*EstymacjaGaussowska($D44,$D$102:$D$151,Z$15)</f>
        <v>2.3161054553068587</v>
      </c>
      <c r="I44" s="3" cm="1">
        <f t="array" ref="I44">X$8*EstymacjaGaussowska($C44,$C$2:$C$51,X$14)*EstymacjaGaussowska($D44,$D$2:$D$51,X$15)/$H44</f>
        <v>1</v>
      </c>
      <c r="J44" s="3" cm="1">
        <f t="array" ref="J44">Y$8*EstymacjaGaussowska($C44,$C$52:$C$101,Y$14)*EstymacjaGaussowska($D44,$D$52:$D$101,Y$15)/$H44</f>
        <v>1.7751893032826261E-30</v>
      </c>
      <c r="K44" s="42" cm="1">
        <f t="array" ref="K44">Z$8*EstymacjaGaussowska($C44,$C$102:$C$151,Z$14)*EstymacjaGaussowska($D44,$D$102:$D$151,Z$15)/$H44</f>
        <v>5.0271591220826073E-53</v>
      </c>
      <c r="L44" s="43" t="str">
        <f t="shared" si="1"/>
        <v>setosa</v>
      </c>
      <c r="M44" s="3" cm="1">
        <f t="array" ref="M44">X$8*EstymacjaGaussowska($C44,$C$2:$C$51,X$14)*EstymacjaGaussowska($D44,$D$2:$D$51,X$15)*VLOOKUP($E44,$W$29:$AA$32,2)+Y$8*EstymacjaGaussowska($C44,$C$52:$C$101,Y$14)*EstymacjaGaussowska($D44,$D$52:$D$101,Y$15)*VLOOKUP($E44,$W$29:$AA$32,3)+Z$8*EstymacjaGaussowska($C44,$C$102:$C$151,Z$14)*EstymacjaGaussowska($D44,$D$102:$D$151,Z$15)*VLOOKUP($E44,$W$29:$AA$32,4)</f>
        <v>0.46322109106137177</v>
      </c>
      <c r="N44" s="3" cm="1">
        <f t="array" ref="N44">X$8*EstymacjaGaussowska($C44,$C$2:$C$51,X$14)*EstymacjaGaussowska($D44,$D$2:$D$51,X$15)*VLOOKUP($E44,$W$29:$AA$32,2)/$M44</f>
        <v>1</v>
      </c>
      <c r="O44" s="3" cm="1">
        <f t="array" ref="O44">Y$8*EstymacjaGaussowska($C44,$C$52:$C$101,Y$14)*EstymacjaGaussowska($D44,$D$52:$D$101,Y$15)*VLOOKUP($E44,$W$29:$AA$32,3)/$M44</f>
        <v>2.3077460942674138E-30</v>
      </c>
      <c r="P44" s="42" cm="1">
        <f t="array" ref="P44">Z$8*EstymacjaGaussowska($C44,$C$102:$C$151,Z$14)*EstymacjaGaussowska($D44,$D$102:$D$151,Z$15)*VLOOKUP($E44,$W$29:$AA$32,4)/$M44</f>
        <v>5.0271591220826072E-54</v>
      </c>
      <c r="Q44" s="43" t="str">
        <f t="shared" si="2"/>
        <v>setosa</v>
      </c>
      <c r="R44" s="3" cm="1">
        <f t="array" ref="R44">X$8*EstymacjaGaussowska($C44,$C$2:$C$51,X$14)*EstymacjaGaussowska($D44,$D$2:$D$51,X$15)*EstymacjaGaussowska($A44,$A$2:$A$51,X$18)*EstymacjaGaussowska($B44,$B$2:$B$51,X$19)*VLOOKUP($E44,$W$29:$AA$32,2)+Y$8*EstymacjaGaussowska($C44,$C$52:$C$101,Y$14)*EstymacjaGaussowska($D44,$D$52:$D$101,Y$15)*EstymacjaGaussowska($A44,$A$52:$A$101,Y$18)*EstymacjaGaussowska($B44,$B$52:$B$101,Y$19)*VLOOKUP($E44,$W$29:$AA$32,3)+Z$8*EstymacjaGaussowska($C44,$C$102:$C$151,Z$14)*EstymacjaGaussowska($D44,$D$102:$D$151,Z$15)*EstymacjaGaussowska($A44,$A$102:$A$151,Z$18)*EstymacjaGaussowska($B44,$B$102:$B$151,Z$19)*VLOOKUP($E44,$W$29:$AA$32,4)</f>
        <v>0.14627174087098135</v>
      </c>
      <c r="S44" s="3" cm="1">
        <f t="array" ref="S44">X$8*EstymacjaGaussowska($C44,$C$2:$C$51,X$14)*EstymacjaGaussowska($D44,$D$2:$D$51,X$15)*EstymacjaGaussowska($A44,$A$2:$A$51,X$18)*EstymacjaGaussowska($B44,$B$2:$B$51,X$19)*VLOOKUP($E44,$W$29:$AA$32,2)/$R44</f>
        <v>1</v>
      </c>
      <c r="T44" s="3" cm="1">
        <f t="array" ref="T44">Y$8*EstymacjaGaussowska($C44,$C$52:$C$101,Y$14)*EstymacjaGaussowska($D44,$D$52:$D$101,Y$15)*EstymacjaGaussowska($A44,$A$52:$A$101,Y$18)*EstymacjaGaussowska($B44,$B$52:$B$101,Y$19)*VLOOKUP($E44,$W$29:$AA$32,3)/$R44</f>
        <v>3.7790965767025315E-32</v>
      </c>
      <c r="U44" s="42" cm="1">
        <f t="array" ref="U44">Z$8*EstymacjaGaussowska($C44,$C$102:$C$151,Z$14)*EstymacjaGaussowska($D44,$D$102:$D$151,Z$15)*EstymacjaGaussowska($A44,$A$102:$A$151,Z$18)*EstymacjaGaussowska($B44,$B$102:$B$151,Z$19)*VLOOKUP($E44,$W$29:$AA$32,4)/$R44</f>
        <v>9.9408495994528921E-56</v>
      </c>
    </row>
    <row r="45" spans="1:28" x14ac:dyDescent="0.25">
      <c r="A45" s="9">
        <v>5</v>
      </c>
      <c r="B45" s="3">
        <v>3.5</v>
      </c>
      <c r="C45" s="3">
        <v>1.6</v>
      </c>
      <c r="D45" s="8">
        <v>0.6</v>
      </c>
      <c r="E45" s="9" t="s">
        <v>14</v>
      </c>
      <c r="F45" s="50" t="s">
        <v>5</v>
      </c>
      <c r="G45" s="9" t="str">
        <f t="shared" si="7"/>
        <v>setosa</v>
      </c>
      <c r="H45" s="3" cm="1">
        <f t="array" ref="H45">X$8*EstymacjaGaussowska($C45,$C$2:$C$51,X$14)*EstymacjaGaussowska($D45,$D$2:$D$51,X$15)+Y$8*EstymacjaGaussowska($C45,$C$52:$C$101,Y$14)*EstymacjaGaussowska($D45,$D$52:$D$101,Y$15)+Z$8*EstymacjaGaussowska($C45,$C$102:$C$151,Z$14)*EstymacjaGaussowska($D45,$D$102:$D$151,Z$15)</f>
        <v>9.1879158276820819E-2</v>
      </c>
      <c r="I45" s="3" cm="1">
        <f t="array" ref="I45">X$8*EstymacjaGaussowska($C45,$C$2:$C$51,X$14)*EstymacjaGaussowska($D45,$D$2:$D$51,X$15)/$H45</f>
        <v>0.99999999999992284</v>
      </c>
      <c r="J45" s="3" cm="1">
        <f t="array" ref="J45">Y$8*EstymacjaGaussowska($C45,$C$52:$C$101,Y$14)*EstymacjaGaussowska($D45,$D$52:$D$101,Y$15)/$H45</f>
        <v>7.7146502515822265E-14</v>
      </c>
      <c r="K45" s="42" cm="1">
        <f t="array" ref="K45">Z$8*EstymacjaGaussowska($C45,$C$102:$C$151,Z$14)*EstymacjaGaussowska($D45,$D$102:$D$151,Z$15)/$H45</f>
        <v>2.8993325821990038E-36</v>
      </c>
      <c r="L45" s="43" t="str">
        <f t="shared" si="1"/>
        <v>setosa</v>
      </c>
      <c r="M45" s="3" cm="1">
        <f t="array" ref="M45">X$8*EstymacjaGaussowska($C45,$C$2:$C$51,X$14)*EstymacjaGaussowska($D45,$D$2:$D$51,X$15)*VLOOKUP($E45,$W$29:$AA$32,2)+Y$8*EstymacjaGaussowska($C45,$C$52:$C$101,Y$14)*EstymacjaGaussowska($D45,$D$52:$D$101,Y$15)*VLOOKUP($E45,$W$29:$AA$32,3)+Z$8*EstymacjaGaussowska($C45,$C$102:$C$151,Z$14)*EstymacjaGaussowska($D45,$D$102:$D$151,Z$15)*VLOOKUP($E45,$W$29:$AA$32,4)</f>
        <v>1.8375831655364588E-2</v>
      </c>
      <c r="N45" s="3" cm="1">
        <f t="array" ref="N45">X$8*EstymacjaGaussowska($C45,$C$2:$C$51,X$14)*EstymacjaGaussowska($D45,$D$2:$D$51,X$15)*VLOOKUP($E45,$W$29:$AA$32,2)/$M45</f>
        <v>0.99999999999989975</v>
      </c>
      <c r="O45" s="3" cm="1">
        <f t="array" ref="O45">Y$8*EstymacjaGaussowska($C45,$C$52:$C$101,Y$14)*EstymacjaGaussowska($D45,$D$52:$D$101,Y$15)*VLOOKUP($E45,$W$29:$AA$32,3)/$M45</f>
        <v>1.0029045327056663E-13</v>
      </c>
      <c r="P45" s="42" cm="1">
        <f t="array" ref="P45">Z$8*EstymacjaGaussowska($C45,$C$102:$C$151,Z$14)*EstymacjaGaussowska($D45,$D$102:$D$151,Z$15)*VLOOKUP($E45,$W$29:$AA$32,4)/$M45</f>
        <v>2.8993325821989366E-37</v>
      </c>
      <c r="Q45" s="43" t="str">
        <f t="shared" si="2"/>
        <v>setosa</v>
      </c>
      <c r="R45" s="3" cm="1">
        <f t="array" ref="R45">X$8*EstymacjaGaussowska($C45,$C$2:$C$51,X$14)*EstymacjaGaussowska($D45,$D$2:$D$51,X$15)*EstymacjaGaussowska($A45,$A$2:$A$51,X$18)*EstymacjaGaussowska($B45,$B$2:$B$51,X$19)*VLOOKUP($E45,$W$29:$AA$32,2)+Y$8*EstymacjaGaussowska($C45,$C$52:$C$101,Y$14)*EstymacjaGaussowska($D45,$D$52:$D$101,Y$15)*EstymacjaGaussowska($A45,$A$52:$A$101,Y$18)*EstymacjaGaussowska($B45,$B$52:$B$101,Y$19)*VLOOKUP($E45,$W$29:$AA$32,3)+Z$8*EstymacjaGaussowska($C45,$C$102:$C$151,Z$14)*EstymacjaGaussowska($D45,$D$102:$D$151,Z$15)*EstymacjaGaussowska($A45,$A$102:$A$151,Z$18)*EstymacjaGaussowska($B45,$B$102:$B$151,Z$19)*VLOOKUP($E45,$W$29:$AA$32,4)</f>
        <v>1.9396129585671291E-2</v>
      </c>
      <c r="S45" s="3" cm="1">
        <f t="array" ref="S45">X$8*EstymacjaGaussowska($C45,$C$2:$C$51,X$14)*EstymacjaGaussowska($D45,$D$2:$D$51,X$15)*EstymacjaGaussowska($A45,$A$2:$A$51,X$18)*EstymacjaGaussowska($B45,$B$2:$B$51,X$19)*VLOOKUP($E45,$W$29:$AA$32,2)/$R45</f>
        <v>0.99999999999999833</v>
      </c>
      <c r="T45" s="3" cm="1">
        <f t="array" ref="T45">Y$8*EstymacjaGaussowska($C45,$C$52:$C$101,Y$14)*EstymacjaGaussowska($D45,$D$52:$D$101,Y$15)*EstymacjaGaussowska($A45,$A$52:$A$101,Y$18)*EstymacjaGaussowska($B45,$B$52:$B$101,Y$19)*VLOOKUP($E45,$W$29:$AA$32,3)/$R45</f>
        <v>1.6881716338581673E-15</v>
      </c>
      <c r="U45" s="42" cm="1">
        <f t="array" ref="U45">Z$8*EstymacjaGaussowska($C45,$C$102:$C$151,Z$14)*EstymacjaGaussowska($D45,$D$102:$D$151,Z$15)*EstymacjaGaussowska($A45,$A$102:$A$151,Z$18)*EstymacjaGaussowska($B45,$B$102:$B$151,Z$19)*VLOOKUP($E45,$W$29:$AA$32,4)/$R45</f>
        <v>2.4231734391761014E-39</v>
      </c>
    </row>
    <row r="46" spans="1:28" x14ac:dyDescent="0.25">
      <c r="A46" s="9">
        <v>5.0999999999999996</v>
      </c>
      <c r="B46" s="3">
        <v>3.8</v>
      </c>
      <c r="C46" s="3">
        <v>1.9</v>
      </c>
      <c r="D46" s="8">
        <v>0.4</v>
      </c>
      <c r="E46" s="9" t="s">
        <v>14</v>
      </c>
      <c r="F46" s="50" t="s">
        <v>5</v>
      </c>
      <c r="G46" s="9" t="str">
        <f t="shared" si="7"/>
        <v>setosa</v>
      </c>
      <c r="H46" s="3" cm="1">
        <f t="array" ref="H46">X$8*EstymacjaGaussowska($C46,$C$2:$C$51,X$14)*EstymacjaGaussowska($D46,$D$2:$D$51,X$15)+Y$8*EstymacjaGaussowska($C46,$C$52:$C$101,Y$14)*EstymacjaGaussowska($D46,$D$52:$D$101,Y$15)+Z$8*EstymacjaGaussowska($C46,$C$102:$C$151,Z$14)*EstymacjaGaussowska($D46,$D$102:$D$151,Z$15)</f>
        <v>9.0961433450572893E-2</v>
      </c>
      <c r="I46" s="3" cm="1">
        <f t="array" ref="I46">X$8*EstymacjaGaussowska($C46,$C$2:$C$51,X$14)*EstymacjaGaussowska($D46,$D$2:$D$51,X$15)/$H46</f>
        <v>0.999999999999998</v>
      </c>
      <c r="J46" s="3" cm="1">
        <f t="array" ref="J46">Y$8*EstymacjaGaussowska($C46,$C$52:$C$101,Y$14)*EstymacjaGaussowska($D46,$D$52:$D$101,Y$15)/$H46</f>
        <v>2.0114030395561862E-15</v>
      </c>
      <c r="K46" s="42" cm="1">
        <f t="array" ref="K46">Z$8*EstymacjaGaussowska($C46,$C$102:$C$151,Z$14)*EstymacjaGaussowska($D46,$D$102:$D$151,Z$15)/$H46</f>
        <v>1.1418726295690678E-35</v>
      </c>
      <c r="L46" s="43" t="str">
        <f t="shared" si="1"/>
        <v>setosa</v>
      </c>
      <c r="M46" s="3" cm="1">
        <f t="array" ref="M46">X$8*EstymacjaGaussowska($C46,$C$2:$C$51,X$14)*EstymacjaGaussowska($D46,$D$2:$D$51,X$15)*VLOOKUP($E46,$W$29:$AA$32,2)+Y$8*EstymacjaGaussowska($C46,$C$52:$C$101,Y$14)*EstymacjaGaussowska($D46,$D$52:$D$101,Y$15)*VLOOKUP($E46,$W$29:$AA$32,3)+Z$8*EstymacjaGaussowska($C46,$C$102:$C$151,Z$14)*EstymacjaGaussowska($D46,$D$102:$D$151,Z$15)*VLOOKUP($E46,$W$29:$AA$32,4)</f>
        <v>1.8192286690114592E-2</v>
      </c>
      <c r="N46" s="3" cm="1">
        <f t="array" ref="N46">X$8*EstymacjaGaussowska($C46,$C$2:$C$51,X$14)*EstymacjaGaussowska($D46,$D$2:$D$51,X$15)*VLOOKUP($E46,$W$29:$AA$32,2)/$M46</f>
        <v>0.99999999999999734</v>
      </c>
      <c r="O46" s="3" cm="1">
        <f t="array" ref="O46">Y$8*EstymacjaGaussowska($C46,$C$52:$C$101,Y$14)*EstymacjaGaussowska($D46,$D$52:$D$101,Y$15)*VLOOKUP($E46,$W$29:$AA$32,3)/$M46</f>
        <v>2.6148239514230402E-15</v>
      </c>
      <c r="P46" s="42" cm="1">
        <f t="array" ref="P46">Z$8*EstymacjaGaussowska($C46,$C$102:$C$151,Z$14)*EstymacjaGaussowska($D46,$D$102:$D$151,Z$15)*VLOOKUP($E46,$W$29:$AA$32,4)/$M46</f>
        <v>1.1418726295690669E-36</v>
      </c>
      <c r="Q46" s="43" t="str">
        <f t="shared" si="2"/>
        <v>setosa</v>
      </c>
      <c r="R46" s="3" cm="1">
        <f t="array" ref="R46">X$8*EstymacjaGaussowska($C46,$C$2:$C$51,X$14)*EstymacjaGaussowska($D46,$D$2:$D$51,X$15)*EstymacjaGaussowska($A46,$A$2:$A$51,X$18)*EstymacjaGaussowska($B46,$B$2:$B$51,X$19)*VLOOKUP($E46,$W$29:$AA$32,2)+Y$8*EstymacjaGaussowska($C46,$C$52:$C$101,Y$14)*EstymacjaGaussowska($D46,$D$52:$D$101,Y$15)*EstymacjaGaussowska($A46,$A$52:$A$101,Y$18)*EstymacjaGaussowska($B46,$B$52:$B$101,Y$19)*VLOOKUP($E46,$W$29:$AA$32,3)+Z$8*EstymacjaGaussowska($C46,$C$102:$C$151,Z$14)*EstymacjaGaussowska($D46,$D$102:$D$151,Z$15)*EstymacjaGaussowska($A46,$A$102:$A$151,Z$18)*EstymacjaGaussowska($B46,$B$102:$B$151,Z$19)*VLOOKUP($E46,$W$29:$AA$32,4)</f>
        <v>1.0987874629604513E-2</v>
      </c>
      <c r="S46" s="3" cm="1">
        <f t="array" ref="S46">X$8*EstymacjaGaussowska($C46,$C$2:$C$51,X$14)*EstymacjaGaussowska($D46,$D$2:$D$51,X$15)*EstymacjaGaussowska($A46,$A$2:$A$51,X$18)*EstymacjaGaussowska($B46,$B$2:$B$51,X$19)*VLOOKUP($E46,$W$29:$AA$32,2)/$R46</f>
        <v>1</v>
      </c>
      <c r="T46" s="3" cm="1">
        <f t="array" ref="T46">Y$8*EstymacjaGaussowska($C46,$C$52:$C$101,Y$14)*EstymacjaGaussowska($D46,$D$52:$D$101,Y$15)*EstymacjaGaussowska($A46,$A$52:$A$101,Y$18)*EstymacjaGaussowska($B46,$B$52:$B$101,Y$19)*VLOOKUP($E46,$W$29:$AA$32,3)/$R46</f>
        <v>2.0063099180849001E-18</v>
      </c>
      <c r="U46" s="42" cm="1">
        <f t="array" ref="U46">Z$8*EstymacjaGaussowska($C46,$C$102:$C$151,Z$14)*EstymacjaGaussowska($D46,$D$102:$D$151,Z$15)*EstymacjaGaussowska($A46,$A$102:$A$151,Z$18)*EstymacjaGaussowska($B46,$B$102:$B$151,Z$19)*VLOOKUP($E46,$W$29:$AA$32,4)/$R46</f>
        <v>9.743365898165164E-39</v>
      </c>
      <c r="W46" s="27"/>
      <c r="X46" s="27"/>
      <c r="Y46" s="27"/>
      <c r="Z46" s="27"/>
      <c r="AA46" s="27"/>
    </row>
    <row r="47" spans="1:28" x14ac:dyDescent="0.25">
      <c r="A47" s="9">
        <v>4.8</v>
      </c>
      <c r="B47" s="3">
        <v>3</v>
      </c>
      <c r="C47" s="3">
        <v>1.4</v>
      </c>
      <c r="D47" s="8">
        <v>0.3</v>
      </c>
      <c r="E47" s="9" t="s">
        <v>14</v>
      </c>
      <c r="F47" s="50" t="s">
        <v>5</v>
      </c>
      <c r="G47" s="9" t="str">
        <f t="shared" si="7"/>
        <v>setosa</v>
      </c>
      <c r="H47" s="3" cm="1">
        <f t="array" ref="H47">X$8*EstymacjaGaussowska($C47,$C$2:$C$51,X$14)*EstymacjaGaussowska($D47,$D$2:$D$51,X$15)+Y$8*EstymacjaGaussowska($C47,$C$52:$C$101,Y$14)*EstymacjaGaussowska($D47,$D$52:$D$101,Y$15)+Z$8*EstymacjaGaussowska($C47,$C$102:$C$151,Z$14)*EstymacjaGaussowska($D47,$D$102:$D$151,Z$15)</f>
        <v>1.4217543129736698</v>
      </c>
      <c r="I47" s="3" cm="1">
        <f t="array" ref="I47">X$8*EstymacjaGaussowska($C47,$C$2:$C$51,X$14)*EstymacjaGaussowska($D47,$D$2:$D$51,X$15)/$H47</f>
        <v>1</v>
      </c>
      <c r="J47" s="3" cm="1">
        <f t="array" ref="J47">Y$8*EstymacjaGaussowska($C47,$C$52:$C$101,Y$14)*EstymacjaGaussowska($D47,$D$52:$D$101,Y$15)/$H47</f>
        <v>2.4376539630988169E-25</v>
      </c>
      <c r="K47" s="42" cm="1">
        <f t="array" ref="K47">Z$8*EstymacjaGaussowska($C47,$C$102:$C$151,Z$14)*EstymacjaGaussowska($D47,$D$102:$D$151,Z$15)/$H47</f>
        <v>4.3952618871040619E-48</v>
      </c>
      <c r="L47" s="43" t="str">
        <f t="shared" si="1"/>
        <v>setosa</v>
      </c>
      <c r="M47" s="3" cm="1">
        <f t="array" ref="M47">X$8*EstymacjaGaussowska($C47,$C$2:$C$51,X$14)*EstymacjaGaussowska($D47,$D$2:$D$51,X$15)*VLOOKUP($E47,$W$29:$AA$32,2)+Y$8*EstymacjaGaussowska($C47,$C$52:$C$101,Y$14)*EstymacjaGaussowska($D47,$D$52:$D$101,Y$15)*VLOOKUP($E47,$W$29:$AA$32,3)+Z$8*EstymacjaGaussowska($C47,$C$102:$C$151,Z$14)*EstymacjaGaussowska($D47,$D$102:$D$151,Z$15)*VLOOKUP($E47,$W$29:$AA$32,4)</f>
        <v>0.28435086259473397</v>
      </c>
      <c r="N47" s="3" cm="1">
        <f t="array" ref="N47">X$8*EstymacjaGaussowska($C47,$C$2:$C$51,X$14)*EstymacjaGaussowska($D47,$D$2:$D$51,X$15)*VLOOKUP($E47,$W$29:$AA$32,2)/$M47</f>
        <v>1</v>
      </c>
      <c r="O47" s="3" cm="1">
        <f t="array" ref="O47">Y$8*EstymacjaGaussowska($C47,$C$52:$C$101,Y$14)*EstymacjaGaussowska($D47,$D$52:$D$101,Y$15)*VLOOKUP($E47,$W$29:$AA$32,3)/$M47</f>
        <v>3.1689501520284619E-25</v>
      </c>
      <c r="P47" s="42" cm="1">
        <f t="array" ref="P47">Z$8*EstymacjaGaussowska($C47,$C$102:$C$151,Z$14)*EstymacjaGaussowska($D47,$D$102:$D$151,Z$15)*VLOOKUP($E47,$W$29:$AA$32,4)/$M47</f>
        <v>4.3952618871040616E-49</v>
      </c>
      <c r="Q47" s="43" t="str">
        <f t="shared" si="2"/>
        <v>setosa</v>
      </c>
      <c r="R47" s="3" cm="1">
        <f t="array" ref="R47">X$8*EstymacjaGaussowska($C47,$C$2:$C$51,X$14)*EstymacjaGaussowska($D47,$D$2:$D$51,X$15)*EstymacjaGaussowska($A47,$A$2:$A$51,X$18)*EstymacjaGaussowska($B47,$B$2:$B$51,X$19)*VLOOKUP($E47,$W$29:$AA$32,2)+Y$8*EstymacjaGaussowska($C47,$C$52:$C$101,Y$14)*EstymacjaGaussowska($D47,$D$52:$D$101,Y$15)*EstymacjaGaussowska($A47,$A$52:$A$101,Y$18)*EstymacjaGaussowska($B47,$B$52:$B$101,Y$19)*VLOOKUP($E47,$W$29:$AA$32,3)+Z$8*EstymacjaGaussowska($C47,$C$102:$C$151,Z$14)*EstymacjaGaussowska($D47,$D$102:$D$151,Z$15)*EstymacjaGaussowska($A47,$A$102:$A$151,Z$18)*EstymacjaGaussowska($B47,$B$102:$B$151,Z$19)*VLOOKUP($E47,$W$29:$AA$32,4)</f>
        <v>0.15549843900599558</v>
      </c>
      <c r="S47" s="3" cm="1">
        <f t="array" ref="S47">X$8*EstymacjaGaussowska($C47,$C$2:$C$51,X$14)*EstymacjaGaussowska($D47,$D$2:$D$51,X$15)*EstymacjaGaussowska($A47,$A$2:$A$51,X$18)*EstymacjaGaussowska($B47,$B$2:$B$51,X$19)*VLOOKUP($E47,$W$29:$AA$32,2)/$R47</f>
        <v>1</v>
      </c>
      <c r="T47" s="3" cm="1">
        <f t="array" ref="T47">Y$8*EstymacjaGaussowska($C47,$C$52:$C$101,Y$14)*EstymacjaGaussowska($D47,$D$52:$D$101,Y$15)*EstymacjaGaussowska($A47,$A$52:$A$101,Y$18)*EstymacjaGaussowska($B47,$B$52:$B$101,Y$19)*VLOOKUP($E47,$W$29:$AA$32,3)/$R47</f>
        <v>6.7459240539274092E-26</v>
      </c>
      <c r="U47" s="42" cm="1">
        <f t="array" ref="U47">Z$8*EstymacjaGaussowska($C47,$C$102:$C$151,Z$14)*EstymacjaGaussowska($D47,$D$102:$D$151,Z$15)*EstymacjaGaussowska($A47,$A$102:$A$151,Z$18)*EstymacjaGaussowska($B47,$B$102:$B$151,Z$19)*VLOOKUP($E47,$W$29:$AA$32,4)/$R47</f>
        <v>2.5795488524025418E-50</v>
      </c>
    </row>
    <row r="48" spans="1:28" x14ac:dyDescent="0.25">
      <c r="A48" s="9">
        <v>5.0999999999999996</v>
      </c>
      <c r="B48" s="3">
        <v>3.8</v>
      </c>
      <c r="C48" s="3">
        <v>1.6</v>
      </c>
      <c r="D48" s="8">
        <v>0.2</v>
      </c>
      <c r="E48" s="9" t="s">
        <v>14</v>
      </c>
      <c r="F48" s="50" t="s">
        <v>5</v>
      </c>
      <c r="G48" s="9" t="str">
        <f t="shared" si="7"/>
        <v>setosa</v>
      </c>
      <c r="H48" s="3" cm="1">
        <f t="array" ref="H48">X$8*EstymacjaGaussowska($C48,$C$2:$C$51,X$14)*EstymacjaGaussowska($D48,$D$2:$D$51,X$15)+Y$8*EstymacjaGaussowska($C48,$C$52:$C$101,Y$14)*EstymacjaGaussowska($D48,$D$52:$D$101,Y$15)+Z$8*EstymacjaGaussowska($C48,$C$102:$C$151,Z$14)*EstymacjaGaussowska($D48,$D$102:$D$151,Z$15)</f>
        <v>2.4572987568847924</v>
      </c>
      <c r="I48" s="3" cm="1">
        <f t="array" ref="I48">X$8*EstymacjaGaussowska($C48,$C$2:$C$51,X$14)*EstymacjaGaussowska($D48,$D$2:$D$51,X$15)/$H48</f>
        <v>1</v>
      </c>
      <c r="J48" s="3" cm="1">
        <f t="array" ref="J48">Y$8*EstymacjaGaussowska($C48,$C$52:$C$101,Y$14)*EstymacjaGaussowska($D48,$D$52:$D$101,Y$15)/$H48</f>
        <v>1.3053355949206849E-26</v>
      </c>
      <c r="K48" s="42" cm="1">
        <f t="array" ref="K48">Z$8*EstymacjaGaussowska($C48,$C$102:$C$151,Z$14)*EstymacjaGaussowska($D48,$D$102:$D$151,Z$15)/$H48</f>
        <v>1.6899647107158646E-47</v>
      </c>
      <c r="L48" s="43" t="str">
        <f t="shared" si="1"/>
        <v>setosa</v>
      </c>
      <c r="M48" s="3" cm="1">
        <f t="array" ref="M48">X$8*EstymacjaGaussowska($C48,$C$2:$C$51,X$14)*EstymacjaGaussowska($D48,$D$2:$D$51,X$15)*VLOOKUP($E48,$W$29:$AA$32,2)+Y$8*EstymacjaGaussowska($C48,$C$52:$C$101,Y$14)*EstymacjaGaussowska($D48,$D$52:$D$101,Y$15)*VLOOKUP($E48,$W$29:$AA$32,3)+Z$8*EstymacjaGaussowska($C48,$C$102:$C$151,Z$14)*EstymacjaGaussowska($D48,$D$102:$D$151,Z$15)*VLOOKUP($E48,$W$29:$AA$32,4)</f>
        <v>0.49145975137695852</v>
      </c>
      <c r="N48" s="3" cm="1">
        <f t="array" ref="N48">X$8*EstymacjaGaussowska($C48,$C$2:$C$51,X$14)*EstymacjaGaussowska($D48,$D$2:$D$51,X$15)*VLOOKUP($E48,$W$29:$AA$32,2)/$M48</f>
        <v>1</v>
      </c>
      <c r="O48" s="3" cm="1">
        <f t="array" ref="O48">Y$8*EstymacjaGaussowska($C48,$C$52:$C$101,Y$14)*EstymacjaGaussowska($D48,$D$52:$D$101,Y$15)*VLOOKUP($E48,$W$29:$AA$32,3)/$M48</f>
        <v>1.6969362733968902E-26</v>
      </c>
      <c r="P48" s="42" cm="1">
        <f t="array" ref="P48">Z$8*EstymacjaGaussowska($C48,$C$102:$C$151,Z$14)*EstymacjaGaussowska($D48,$D$102:$D$151,Z$15)*VLOOKUP($E48,$W$29:$AA$32,4)/$M48</f>
        <v>1.6899647107158644E-48</v>
      </c>
      <c r="Q48" s="43" t="str">
        <f t="shared" si="2"/>
        <v>setosa</v>
      </c>
      <c r="R48" s="3" cm="1">
        <f t="array" ref="R48">X$8*EstymacjaGaussowska($C48,$C$2:$C$51,X$14)*EstymacjaGaussowska($D48,$D$2:$D$51,X$15)*EstymacjaGaussowska($A48,$A$2:$A$51,X$18)*EstymacjaGaussowska($B48,$B$2:$B$51,X$19)*VLOOKUP($E48,$W$29:$AA$32,2)+Y$8*EstymacjaGaussowska($C48,$C$52:$C$101,Y$14)*EstymacjaGaussowska($D48,$D$52:$D$101,Y$15)*EstymacjaGaussowska($A48,$A$52:$A$101,Y$18)*EstymacjaGaussowska($B48,$B$52:$B$101,Y$19)*VLOOKUP($E48,$W$29:$AA$32,3)+Z$8*EstymacjaGaussowska($C48,$C$102:$C$151,Z$14)*EstymacjaGaussowska($D48,$D$102:$D$151,Z$15)*EstymacjaGaussowska($A48,$A$102:$A$151,Z$18)*EstymacjaGaussowska($B48,$B$102:$B$151,Z$19)*VLOOKUP($E48,$W$29:$AA$32,4)</f>
        <v>0.29683448956204989</v>
      </c>
      <c r="S48" s="3" cm="1">
        <f t="array" ref="S48">X$8*EstymacjaGaussowska($C48,$C$2:$C$51,X$14)*EstymacjaGaussowska($D48,$D$2:$D$51,X$15)*EstymacjaGaussowska($A48,$A$2:$A$51,X$18)*EstymacjaGaussowska($B48,$B$2:$B$51,X$19)*VLOOKUP($E48,$W$29:$AA$32,2)/$R48</f>
        <v>1</v>
      </c>
      <c r="T48" s="3" cm="1">
        <f t="array" ref="T48">Y$8*EstymacjaGaussowska($C48,$C$52:$C$101,Y$14)*EstymacjaGaussowska($D48,$D$52:$D$101,Y$15)*EstymacjaGaussowska($A48,$A$52:$A$101,Y$18)*EstymacjaGaussowska($B48,$B$52:$B$101,Y$19)*VLOOKUP($E48,$W$29:$AA$32,3)/$R48</f>
        <v>1.3020303236175269E-29</v>
      </c>
      <c r="U48" s="42" cm="1">
        <f t="array" ref="U48">Z$8*EstymacjaGaussowska($C48,$C$102:$C$151,Z$14)*EstymacjaGaussowska($D48,$D$102:$D$151,Z$15)*EstymacjaGaussowska($A48,$A$102:$A$151,Z$18)*EstymacjaGaussowska($B48,$B$102:$B$151,Z$19)*VLOOKUP($E48,$W$29:$AA$32,4)/$R48</f>
        <v>1.4420123668001021E-50</v>
      </c>
    </row>
    <row r="49" spans="1:21" x14ac:dyDescent="0.25">
      <c r="A49" s="9">
        <v>4.5999999999999996</v>
      </c>
      <c r="B49" s="3">
        <v>3.2</v>
      </c>
      <c r="C49" s="3">
        <v>1.4</v>
      </c>
      <c r="D49" s="8">
        <v>0.2</v>
      </c>
      <c r="E49" s="9" t="s">
        <v>14</v>
      </c>
      <c r="F49" s="50" t="s">
        <v>5</v>
      </c>
      <c r="G49" s="9" t="str">
        <f t="shared" si="7"/>
        <v>setosa</v>
      </c>
      <c r="H49" s="3" cm="1">
        <f t="array" ref="H49">X$8*EstymacjaGaussowska($C49,$C$2:$C$51,X$14)*EstymacjaGaussowska($D49,$D$2:$D$51,X$15)+Y$8*EstymacjaGaussowska($C49,$C$52:$C$101,Y$14)*EstymacjaGaussowska($D49,$D$52:$D$101,Y$15)+Z$8*EstymacjaGaussowska($C49,$C$102:$C$151,Z$14)*EstymacjaGaussowska($D49,$D$102:$D$151,Z$15)</f>
        <v>3.5560587505669878</v>
      </c>
      <c r="I49" s="3" cm="1">
        <f t="array" ref="I49">X$8*EstymacjaGaussowska($C49,$C$2:$C$51,X$14)*EstymacjaGaussowska($D49,$D$2:$D$51,X$15)/$H49</f>
        <v>1</v>
      </c>
      <c r="J49" s="3" cm="1">
        <f t="array" ref="J49">Y$8*EstymacjaGaussowska($C49,$C$52:$C$101,Y$14)*EstymacjaGaussowska($D49,$D$52:$D$101,Y$15)/$H49</f>
        <v>2.7804302735408849E-29</v>
      </c>
      <c r="K49" s="42" cm="1">
        <f t="array" ref="K49">Z$8*EstymacjaGaussowska($C49,$C$102:$C$151,Z$14)*EstymacjaGaussowska($D49,$D$102:$D$151,Z$15)/$H49</f>
        <v>2.6701995154540739E-51</v>
      </c>
      <c r="L49" s="43" t="str">
        <f t="shared" si="1"/>
        <v>setosa</v>
      </c>
      <c r="M49" s="3" cm="1">
        <f t="array" ref="M49">X$8*EstymacjaGaussowska($C49,$C$2:$C$51,X$14)*EstymacjaGaussowska($D49,$D$2:$D$51,X$15)*VLOOKUP($E49,$W$29:$AA$32,2)+Y$8*EstymacjaGaussowska($C49,$C$52:$C$101,Y$14)*EstymacjaGaussowska($D49,$D$52:$D$101,Y$15)*VLOOKUP($E49,$W$29:$AA$32,3)+Z$8*EstymacjaGaussowska($C49,$C$102:$C$151,Z$14)*EstymacjaGaussowska($D49,$D$102:$D$151,Z$15)*VLOOKUP($E49,$W$29:$AA$32,4)</f>
        <v>0.71121175011339766</v>
      </c>
      <c r="N49" s="3" cm="1">
        <f t="array" ref="N49">X$8*EstymacjaGaussowska($C49,$C$2:$C$51,X$14)*EstymacjaGaussowska($D49,$D$2:$D$51,X$15)*VLOOKUP($E49,$W$29:$AA$32,2)/$M49</f>
        <v>1</v>
      </c>
      <c r="O49" s="3" cm="1">
        <f t="array" ref="O49">Y$8*EstymacjaGaussowska($C49,$C$52:$C$101,Y$14)*EstymacjaGaussowska($D49,$D$52:$D$101,Y$15)*VLOOKUP($E49,$W$29:$AA$32,3)/$M49</f>
        <v>3.6145593556031499E-29</v>
      </c>
      <c r="P49" s="42" cm="1">
        <f t="array" ref="P49">Z$8*EstymacjaGaussowska($C49,$C$102:$C$151,Z$14)*EstymacjaGaussowska($D49,$D$102:$D$151,Z$15)*VLOOKUP($E49,$W$29:$AA$32,4)/$M49</f>
        <v>2.6701995154540734E-52</v>
      </c>
      <c r="Q49" s="43" t="str">
        <f t="shared" si="2"/>
        <v>setosa</v>
      </c>
      <c r="R49" s="3" cm="1">
        <f t="array" ref="R49">X$8*EstymacjaGaussowska($C49,$C$2:$C$51,X$14)*EstymacjaGaussowska($D49,$D$2:$D$51,X$15)*EstymacjaGaussowska($A49,$A$2:$A$51,X$18)*EstymacjaGaussowska($B49,$B$2:$B$51,X$19)*VLOOKUP($E49,$W$29:$AA$32,2)+Y$8*EstymacjaGaussowska($C49,$C$52:$C$101,Y$14)*EstymacjaGaussowska($D49,$D$52:$D$101,Y$15)*EstymacjaGaussowska($A49,$A$52:$A$101,Y$18)*EstymacjaGaussowska($B49,$B$52:$B$101,Y$19)*VLOOKUP($E49,$W$29:$AA$32,3)+Z$8*EstymacjaGaussowska($C49,$C$102:$C$151,Z$14)*EstymacjaGaussowska($D49,$D$102:$D$151,Z$15)*EstymacjaGaussowska($A49,$A$102:$A$151,Z$18)*EstymacjaGaussowska($B49,$B$102:$B$151,Z$19)*VLOOKUP($E49,$W$29:$AA$32,4)</f>
        <v>0.36595874531653183</v>
      </c>
      <c r="S49" s="3" cm="1">
        <f t="array" ref="S49">X$8*EstymacjaGaussowska($C49,$C$2:$C$51,X$14)*EstymacjaGaussowska($D49,$D$2:$D$51,X$15)*EstymacjaGaussowska($A49,$A$2:$A$51,X$18)*EstymacjaGaussowska($B49,$B$2:$B$51,X$19)*VLOOKUP($E49,$W$29:$AA$32,2)/$R49</f>
        <v>1</v>
      </c>
      <c r="T49" s="3" cm="1">
        <f t="array" ref="T49">Y$8*EstymacjaGaussowska($C49,$C$52:$C$101,Y$14)*EstymacjaGaussowska($D49,$D$52:$D$101,Y$15)*EstymacjaGaussowska($A49,$A$52:$A$101,Y$18)*EstymacjaGaussowska($B49,$B$52:$B$101,Y$19)*VLOOKUP($E49,$W$29:$AA$32,3)/$R49</f>
        <v>1.6526540370091711E-30</v>
      </c>
      <c r="U49" s="42" cm="1">
        <f t="array" ref="U49">Z$8*EstymacjaGaussowska($C49,$C$102:$C$151,Z$14)*EstymacjaGaussowska($D49,$D$102:$D$151,Z$15)*EstymacjaGaussowska($A49,$A$102:$A$151,Z$18)*EstymacjaGaussowska($B49,$B$102:$B$151,Z$19)*VLOOKUP($E49,$W$29:$AA$32,4)/$R49</f>
        <v>7.6038073788133693E-54</v>
      </c>
    </row>
    <row r="50" spans="1:21" x14ac:dyDescent="0.25">
      <c r="A50" s="9">
        <v>5.3</v>
      </c>
      <c r="B50" s="3">
        <v>3.7</v>
      </c>
      <c r="C50" s="3">
        <v>1.5</v>
      </c>
      <c r="D50" s="8">
        <v>0.2</v>
      </c>
      <c r="E50" s="9" t="s">
        <v>14</v>
      </c>
      <c r="F50" s="50" t="s">
        <v>5</v>
      </c>
      <c r="G50" s="9" t="str">
        <f t="shared" si="7"/>
        <v>setosa</v>
      </c>
      <c r="H50" s="3" cm="1">
        <f t="array" ref="H50">X$8*EstymacjaGaussowska($C50,$C$2:$C$51,X$14)*EstymacjaGaussowska($D50,$D$2:$D$51,X$15)+Y$8*EstymacjaGaussowska($C50,$C$52:$C$101,Y$14)*EstymacjaGaussowska($D50,$D$52:$D$101,Y$15)+Z$8*EstymacjaGaussowska($C50,$C$102:$C$151,Z$14)*EstymacjaGaussowska($D50,$D$102:$D$151,Z$15)</f>
        <v>3.5733275585592028</v>
      </c>
      <c r="I50" s="3" cm="1">
        <f t="array" ref="I50">X$8*EstymacjaGaussowska($C50,$C$2:$C$51,X$14)*EstymacjaGaussowska($D50,$D$2:$D$51,X$15)/$H50</f>
        <v>1</v>
      </c>
      <c r="J50" s="3" cm="1">
        <f t="array" ref="J50">Y$8*EstymacjaGaussowska($C50,$C$52:$C$101,Y$14)*EstymacjaGaussowska($D50,$D$52:$D$101,Y$15)/$H50</f>
        <v>5.4877881518809053E-28</v>
      </c>
      <c r="K50" s="42" cm="1">
        <f t="array" ref="K50">Z$8*EstymacjaGaussowska($C50,$C$102:$C$151,Z$14)*EstymacjaGaussowska($D50,$D$102:$D$151,Z$15)/$H50</f>
        <v>1.8844790900793386E-49</v>
      </c>
      <c r="L50" s="43" t="str">
        <f t="shared" si="1"/>
        <v>setosa</v>
      </c>
      <c r="M50" s="3" cm="1">
        <f t="array" ref="M50">X$8*EstymacjaGaussowska($C50,$C$2:$C$51,X$14)*EstymacjaGaussowska($D50,$D$2:$D$51,X$15)*VLOOKUP($E50,$W$29:$AA$32,2)+Y$8*EstymacjaGaussowska($C50,$C$52:$C$101,Y$14)*EstymacjaGaussowska($D50,$D$52:$D$101,Y$15)*VLOOKUP($E50,$W$29:$AA$32,3)+Z$8*EstymacjaGaussowska($C50,$C$102:$C$151,Z$14)*EstymacjaGaussowska($D50,$D$102:$D$151,Z$15)*VLOOKUP($E50,$W$29:$AA$32,4)</f>
        <v>0.71466551171184056</v>
      </c>
      <c r="N50" s="3" cm="1">
        <f t="array" ref="N50">X$8*EstymacjaGaussowska($C50,$C$2:$C$51,X$14)*EstymacjaGaussowska($D50,$D$2:$D$51,X$15)*VLOOKUP($E50,$W$29:$AA$32,2)/$M50</f>
        <v>1</v>
      </c>
      <c r="O50" s="3" cm="1">
        <f t="array" ref="O50">Y$8*EstymacjaGaussowska($C50,$C$52:$C$101,Y$14)*EstymacjaGaussowska($D50,$D$52:$D$101,Y$15)*VLOOKUP($E50,$W$29:$AA$32,3)/$M50</f>
        <v>7.1341245974451767E-28</v>
      </c>
      <c r="P50" s="42" cm="1">
        <f t="array" ref="P50">Z$8*EstymacjaGaussowska($C50,$C$102:$C$151,Z$14)*EstymacjaGaussowska($D50,$D$102:$D$151,Z$15)*VLOOKUP($E50,$W$29:$AA$32,4)/$M50</f>
        <v>1.8844790900793385E-50</v>
      </c>
      <c r="Q50" s="43" t="str">
        <f t="shared" si="2"/>
        <v>setosa</v>
      </c>
      <c r="R50" s="3" cm="1">
        <f t="array" ref="R50">X$8*EstymacjaGaussowska($C50,$C$2:$C$51,X$14)*EstymacjaGaussowska($D50,$D$2:$D$51,X$15)*EstymacjaGaussowska($A50,$A$2:$A$51,X$18)*EstymacjaGaussowska($B50,$B$2:$B$51,X$19)*VLOOKUP($E50,$W$29:$AA$32,2)+Y$8*EstymacjaGaussowska($C50,$C$52:$C$101,Y$14)*EstymacjaGaussowska($D50,$D$52:$D$101,Y$15)*EstymacjaGaussowska($A50,$A$52:$A$101,Y$18)*EstymacjaGaussowska($B50,$B$52:$B$101,Y$19)*VLOOKUP($E50,$W$29:$AA$32,3)+Z$8*EstymacjaGaussowska($C50,$C$102:$C$151,Z$14)*EstymacjaGaussowska($D50,$D$102:$D$151,Z$15)*EstymacjaGaussowska($A50,$A$102:$A$151,Z$18)*EstymacjaGaussowska($B50,$B$102:$B$151,Z$19)*VLOOKUP($E50,$W$29:$AA$32,4)</f>
        <v>0.35903787375484369</v>
      </c>
      <c r="S50" s="3" cm="1">
        <f t="array" ref="S50">X$8*EstymacjaGaussowska($C50,$C$2:$C$51,X$14)*EstymacjaGaussowska($D50,$D$2:$D$51,X$15)*EstymacjaGaussowska($A50,$A$2:$A$51,X$18)*EstymacjaGaussowska($B50,$B$2:$B$51,X$19)*VLOOKUP($E50,$W$29:$AA$32,2)/$R50</f>
        <v>1</v>
      </c>
      <c r="T50" s="3" cm="1">
        <f t="array" ref="T50">Y$8*EstymacjaGaussowska($C50,$C$52:$C$101,Y$14)*EstymacjaGaussowska($D50,$D$52:$D$101,Y$15)*EstymacjaGaussowska($A50,$A$52:$A$101,Y$18)*EstymacjaGaussowska($B50,$B$52:$B$101,Y$19)*VLOOKUP($E50,$W$29:$AA$32,3)/$R50</f>
        <v>5.3641062545111842E-30</v>
      </c>
      <c r="U50" s="42" cm="1">
        <f t="array" ref="U50">Z$8*EstymacjaGaussowska($C50,$C$102:$C$151,Z$14)*EstymacjaGaussowska($D50,$D$102:$D$151,Z$15)*EstymacjaGaussowska($A50,$A$102:$A$151,Z$18)*EstymacjaGaussowska($B50,$B$102:$B$151,Z$19)*VLOOKUP($E50,$W$29:$AA$32,4)/$R50</f>
        <v>3.9361233852632229E-52</v>
      </c>
    </row>
    <row r="51" spans="1:21" x14ac:dyDescent="0.25">
      <c r="A51" s="9">
        <v>5</v>
      </c>
      <c r="B51" s="3">
        <v>3.3</v>
      </c>
      <c r="C51" s="3">
        <v>1.4</v>
      </c>
      <c r="D51" s="8">
        <v>0.2</v>
      </c>
      <c r="E51" s="9" t="s">
        <v>14</v>
      </c>
      <c r="F51" s="50" t="s">
        <v>5</v>
      </c>
      <c r="G51" s="9" t="str">
        <f t="shared" si="7"/>
        <v>setosa</v>
      </c>
      <c r="H51" s="3" cm="1">
        <f t="array" ref="H51">X$8*EstymacjaGaussowska($C51,$C$2:$C$51,X$14)*EstymacjaGaussowska($D51,$D$2:$D$51,X$15)+Y$8*EstymacjaGaussowska($C51,$C$52:$C$101,Y$14)*EstymacjaGaussowska($D51,$D$52:$D$101,Y$15)+Z$8*EstymacjaGaussowska($C51,$C$102:$C$151,Z$14)*EstymacjaGaussowska($D51,$D$102:$D$151,Z$15)</f>
        <v>3.5560587505669878</v>
      </c>
      <c r="I51" s="3" cm="1">
        <f t="array" ref="I51">X$8*EstymacjaGaussowska($C51,$C$2:$C$51,X$14)*EstymacjaGaussowska($D51,$D$2:$D$51,X$15)/$H51</f>
        <v>1</v>
      </c>
      <c r="J51" s="3" cm="1">
        <f t="array" ref="J51">Y$8*EstymacjaGaussowska($C51,$C$52:$C$101,Y$14)*EstymacjaGaussowska($D51,$D$52:$D$101,Y$15)/$H51</f>
        <v>2.7804302735408849E-29</v>
      </c>
      <c r="K51" s="42" cm="1">
        <f t="array" ref="K51">Z$8*EstymacjaGaussowska($C51,$C$102:$C$151,Z$14)*EstymacjaGaussowska($D51,$D$102:$D$151,Z$15)/$H51</f>
        <v>2.6701995154540739E-51</v>
      </c>
      <c r="L51" s="43" t="str">
        <f t="shared" si="1"/>
        <v>setosa</v>
      </c>
      <c r="M51" s="3" cm="1">
        <f t="array" ref="M51">X$8*EstymacjaGaussowska($C51,$C$2:$C$51,X$14)*EstymacjaGaussowska($D51,$D$2:$D$51,X$15)*VLOOKUP($E51,$W$29:$AA$32,2)+Y$8*EstymacjaGaussowska($C51,$C$52:$C$101,Y$14)*EstymacjaGaussowska($D51,$D$52:$D$101,Y$15)*VLOOKUP($E51,$W$29:$AA$32,3)+Z$8*EstymacjaGaussowska($C51,$C$102:$C$151,Z$14)*EstymacjaGaussowska($D51,$D$102:$D$151,Z$15)*VLOOKUP($E51,$W$29:$AA$32,4)</f>
        <v>0.71121175011339766</v>
      </c>
      <c r="N51" s="3" cm="1">
        <f t="array" ref="N51">X$8*EstymacjaGaussowska($C51,$C$2:$C$51,X$14)*EstymacjaGaussowska($D51,$D$2:$D$51,X$15)*VLOOKUP($E51,$W$29:$AA$32,2)/$M51</f>
        <v>1</v>
      </c>
      <c r="O51" s="3" cm="1">
        <f t="array" ref="O51">Y$8*EstymacjaGaussowska($C51,$C$52:$C$101,Y$14)*EstymacjaGaussowska($D51,$D$52:$D$101,Y$15)*VLOOKUP($E51,$W$29:$AA$32,3)/$M51</f>
        <v>3.6145593556031499E-29</v>
      </c>
      <c r="P51" s="42" cm="1">
        <f t="array" ref="P51">Z$8*EstymacjaGaussowska($C51,$C$102:$C$151,Z$14)*EstymacjaGaussowska($D51,$D$102:$D$151,Z$15)*VLOOKUP($E51,$W$29:$AA$32,4)/$M51</f>
        <v>2.6701995154540734E-52</v>
      </c>
      <c r="Q51" s="43" t="str">
        <f t="shared" si="2"/>
        <v>setosa</v>
      </c>
      <c r="R51" s="3" cm="1">
        <f t="array" ref="R51">X$8*EstymacjaGaussowska($C51,$C$2:$C$51,X$14)*EstymacjaGaussowska($D51,$D$2:$D$51,X$15)*EstymacjaGaussowska($A51,$A$2:$A$51,X$18)*EstymacjaGaussowska($B51,$B$2:$B$51,X$19)*VLOOKUP($E51,$W$29:$AA$32,2)+Y$8*EstymacjaGaussowska($C51,$C$52:$C$101,Y$14)*EstymacjaGaussowska($D51,$D$52:$D$101,Y$15)*EstymacjaGaussowska($A51,$A$52:$A$101,Y$18)*EstymacjaGaussowska($B51,$B$52:$B$101,Y$19)*VLOOKUP($E51,$W$29:$AA$32,3)+Z$8*EstymacjaGaussowska($C51,$C$102:$C$151,Z$14)*EstymacjaGaussowska($D51,$D$102:$D$151,Z$15)*EstymacjaGaussowska($A51,$A$102:$A$151,Z$18)*EstymacjaGaussowska($B51,$B$102:$B$151,Z$19)*VLOOKUP($E51,$W$29:$AA$32,4)</f>
        <v>0.75842812028841322</v>
      </c>
      <c r="S51" s="3" cm="1">
        <f t="array" ref="S51">X$8*EstymacjaGaussowska($C51,$C$2:$C$51,X$14)*EstymacjaGaussowska($D51,$D$2:$D$51,X$15)*EstymacjaGaussowska($A51,$A$2:$A$51,X$18)*EstymacjaGaussowska($B51,$B$2:$B$51,X$19)*VLOOKUP($E51,$W$29:$AA$32,2)/$R51</f>
        <v>1</v>
      </c>
      <c r="T51" s="3" cm="1">
        <f t="array" ref="T51">Y$8*EstymacjaGaussowska($C51,$C$52:$C$101,Y$14)*EstymacjaGaussowska($D51,$D$52:$D$101,Y$15)*EstymacjaGaussowska($A51,$A$52:$A$101,Y$18)*EstymacjaGaussowska($B51,$B$52:$B$101,Y$19)*VLOOKUP($E51,$W$29:$AA$32,3)/$R51</f>
        <v>2.3153175039777211E-30</v>
      </c>
      <c r="U51" s="42" cm="1">
        <f t="array" ref="U51">Z$8*EstymacjaGaussowska($C51,$C$102:$C$151,Z$14)*EstymacjaGaussowska($D51,$D$102:$D$151,Z$15)*EstymacjaGaussowska($A51,$A$102:$A$151,Z$18)*EstymacjaGaussowska($B51,$B$102:$B$151,Z$19)*VLOOKUP($E51,$W$29:$AA$32,4)/$R51</f>
        <v>5.4834863031093578E-54</v>
      </c>
    </row>
    <row r="52" spans="1:21" x14ac:dyDescent="0.25">
      <c r="A52" s="9">
        <v>7</v>
      </c>
      <c r="B52" s="3">
        <v>3.2</v>
      </c>
      <c r="C52" s="3">
        <v>4.7</v>
      </c>
      <c r="D52" s="8">
        <v>1.4</v>
      </c>
      <c r="E52" s="9" t="s">
        <v>11</v>
      </c>
      <c r="F52" s="50" t="s">
        <v>6</v>
      </c>
      <c r="G52" s="43" t="str">
        <f t="shared" si="7"/>
        <v>versicolor</v>
      </c>
      <c r="H52" s="3" cm="1">
        <f t="array" ref="H52">X$8*EstymacjaGaussowska($C52,$C$2:$C$51,X$14)*EstymacjaGaussowska($D52,$D$2:$D$51,X$15)+Y$8*EstymacjaGaussowska($C52,$C$52:$C$101,Y$14)*EstymacjaGaussowska($D52,$D$52:$D$101,Y$15)+Z$8*EstymacjaGaussowska($C52,$C$102:$C$151,Z$14)*EstymacjaGaussowska($D52,$D$102:$D$151,Z$15)</f>
        <v>0.40819740548921268</v>
      </c>
      <c r="I52" s="3" cm="1">
        <f t="array" ref="I52">X$8*EstymacjaGaussowska($C52,$C$2:$C$51,X$14)*EstymacjaGaussowska($D52,$D$2:$D$51,X$15)/$H52</f>
        <v>7.9434029018808093E-296</v>
      </c>
      <c r="J52" s="3" cm="1">
        <f t="array" ref="J52">Y$8*EstymacjaGaussowska($C52,$C$52:$C$101,Y$14)*EstymacjaGaussowska($D52,$D$52:$D$101,Y$15)/$H52</f>
        <v>0.95828659857438991</v>
      </c>
      <c r="K52" s="42" cm="1">
        <f t="array" ref="K52">Z$8*EstymacjaGaussowska($C52,$C$102:$C$151,Z$14)*EstymacjaGaussowska($D52,$D$102:$D$151,Z$15)/$H52</f>
        <v>4.1713401425610197E-2</v>
      </c>
      <c r="L52" s="43" t="str">
        <f t="shared" si="1"/>
        <v>versicolor</v>
      </c>
      <c r="M52" s="3" cm="1">
        <f t="array" ref="M52">X$8*EstymacjaGaussowska($C52,$C$2:$C$51,X$14)*EstymacjaGaussowska($D52,$D$2:$D$51,X$15)*VLOOKUP($E52,$W$29:$AA$32,2)+Y$8*EstymacjaGaussowska($C52,$C$52:$C$101,Y$14)*EstymacjaGaussowska($D52,$D$52:$D$101,Y$15)*VLOOKUP($E52,$W$29:$AA$32,3)+Z$8*EstymacjaGaussowska($C52,$C$102:$C$151,Z$14)*EstymacjaGaussowska($D52,$D$102:$D$151,Z$15)*VLOOKUP($E52,$W$29:$AA$32,4)</f>
        <v>8.0626999927205206E-2</v>
      </c>
      <c r="N52" s="3" cm="1">
        <f t="array" ref="N52">X$8*EstymacjaGaussowska($C52,$C$2:$C$51,X$14)*EstymacjaGaussowska($D52,$D$2:$D$51,X$15)*VLOOKUP($E52,$W$29:$AA$32,2)/$M52</f>
        <v>1.7694936455796696E-295</v>
      </c>
      <c r="O52" s="3" cm="1">
        <f t="array" ref="O52">Y$8*EstymacjaGaussowska($C52,$C$52:$C$101,Y$14)*EstymacjaGaussowska($D52,$D$52:$D$101,Y$15)*VLOOKUP($E52,$W$29:$AA$32,3)/$M52</f>
        <v>0.87328833578252429</v>
      </c>
      <c r="P52" s="42" cm="1">
        <f t="array" ref="P52">Z$8*EstymacjaGaussowska($C52,$C$102:$C$151,Z$14)*EstymacjaGaussowska($D52,$D$102:$D$151,Z$15)*VLOOKUP($E52,$W$29:$AA$32,4)/$M52</f>
        <v>0.12671166421747571</v>
      </c>
      <c r="Q52" s="43" t="str">
        <f t="shared" si="2"/>
        <v>versicolor</v>
      </c>
      <c r="R52" s="3" cm="1">
        <f t="array" ref="R52">X$8*EstymacjaGaussowska($C52,$C$2:$C$51,X$14)*EstymacjaGaussowska($D52,$D$2:$D$51,X$15)*EstymacjaGaussowska($A52,$A$2:$A$51,X$18)*EstymacjaGaussowska($B52,$B$2:$B$51,X$19)*VLOOKUP($E52,$W$29:$AA$32,2)+Y$8*EstymacjaGaussowska($C52,$C$52:$C$101,Y$14)*EstymacjaGaussowska($D52,$D$52:$D$101,Y$15)*EstymacjaGaussowska($A52,$A$52:$A$101,Y$18)*EstymacjaGaussowska($B52,$B$52:$B$101,Y$19)*VLOOKUP($E52,$W$29:$AA$32,3)+Z$8*EstymacjaGaussowska($C52,$C$102:$C$151,Z$14)*EstymacjaGaussowska($D52,$D$102:$D$151,Z$15)*EstymacjaGaussowska($A52,$A$102:$A$151,Z$18)*EstymacjaGaussowska($B52,$B$102:$B$151,Z$19)*VLOOKUP($E52,$W$29:$AA$32,4)</f>
        <v>1.0134772571199178E-2</v>
      </c>
      <c r="S52" s="3" cm="1">
        <f t="array" ref="S52">X$8*EstymacjaGaussowska($C52,$C$2:$C$51,X$14)*EstymacjaGaussowska($D52,$D$2:$D$51,X$15)*EstymacjaGaussowska($A52,$A$2:$A$51,X$18)*EstymacjaGaussowska($B52,$B$2:$B$51,X$19)*VLOOKUP($E52,$W$29:$AA$32,2)/$R52</f>
        <v>0</v>
      </c>
      <c r="T52" s="3" cm="1">
        <f t="array" ref="T52">Y$8*EstymacjaGaussowska($C52,$C$52:$C$101,Y$14)*EstymacjaGaussowska($D52,$D$52:$D$101,Y$15)*EstymacjaGaussowska($A52,$A$52:$A$101,Y$18)*EstymacjaGaussowska($B52,$B$52:$B$101,Y$19)*VLOOKUP($E52,$W$29:$AA$32,3)/$R52</f>
        <v>0.65207622556390943</v>
      </c>
      <c r="U52" s="42" cm="1">
        <f t="array" ref="U52">Z$8*EstymacjaGaussowska($C52,$C$102:$C$151,Z$14)*EstymacjaGaussowska($D52,$D$102:$D$151,Z$15)*EstymacjaGaussowska($A52,$A$102:$A$151,Z$18)*EstymacjaGaussowska($B52,$B$102:$B$151,Z$19)*VLOOKUP($E52,$W$29:$AA$32,4)/$R52</f>
        <v>0.34792377443609068</v>
      </c>
    </row>
    <row r="53" spans="1:21" x14ac:dyDescent="0.25">
      <c r="A53" s="9">
        <v>6.4</v>
      </c>
      <c r="B53" s="3">
        <v>3.2</v>
      </c>
      <c r="C53" s="3">
        <v>4.5</v>
      </c>
      <c r="D53" s="8">
        <v>1.5</v>
      </c>
      <c r="E53" s="9" t="s">
        <v>11</v>
      </c>
      <c r="F53" s="50" t="s">
        <v>6</v>
      </c>
      <c r="G53" s="43" t="str">
        <f t="shared" si="7"/>
        <v>versicolor</v>
      </c>
      <c r="H53" s="3" cm="1">
        <f t="array" ref="H53">X$8*EstymacjaGaussowska($C53,$C$2:$C$51,X$14)*EstymacjaGaussowska($D53,$D$2:$D$51,X$15)+Y$8*EstymacjaGaussowska($C53,$C$52:$C$101,Y$14)*EstymacjaGaussowska($D53,$D$52:$D$101,Y$15)+Z$8*EstymacjaGaussowska($C53,$C$102:$C$151,Z$14)*EstymacjaGaussowska($D53,$D$102:$D$151,Z$15)</f>
        <v>0.3913323569718512</v>
      </c>
      <c r="I53" s="3" cm="1">
        <f t="array" ref="I53">X$8*EstymacjaGaussowska($C53,$C$2:$C$51,X$14)*EstymacjaGaussowska($D53,$D$2:$D$51,X$15)/$H53</f>
        <v>7.3411951200640539E-277</v>
      </c>
      <c r="J53" s="3" cm="1">
        <f t="array" ref="J53">Y$8*EstymacjaGaussowska($C53,$C$52:$C$101,Y$14)*EstymacjaGaussowska($D53,$D$52:$D$101,Y$15)/$H53</f>
        <v>0.96929660806572038</v>
      </c>
      <c r="K53" s="42" cm="1">
        <f t="array" ref="K53">Z$8*EstymacjaGaussowska($C53,$C$102:$C$151,Z$14)*EstymacjaGaussowska($D53,$D$102:$D$151,Z$15)/$H53</f>
        <v>3.0703391934279737E-2</v>
      </c>
      <c r="L53" s="43" t="str">
        <f t="shared" si="1"/>
        <v>versicolor</v>
      </c>
      <c r="M53" s="3" cm="1">
        <f t="array" ref="M53">X$8*EstymacjaGaussowska($C53,$C$2:$C$51,X$14)*EstymacjaGaussowska($D53,$D$2:$D$51,X$15)*VLOOKUP($E53,$W$29:$AA$32,2)+Y$8*EstymacjaGaussowska($C53,$C$52:$C$101,Y$14)*EstymacjaGaussowska($D53,$D$52:$D$101,Y$15)*VLOOKUP($E53,$W$29:$AA$32,3)+Z$8*EstymacjaGaussowska($C53,$C$102:$C$151,Z$14)*EstymacjaGaussowska($D53,$D$102:$D$151,Z$15)*VLOOKUP($E53,$W$29:$AA$32,4)</f>
        <v>7.5486221162655548E-2</v>
      </c>
      <c r="N53" s="3" cm="1">
        <f t="array" ref="N53">X$8*EstymacjaGaussowska($C53,$C$2:$C$51,X$14)*EstymacjaGaussowska($D53,$D$2:$D$51,X$15)*VLOOKUP($E53,$W$29:$AA$32,2)/$M53</f>
        <v>1.6745476774883453E-276</v>
      </c>
      <c r="O53" s="3" cm="1">
        <f t="array" ref="O53">Y$8*EstymacjaGaussowska($C53,$C$52:$C$101,Y$14)*EstymacjaGaussowska($D53,$D$52:$D$101,Y$15)*VLOOKUP($E53,$W$29:$AA$32,3)/$M53</f>
        <v>0.90449729329980255</v>
      </c>
      <c r="P53" s="42" cm="1">
        <f t="array" ref="P53">Z$8*EstymacjaGaussowska($C53,$C$102:$C$151,Z$14)*EstymacjaGaussowska($D53,$D$102:$D$151,Z$15)*VLOOKUP($E53,$W$29:$AA$32,4)/$M53</f>
        <v>9.5502706700197421E-2</v>
      </c>
      <c r="Q53" s="43" t="str">
        <f t="shared" si="2"/>
        <v>versicolor</v>
      </c>
      <c r="R53" s="3" cm="1">
        <f t="array" ref="R53">X$8*EstymacjaGaussowska($C53,$C$2:$C$51,X$14)*EstymacjaGaussowska($D53,$D$2:$D$51,X$15)*EstymacjaGaussowska($A53,$A$2:$A$51,X$18)*EstymacjaGaussowska($B53,$B$2:$B$51,X$19)*VLOOKUP($E53,$W$29:$AA$32,2)+Y$8*EstymacjaGaussowska($C53,$C$52:$C$101,Y$14)*EstymacjaGaussowska($D53,$D$52:$D$101,Y$15)*EstymacjaGaussowska($A53,$A$52:$A$101,Y$18)*EstymacjaGaussowska($B53,$B$52:$B$101,Y$19)*VLOOKUP($E53,$W$29:$AA$32,3)+Z$8*EstymacjaGaussowska($C53,$C$102:$C$151,Z$14)*EstymacjaGaussowska($D53,$D$102:$D$151,Z$15)*EstymacjaGaussowska($A53,$A$102:$A$151,Z$18)*EstymacjaGaussowska($B53,$B$102:$B$151,Z$19)*VLOOKUP($E53,$W$29:$AA$32,4)</f>
        <v>2.2196436377493859E-2</v>
      </c>
      <c r="S53" s="3" cm="1">
        <f t="array" ref="S53">X$8*EstymacjaGaussowska($C53,$C$2:$C$51,X$14)*EstymacjaGaussowska($D53,$D$2:$D$51,X$15)*EstymacjaGaussowska($A53,$A$2:$A$51,X$18)*EstymacjaGaussowska($B53,$B$2:$B$51,X$19)*VLOOKUP($E53,$W$29:$AA$32,2)/$R53</f>
        <v>6.1083757271768873E-280</v>
      </c>
      <c r="T53" s="3" cm="1">
        <f t="array" ref="T53">Y$8*EstymacjaGaussowska($C53,$C$52:$C$101,Y$14)*EstymacjaGaussowska($D53,$D$52:$D$101,Y$15)*EstymacjaGaussowska($A53,$A$52:$A$101,Y$18)*EstymacjaGaussowska($B53,$B$52:$B$101,Y$19)*VLOOKUP($E53,$W$29:$AA$32,3)/$R53</f>
        <v>0.81891758171525419</v>
      </c>
      <c r="U53" s="42" cm="1">
        <f t="array" ref="U53">Z$8*EstymacjaGaussowska($C53,$C$102:$C$151,Z$14)*EstymacjaGaussowska($D53,$D$102:$D$151,Z$15)*EstymacjaGaussowska($A53,$A$102:$A$151,Z$18)*EstymacjaGaussowska($B53,$B$102:$B$151,Z$19)*VLOOKUP($E53,$W$29:$AA$32,4)/$R53</f>
        <v>0.18108241828474589</v>
      </c>
    </row>
    <row r="54" spans="1:21" x14ac:dyDescent="0.25">
      <c r="A54" s="9">
        <v>6.9</v>
      </c>
      <c r="B54" s="3">
        <v>3.1</v>
      </c>
      <c r="C54" s="3">
        <v>4.9000000000000004</v>
      </c>
      <c r="D54" s="8">
        <v>1.5</v>
      </c>
      <c r="E54" s="9" t="s">
        <v>11</v>
      </c>
      <c r="F54" s="50" t="s">
        <v>6</v>
      </c>
      <c r="G54" s="43" t="str">
        <f t="shared" si="7"/>
        <v>versicolor</v>
      </c>
      <c r="H54" s="3" cm="1">
        <f t="array" ref="H54">X$8*EstymacjaGaussowska($C54,$C$2:$C$51,X$14)*EstymacjaGaussowska($D54,$D$2:$D$51,X$15)+Y$8*EstymacjaGaussowska($C54,$C$52:$C$101,Y$14)*EstymacjaGaussowska($D54,$D$52:$D$101,Y$15)+Z$8*EstymacjaGaussowska($C54,$C$102:$C$151,Z$14)*EstymacjaGaussowska($D54,$D$102:$D$151,Z$15)</f>
        <v>0.24877397547877644</v>
      </c>
      <c r="I54" s="3" cm="1">
        <f t="array" ref="I54">X$8*EstymacjaGaussowska($C54,$C$2:$C$51,X$14)*EstymacjaGaussowska($D54,$D$2:$D$51,X$15)/$H54</f>
        <v>0</v>
      </c>
      <c r="J54" s="3" cm="1">
        <f t="array" ref="J54">Y$8*EstymacjaGaussowska($C54,$C$52:$C$101,Y$14)*EstymacjaGaussowska($D54,$D$52:$D$101,Y$15)/$H54</f>
        <v>0.81942155384352955</v>
      </c>
      <c r="K54" s="42" cm="1">
        <f t="array" ref="K54">Z$8*EstymacjaGaussowska($C54,$C$102:$C$151,Z$14)*EstymacjaGaussowska($D54,$D$102:$D$151,Z$15)/$H54</f>
        <v>0.18057844615647048</v>
      </c>
      <c r="L54" s="43" t="str">
        <f t="shared" si="1"/>
        <v>versicolor</v>
      </c>
      <c r="M54" s="3" cm="1">
        <f t="array" ref="M54">X$8*EstymacjaGaussowska($C54,$C$2:$C$51,X$14)*EstymacjaGaussowska($D54,$D$2:$D$51,X$15)*VLOOKUP($E54,$W$29:$AA$32,2)+Y$8*EstymacjaGaussowska($C54,$C$52:$C$101,Y$14)*EstymacjaGaussowska($D54,$D$52:$D$101,Y$15)*VLOOKUP($E54,$W$29:$AA$32,3)+Z$8*EstymacjaGaussowska($C54,$C$102:$C$151,Z$14)*EstymacjaGaussowska($D54,$D$102:$D$151,Z$15)*VLOOKUP($E54,$W$29:$AA$32,4)</f>
        <v>6.3647067119352405E-2</v>
      </c>
      <c r="N54" s="3" cm="1">
        <f t="array" ref="N54">X$8*EstymacjaGaussowska($C54,$C$2:$C$51,X$14)*EstymacjaGaussowska($D54,$D$2:$D$51,X$15)*VLOOKUP($E54,$W$29:$AA$32,2)/$M54</f>
        <v>0</v>
      </c>
      <c r="O54" s="3" cm="1">
        <f t="array" ref="O54">Y$8*EstymacjaGaussowska($C54,$C$52:$C$101,Y$14)*EstymacjaGaussowska($D54,$D$52:$D$101,Y$15)*VLOOKUP($E54,$W$29:$AA$32,3)/$M54</f>
        <v>0.57650946097593803</v>
      </c>
      <c r="P54" s="42" cm="1">
        <f t="array" ref="P54">Z$8*EstymacjaGaussowska($C54,$C$102:$C$151,Z$14)*EstymacjaGaussowska($D54,$D$102:$D$151,Z$15)*VLOOKUP($E54,$W$29:$AA$32,4)/$M54</f>
        <v>0.42349053902406203</v>
      </c>
      <c r="Q54" s="43" t="str">
        <f t="shared" si="2"/>
        <v>virginica</v>
      </c>
      <c r="R54" s="3" cm="1">
        <f t="array" ref="R54">X$8*EstymacjaGaussowska($C54,$C$2:$C$51,X$14)*EstymacjaGaussowska($D54,$D$2:$D$51,X$15)*EstymacjaGaussowska($A54,$A$2:$A$51,X$18)*EstymacjaGaussowska($B54,$B$2:$B$51,X$19)*VLOOKUP($E54,$W$29:$AA$32,2)+Y$8*EstymacjaGaussowska($C54,$C$52:$C$101,Y$14)*EstymacjaGaussowska($D54,$D$52:$D$101,Y$15)*EstymacjaGaussowska($A54,$A$52:$A$101,Y$18)*EstymacjaGaussowska($B54,$B$52:$B$101,Y$19)*VLOOKUP($E54,$W$29:$AA$32,3)+Z$8*EstymacjaGaussowska($C54,$C$102:$C$151,Z$14)*EstymacjaGaussowska($D54,$D$102:$D$151,Z$15)*EstymacjaGaussowska($A54,$A$102:$A$151,Z$18)*EstymacjaGaussowska($B54,$B$102:$B$151,Z$19)*VLOOKUP($E54,$W$29:$AA$32,4)</f>
        <v>1.9869909167081954E-2</v>
      </c>
      <c r="S54" s="3" cm="1">
        <f t="array" ref="S54">X$8*EstymacjaGaussowska($C54,$C$2:$C$51,X$14)*EstymacjaGaussowska($D54,$D$2:$D$51,X$15)*EstymacjaGaussowska($A54,$A$2:$A$51,X$18)*EstymacjaGaussowska($B54,$B$2:$B$51,X$19)*VLOOKUP($E54,$W$29:$AA$32,2)/$R54</f>
        <v>0</v>
      </c>
      <c r="T54" s="3" cm="1">
        <f t="array" ref="T54">Y$8*EstymacjaGaussowska($C54,$C$52:$C$101,Y$14)*EstymacjaGaussowska($D54,$D$52:$D$101,Y$15)*EstymacjaGaussowska($A54,$A$52:$A$101,Y$18)*EstymacjaGaussowska($B54,$B$52:$B$101,Y$19)*VLOOKUP($E54,$W$29:$AA$32,3)/$R54</f>
        <v>0.34417550940416802</v>
      </c>
      <c r="U54" s="42" cm="1">
        <f t="array" ref="U54">Z$8*EstymacjaGaussowska($C54,$C$102:$C$151,Z$14)*EstymacjaGaussowska($D54,$D$102:$D$151,Z$15)*EstymacjaGaussowska($A54,$A$102:$A$151,Z$18)*EstymacjaGaussowska($B54,$B$102:$B$151,Z$19)*VLOOKUP($E54,$W$29:$AA$32,4)/$R54</f>
        <v>0.65582449059583203</v>
      </c>
    </row>
    <row r="55" spans="1:21" x14ac:dyDescent="0.25">
      <c r="A55" s="9">
        <v>5.5</v>
      </c>
      <c r="B55" s="3">
        <v>2.2999999999999998</v>
      </c>
      <c r="C55" s="3">
        <v>4</v>
      </c>
      <c r="D55" s="8">
        <v>1.3</v>
      </c>
      <c r="E55" s="9" t="s">
        <v>11</v>
      </c>
      <c r="F55" s="50" t="s">
        <v>6</v>
      </c>
      <c r="G55" s="43" t="str">
        <f t="shared" si="7"/>
        <v>versicolor</v>
      </c>
      <c r="H55" s="3" cm="1">
        <f t="array" ref="H55">X$8*EstymacjaGaussowska($C55,$C$2:$C$51,X$14)*EstymacjaGaussowska($D55,$D$2:$D$51,X$15)+Y$8*EstymacjaGaussowska($C55,$C$52:$C$101,Y$14)*EstymacjaGaussowska($D55,$D$52:$D$101,Y$15)+Z$8*EstymacjaGaussowska($C55,$C$102:$C$151,Z$14)*EstymacjaGaussowska($D55,$D$102:$D$151,Z$15)</f>
        <v>0.35875457532389737</v>
      </c>
      <c r="I55" s="3" cm="1">
        <f t="array" ref="I55">X$8*EstymacjaGaussowska($C55,$C$2:$C$51,X$14)*EstymacjaGaussowska($D55,$D$2:$D$51,X$15)/$H55</f>
        <v>3.4510386690466513E-178</v>
      </c>
      <c r="J55" s="3" cm="1">
        <f t="array" ref="J55">Y$8*EstymacjaGaussowska($C55,$C$52:$C$101,Y$14)*EstymacjaGaussowska($D55,$D$52:$D$101,Y$15)/$H55</f>
        <v>0.99947134185837383</v>
      </c>
      <c r="K55" s="42" cm="1">
        <f t="array" ref="K55">Z$8*EstymacjaGaussowska($C55,$C$102:$C$151,Z$14)*EstymacjaGaussowska($D55,$D$102:$D$151,Z$15)/$H55</f>
        <v>5.2865814162627635E-4</v>
      </c>
      <c r="L55" s="43" t="str">
        <f t="shared" si="1"/>
        <v>versicolor</v>
      </c>
      <c r="M55" s="3" cm="1">
        <f t="array" ref="M55">X$8*EstymacjaGaussowska($C55,$C$2:$C$51,X$14)*EstymacjaGaussowska($D55,$D$2:$D$51,X$15)*VLOOKUP($E55,$W$29:$AA$32,2)+Y$8*EstymacjaGaussowska($C55,$C$52:$C$101,Y$14)*EstymacjaGaussowska($D55,$D$52:$D$101,Y$15)*VLOOKUP($E55,$W$29:$AA$32,3)+Z$8*EstymacjaGaussowska($C55,$C$102:$C$151,Z$14)*EstymacjaGaussowska($D55,$D$102:$D$151,Z$15)*VLOOKUP($E55,$W$29:$AA$32,4)</f>
        <v>6.4655480139679603E-2</v>
      </c>
      <c r="N55" s="3" cm="1">
        <f t="array" ref="N55">X$8*EstymacjaGaussowska($C55,$C$2:$C$51,X$14)*EstymacjaGaussowska($D55,$D$2:$D$51,X$15)*VLOOKUP($E55,$W$29:$AA$32,2)/$M55</f>
        <v>8.4254791730694962E-178</v>
      </c>
      <c r="O55" s="3" cm="1">
        <f t="array" ref="O55">Y$8*EstymacjaGaussowska($C55,$C$52:$C$101,Y$14)*EstymacjaGaussowska($D55,$D$52:$D$101,Y$15)*VLOOKUP($E55,$W$29:$AA$32,3)/$M55</f>
        <v>0.99823997724541591</v>
      </c>
      <c r="P55" s="42" cm="1">
        <f t="array" ref="P55">Z$8*EstymacjaGaussowska($C55,$C$102:$C$151,Z$14)*EstymacjaGaussowska($D55,$D$102:$D$151,Z$15)*VLOOKUP($E55,$W$29:$AA$32,4)/$M55</f>
        <v>1.7600227545840517E-3</v>
      </c>
      <c r="Q55" s="43" t="str">
        <f t="shared" si="2"/>
        <v>versicolor</v>
      </c>
      <c r="R55" s="3" cm="1">
        <f t="array" ref="R55">X$8*EstymacjaGaussowska($C55,$C$2:$C$51,X$14)*EstymacjaGaussowska($D55,$D$2:$D$51,X$15)*EstymacjaGaussowska($A55,$A$2:$A$51,X$18)*EstymacjaGaussowska($B55,$B$2:$B$51,X$19)*VLOOKUP($E55,$W$29:$AA$32,2)+Y$8*EstymacjaGaussowska($C55,$C$52:$C$101,Y$14)*EstymacjaGaussowska($D55,$D$52:$D$101,Y$15)*EstymacjaGaussowska($A55,$A$52:$A$101,Y$18)*EstymacjaGaussowska($B55,$B$52:$B$101,Y$19)*VLOOKUP($E55,$W$29:$AA$32,3)+Z$8*EstymacjaGaussowska($C55,$C$102:$C$151,Z$14)*EstymacjaGaussowska($D55,$D$102:$D$151,Z$15)*EstymacjaGaussowska($A55,$A$102:$A$151,Z$18)*EstymacjaGaussowska($B55,$B$102:$B$151,Z$19)*VLOOKUP($E55,$W$29:$AA$32,4)</f>
        <v>1.852981603315763E-2</v>
      </c>
      <c r="S55" s="3" cm="1">
        <f t="array" ref="S55">X$8*EstymacjaGaussowska($C55,$C$2:$C$51,X$14)*EstymacjaGaussowska($D55,$D$2:$D$51,X$15)*EstymacjaGaussowska($A55,$A$2:$A$51,X$18)*EstymacjaGaussowska($B55,$B$2:$B$51,X$19)*VLOOKUP($E55,$W$29:$AA$32,2)/$R55</f>
        <v>5.546801133162507E-179</v>
      </c>
      <c r="T55" s="3" cm="1">
        <f t="array" ref="T55">Y$8*EstymacjaGaussowska($C55,$C$52:$C$101,Y$14)*EstymacjaGaussowska($D55,$D$52:$D$101,Y$15)*EstymacjaGaussowska($A55,$A$52:$A$101,Y$18)*EstymacjaGaussowska($B55,$B$52:$B$101,Y$19)*VLOOKUP($E55,$W$29:$AA$32,3)/$R55</f>
        <v>0.99986179096942274</v>
      </c>
      <c r="U55" s="42" cm="1">
        <f t="array" ref="U55">Z$8*EstymacjaGaussowska($C55,$C$102:$C$151,Z$14)*EstymacjaGaussowska($D55,$D$102:$D$151,Z$15)*EstymacjaGaussowska($A55,$A$102:$A$151,Z$18)*EstymacjaGaussowska($B55,$B$102:$B$151,Z$19)*VLOOKUP($E55,$W$29:$AA$32,4)/$R55</f>
        <v>1.3820903057717426E-4</v>
      </c>
    </row>
    <row r="56" spans="1:21" x14ac:dyDescent="0.25">
      <c r="A56" s="9">
        <v>6.5</v>
      </c>
      <c r="B56" s="3">
        <v>2.8</v>
      </c>
      <c r="C56" s="3">
        <v>4.5999999999999996</v>
      </c>
      <c r="D56" s="8">
        <v>1.5</v>
      </c>
      <c r="E56" s="9" t="s">
        <v>11</v>
      </c>
      <c r="F56" s="50" t="s">
        <v>6</v>
      </c>
      <c r="G56" s="43" t="str">
        <f t="shared" si="7"/>
        <v>versicolor</v>
      </c>
      <c r="H56" s="3" cm="1">
        <f t="array" ref="H56">X$8*EstymacjaGaussowska($C56,$C$2:$C$51,X$14)*EstymacjaGaussowska($D56,$D$2:$D$51,X$15)+Y$8*EstymacjaGaussowska($C56,$C$52:$C$101,Y$14)*EstymacjaGaussowska($D56,$D$52:$D$101,Y$15)+Z$8*EstymacjaGaussowska($C56,$C$102:$C$151,Z$14)*EstymacjaGaussowska($D56,$D$102:$D$151,Z$15)</f>
        <v>0.37897146998587705</v>
      </c>
      <c r="I56" s="3" cm="1">
        <f t="array" ref="I56">X$8*EstymacjaGaussowska($C56,$C$2:$C$51,X$14)*EstymacjaGaussowska($D56,$D$2:$D$51,X$15)/$H56</f>
        <v>4.36188538066589E-293</v>
      </c>
      <c r="J56" s="3" cm="1">
        <f t="array" ref="J56">Y$8*EstymacjaGaussowska($C56,$C$52:$C$101,Y$14)*EstymacjaGaussowska($D56,$D$52:$D$101,Y$15)/$H56</f>
        <v>0.95125260551188373</v>
      </c>
      <c r="K56" s="42" cm="1">
        <f t="array" ref="K56">Z$8*EstymacjaGaussowska($C56,$C$102:$C$151,Z$14)*EstymacjaGaussowska($D56,$D$102:$D$151,Z$15)/$H56</f>
        <v>4.8747394488116373E-2</v>
      </c>
      <c r="L56" s="43" t="str">
        <f t="shared" si="1"/>
        <v>versicolor</v>
      </c>
      <c r="M56" s="3" cm="1">
        <f t="array" ref="M56">X$8*EstymacjaGaussowska($C56,$C$2:$C$51,X$14)*EstymacjaGaussowska($D56,$D$2:$D$51,X$15)*VLOOKUP($E56,$W$29:$AA$32,2)+Y$8*EstymacjaGaussowska($C56,$C$52:$C$101,Y$14)*EstymacjaGaussowska($D56,$D$52:$D$101,Y$15)*VLOOKUP($E56,$W$29:$AA$32,3)+Z$8*EstymacjaGaussowska($C56,$C$102:$C$151,Z$14)*EstymacjaGaussowska($D56,$D$102:$D$151,Z$15)*VLOOKUP($E56,$W$29:$AA$32,4)</f>
        <v>7.597389073125789E-2</v>
      </c>
      <c r="N56" s="3" cm="1">
        <f t="array" ref="N56">X$8*EstymacjaGaussowska($C56,$C$2:$C$51,X$14)*EstymacjaGaussowska($D56,$D$2:$D$51,X$15)*VLOOKUP($E56,$W$29:$AA$32,2)/$M56</f>
        <v>9.5734632441817516E-293</v>
      </c>
      <c r="O56" s="3" cm="1">
        <f t="array" ref="O56">Y$8*EstymacjaGaussowska($C56,$C$52:$C$101,Y$14)*EstymacjaGaussowska($D56,$D$52:$D$101,Y$15)*VLOOKUP($E56,$W$29:$AA$32,3)/$M56</f>
        <v>0.85410352238646992</v>
      </c>
      <c r="P56" s="42" cm="1">
        <f t="array" ref="P56">Z$8*EstymacjaGaussowska($C56,$C$102:$C$151,Z$14)*EstymacjaGaussowska($D56,$D$102:$D$151,Z$15)*VLOOKUP($E56,$W$29:$AA$32,4)/$M56</f>
        <v>0.14589647761353</v>
      </c>
      <c r="Q56" s="43" t="str">
        <f t="shared" si="2"/>
        <v>versicolor</v>
      </c>
      <c r="R56" s="3" cm="1">
        <f t="array" ref="R56">X$8*EstymacjaGaussowska($C56,$C$2:$C$51,X$14)*EstymacjaGaussowska($D56,$D$2:$D$51,X$15)*EstymacjaGaussowska($A56,$A$2:$A$51,X$18)*EstymacjaGaussowska($B56,$B$2:$B$51,X$19)*VLOOKUP($E56,$W$29:$AA$32,2)+Y$8*EstymacjaGaussowska($C56,$C$52:$C$101,Y$14)*EstymacjaGaussowska($D56,$D$52:$D$101,Y$15)*EstymacjaGaussowska($A56,$A$52:$A$101,Y$18)*EstymacjaGaussowska($B56,$B$52:$B$101,Y$19)*VLOOKUP($E56,$W$29:$AA$32,3)+Z$8*EstymacjaGaussowska($C56,$C$102:$C$151,Z$14)*EstymacjaGaussowska($D56,$D$102:$D$151,Z$15)*EstymacjaGaussowska($A56,$A$102:$A$151,Z$18)*EstymacjaGaussowska($B56,$B$102:$B$151,Z$19)*VLOOKUP($E56,$W$29:$AA$32,4)</f>
        <v>3.701183245965306E-2</v>
      </c>
      <c r="S56" s="3" cm="1">
        <f t="array" ref="S56">X$8*EstymacjaGaussowska($C56,$C$2:$C$51,X$14)*EstymacjaGaussowska($D56,$D$2:$D$51,X$15)*EstymacjaGaussowska($A56,$A$2:$A$51,X$18)*EstymacjaGaussowska($B56,$B$2:$B$51,X$19)*VLOOKUP($E56,$W$29:$AA$32,2)/$R56</f>
        <v>6.0713253595766924E-298</v>
      </c>
      <c r="T56" s="3" cm="1">
        <f t="array" ref="T56">Y$8*EstymacjaGaussowska($C56,$C$52:$C$101,Y$14)*EstymacjaGaussowska($D56,$D$52:$D$101,Y$15)*EstymacjaGaussowska($A56,$A$52:$A$101,Y$18)*EstymacjaGaussowska($B56,$B$52:$B$101,Y$19)*VLOOKUP($E56,$W$29:$AA$32,3)/$R56</f>
        <v>0.80740099830434897</v>
      </c>
      <c r="U56" s="42" cm="1">
        <f t="array" ref="U56">Z$8*EstymacjaGaussowska($C56,$C$102:$C$151,Z$14)*EstymacjaGaussowska($D56,$D$102:$D$151,Z$15)*EstymacjaGaussowska($A56,$A$102:$A$151,Z$18)*EstymacjaGaussowska($B56,$B$102:$B$151,Z$19)*VLOOKUP($E56,$W$29:$AA$32,4)/$R56</f>
        <v>0.19259900169565106</v>
      </c>
    </row>
    <row r="57" spans="1:21" x14ac:dyDescent="0.25">
      <c r="A57" s="9">
        <v>5.7</v>
      </c>
      <c r="B57" s="3">
        <v>2.8</v>
      </c>
      <c r="C57" s="3">
        <v>4.5</v>
      </c>
      <c r="D57" s="8">
        <v>1.3</v>
      </c>
      <c r="E57" s="9" t="s">
        <v>11</v>
      </c>
      <c r="F57" s="50" t="s">
        <v>6</v>
      </c>
      <c r="G57" s="43" t="str">
        <f t="shared" si="7"/>
        <v>versicolor</v>
      </c>
      <c r="H57" s="3" cm="1">
        <f t="array" ref="H57">X$8*EstymacjaGaussowska($C57,$C$2:$C$51,X$14)*EstymacjaGaussowska($D57,$D$2:$D$51,X$15)+Y$8*EstymacjaGaussowska($C57,$C$52:$C$101,Y$14)*EstymacjaGaussowska($D57,$D$52:$D$101,Y$15)+Z$8*EstymacjaGaussowska($C57,$C$102:$C$151,Z$14)*EstymacjaGaussowska($D57,$D$102:$D$151,Z$15)</f>
        <v>0.47179061661356064</v>
      </c>
      <c r="I57" s="3" cm="1">
        <f t="array" ref="I57">X$8*EstymacjaGaussowska($C57,$C$2:$C$51,X$14)*EstymacjaGaussowska($D57,$D$2:$D$51,X$15)/$H57</f>
        <v>2.5781606830227368E-250</v>
      </c>
      <c r="J57" s="3" cm="1">
        <f t="array" ref="J57">Y$8*EstymacjaGaussowska($C57,$C$52:$C$101,Y$14)*EstymacjaGaussowska($D57,$D$52:$D$101,Y$15)/$H57</f>
        <v>0.99197067806005312</v>
      </c>
      <c r="K57" s="42" cm="1">
        <f t="array" ref="K57">Z$8*EstymacjaGaussowska($C57,$C$102:$C$151,Z$14)*EstymacjaGaussowska($D57,$D$102:$D$151,Z$15)/$H57</f>
        <v>8.0293219399468867E-3</v>
      </c>
      <c r="L57" s="43" t="str">
        <f t="shared" si="1"/>
        <v>versicolor</v>
      </c>
      <c r="M57" s="3" cm="1">
        <f t="array" ref="M57">X$8*EstymacjaGaussowska($C57,$C$2:$C$51,X$14)*EstymacjaGaussowska($D57,$D$2:$D$51,X$15)*VLOOKUP($E57,$W$29:$AA$32,2)+Y$8*EstymacjaGaussowska($C57,$C$52:$C$101,Y$14)*EstymacjaGaussowska($D57,$D$52:$D$101,Y$15)*VLOOKUP($E57,$W$29:$AA$32,3)+Z$8*EstymacjaGaussowska($C57,$C$102:$C$151,Z$14)*EstymacjaGaussowska($D57,$D$102:$D$151,Z$15)*VLOOKUP($E57,$W$29:$AA$32,4)</f>
        <v>8.6513337665036175E-2</v>
      </c>
      <c r="N57" s="3" cm="1">
        <f t="array" ref="N57">X$8*EstymacjaGaussowska($C57,$C$2:$C$51,X$14)*EstymacjaGaussowska($D57,$D$2:$D$51,X$15)*VLOOKUP($E57,$W$29:$AA$32,2)/$M57</f>
        <v>6.1862702622330495E-250</v>
      </c>
      <c r="O57" s="3" cm="1">
        <f t="array" ref="O57">Y$8*EstymacjaGaussowska($C57,$C$52:$C$101,Y$14)*EstymacjaGaussowska($D57,$D$52:$D$101,Y$15)*VLOOKUP($E57,$W$29:$AA$32,3)/$M57</f>
        <v>0.97372780532150971</v>
      </c>
      <c r="P57" s="42" cm="1">
        <f t="array" ref="P57">Z$8*EstymacjaGaussowska($C57,$C$102:$C$151,Z$14)*EstymacjaGaussowska($D57,$D$102:$D$151,Z$15)*VLOOKUP($E57,$W$29:$AA$32,4)/$M57</f>
        <v>2.6272194678490315E-2</v>
      </c>
      <c r="Q57" s="43" t="str">
        <f t="shared" si="2"/>
        <v>versicolor</v>
      </c>
      <c r="R57" s="3" cm="1">
        <f t="array" ref="R57">X$8*EstymacjaGaussowska($C57,$C$2:$C$51,X$14)*EstymacjaGaussowska($D57,$D$2:$D$51,X$15)*EstymacjaGaussowska($A57,$A$2:$A$51,X$18)*EstymacjaGaussowska($B57,$B$2:$B$51,X$19)*VLOOKUP($E57,$W$29:$AA$32,2)+Y$8*EstymacjaGaussowska($C57,$C$52:$C$101,Y$14)*EstymacjaGaussowska($D57,$D$52:$D$101,Y$15)*EstymacjaGaussowska($A57,$A$52:$A$101,Y$18)*EstymacjaGaussowska($B57,$B$52:$B$101,Y$19)*VLOOKUP($E57,$W$29:$AA$32,3)+Z$8*EstymacjaGaussowska($C57,$C$102:$C$151,Z$14)*EstymacjaGaussowska($D57,$D$102:$D$151,Z$15)*EstymacjaGaussowska($A57,$A$102:$A$151,Z$18)*EstymacjaGaussowska($B57,$B$102:$B$151,Z$19)*VLOOKUP($E57,$W$29:$AA$32,4)</f>
        <v>6.6534446253597473E-2</v>
      </c>
      <c r="S57" s="3" cm="1">
        <f t="array" ref="S57">X$8*EstymacjaGaussowska($C57,$C$2:$C$51,X$14)*EstymacjaGaussowska($D57,$D$2:$D$51,X$15)*EstymacjaGaussowska($A57,$A$2:$A$51,X$18)*EstymacjaGaussowska($B57,$B$2:$B$51,X$19)*VLOOKUP($E57,$W$29:$AA$32,2)/$R57</f>
        <v>4.7941829134097125E-251</v>
      </c>
      <c r="T57" s="3" cm="1">
        <f t="array" ref="T57">Y$8*EstymacjaGaussowska($C57,$C$52:$C$101,Y$14)*EstymacjaGaussowska($D57,$D$52:$D$101,Y$15)*EstymacjaGaussowska($A57,$A$52:$A$101,Y$18)*EstymacjaGaussowska($B57,$B$52:$B$101,Y$19)*VLOOKUP($E57,$W$29:$AA$32,3)/$R57</f>
        <v>0.9909747778916228</v>
      </c>
      <c r="U57" s="42" cm="1">
        <f t="array" ref="U57">Z$8*EstymacjaGaussowska($C57,$C$102:$C$151,Z$14)*EstymacjaGaussowska($D57,$D$102:$D$151,Z$15)*EstymacjaGaussowska($A57,$A$102:$A$151,Z$18)*EstymacjaGaussowska($B57,$B$102:$B$151,Z$19)*VLOOKUP($E57,$W$29:$AA$32,4)/$R57</f>
        <v>9.0252221083771955E-3</v>
      </c>
    </row>
    <row r="58" spans="1:21" x14ac:dyDescent="0.25">
      <c r="A58" s="9">
        <v>6.3</v>
      </c>
      <c r="B58" s="3">
        <v>3.3</v>
      </c>
      <c r="C58" s="3">
        <v>4.7</v>
      </c>
      <c r="D58" s="8">
        <v>1.6</v>
      </c>
      <c r="E58" s="9" t="s">
        <v>11</v>
      </c>
      <c r="F58" s="50" t="s">
        <v>6</v>
      </c>
      <c r="G58" s="43" t="str">
        <f t="shared" si="7"/>
        <v>versicolor</v>
      </c>
      <c r="H58" s="3" cm="1">
        <f t="array" ref="H58">X$8*EstymacjaGaussowska($C58,$C$2:$C$51,X$14)*EstymacjaGaussowska($D58,$D$2:$D$51,X$15)+Y$8*EstymacjaGaussowska($C58,$C$52:$C$101,Y$14)*EstymacjaGaussowska($D58,$D$52:$D$101,Y$15)+Z$8*EstymacjaGaussowska($C58,$C$102:$C$151,Z$14)*EstymacjaGaussowska($D58,$D$102:$D$151,Z$15)</f>
        <v>0.23360193514899597</v>
      </c>
      <c r="I58" s="3" cm="1">
        <f t="array" ref="I58">X$8*EstymacjaGaussowska($C58,$C$2:$C$51,X$14)*EstymacjaGaussowska($D58,$D$2:$D$51,X$15)/$H58</f>
        <v>0</v>
      </c>
      <c r="J58" s="3" cm="1">
        <f t="array" ref="J58">Y$8*EstymacjaGaussowska($C58,$C$52:$C$101,Y$14)*EstymacjaGaussowska($D58,$D$52:$D$101,Y$15)/$H58</f>
        <v>0.81726799184162358</v>
      </c>
      <c r="K58" s="42" cm="1">
        <f t="array" ref="K58">Z$8*EstymacjaGaussowska($C58,$C$102:$C$151,Z$14)*EstymacjaGaussowska($D58,$D$102:$D$151,Z$15)/$H58</f>
        <v>0.18273200815837642</v>
      </c>
      <c r="L58" s="43" t="str">
        <f t="shared" si="1"/>
        <v>versicolor</v>
      </c>
      <c r="M58" s="3" cm="1">
        <f t="array" ref="M58">X$8*EstymacjaGaussowska($C58,$C$2:$C$51,X$14)*EstymacjaGaussowska($D58,$D$2:$D$51,X$15)*VLOOKUP($E58,$W$29:$AA$32,2)+Y$8*EstymacjaGaussowska($C58,$C$52:$C$101,Y$14)*EstymacjaGaussowska($D58,$D$52:$D$101,Y$15)*VLOOKUP($E58,$W$29:$AA$32,3)+Z$8*EstymacjaGaussowska($C58,$C$102:$C$151,Z$14)*EstymacjaGaussowska($D58,$D$102:$D$151,Z$15)*VLOOKUP($E58,$W$29:$AA$32,4)</f>
        <v>5.9976699628991992E-2</v>
      </c>
      <c r="N58" s="3" cm="1">
        <f t="array" ref="N58">X$8*EstymacjaGaussowska($C58,$C$2:$C$51,X$14)*EstymacjaGaussowska($D58,$D$2:$D$51,X$15)*VLOOKUP($E58,$W$29:$AA$32,2)/$M58</f>
        <v>0</v>
      </c>
      <c r="O58" s="3" cm="1">
        <f t="array" ref="O58">Y$8*EstymacjaGaussowska($C58,$C$52:$C$101,Y$14)*EstymacjaGaussowska($D58,$D$52:$D$101,Y$15)*VLOOKUP($E58,$W$29:$AA$32,3)/$M58</f>
        <v>0.57296865966104571</v>
      </c>
      <c r="P58" s="42" cm="1">
        <f t="array" ref="P58">Z$8*EstymacjaGaussowska($C58,$C$102:$C$151,Z$14)*EstymacjaGaussowska($D58,$D$102:$D$151,Z$15)*VLOOKUP($E58,$W$29:$AA$32,4)/$M58</f>
        <v>0.42703134033895424</v>
      </c>
      <c r="Q58" s="43" t="str">
        <f t="shared" si="2"/>
        <v>virginica</v>
      </c>
      <c r="R58" s="3" cm="1">
        <f t="array" ref="R58">X$8*EstymacjaGaussowska($C58,$C$2:$C$51,X$14)*EstymacjaGaussowska($D58,$D$2:$D$51,X$15)*EstymacjaGaussowska($A58,$A$2:$A$51,X$18)*EstymacjaGaussowska($B58,$B$2:$B$51,X$19)*VLOOKUP($E58,$W$29:$AA$32,2)+Y$8*EstymacjaGaussowska($C58,$C$52:$C$101,Y$14)*EstymacjaGaussowska($D58,$D$52:$D$101,Y$15)*EstymacjaGaussowska($A58,$A$52:$A$101,Y$18)*EstymacjaGaussowska($B58,$B$52:$B$101,Y$19)*VLOOKUP($E58,$W$29:$AA$32,3)+Z$8*EstymacjaGaussowska($C58,$C$102:$C$151,Z$14)*EstymacjaGaussowska($D58,$D$102:$D$151,Z$15)*EstymacjaGaussowska($A58,$A$102:$A$151,Z$18)*EstymacjaGaussowska($B58,$B$102:$B$151,Z$19)*VLOOKUP($E58,$W$29:$AA$32,4)</f>
        <v>1.6246891771406181E-2</v>
      </c>
      <c r="S58" s="3" cm="1">
        <f t="array" ref="S58">X$8*EstymacjaGaussowska($C58,$C$2:$C$51,X$14)*EstymacjaGaussowska($D58,$D$2:$D$51,X$15)*EstymacjaGaussowska($A58,$A$2:$A$51,X$18)*EstymacjaGaussowska($B58,$B$2:$B$51,X$19)*VLOOKUP($E58,$W$29:$AA$32,2)/$R58</f>
        <v>0</v>
      </c>
      <c r="T58" s="3" cm="1">
        <f t="array" ref="T58">Y$8*EstymacjaGaussowska($C58,$C$52:$C$101,Y$14)*EstymacjaGaussowska($D58,$D$52:$D$101,Y$15)*EstymacjaGaussowska($A58,$A$52:$A$101,Y$18)*EstymacjaGaussowska($B58,$B$52:$B$101,Y$19)*VLOOKUP($E58,$W$29:$AA$32,3)/$R58</f>
        <v>0.38159856784053425</v>
      </c>
      <c r="U58" s="42" cm="1">
        <f t="array" ref="U58">Z$8*EstymacjaGaussowska($C58,$C$102:$C$151,Z$14)*EstymacjaGaussowska($D58,$D$102:$D$151,Z$15)*EstymacjaGaussowska($A58,$A$102:$A$151,Z$18)*EstymacjaGaussowska($B58,$B$102:$B$151,Z$19)*VLOOKUP($E58,$W$29:$AA$32,4)/$R58</f>
        <v>0.61840143215946564</v>
      </c>
    </row>
    <row r="59" spans="1:21" x14ac:dyDescent="0.25">
      <c r="A59" s="9">
        <v>4.9000000000000004</v>
      </c>
      <c r="B59" s="3">
        <v>2.4</v>
      </c>
      <c r="C59" s="3">
        <v>3.3</v>
      </c>
      <c r="D59" s="8">
        <v>1</v>
      </c>
      <c r="E59" s="9" t="s">
        <v>11</v>
      </c>
      <c r="F59" s="50" t="s">
        <v>6</v>
      </c>
      <c r="G59" s="43" t="str">
        <f t="shared" si="7"/>
        <v>versicolor</v>
      </c>
      <c r="H59" s="3" cm="1">
        <f t="array" ref="H59">X$8*EstymacjaGaussowska($C59,$C$2:$C$51,X$14)*EstymacjaGaussowska($D59,$D$2:$D$51,X$15)+Y$8*EstymacjaGaussowska($C59,$C$52:$C$101,Y$14)*EstymacjaGaussowska($D59,$D$52:$D$101,Y$15)+Z$8*EstymacjaGaussowska($C59,$C$102:$C$151,Z$14)*EstymacjaGaussowska($D59,$D$102:$D$151,Z$15)</f>
        <v>4.2512064980799444E-2</v>
      </c>
      <c r="I59" s="3" cm="1">
        <f t="array" ref="I59">X$8*EstymacjaGaussowska($C59,$C$2:$C$51,X$14)*EstymacjaGaussowska($D59,$D$2:$D$51,X$15)/$H59</f>
        <v>9.88354189413301E-75</v>
      </c>
      <c r="J59" s="3" cm="1">
        <f t="array" ref="J59">Y$8*EstymacjaGaussowska($C59,$C$52:$C$101,Y$14)*EstymacjaGaussowska($D59,$D$52:$D$101,Y$15)/$H59</f>
        <v>0.99999999230716097</v>
      </c>
      <c r="K59" s="42" cm="1">
        <f t="array" ref="K59">Z$8*EstymacjaGaussowska($C59,$C$102:$C$151,Z$14)*EstymacjaGaussowska($D59,$D$102:$D$151,Z$15)/$H59</f>
        <v>7.6928390547935089E-9</v>
      </c>
      <c r="L59" s="43" t="str">
        <f t="shared" si="1"/>
        <v>versicolor</v>
      </c>
      <c r="M59" s="3" cm="1">
        <f t="array" ref="M59">X$8*EstymacjaGaussowska($C59,$C$2:$C$51,X$14)*EstymacjaGaussowska($D59,$D$2:$D$51,X$15)*VLOOKUP($E59,$W$29:$AA$32,2)+Y$8*EstymacjaGaussowska($C59,$C$52:$C$101,Y$14)*EstymacjaGaussowska($D59,$D$52:$D$101,Y$15)*VLOOKUP($E59,$W$29:$AA$32,3)+Z$8*EstymacjaGaussowska($C59,$C$102:$C$151,Z$14)*EstymacjaGaussowska($D59,$D$102:$D$151,Z$15)*VLOOKUP($E59,$W$29:$AA$32,4)</f>
        <v>7.6521718339000594E-3</v>
      </c>
      <c r="N59" s="3" cm="1">
        <f t="array" ref="N59">X$8*EstymacjaGaussowska($C59,$C$2:$C$51,X$14)*EstymacjaGaussowska($D59,$D$2:$D$51,X$15)*VLOOKUP($E59,$W$29:$AA$32,2)/$M59</f>
        <v>2.4159768640880529E-74</v>
      </c>
      <c r="O59" s="3" cm="1">
        <f t="array" ref="O59">Y$8*EstymacjaGaussowska($C59,$C$52:$C$101,Y$14)*EstymacjaGaussowska($D59,$D$52:$D$101,Y$15)*VLOOKUP($E59,$W$29:$AA$32,3)/$M59</f>
        <v>0.99999997435720356</v>
      </c>
      <c r="P59" s="42" cm="1">
        <f t="array" ref="P59">Z$8*EstymacjaGaussowska($C59,$C$102:$C$151,Z$14)*EstymacjaGaussowska($D59,$D$102:$D$151,Z$15)*VLOOKUP($E59,$W$29:$AA$32,4)/$M59</f>
        <v>2.5642796389024579E-8</v>
      </c>
      <c r="Q59" s="43" t="str">
        <f t="shared" si="2"/>
        <v>versicolor</v>
      </c>
      <c r="R59" s="3" cm="1">
        <f t="array" ref="R59">X$8*EstymacjaGaussowska($C59,$C$2:$C$51,X$14)*EstymacjaGaussowska($D59,$D$2:$D$51,X$15)*EstymacjaGaussowska($A59,$A$2:$A$51,X$18)*EstymacjaGaussowska($B59,$B$2:$B$51,X$19)*VLOOKUP($E59,$W$29:$AA$32,2)+Y$8*EstymacjaGaussowska($C59,$C$52:$C$101,Y$14)*EstymacjaGaussowska($D59,$D$52:$D$101,Y$15)*EstymacjaGaussowska($A59,$A$52:$A$101,Y$18)*EstymacjaGaussowska($B59,$B$52:$B$101,Y$19)*VLOOKUP($E59,$W$29:$AA$32,3)+Z$8*EstymacjaGaussowska($C59,$C$102:$C$151,Z$14)*EstymacjaGaussowska($D59,$D$102:$D$151,Z$15)*EstymacjaGaussowska($A59,$A$102:$A$151,Z$18)*EstymacjaGaussowska($B59,$B$102:$B$151,Z$19)*VLOOKUP($E59,$W$29:$AA$32,4)</f>
        <v>6.9193296124999369E-4</v>
      </c>
      <c r="S59" s="3" cm="1">
        <f t="array" ref="S59">X$8*EstymacjaGaussowska($C59,$C$2:$C$51,X$14)*EstymacjaGaussowska($D59,$D$2:$D$51,X$15)*EstymacjaGaussowska($A59,$A$2:$A$51,X$18)*EstymacjaGaussowska($B59,$B$2:$B$51,X$19)*VLOOKUP($E59,$W$29:$AA$32,2)/$R59</f>
        <v>1.0826830538272378E-74</v>
      </c>
      <c r="T59" s="3" cm="1">
        <f t="array" ref="T59">Y$8*EstymacjaGaussowska($C59,$C$52:$C$101,Y$14)*EstymacjaGaussowska($D59,$D$52:$D$101,Y$15)*EstymacjaGaussowska($A59,$A$52:$A$101,Y$18)*EstymacjaGaussowska($B59,$B$52:$B$101,Y$19)*VLOOKUP($E59,$W$29:$AA$32,3)/$R59</f>
        <v>0.99999999758634039</v>
      </c>
      <c r="U59" s="42" cm="1">
        <f t="array" ref="U59">Z$8*EstymacjaGaussowska($C59,$C$102:$C$151,Z$14)*EstymacjaGaussowska($D59,$D$102:$D$151,Z$15)*EstymacjaGaussowska($A59,$A$102:$A$151,Z$18)*EstymacjaGaussowska($B59,$B$102:$B$151,Z$19)*VLOOKUP($E59,$W$29:$AA$32,4)/$R59</f>
        <v>2.4136595792812333E-9</v>
      </c>
    </row>
    <row r="60" spans="1:21" x14ac:dyDescent="0.25">
      <c r="A60" s="9">
        <v>6.6</v>
      </c>
      <c r="B60" s="3">
        <v>2.9</v>
      </c>
      <c r="C60" s="3">
        <v>4.5999999999999996</v>
      </c>
      <c r="D60" s="8">
        <v>1.3</v>
      </c>
      <c r="E60" s="9" t="s">
        <v>11</v>
      </c>
      <c r="F60" s="50" t="s">
        <v>6</v>
      </c>
      <c r="G60" s="43" t="str">
        <f t="shared" si="7"/>
        <v>versicolor</v>
      </c>
      <c r="H60" s="3" cm="1">
        <f t="array" ref="H60">X$8*EstymacjaGaussowska($C60,$C$2:$C$51,X$14)*EstymacjaGaussowska($D60,$D$2:$D$51,X$15)+Y$8*EstymacjaGaussowska($C60,$C$52:$C$101,Y$14)*EstymacjaGaussowska($D60,$D$52:$D$101,Y$15)+Z$8*EstymacjaGaussowska($C60,$C$102:$C$151,Z$14)*EstymacjaGaussowska($D60,$D$102:$D$151,Z$15)</f>
        <v>0.45060731259290793</v>
      </c>
      <c r="I60" s="3" cm="1">
        <f t="array" ref="I60">X$8*EstymacjaGaussowska($C60,$C$2:$C$51,X$14)*EstymacjaGaussowska($D60,$D$2:$D$51,X$15)/$H60</f>
        <v>1.5532068044391154E-266</v>
      </c>
      <c r="J60" s="3" cm="1">
        <f t="array" ref="J60">Y$8*EstymacjaGaussowska($C60,$C$52:$C$101,Y$14)*EstymacjaGaussowska($D60,$D$52:$D$101,Y$15)/$H60</f>
        <v>0.98707425022377315</v>
      </c>
      <c r="K60" s="42" cm="1">
        <f t="array" ref="K60">Z$8*EstymacjaGaussowska($C60,$C$102:$C$151,Z$14)*EstymacjaGaussowska($D60,$D$102:$D$151,Z$15)/$H60</f>
        <v>1.2925749776226804E-2</v>
      </c>
      <c r="L60" s="43" t="str">
        <f t="shared" si="1"/>
        <v>versicolor</v>
      </c>
      <c r="M60" s="3" cm="1">
        <f t="array" ref="M60">X$8*EstymacjaGaussowska($C60,$C$2:$C$51,X$14)*EstymacjaGaussowska($D60,$D$2:$D$51,X$15)*VLOOKUP($E60,$W$29:$AA$32,2)+Y$8*EstymacjaGaussowska($C60,$C$52:$C$101,Y$14)*EstymacjaGaussowska($D60,$D$52:$D$101,Y$15)*VLOOKUP($E60,$W$29:$AA$32,3)+Z$8*EstymacjaGaussowska($C60,$C$102:$C$151,Z$14)*EstymacjaGaussowska($D60,$D$102:$D$151,Z$15)*VLOOKUP($E60,$W$29:$AA$32,4)</f>
        <v>8.3555579962087276E-2</v>
      </c>
      <c r="N60" s="3" cm="1">
        <f t="array" ref="N60">X$8*EstymacjaGaussowska($C60,$C$2:$C$51,X$14)*EstymacjaGaussowska($D60,$D$2:$D$51,X$15)*VLOOKUP($E60,$W$29:$AA$32,2)/$M60</f>
        <v>3.6855706288129933E-266</v>
      </c>
      <c r="O60" s="3" cm="1">
        <f t="array" ref="O60">Y$8*EstymacjaGaussowska($C60,$C$52:$C$101,Y$14)*EstymacjaGaussowska($D60,$D$52:$D$101,Y$15)*VLOOKUP($E60,$W$29:$AA$32,3)/$M60</f>
        <v>0.95817559493292925</v>
      </c>
      <c r="P60" s="42" cm="1">
        <f t="array" ref="P60">Z$8*EstymacjaGaussowska($C60,$C$102:$C$151,Z$14)*EstymacjaGaussowska($D60,$D$102:$D$151,Z$15)*VLOOKUP($E60,$W$29:$AA$32,4)/$M60</f>
        <v>4.1824405067070823E-2</v>
      </c>
      <c r="Q60" s="43" t="str">
        <f t="shared" si="2"/>
        <v>versicolor</v>
      </c>
      <c r="R60" s="3" cm="1">
        <f t="array" ref="R60">X$8*EstymacjaGaussowska($C60,$C$2:$C$51,X$14)*EstymacjaGaussowska($D60,$D$2:$D$51,X$15)*EstymacjaGaussowska($A60,$A$2:$A$51,X$18)*EstymacjaGaussowska($B60,$B$2:$B$51,X$19)*VLOOKUP($E60,$W$29:$AA$32,2)+Y$8*EstymacjaGaussowska($C60,$C$52:$C$101,Y$14)*EstymacjaGaussowska($D60,$D$52:$D$101,Y$15)*EstymacjaGaussowska($A60,$A$52:$A$101,Y$18)*EstymacjaGaussowska($B60,$B$52:$B$101,Y$19)*VLOOKUP($E60,$W$29:$AA$32,3)+Z$8*EstymacjaGaussowska($C60,$C$102:$C$151,Z$14)*EstymacjaGaussowska($D60,$D$102:$D$151,Z$15)*EstymacjaGaussowska($A60,$A$102:$A$151,Z$18)*EstymacjaGaussowska($B60,$B$102:$B$151,Z$19)*VLOOKUP($E60,$W$29:$AA$32,4)</f>
        <v>3.7335858878107878E-2</v>
      </c>
      <c r="S60" s="3" cm="1">
        <f t="array" ref="S60">X$8*EstymacjaGaussowska($C60,$C$2:$C$51,X$14)*EstymacjaGaussowska($D60,$D$2:$D$51,X$15)*EstymacjaGaussowska($A60,$A$2:$A$51,X$18)*EstymacjaGaussowska($B60,$B$2:$B$51,X$19)*VLOOKUP($E60,$W$29:$AA$32,2)/$R60</f>
        <v>3.2704700973623362E-272</v>
      </c>
      <c r="T60" s="3" cm="1">
        <f t="array" ref="T60">Y$8*EstymacjaGaussowska($C60,$C$52:$C$101,Y$14)*EstymacjaGaussowska($D60,$D$52:$D$101,Y$15)*EstymacjaGaussowska($A60,$A$52:$A$101,Y$18)*EstymacjaGaussowska($B60,$B$52:$B$101,Y$19)*VLOOKUP($E60,$W$29:$AA$32,3)/$R60</f>
        <v>0.9352484409789249</v>
      </c>
      <c r="U60" s="42" cm="1">
        <f t="array" ref="U60">Z$8*EstymacjaGaussowska($C60,$C$102:$C$151,Z$14)*EstymacjaGaussowska($D60,$D$102:$D$151,Z$15)*EstymacjaGaussowska($A60,$A$102:$A$151,Z$18)*EstymacjaGaussowska($B60,$B$102:$B$151,Z$19)*VLOOKUP($E60,$W$29:$AA$32,4)/$R60</f>
        <v>6.4751559021075128E-2</v>
      </c>
    </row>
    <row r="61" spans="1:21" x14ac:dyDescent="0.25">
      <c r="A61" s="9">
        <v>5.2</v>
      </c>
      <c r="B61" s="3">
        <v>2.7</v>
      </c>
      <c r="C61" s="3">
        <v>3.9</v>
      </c>
      <c r="D61" s="8">
        <v>1.4</v>
      </c>
      <c r="E61" s="9" t="s">
        <v>12</v>
      </c>
      <c r="F61" s="50" t="s">
        <v>6</v>
      </c>
      <c r="G61" s="43" t="str">
        <f t="shared" si="7"/>
        <v>versicolor</v>
      </c>
      <c r="H61" s="3" cm="1">
        <f t="array" ref="H61">X$8*EstymacjaGaussowska($C61,$C$2:$C$51,X$14)*EstymacjaGaussowska($D61,$D$2:$D$51,X$15)+Y$8*EstymacjaGaussowska($C61,$C$52:$C$101,Y$14)*EstymacjaGaussowska($D61,$D$52:$D$101,Y$15)+Z$8*EstymacjaGaussowska($C61,$C$102:$C$151,Z$14)*EstymacjaGaussowska($D61,$D$102:$D$151,Z$15)</f>
        <v>0.30642587401176108</v>
      </c>
      <c r="I61" s="3" cm="1">
        <f t="array" ref="I61">X$8*EstymacjaGaussowska($C61,$C$2:$C$51,X$14)*EstymacjaGaussowska($D61,$D$2:$D$51,X$15)/$H61</f>
        <v>4.8772805396475781E-178</v>
      </c>
      <c r="J61" s="3" cm="1">
        <f t="array" ref="J61">Y$8*EstymacjaGaussowska($C61,$C$52:$C$101,Y$14)*EstymacjaGaussowska($D61,$D$52:$D$101,Y$15)/$H61</f>
        <v>0.99945945731035712</v>
      </c>
      <c r="K61" s="42" cm="1">
        <f t="array" ref="K61">Z$8*EstymacjaGaussowska($C61,$C$102:$C$151,Z$14)*EstymacjaGaussowska($D61,$D$102:$D$151,Z$15)/$H61</f>
        <v>5.4054268964288726E-4</v>
      </c>
      <c r="L61" s="43" t="str">
        <f t="shared" si="1"/>
        <v>versicolor</v>
      </c>
      <c r="M61" s="3" cm="1">
        <f t="array" ref="M61">X$8*EstymacjaGaussowska($C61,$C$2:$C$51,X$14)*EstymacjaGaussowska($D61,$D$2:$D$51,X$15)*VLOOKUP($E61,$W$29:$AA$32,2)+Y$8*EstymacjaGaussowska($C61,$C$52:$C$101,Y$14)*EstymacjaGaussowska($D61,$D$52:$D$101,Y$15)*VLOOKUP($E61,$W$29:$AA$32,3)+Z$8*EstymacjaGaussowska($C61,$C$102:$C$151,Z$14)*EstymacjaGaussowska($D61,$D$102:$D$151,Z$15)*VLOOKUP($E61,$W$29:$AA$32,4)</f>
        <v>0.11644183212446922</v>
      </c>
      <c r="N61" s="3" cm="1">
        <f t="array" ref="N61">X$8*EstymacjaGaussowska($C61,$C$2:$C$51,X$14)*EstymacjaGaussowska($D61,$D$2:$D$51,X$15)*VLOOKUP($E61,$W$29:$AA$32,2)/$M61</f>
        <v>2.3102907819383262E-178</v>
      </c>
      <c r="O61" s="3" cm="1">
        <f t="array" ref="O61">Y$8*EstymacjaGaussowska($C61,$C$52:$C$101,Y$14)*EstymacjaGaussowska($D61,$D$52:$D$101,Y$15)*VLOOKUP($E61,$W$29:$AA$32,3)/$M61</f>
        <v>0.99945945731035712</v>
      </c>
      <c r="P61" s="42" cm="1">
        <f t="array" ref="P61">Z$8*EstymacjaGaussowska($C61,$C$102:$C$151,Z$14)*EstymacjaGaussowska($D61,$D$102:$D$151,Z$15)*VLOOKUP($E61,$W$29:$AA$32,4)/$M61</f>
        <v>5.4054268964288726E-4</v>
      </c>
      <c r="Q61" s="43" t="str">
        <f t="shared" si="2"/>
        <v>versicolor</v>
      </c>
      <c r="R61" s="3" cm="1">
        <f t="array" ref="R61">X$8*EstymacjaGaussowska($C61,$C$2:$C$51,X$14)*EstymacjaGaussowska($D61,$D$2:$D$51,X$15)*EstymacjaGaussowska($A61,$A$2:$A$51,X$18)*EstymacjaGaussowska($B61,$B$2:$B$51,X$19)*VLOOKUP($E61,$W$29:$AA$32,2)+Y$8*EstymacjaGaussowska($C61,$C$52:$C$101,Y$14)*EstymacjaGaussowska($D61,$D$52:$D$101,Y$15)*EstymacjaGaussowska($A61,$A$52:$A$101,Y$18)*EstymacjaGaussowska($B61,$B$52:$B$101,Y$19)*VLOOKUP($E61,$W$29:$AA$32,3)+Z$8*EstymacjaGaussowska($C61,$C$102:$C$151,Z$14)*EstymacjaGaussowska($D61,$D$102:$D$151,Z$15)*EstymacjaGaussowska($A61,$A$102:$A$151,Z$18)*EstymacjaGaussowska($B61,$B$102:$B$151,Z$19)*VLOOKUP($E61,$W$29:$AA$32,4)</f>
        <v>3.3946706948228746E-2</v>
      </c>
      <c r="S61" s="3" cm="1">
        <f t="array" ref="S61">X$8*EstymacjaGaussowska($C61,$C$2:$C$51,X$14)*EstymacjaGaussowska($D61,$D$2:$D$51,X$15)*EstymacjaGaussowska($A61,$A$2:$A$51,X$18)*EstymacjaGaussowska($B61,$B$2:$B$51,X$19)*VLOOKUP($E61,$W$29:$AA$32,2)/$R61</f>
        <v>8.2905710269427305E-179</v>
      </c>
      <c r="T61" s="3" cm="1">
        <f t="array" ref="T61">Y$8*EstymacjaGaussowska($C61,$C$52:$C$101,Y$14)*EstymacjaGaussowska($D61,$D$52:$D$101,Y$15)*EstymacjaGaussowska($A61,$A$52:$A$101,Y$18)*EstymacjaGaussowska($B61,$B$52:$B$101,Y$19)*VLOOKUP($E61,$W$29:$AA$32,3)/$R61</f>
        <v>0.99991850351694955</v>
      </c>
      <c r="U61" s="42" cm="1">
        <f t="array" ref="U61">Z$8*EstymacjaGaussowska($C61,$C$102:$C$151,Z$14)*EstymacjaGaussowska($D61,$D$102:$D$151,Z$15)*EstymacjaGaussowska($A61,$A$102:$A$151,Z$18)*EstymacjaGaussowska($B61,$B$102:$B$151,Z$19)*VLOOKUP($E61,$W$29:$AA$32,4)/$R61</f>
        <v>8.1496483050358523E-5</v>
      </c>
    </row>
    <row r="62" spans="1:21" x14ac:dyDescent="0.25">
      <c r="A62" s="9">
        <v>5</v>
      </c>
      <c r="B62" s="3">
        <v>2</v>
      </c>
      <c r="C62" s="3">
        <v>3.5</v>
      </c>
      <c r="D62" s="8">
        <v>1</v>
      </c>
      <c r="E62" s="9" t="s">
        <v>12</v>
      </c>
      <c r="F62" s="50" t="s">
        <v>6</v>
      </c>
      <c r="G62" s="43" t="str">
        <f t="shared" si="7"/>
        <v>versicolor</v>
      </c>
      <c r="H62" s="3" cm="1">
        <f t="array" ref="H62">X$8*EstymacjaGaussowska($C62,$C$2:$C$51,X$14)*EstymacjaGaussowska($D62,$D$2:$D$51,X$15)+Y$8*EstymacjaGaussowska($C62,$C$52:$C$101,Y$14)*EstymacjaGaussowska($D62,$D$52:$D$101,Y$15)+Z$8*EstymacjaGaussowska($C62,$C$102:$C$151,Z$14)*EstymacjaGaussowska($D62,$D$102:$D$151,Z$15)</f>
        <v>6.1114946230625342E-2</v>
      </c>
      <c r="I62" s="3" cm="1">
        <f t="array" ref="I62">X$8*EstymacjaGaussowska($C62,$C$2:$C$51,X$14)*EstymacjaGaussowska($D62,$D$2:$D$51,X$15)/$H62</f>
        <v>2.8335818293756005E-93</v>
      </c>
      <c r="J62" s="3" cm="1">
        <f t="array" ref="J62">Y$8*EstymacjaGaussowska($C62,$C$52:$C$101,Y$14)*EstymacjaGaussowska($D62,$D$52:$D$101,Y$15)/$H62</f>
        <v>0.99999988288899921</v>
      </c>
      <c r="K62" s="42" cm="1">
        <f t="array" ref="K62">Z$8*EstymacjaGaussowska($C62,$C$102:$C$151,Z$14)*EstymacjaGaussowska($D62,$D$102:$D$151,Z$15)/$H62</f>
        <v>1.1711100074964357E-7</v>
      </c>
      <c r="L62" s="43" t="str">
        <f t="shared" si="1"/>
        <v>versicolor</v>
      </c>
      <c r="M62" s="3" cm="1">
        <f t="array" ref="M62">X$8*EstymacjaGaussowska($C62,$C$2:$C$51,X$14)*EstymacjaGaussowska($D62,$D$2:$D$51,X$15)*VLOOKUP($E62,$W$29:$AA$32,2)+Y$8*EstymacjaGaussowska($C62,$C$52:$C$101,Y$14)*EstymacjaGaussowska($D62,$D$52:$D$101,Y$15)*VLOOKUP($E62,$W$29:$AA$32,3)+Z$8*EstymacjaGaussowska($C62,$C$102:$C$151,Z$14)*EstymacjaGaussowska($D62,$D$102:$D$151,Z$15)*VLOOKUP($E62,$W$29:$AA$32,4)</f>
        <v>2.3223679567637628E-2</v>
      </c>
      <c r="N62" s="3" cm="1">
        <f t="array" ref="N62">X$8*EstymacjaGaussowska($C62,$C$2:$C$51,X$14)*EstymacjaGaussowska($D62,$D$2:$D$51,X$15)*VLOOKUP($E62,$W$29:$AA$32,2)/$M62</f>
        <v>1.3422229718094949E-93</v>
      </c>
      <c r="O62" s="3" cm="1">
        <f t="array" ref="O62">Y$8*EstymacjaGaussowska($C62,$C$52:$C$101,Y$14)*EstymacjaGaussowska($D62,$D$52:$D$101,Y$15)*VLOOKUP($E62,$W$29:$AA$32,3)/$M62</f>
        <v>0.99999988288899933</v>
      </c>
      <c r="P62" s="42" cm="1">
        <f t="array" ref="P62">Z$8*EstymacjaGaussowska($C62,$C$102:$C$151,Z$14)*EstymacjaGaussowska($D62,$D$102:$D$151,Z$15)*VLOOKUP($E62,$W$29:$AA$32,4)/$M62</f>
        <v>1.1711100074964358E-7</v>
      </c>
      <c r="Q62" s="43" t="str">
        <f t="shared" si="2"/>
        <v>versicolor</v>
      </c>
      <c r="R62" s="3" cm="1">
        <f t="array" ref="R62">X$8*EstymacjaGaussowska($C62,$C$2:$C$51,X$14)*EstymacjaGaussowska($D62,$D$2:$D$51,X$15)*EstymacjaGaussowska($A62,$A$2:$A$51,X$18)*EstymacjaGaussowska($B62,$B$2:$B$51,X$19)*VLOOKUP($E62,$W$29:$AA$32,2)+Y$8*EstymacjaGaussowska($C62,$C$52:$C$101,Y$14)*EstymacjaGaussowska($D62,$D$52:$D$101,Y$15)*EstymacjaGaussowska($A62,$A$52:$A$101,Y$18)*EstymacjaGaussowska($B62,$B$52:$B$101,Y$19)*VLOOKUP($E62,$W$29:$AA$32,3)+Z$8*EstymacjaGaussowska($C62,$C$102:$C$151,Z$14)*EstymacjaGaussowska($D62,$D$102:$D$151,Z$15)*EstymacjaGaussowska($A62,$A$102:$A$151,Z$18)*EstymacjaGaussowska($B62,$B$102:$B$151,Z$19)*VLOOKUP($E62,$W$29:$AA$32,4)</f>
        <v>5.5002526753977451E-4</v>
      </c>
      <c r="S62" s="3" cm="1">
        <f t="array" ref="S62">X$8*EstymacjaGaussowska($C62,$C$2:$C$51,X$14)*EstymacjaGaussowska($D62,$D$2:$D$51,X$15)*EstymacjaGaussowska($A62,$A$2:$A$51,X$18)*EstymacjaGaussowska($B62,$B$2:$B$51,X$19)*VLOOKUP($E62,$W$29:$AA$32,2)/$R62</f>
        <v>7.0968370095177677E-94</v>
      </c>
      <c r="T62" s="3" cm="1">
        <f t="array" ref="T62">Y$8*EstymacjaGaussowska($C62,$C$52:$C$101,Y$14)*EstymacjaGaussowska($D62,$D$52:$D$101,Y$15)*EstymacjaGaussowska($A62,$A$52:$A$101,Y$18)*EstymacjaGaussowska($B62,$B$52:$B$101,Y$19)*VLOOKUP($E62,$W$29:$AA$32,3)/$R62</f>
        <v>0.99999999601174994</v>
      </c>
      <c r="U62" s="42" cm="1">
        <f t="array" ref="U62">Z$8*EstymacjaGaussowska($C62,$C$102:$C$151,Z$14)*EstymacjaGaussowska($D62,$D$102:$D$151,Z$15)*EstymacjaGaussowska($A62,$A$102:$A$151,Z$18)*EstymacjaGaussowska($B62,$B$102:$B$151,Z$19)*VLOOKUP($E62,$W$29:$AA$32,4)/$R62</f>
        <v>3.9882500865717247E-9</v>
      </c>
    </row>
    <row r="63" spans="1:21" x14ac:dyDescent="0.25">
      <c r="A63" s="9">
        <v>5.9</v>
      </c>
      <c r="B63" s="3">
        <v>3</v>
      </c>
      <c r="C63" s="3">
        <v>4.2</v>
      </c>
      <c r="D63" s="8">
        <v>1.5</v>
      </c>
      <c r="E63" s="9" t="s">
        <v>12</v>
      </c>
      <c r="F63" s="50" t="s">
        <v>6</v>
      </c>
      <c r="G63" s="43" t="str">
        <f t="shared" si="7"/>
        <v>versicolor</v>
      </c>
      <c r="H63" s="3" cm="1">
        <f t="array" ref="H63">X$8*EstymacjaGaussowska($C63,$C$2:$C$51,X$14)*EstymacjaGaussowska($D63,$D$2:$D$51,X$15)+Y$8*EstymacjaGaussowska($C63,$C$52:$C$101,Y$14)*EstymacjaGaussowska($D63,$D$52:$D$101,Y$15)+Z$8*EstymacjaGaussowska($C63,$C$102:$C$151,Z$14)*EstymacjaGaussowska($D63,$D$102:$D$151,Z$15)</f>
        <v>0.34795973658349766</v>
      </c>
      <c r="I63" s="3" cm="1">
        <f t="array" ref="I63">X$8*EstymacjaGaussowska($C63,$C$2:$C$51,X$14)*EstymacjaGaussowska($D63,$D$2:$D$51,X$15)/$H63</f>
        <v>9.1178090014036493E-232</v>
      </c>
      <c r="J63" s="3" cm="1">
        <f t="array" ref="J63">Y$8*EstymacjaGaussowska($C63,$C$52:$C$101,Y$14)*EstymacjaGaussowska($D63,$D$52:$D$101,Y$15)/$H63</f>
        <v>0.99303913344836725</v>
      </c>
      <c r="K63" s="42" cm="1">
        <f t="array" ref="K63">Z$8*EstymacjaGaussowska($C63,$C$102:$C$151,Z$14)*EstymacjaGaussowska($D63,$D$102:$D$151,Z$15)/$H63</f>
        <v>6.9608665516327946E-3</v>
      </c>
      <c r="L63" s="43" t="str">
        <f t="shared" si="1"/>
        <v>versicolor</v>
      </c>
      <c r="M63" s="3" cm="1">
        <f t="array" ref="M63">X$8*EstymacjaGaussowska($C63,$C$2:$C$51,X$14)*EstymacjaGaussowska($D63,$D$2:$D$51,X$15)*VLOOKUP($E63,$W$29:$AA$32,2)+Y$8*EstymacjaGaussowska($C63,$C$52:$C$101,Y$14)*EstymacjaGaussowska($D63,$D$52:$D$101,Y$15)*VLOOKUP($E63,$W$29:$AA$32,3)+Z$8*EstymacjaGaussowska($C63,$C$102:$C$151,Z$14)*EstymacjaGaussowska($D63,$D$102:$D$151,Z$15)*VLOOKUP($E63,$W$29:$AA$32,4)</f>
        <v>0.13222469990172911</v>
      </c>
      <c r="N63" s="3" cm="1">
        <f t="array" ref="N63">X$8*EstymacjaGaussowska($C63,$C$2:$C$51,X$14)*EstymacjaGaussowska($D63,$D$2:$D$51,X$15)*VLOOKUP($E63,$W$29:$AA$32,2)/$M63</f>
        <v>4.3189621585596233E-232</v>
      </c>
      <c r="O63" s="3" cm="1">
        <f t="array" ref="O63">Y$8*EstymacjaGaussowska($C63,$C$52:$C$101,Y$14)*EstymacjaGaussowska($D63,$D$52:$D$101,Y$15)*VLOOKUP($E63,$W$29:$AA$32,3)/$M63</f>
        <v>0.99303913344836725</v>
      </c>
      <c r="P63" s="42" cm="1">
        <f t="array" ref="P63">Z$8*EstymacjaGaussowska($C63,$C$102:$C$151,Z$14)*EstymacjaGaussowska($D63,$D$102:$D$151,Z$15)*VLOOKUP($E63,$W$29:$AA$32,4)/$M63</f>
        <v>6.9608665516327946E-3</v>
      </c>
      <c r="Q63" s="43" t="str">
        <f t="shared" si="2"/>
        <v>versicolor</v>
      </c>
      <c r="R63" s="3" cm="1">
        <f t="array" ref="R63">X$8*EstymacjaGaussowska($C63,$C$2:$C$51,X$14)*EstymacjaGaussowska($D63,$D$2:$D$51,X$15)*EstymacjaGaussowska($A63,$A$2:$A$51,X$18)*EstymacjaGaussowska($B63,$B$2:$B$51,X$19)*VLOOKUP($E63,$W$29:$AA$32,2)+Y$8*EstymacjaGaussowska($C63,$C$52:$C$101,Y$14)*EstymacjaGaussowska($D63,$D$52:$D$101,Y$15)*EstymacjaGaussowska($A63,$A$52:$A$101,Y$18)*EstymacjaGaussowska($B63,$B$52:$B$101,Y$19)*VLOOKUP($E63,$W$29:$AA$32,3)+Z$8*EstymacjaGaussowska($C63,$C$102:$C$151,Z$14)*EstymacjaGaussowska($D63,$D$102:$D$151,Z$15)*EstymacjaGaussowska($A63,$A$102:$A$151,Z$18)*EstymacjaGaussowska($B63,$B$102:$B$151,Z$19)*VLOOKUP($E63,$W$29:$AA$32,4)</f>
        <v>9.7497528490487748E-2</v>
      </c>
      <c r="S63" s="3" cm="1">
        <f t="array" ref="S63">X$8*EstymacjaGaussowska($C63,$C$2:$C$51,X$14)*EstymacjaGaussowska($D63,$D$2:$D$51,X$15)*EstymacjaGaussowska($A63,$A$2:$A$51,X$18)*EstymacjaGaussowska($B63,$B$2:$B$51,X$19)*VLOOKUP($E63,$W$29:$AA$32,2)/$R63</f>
        <v>3.5608959244917682E-233</v>
      </c>
      <c r="T63" s="3" cm="1">
        <f t="array" ref="T63">Y$8*EstymacjaGaussowska($C63,$C$52:$C$101,Y$14)*EstymacjaGaussowska($D63,$D$52:$D$101,Y$15)*EstymacjaGaussowska($A63,$A$52:$A$101,Y$18)*EstymacjaGaussowska($B63,$B$52:$B$101,Y$19)*VLOOKUP($E63,$W$29:$AA$32,3)/$R63</f>
        <v>0.99558850012189792</v>
      </c>
      <c r="U63" s="42" cm="1">
        <f t="array" ref="U63">Z$8*EstymacjaGaussowska($C63,$C$102:$C$151,Z$14)*EstymacjaGaussowska($D63,$D$102:$D$151,Z$15)*EstymacjaGaussowska($A63,$A$102:$A$151,Z$18)*EstymacjaGaussowska($B63,$B$102:$B$151,Z$19)*VLOOKUP($E63,$W$29:$AA$32,4)/$R63</f>
        <v>4.4114998781020435E-3</v>
      </c>
    </row>
    <row r="64" spans="1:21" x14ac:dyDescent="0.25">
      <c r="A64" s="9">
        <v>6</v>
      </c>
      <c r="B64" s="3">
        <v>2.2000000000000002</v>
      </c>
      <c r="C64" s="3">
        <v>4</v>
      </c>
      <c r="D64" s="8">
        <v>1</v>
      </c>
      <c r="E64" s="9" t="s">
        <v>12</v>
      </c>
      <c r="F64" s="50" t="s">
        <v>6</v>
      </c>
      <c r="G64" s="43" t="str">
        <f t="shared" si="7"/>
        <v>versicolor</v>
      </c>
      <c r="H64" s="3" cm="1">
        <f t="array" ref="H64">X$8*EstymacjaGaussowska($C64,$C$2:$C$51,X$14)*EstymacjaGaussowska($D64,$D$2:$D$51,X$15)+Y$8*EstymacjaGaussowska($C64,$C$52:$C$101,Y$14)*EstymacjaGaussowska($D64,$D$52:$D$101,Y$15)+Z$8*EstymacjaGaussowska($C64,$C$102:$C$151,Z$14)*EstymacjaGaussowska($D64,$D$102:$D$151,Z$15)</f>
        <v>0.15677774607054693</v>
      </c>
      <c r="I64" s="3" cm="1">
        <f t="array" ref="I64">X$8*EstymacjaGaussowska($C64,$C$2:$C$51,X$14)*EstymacjaGaussowska($D64,$D$2:$D$51,X$15)/$H64</f>
        <v>2.2714096263661147E-150</v>
      </c>
      <c r="J64" s="3" cm="1">
        <f t="array" ref="J64">Y$8*EstymacjaGaussowska($C64,$C$52:$C$101,Y$14)*EstymacjaGaussowska($D64,$D$52:$D$101,Y$15)/$H64</f>
        <v>0.99998973870695052</v>
      </c>
      <c r="K64" s="42" cm="1">
        <f t="array" ref="K64">Z$8*EstymacjaGaussowska($C64,$C$102:$C$151,Z$14)*EstymacjaGaussowska($D64,$D$102:$D$151,Z$15)/$H64</f>
        <v>1.0261293049528177E-5</v>
      </c>
      <c r="L64" s="43" t="str">
        <f t="shared" si="1"/>
        <v>versicolor</v>
      </c>
      <c r="M64" s="3" cm="1">
        <f t="array" ref="M64">X$8*EstymacjaGaussowska($C64,$C$2:$C$51,X$14)*EstymacjaGaussowska($D64,$D$2:$D$51,X$15)*VLOOKUP($E64,$W$29:$AA$32,2)+Y$8*EstymacjaGaussowska($C64,$C$52:$C$101,Y$14)*EstymacjaGaussowska($D64,$D$52:$D$101,Y$15)*VLOOKUP($E64,$W$29:$AA$32,3)+Z$8*EstymacjaGaussowska($C64,$C$102:$C$151,Z$14)*EstymacjaGaussowska($D64,$D$102:$D$151,Z$15)*VLOOKUP($E64,$W$29:$AA$32,4)</f>
        <v>5.9575543506807833E-2</v>
      </c>
      <c r="N64" s="3" cm="1">
        <f t="array" ref="N64">X$8*EstymacjaGaussowska($C64,$C$2:$C$51,X$14)*EstymacjaGaussowska($D64,$D$2:$D$51,X$15)*VLOOKUP($E64,$W$29:$AA$32,2)/$M64</f>
        <v>1.0759308756471069E-150</v>
      </c>
      <c r="O64" s="3" cm="1">
        <f t="array" ref="O64">Y$8*EstymacjaGaussowska($C64,$C$52:$C$101,Y$14)*EstymacjaGaussowska($D64,$D$52:$D$101,Y$15)*VLOOKUP($E64,$W$29:$AA$32,3)/$M64</f>
        <v>0.9999897387069504</v>
      </c>
      <c r="P64" s="42" cm="1">
        <f t="array" ref="P64">Z$8*EstymacjaGaussowska($C64,$C$102:$C$151,Z$14)*EstymacjaGaussowska($D64,$D$102:$D$151,Z$15)*VLOOKUP($E64,$W$29:$AA$32,4)/$M64</f>
        <v>1.0261293049528177E-5</v>
      </c>
      <c r="Q64" s="43" t="str">
        <f t="shared" si="2"/>
        <v>versicolor</v>
      </c>
      <c r="R64" s="3" cm="1">
        <f t="array" ref="R64">X$8*EstymacjaGaussowska($C64,$C$2:$C$51,X$14)*EstymacjaGaussowska($D64,$D$2:$D$51,X$15)*EstymacjaGaussowska($A64,$A$2:$A$51,X$18)*EstymacjaGaussowska($B64,$B$2:$B$51,X$19)*VLOOKUP($E64,$W$29:$AA$32,2)+Y$8*EstymacjaGaussowska($C64,$C$52:$C$101,Y$14)*EstymacjaGaussowska($D64,$D$52:$D$101,Y$15)*EstymacjaGaussowska($A64,$A$52:$A$101,Y$18)*EstymacjaGaussowska($B64,$B$52:$B$101,Y$19)*VLOOKUP($E64,$W$29:$AA$32,3)+Z$8*EstymacjaGaussowska($C64,$C$102:$C$151,Z$14)*EstymacjaGaussowska($D64,$D$102:$D$151,Z$15)*EstymacjaGaussowska($A64,$A$102:$A$151,Z$18)*EstymacjaGaussowska($B64,$B$102:$B$151,Z$19)*VLOOKUP($E64,$W$29:$AA$32,4)</f>
        <v>1.3595572364475532E-2</v>
      </c>
      <c r="S64" s="3" cm="1">
        <f t="array" ref="S64">X$8*EstymacjaGaussowska($C64,$C$2:$C$51,X$14)*EstymacjaGaussowska($D64,$D$2:$D$51,X$15)*EstymacjaGaussowska($A64,$A$2:$A$51,X$18)*EstymacjaGaussowska($B64,$B$2:$B$51,X$19)*VLOOKUP($E64,$W$29:$AA$32,2)/$R64</f>
        <v>8.0135114362193578E-153</v>
      </c>
      <c r="T64" s="3" cm="1">
        <f t="array" ref="T64">Y$8*EstymacjaGaussowska($C64,$C$52:$C$101,Y$14)*EstymacjaGaussowska($D64,$D$52:$D$101,Y$15)*EstymacjaGaussowska($A64,$A$52:$A$101,Y$18)*EstymacjaGaussowska($B64,$B$52:$B$101,Y$19)*VLOOKUP($E64,$W$29:$AA$32,3)/$R64</f>
        <v>0.99999820104042136</v>
      </c>
      <c r="U64" s="42" cm="1">
        <f t="array" ref="U64">Z$8*EstymacjaGaussowska($C64,$C$102:$C$151,Z$14)*EstymacjaGaussowska($D64,$D$102:$D$151,Z$15)*EstymacjaGaussowska($A64,$A$102:$A$151,Z$18)*EstymacjaGaussowska($B64,$B$102:$B$151,Z$19)*VLOOKUP($E64,$W$29:$AA$32,4)/$R64</f>
        <v>1.7989595785797002E-6</v>
      </c>
    </row>
    <row r="65" spans="1:21" x14ac:dyDescent="0.25">
      <c r="A65" s="9">
        <v>6.1</v>
      </c>
      <c r="B65" s="3">
        <v>2.9</v>
      </c>
      <c r="C65" s="3">
        <v>4.7</v>
      </c>
      <c r="D65" s="8">
        <v>1.4</v>
      </c>
      <c r="E65" s="9" t="s">
        <v>12</v>
      </c>
      <c r="F65" s="50" t="s">
        <v>6</v>
      </c>
      <c r="G65" s="43" t="str">
        <f t="shared" si="7"/>
        <v>versicolor</v>
      </c>
      <c r="H65" s="3" cm="1">
        <f t="array" ref="H65">X$8*EstymacjaGaussowska($C65,$C$2:$C$51,X$14)*EstymacjaGaussowska($D65,$D$2:$D$51,X$15)+Y$8*EstymacjaGaussowska($C65,$C$52:$C$101,Y$14)*EstymacjaGaussowska($D65,$D$52:$D$101,Y$15)+Z$8*EstymacjaGaussowska($C65,$C$102:$C$151,Z$14)*EstymacjaGaussowska($D65,$D$102:$D$151,Z$15)</f>
        <v>0.40819740548921268</v>
      </c>
      <c r="I65" s="3" cm="1">
        <f t="array" ref="I65">X$8*EstymacjaGaussowska($C65,$C$2:$C$51,X$14)*EstymacjaGaussowska($D65,$D$2:$D$51,X$15)/$H65</f>
        <v>7.9434029018808093E-296</v>
      </c>
      <c r="J65" s="3" cm="1">
        <f t="array" ref="J65">Y$8*EstymacjaGaussowska($C65,$C$52:$C$101,Y$14)*EstymacjaGaussowska($D65,$D$52:$D$101,Y$15)/$H65</f>
        <v>0.95828659857438991</v>
      </c>
      <c r="K65" s="42" cm="1">
        <f t="array" ref="K65">Z$8*EstymacjaGaussowska($C65,$C$102:$C$151,Z$14)*EstymacjaGaussowska($D65,$D$102:$D$151,Z$15)/$H65</f>
        <v>4.1713401425610197E-2</v>
      </c>
      <c r="L65" s="43" t="str">
        <f t="shared" si="1"/>
        <v>versicolor</v>
      </c>
      <c r="M65" s="3" cm="1">
        <f t="array" ref="M65">X$8*EstymacjaGaussowska($C65,$C$2:$C$51,X$14)*EstymacjaGaussowska($D65,$D$2:$D$51,X$15)*VLOOKUP($E65,$W$29:$AA$32,2)+Y$8*EstymacjaGaussowska($C65,$C$52:$C$101,Y$14)*EstymacjaGaussowska($D65,$D$52:$D$101,Y$15)*VLOOKUP($E65,$W$29:$AA$32,3)+Z$8*EstymacjaGaussowska($C65,$C$102:$C$151,Z$14)*EstymacjaGaussowska($D65,$D$102:$D$151,Z$15)*VLOOKUP($E65,$W$29:$AA$32,4)</f>
        <v>0.15511501408590084</v>
      </c>
      <c r="N65" s="3" cm="1">
        <f t="array" ref="N65">X$8*EstymacjaGaussowska($C65,$C$2:$C$51,X$14)*EstymacjaGaussowska($D65,$D$2:$D$51,X$15)*VLOOKUP($E65,$W$29:$AA$32,2)/$M65</f>
        <v>3.7626645324698564E-296</v>
      </c>
      <c r="O65" s="3" cm="1">
        <f t="array" ref="O65">Y$8*EstymacjaGaussowska($C65,$C$52:$C$101,Y$14)*EstymacjaGaussowska($D65,$D$52:$D$101,Y$15)*VLOOKUP($E65,$W$29:$AA$32,3)/$M65</f>
        <v>0.9582865985743898</v>
      </c>
      <c r="P65" s="42" cm="1">
        <f t="array" ref="P65">Z$8*EstymacjaGaussowska($C65,$C$102:$C$151,Z$14)*EstymacjaGaussowska($D65,$D$102:$D$151,Z$15)*VLOOKUP($E65,$W$29:$AA$32,4)/$M65</f>
        <v>4.171340142561019E-2</v>
      </c>
      <c r="Q65" s="43" t="str">
        <f t="shared" si="2"/>
        <v>versicolor</v>
      </c>
      <c r="R65" s="3" cm="1">
        <f t="array" ref="R65">X$8*EstymacjaGaussowska($C65,$C$2:$C$51,X$14)*EstymacjaGaussowska($D65,$D$2:$D$51,X$15)*EstymacjaGaussowska($A65,$A$2:$A$51,X$18)*EstymacjaGaussowska($B65,$B$2:$B$51,X$19)*VLOOKUP($E65,$W$29:$AA$32,2)+Y$8*EstymacjaGaussowska($C65,$C$52:$C$101,Y$14)*EstymacjaGaussowska($D65,$D$52:$D$101,Y$15)*EstymacjaGaussowska($A65,$A$52:$A$101,Y$18)*EstymacjaGaussowska($B65,$B$52:$B$101,Y$19)*VLOOKUP($E65,$W$29:$AA$32,3)+Z$8*EstymacjaGaussowska($C65,$C$102:$C$151,Z$14)*EstymacjaGaussowska($D65,$D$102:$D$151,Z$15)*EstymacjaGaussowska($A65,$A$102:$A$151,Z$18)*EstymacjaGaussowska($B65,$B$102:$B$151,Z$19)*VLOOKUP($E65,$W$29:$AA$32,4)</f>
        <v>0.10959924124224353</v>
      </c>
      <c r="S65" s="3" cm="1">
        <f t="array" ref="S65">X$8*EstymacjaGaussowska($C65,$C$2:$C$51,X$14)*EstymacjaGaussowska($D65,$D$2:$D$51,X$15)*EstymacjaGaussowska($A65,$A$2:$A$51,X$18)*EstymacjaGaussowska($B65,$B$2:$B$51,X$19)*VLOOKUP($E65,$W$29:$AA$32,2)/$R65</f>
        <v>3.8204221701975404E-298</v>
      </c>
      <c r="T65" s="3" cm="1">
        <f t="array" ref="T65">Y$8*EstymacjaGaussowska($C65,$C$52:$C$101,Y$14)*EstymacjaGaussowska($D65,$D$52:$D$101,Y$15)*EstymacjaGaussowska($A65,$A$52:$A$101,Y$18)*EstymacjaGaussowska($B65,$B$52:$B$101,Y$19)*VLOOKUP($E65,$W$29:$AA$32,3)/$R65</f>
        <v>0.96398486951419127</v>
      </c>
      <c r="U65" s="42" cm="1">
        <f t="array" ref="U65">Z$8*EstymacjaGaussowska($C65,$C$102:$C$151,Z$14)*EstymacjaGaussowska($D65,$D$102:$D$151,Z$15)*EstymacjaGaussowska($A65,$A$102:$A$151,Z$18)*EstymacjaGaussowska($B65,$B$102:$B$151,Z$19)*VLOOKUP($E65,$W$29:$AA$32,4)/$R65</f>
        <v>3.601513048580867E-2</v>
      </c>
    </row>
    <row r="66" spans="1:21" x14ac:dyDescent="0.25">
      <c r="A66" s="9">
        <v>5.6</v>
      </c>
      <c r="B66" s="3">
        <v>2.9</v>
      </c>
      <c r="C66" s="3">
        <v>3.6</v>
      </c>
      <c r="D66" s="8">
        <v>1.3</v>
      </c>
      <c r="E66" s="9" t="s">
        <v>12</v>
      </c>
      <c r="F66" s="50" t="s">
        <v>6</v>
      </c>
      <c r="G66" s="43" t="str">
        <f t="shared" ref="G66:G97" si="8">IF(I66&gt;MAX(J66:K66),$F$2,IF(J66&gt;K66,$F$52,$F$102))</f>
        <v>versicolor</v>
      </c>
      <c r="H66" s="3" cm="1">
        <f t="array" ref="H66">X$8*EstymacjaGaussowska($C66,$C$2:$C$51,X$14)*EstymacjaGaussowska($D66,$D$2:$D$51,X$15)+Y$8*EstymacjaGaussowska($C66,$C$52:$C$101,Y$14)*EstymacjaGaussowska($D66,$D$52:$D$101,Y$15)+Z$8*EstymacjaGaussowska($C66,$C$102:$C$151,Z$14)*EstymacjaGaussowska($D66,$D$102:$D$151,Z$15)</f>
        <v>0.1678869926476956</v>
      </c>
      <c r="I66" s="3" cm="1">
        <f t="array" ref="I66">X$8*EstymacjaGaussowska($C66,$C$2:$C$51,X$14)*EstymacjaGaussowska($D66,$D$2:$D$51,X$15)/$H66</f>
        <v>2.7727815161896665E-131</v>
      </c>
      <c r="J66" s="3" cm="1">
        <f t="array" ref="J66">Y$8*EstymacjaGaussowska($C66,$C$52:$C$101,Y$14)*EstymacjaGaussowska($D66,$D$52:$D$101,Y$15)/$H66</f>
        <v>0.99998082767787855</v>
      </c>
      <c r="K66" s="42" cm="1">
        <f t="array" ref="K66">Z$8*EstymacjaGaussowska($C66,$C$102:$C$151,Z$14)*EstymacjaGaussowska($D66,$D$102:$D$151,Z$15)/$H66</f>
        <v>1.917232212137953E-5</v>
      </c>
      <c r="L66" s="43" t="str">
        <f t="shared" ref="L66:L129" si="9">IF(N66&gt;MAX(O66:P66),$F$2,IF(O66&gt;P66,$F$52,$F$102))</f>
        <v>versicolor</v>
      </c>
      <c r="M66" s="3" cm="1">
        <f t="array" ref="M66">X$8*EstymacjaGaussowska($C66,$C$2:$C$51,X$14)*EstymacjaGaussowska($D66,$D$2:$D$51,X$15)*VLOOKUP($E66,$W$29:$AA$32,2)+Y$8*EstymacjaGaussowska($C66,$C$52:$C$101,Y$14)*EstymacjaGaussowska($D66,$D$52:$D$101,Y$15)*VLOOKUP($E66,$W$29:$AA$32,3)+Z$8*EstymacjaGaussowska($C66,$C$102:$C$151,Z$14)*EstymacjaGaussowska($D66,$D$102:$D$151,Z$15)*VLOOKUP($E66,$W$29:$AA$32,4)</f>
        <v>6.379705720612433E-2</v>
      </c>
      <c r="N66" s="3" cm="1">
        <f t="array" ref="N66">X$8*EstymacjaGaussowska($C66,$C$2:$C$51,X$14)*EstymacjaGaussowska($D66,$D$2:$D$51,X$15)*VLOOKUP($E66,$W$29:$AA$32,2)/$M66</f>
        <v>1.3134228234582629E-131</v>
      </c>
      <c r="O66" s="3" cm="1">
        <f t="array" ref="O66">Y$8*EstymacjaGaussowska($C66,$C$52:$C$101,Y$14)*EstymacjaGaussowska($D66,$D$52:$D$101,Y$15)*VLOOKUP($E66,$W$29:$AA$32,3)/$M66</f>
        <v>0.99998082767787855</v>
      </c>
      <c r="P66" s="42" cm="1">
        <f t="array" ref="P66">Z$8*EstymacjaGaussowska($C66,$C$102:$C$151,Z$14)*EstymacjaGaussowska($D66,$D$102:$D$151,Z$15)*VLOOKUP($E66,$W$29:$AA$32,4)/$M66</f>
        <v>1.917232212137953E-5</v>
      </c>
      <c r="Q66" s="43" t="str">
        <f t="shared" si="2"/>
        <v>versicolor</v>
      </c>
      <c r="R66" s="3" cm="1">
        <f t="array" ref="R66">X$8*EstymacjaGaussowska($C66,$C$2:$C$51,X$14)*EstymacjaGaussowska($D66,$D$2:$D$51,X$15)*EstymacjaGaussowska($A66,$A$2:$A$51,X$18)*EstymacjaGaussowska($B66,$B$2:$B$51,X$19)*VLOOKUP($E66,$W$29:$AA$32,2)+Y$8*EstymacjaGaussowska($C66,$C$52:$C$101,Y$14)*EstymacjaGaussowska($D66,$D$52:$D$101,Y$15)*EstymacjaGaussowska($A66,$A$52:$A$101,Y$18)*EstymacjaGaussowska($B66,$B$52:$B$101,Y$19)*VLOOKUP($E66,$W$29:$AA$32,3)+Z$8*EstymacjaGaussowska($C66,$C$102:$C$151,Z$14)*EstymacjaGaussowska($D66,$D$102:$D$151,Z$15)*EstymacjaGaussowska($A66,$A$102:$A$151,Z$18)*EstymacjaGaussowska($B66,$B$102:$B$151,Z$19)*VLOOKUP($E66,$W$29:$AA$32,4)</f>
        <v>4.963714390158714E-2</v>
      </c>
      <c r="S66" s="3" cm="1">
        <f t="array" ref="S66">X$8*EstymacjaGaussowska($C66,$C$2:$C$51,X$14)*EstymacjaGaussowska($D66,$D$2:$D$51,X$15)*EstymacjaGaussowska($A66,$A$2:$A$51,X$18)*EstymacjaGaussowska($B66,$B$2:$B$51,X$19)*VLOOKUP($E66,$W$29:$AA$32,2)/$R66</f>
        <v>2.4080692141464594E-132</v>
      </c>
      <c r="T66" s="3" cm="1">
        <f t="array" ref="T66">Y$8*EstymacjaGaussowska($C66,$C$52:$C$101,Y$14)*EstymacjaGaussowska($D66,$D$52:$D$101,Y$15)*EstymacjaGaussowska($A66,$A$52:$A$101,Y$18)*EstymacjaGaussowska($B66,$B$52:$B$101,Y$19)*VLOOKUP($E66,$W$29:$AA$32,3)/$R66</f>
        <v>0.99999435341850462</v>
      </c>
      <c r="U66" s="42" cm="1">
        <f t="array" ref="U66">Z$8*EstymacjaGaussowska($C66,$C$102:$C$151,Z$14)*EstymacjaGaussowska($D66,$D$102:$D$151,Z$15)*EstymacjaGaussowska($A66,$A$102:$A$151,Z$18)*EstymacjaGaussowska($B66,$B$102:$B$151,Z$19)*VLOOKUP($E66,$W$29:$AA$32,4)/$R66</f>
        <v>5.6465814954077877E-6</v>
      </c>
    </row>
    <row r="67" spans="1:21" x14ac:dyDescent="0.25">
      <c r="A67" s="9">
        <v>6.7</v>
      </c>
      <c r="B67" s="3">
        <v>3.1</v>
      </c>
      <c r="C67" s="3">
        <v>4.4000000000000004</v>
      </c>
      <c r="D67" s="8">
        <v>1.4</v>
      </c>
      <c r="E67" s="9" t="s">
        <v>12</v>
      </c>
      <c r="F67" s="50" t="s">
        <v>6</v>
      </c>
      <c r="G67" s="43" t="str">
        <f t="shared" si="8"/>
        <v>versicolor</v>
      </c>
      <c r="H67" s="3" cm="1">
        <f t="array" ref="H67">X$8*EstymacjaGaussowska($C67,$C$2:$C$51,X$14)*EstymacjaGaussowska($D67,$D$2:$D$51,X$15)+Y$8*EstymacjaGaussowska($C67,$C$52:$C$101,Y$14)*EstymacjaGaussowska($D67,$D$52:$D$101,Y$15)+Z$8*EstymacjaGaussowska($C67,$C$102:$C$151,Z$14)*EstymacjaGaussowska($D67,$D$102:$D$151,Z$15)</f>
        <v>0.46657959118539649</v>
      </c>
      <c r="I67" s="3" cm="1">
        <f t="array" ref="I67">X$8*EstymacjaGaussowska($C67,$C$2:$C$51,X$14)*EstymacjaGaussowska($D67,$D$2:$D$51,X$15)/$H67</f>
        <v>3.6479289744831399E-247</v>
      </c>
      <c r="J67" s="3" cm="1">
        <f t="array" ref="J67">Y$8*EstymacjaGaussowska($C67,$C$52:$C$101,Y$14)*EstymacjaGaussowska($D67,$D$52:$D$101,Y$15)/$H67</f>
        <v>0.98986908545172858</v>
      </c>
      <c r="K67" s="42" cm="1">
        <f t="array" ref="K67">Z$8*EstymacjaGaussowska($C67,$C$102:$C$151,Z$14)*EstymacjaGaussowska($D67,$D$102:$D$151,Z$15)/$H67</f>
        <v>1.0130914548271384E-2</v>
      </c>
      <c r="L67" s="43" t="str">
        <f t="shared" si="9"/>
        <v>versicolor</v>
      </c>
      <c r="M67" s="3" cm="1">
        <f t="array" ref="M67">X$8*EstymacjaGaussowska($C67,$C$2:$C$51,X$14)*EstymacjaGaussowska($D67,$D$2:$D$51,X$15)*VLOOKUP($E67,$W$29:$AA$32,2)+Y$8*EstymacjaGaussowska($C67,$C$52:$C$101,Y$14)*EstymacjaGaussowska($D67,$D$52:$D$101,Y$15)*VLOOKUP($E67,$W$29:$AA$32,3)+Z$8*EstymacjaGaussowska($C67,$C$102:$C$151,Z$14)*EstymacjaGaussowska($D67,$D$102:$D$151,Z$15)*VLOOKUP($E67,$W$29:$AA$32,4)</f>
        <v>0.17730024465045066</v>
      </c>
      <c r="N67" s="3" cm="1">
        <f t="array" ref="N67">X$8*EstymacjaGaussowska($C67,$C$2:$C$51,X$14)*EstymacjaGaussowska($D67,$D$2:$D$51,X$15)*VLOOKUP($E67,$W$29:$AA$32,2)/$M67</f>
        <v>1.7279663563341189E-247</v>
      </c>
      <c r="O67" s="3" cm="1">
        <f t="array" ref="O67">Y$8*EstymacjaGaussowska($C67,$C$52:$C$101,Y$14)*EstymacjaGaussowska($D67,$D$52:$D$101,Y$15)*VLOOKUP($E67,$W$29:$AA$32,3)/$M67</f>
        <v>0.98986908545172858</v>
      </c>
      <c r="P67" s="42" cm="1">
        <f t="array" ref="P67">Z$8*EstymacjaGaussowska($C67,$C$102:$C$151,Z$14)*EstymacjaGaussowska($D67,$D$102:$D$151,Z$15)*VLOOKUP($E67,$W$29:$AA$32,4)/$M67</f>
        <v>1.0130914548271384E-2</v>
      </c>
      <c r="Q67" s="43" t="str">
        <f t="shared" ref="Q67:Q130" si="10">IF(S67&gt;MAX(T67:U67),$F$2,IF(T67&gt;U67,$F$52,$F$102))</f>
        <v>versicolor</v>
      </c>
      <c r="R67" s="3" cm="1">
        <f t="array" ref="R67">X$8*EstymacjaGaussowska($C67,$C$2:$C$51,X$14)*EstymacjaGaussowska($D67,$D$2:$D$51,X$15)*EstymacjaGaussowska($A67,$A$2:$A$51,X$18)*EstymacjaGaussowska($B67,$B$2:$B$51,X$19)*VLOOKUP($E67,$W$29:$AA$32,2)+Y$8*EstymacjaGaussowska($C67,$C$52:$C$101,Y$14)*EstymacjaGaussowska($D67,$D$52:$D$101,Y$15)*EstymacjaGaussowska($A67,$A$52:$A$101,Y$18)*EstymacjaGaussowska($B67,$B$52:$B$101,Y$19)*VLOOKUP($E67,$W$29:$AA$32,3)+Z$8*EstymacjaGaussowska($C67,$C$102:$C$151,Z$14)*EstymacjaGaussowska($D67,$D$102:$D$151,Z$15)*EstymacjaGaussowska($A67,$A$102:$A$151,Z$18)*EstymacjaGaussowska($B67,$B$102:$B$151,Z$19)*VLOOKUP($E67,$W$29:$AA$32,4)</f>
        <v>4.9804063005435009E-2</v>
      </c>
      <c r="S67" s="3" cm="1">
        <f t="array" ref="S67">X$8*EstymacjaGaussowska($C67,$C$2:$C$51,X$14)*EstymacjaGaussowska($D67,$D$2:$D$51,X$15)*EstymacjaGaussowska($A67,$A$2:$A$51,X$18)*EstymacjaGaussowska($B67,$B$2:$B$51,X$19)*VLOOKUP($E67,$W$29:$AA$32,2)/$R67</f>
        <v>2.30766710248526E-254</v>
      </c>
      <c r="T67" s="3" cm="1">
        <f t="array" ref="T67">Y$8*EstymacjaGaussowska($C67,$C$52:$C$101,Y$14)*EstymacjaGaussowska($D67,$D$52:$D$101,Y$15)*EstymacjaGaussowska($A67,$A$52:$A$101,Y$18)*EstymacjaGaussowska($B67,$B$52:$B$101,Y$19)*VLOOKUP($E67,$W$29:$AA$32,3)/$R67</f>
        <v>0.97833688405937858</v>
      </c>
      <c r="U67" s="42" cm="1">
        <f t="array" ref="U67">Z$8*EstymacjaGaussowska($C67,$C$102:$C$151,Z$14)*EstymacjaGaussowska($D67,$D$102:$D$151,Z$15)*EstymacjaGaussowska($A67,$A$102:$A$151,Z$18)*EstymacjaGaussowska($B67,$B$102:$B$151,Z$19)*VLOOKUP($E67,$W$29:$AA$32,4)/$R67</f>
        <v>2.1663115940621366E-2</v>
      </c>
    </row>
    <row r="68" spans="1:21" x14ac:dyDescent="0.25">
      <c r="A68" s="9">
        <v>5.6</v>
      </c>
      <c r="B68" s="3">
        <v>3</v>
      </c>
      <c r="C68" s="3">
        <v>4.5</v>
      </c>
      <c r="D68" s="8">
        <v>1.5</v>
      </c>
      <c r="E68" s="9" t="s">
        <v>12</v>
      </c>
      <c r="F68" s="50" t="s">
        <v>6</v>
      </c>
      <c r="G68" s="43" t="str">
        <f t="shared" si="8"/>
        <v>versicolor</v>
      </c>
      <c r="H68" s="3" cm="1">
        <f t="array" ref="H68">X$8*EstymacjaGaussowska($C68,$C$2:$C$51,X$14)*EstymacjaGaussowska($D68,$D$2:$D$51,X$15)+Y$8*EstymacjaGaussowska($C68,$C$52:$C$101,Y$14)*EstymacjaGaussowska($D68,$D$52:$D$101,Y$15)+Z$8*EstymacjaGaussowska($C68,$C$102:$C$151,Z$14)*EstymacjaGaussowska($D68,$D$102:$D$151,Z$15)</f>
        <v>0.3913323569718512</v>
      </c>
      <c r="I68" s="3" cm="1">
        <f t="array" ref="I68">X$8*EstymacjaGaussowska($C68,$C$2:$C$51,X$14)*EstymacjaGaussowska($D68,$D$2:$D$51,X$15)/$H68</f>
        <v>7.3411951200640539E-277</v>
      </c>
      <c r="J68" s="3" cm="1">
        <f t="array" ref="J68">Y$8*EstymacjaGaussowska($C68,$C$52:$C$101,Y$14)*EstymacjaGaussowska($D68,$D$52:$D$101,Y$15)/$H68</f>
        <v>0.96929660806572038</v>
      </c>
      <c r="K68" s="42" cm="1">
        <f t="array" ref="K68">Z$8*EstymacjaGaussowska($C68,$C$102:$C$151,Z$14)*EstymacjaGaussowska($D68,$D$102:$D$151,Z$15)/$H68</f>
        <v>3.0703391934279737E-2</v>
      </c>
      <c r="L68" s="43" t="str">
        <f t="shared" si="9"/>
        <v>versicolor</v>
      </c>
      <c r="M68" s="3" cm="1">
        <f t="array" ref="M68">X$8*EstymacjaGaussowska($C68,$C$2:$C$51,X$14)*EstymacjaGaussowska($D68,$D$2:$D$51,X$15)*VLOOKUP($E68,$W$29:$AA$32,2)+Y$8*EstymacjaGaussowska($C68,$C$52:$C$101,Y$14)*EstymacjaGaussowska($D68,$D$52:$D$101,Y$15)*VLOOKUP($E68,$W$29:$AA$32,3)+Z$8*EstymacjaGaussowska($C68,$C$102:$C$151,Z$14)*EstymacjaGaussowska($D68,$D$102:$D$151,Z$15)*VLOOKUP($E68,$W$29:$AA$32,4)</f>
        <v>0.14870629564930349</v>
      </c>
      <c r="N68" s="3" cm="1">
        <f t="array" ref="N68">X$8*EstymacjaGaussowska($C68,$C$2:$C$51,X$14)*EstymacjaGaussowska($D68,$D$2:$D$51,X$15)*VLOOKUP($E68,$W$29:$AA$32,2)/$M68</f>
        <v>3.4774082147671825E-277</v>
      </c>
      <c r="O68" s="3" cm="1">
        <f t="array" ref="O68">Y$8*EstymacjaGaussowska($C68,$C$52:$C$101,Y$14)*EstymacjaGaussowska($D68,$D$52:$D$101,Y$15)*VLOOKUP($E68,$W$29:$AA$32,3)/$M68</f>
        <v>0.96929660806572016</v>
      </c>
      <c r="P68" s="42" cm="1">
        <f t="array" ref="P68">Z$8*EstymacjaGaussowska($C68,$C$102:$C$151,Z$14)*EstymacjaGaussowska($D68,$D$102:$D$151,Z$15)*VLOOKUP($E68,$W$29:$AA$32,4)/$M68</f>
        <v>3.070339193427973E-2</v>
      </c>
      <c r="Q68" s="43" t="str">
        <f t="shared" si="10"/>
        <v>versicolor</v>
      </c>
      <c r="R68" s="3" cm="1">
        <f t="array" ref="R68">X$8*EstymacjaGaussowska($C68,$C$2:$C$51,X$14)*EstymacjaGaussowska($D68,$D$2:$D$51,X$15)*EstymacjaGaussowska($A68,$A$2:$A$51,X$18)*EstymacjaGaussowska($B68,$B$2:$B$51,X$19)*VLOOKUP($E68,$W$29:$AA$32,2)+Y$8*EstymacjaGaussowska($C68,$C$52:$C$101,Y$14)*EstymacjaGaussowska($D68,$D$52:$D$101,Y$15)*EstymacjaGaussowska($A68,$A$52:$A$101,Y$18)*EstymacjaGaussowska($B68,$B$52:$B$101,Y$19)*VLOOKUP($E68,$W$29:$AA$32,3)+Z$8*EstymacjaGaussowska($C68,$C$102:$C$151,Z$14)*EstymacjaGaussowska($D68,$D$102:$D$151,Z$15)*EstymacjaGaussowska($A68,$A$102:$A$151,Z$18)*EstymacjaGaussowska($B68,$B$102:$B$151,Z$19)*VLOOKUP($E68,$W$29:$AA$32,4)</f>
        <v>0.10416612673039323</v>
      </c>
      <c r="S68" s="3" cm="1">
        <f t="array" ref="S68">X$8*EstymacjaGaussowska($C68,$C$2:$C$51,X$14)*EstymacjaGaussowska($D68,$D$2:$D$51,X$15)*EstymacjaGaussowska($A68,$A$2:$A$51,X$18)*EstymacjaGaussowska($B68,$B$2:$B$51,X$19)*VLOOKUP($E68,$W$29:$AA$32,2)/$R68</f>
        <v>1.0194306819894468E-277</v>
      </c>
      <c r="T68" s="3" cm="1">
        <f t="array" ref="T68">Y$8*EstymacjaGaussowska($C68,$C$52:$C$101,Y$14)*EstymacjaGaussowska($D68,$D$52:$D$101,Y$15)*EstymacjaGaussowska($A68,$A$52:$A$101,Y$18)*EstymacjaGaussowska($B68,$B$52:$B$101,Y$19)*VLOOKUP($E68,$W$29:$AA$32,3)/$R68</f>
        <v>0.98965533649679993</v>
      </c>
      <c r="U68" s="42" cm="1">
        <f t="array" ref="U68">Z$8*EstymacjaGaussowska($C68,$C$102:$C$151,Z$14)*EstymacjaGaussowska($D68,$D$102:$D$151,Z$15)*EstymacjaGaussowska($A68,$A$102:$A$151,Z$18)*EstymacjaGaussowska($B68,$B$102:$B$151,Z$19)*VLOOKUP($E68,$W$29:$AA$32,4)/$R68</f>
        <v>1.0344663503199961E-2</v>
      </c>
    </row>
    <row r="69" spans="1:21" x14ac:dyDescent="0.25">
      <c r="A69" s="9">
        <v>5.8</v>
      </c>
      <c r="B69" s="3">
        <v>2.7</v>
      </c>
      <c r="C69" s="3">
        <v>4.0999999999999996</v>
      </c>
      <c r="D69" s="8">
        <v>1</v>
      </c>
      <c r="E69" s="9" t="s">
        <v>12</v>
      </c>
      <c r="F69" s="50" t="s">
        <v>6</v>
      </c>
      <c r="G69" s="43" t="str">
        <f t="shared" si="8"/>
        <v>versicolor</v>
      </c>
      <c r="H69" s="3" cm="1">
        <f t="array" ref="H69">X$8*EstymacjaGaussowska($C69,$C$2:$C$51,X$14)*EstymacjaGaussowska($D69,$D$2:$D$51,X$15)+Y$8*EstymacjaGaussowska($C69,$C$52:$C$101,Y$14)*EstymacjaGaussowska($D69,$D$52:$D$101,Y$15)+Z$8*EstymacjaGaussowska($C69,$C$102:$C$151,Z$14)*EstymacjaGaussowska($D69,$D$102:$D$151,Z$15)</f>
        <v>0.17360821445540958</v>
      </c>
      <c r="I69" s="3" cm="1">
        <f t="array" ref="I69">X$8*EstymacjaGaussowska($C69,$C$2:$C$51,X$14)*EstymacjaGaussowska($D69,$D$2:$D$51,X$15)/$H69</f>
        <v>1.3681533672182991E-163</v>
      </c>
      <c r="J69" s="3" cm="1">
        <f t="array" ref="J69">Y$8*EstymacjaGaussowska($C69,$C$52:$C$101,Y$14)*EstymacjaGaussowska($D69,$D$52:$D$101,Y$15)/$H69</f>
        <v>0.99998060037655978</v>
      </c>
      <c r="K69" s="42" cm="1">
        <f t="array" ref="K69">Z$8*EstymacjaGaussowska($C69,$C$102:$C$151,Z$14)*EstymacjaGaussowska($D69,$D$102:$D$151,Z$15)/$H69</f>
        <v>1.9399623440160501E-5</v>
      </c>
      <c r="L69" s="43" t="str">
        <f t="shared" si="9"/>
        <v>versicolor</v>
      </c>
      <c r="M69" s="3" cm="1">
        <f t="array" ref="M69">X$8*EstymacjaGaussowska($C69,$C$2:$C$51,X$14)*EstymacjaGaussowska($D69,$D$2:$D$51,X$15)*VLOOKUP($E69,$W$29:$AA$32,2)+Y$8*EstymacjaGaussowska($C69,$C$52:$C$101,Y$14)*EstymacjaGaussowska($D69,$D$52:$D$101,Y$15)*VLOOKUP($E69,$W$29:$AA$32,3)+Z$8*EstymacjaGaussowska($C69,$C$102:$C$151,Z$14)*EstymacjaGaussowska($D69,$D$102:$D$151,Z$15)*VLOOKUP($E69,$W$29:$AA$32,4)</f>
        <v>6.5971121493055646E-2</v>
      </c>
      <c r="N69" s="3" cm="1">
        <f t="array" ref="N69">X$8*EstymacjaGaussowska($C69,$C$2:$C$51,X$14)*EstymacjaGaussowska($D69,$D$2:$D$51,X$15)*VLOOKUP($E69,$W$29:$AA$32,2)/$M69</f>
        <v>6.4807264762972056E-164</v>
      </c>
      <c r="O69" s="3" cm="1">
        <f t="array" ref="O69">Y$8*EstymacjaGaussowska($C69,$C$52:$C$101,Y$14)*EstymacjaGaussowska($D69,$D$52:$D$101,Y$15)*VLOOKUP($E69,$W$29:$AA$32,3)/$M69</f>
        <v>0.99998060037655978</v>
      </c>
      <c r="P69" s="42" cm="1">
        <f t="array" ref="P69">Z$8*EstymacjaGaussowska($C69,$C$102:$C$151,Z$14)*EstymacjaGaussowska($D69,$D$102:$D$151,Z$15)*VLOOKUP($E69,$W$29:$AA$32,4)/$M69</f>
        <v>1.9399623440160498E-5</v>
      </c>
      <c r="Q69" s="43" t="str">
        <f t="shared" si="10"/>
        <v>versicolor</v>
      </c>
      <c r="R69" s="3" cm="1">
        <f t="array" ref="R69">X$8*EstymacjaGaussowska($C69,$C$2:$C$51,X$14)*EstymacjaGaussowska($D69,$D$2:$D$51,X$15)*EstymacjaGaussowska($A69,$A$2:$A$51,X$18)*EstymacjaGaussowska($B69,$B$2:$B$51,X$19)*VLOOKUP($E69,$W$29:$AA$32,2)+Y$8*EstymacjaGaussowska($C69,$C$52:$C$101,Y$14)*EstymacjaGaussowska($D69,$D$52:$D$101,Y$15)*EstymacjaGaussowska($A69,$A$52:$A$101,Y$18)*EstymacjaGaussowska($B69,$B$52:$B$101,Y$19)*VLOOKUP($E69,$W$29:$AA$32,3)+Z$8*EstymacjaGaussowska($C69,$C$102:$C$151,Z$14)*EstymacjaGaussowska($D69,$D$102:$D$151,Z$15)*EstymacjaGaussowska($A69,$A$102:$A$151,Z$18)*EstymacjaGaussowska($B69,$B$102:$B$151,Z$19)*VLOOKUP($E69,$W$29:$AA$32,4)</f>
        <v>4.5058979181867923E-2</v>
      </c>
      <c r="S69" s="3" cm="1">
        <f t="array" ref="S69">X$8*EstymacjaGaussowska($C69,$C$2:$C$51,X$14)*EstymacjaGaussowska($D69,$D$2:$D$51,X$15)*EstymacjaGaussowska($A69,$A$2:$A$51,X$18)*EstymacjaGaussowska($B69,$B$2:$B$51,X$19)*VLOOKUP($E69,$W$29:$AA$32,2)/$R69</f>
        <v>1.8250671852885102E-165</v>
      </c>
      <c r="T69" s="3" cm="1">
        <f t="array" ref="T69">Y$8*EstymacjaGaussowska($C69,$C$52:$C$101,Y$14)*EstymacjaGaussowska($D69,$D$52:$D$101,Y$15)*EstymacjaGaussowska($A69,$A$52:$A$101,Y$18)*EstymacjaGaussowska($B69,$B$52:$B$101,Y$19)*VLOOKUP($E69,$W$29:$AA$32,3)/$R69</f>
        <v>0.99999226748332282</v>
      </c>
      <c r="U69" s="42" cm="1">
        <f t="array" ref="U69">Z$8*EstymacjaGaussowska($C69,$C$102:$C$151,Z$14)*EstymacjaGaussowska($D69,$D$102:$D$151,Z$15)*EstymacjaGaussowska($A69,$A$102:$A$151,Z$18)*EstymacjaGaussowska($B69,$B$102:$B$151,Z$19)*VLOOKUP($E69,$W$29:$AA$32,4)/$R69</f>
        <v>7.7325166771693968E-6</v>
      </c>
    </row>
    <row r="70" spans="1:21" x14ac:dyDescent="0.25">
      <c r="A70" s="9">
        <v>6.2</v>
      </c>
      <c r="B70" s="3">
        <v>2.2000000000000002</v>
      </c>
      <c r="C70" s="3">
        <v>4.5</v>
      </c>
      <c r="D70" s="8">
        <v>1.5</v>
      </c>
      <c r="E70" s="9" t="s">
        <v>12</v>
      </c>
      <c r="F70" s="50" t="s">
        <v>6</v>
      </c>
      <c r="G70" s="43" t="str">
        <f t="shared" si="8"/>
        <v>versicolor</v>
      </c>
      <c r="H70" s="3" cm="1">
        <f t="array" ref="H70">X$8*EstymacjaGaussowska($C70,$C$2:$C$51,X$14)*EstymacjaGaussowska($D70,$D$2:$D$51,X$15)+Y$8*EstymacjaGaussowska($C70,$C$52:$C$101,Y$14)*EstymacjaGaussowska($D70,$D$52:$D$101,Y$15)+Z$8*EstymacjaGaussowska($C70,$C$102:$C$151,Z$14)*EstymacjaGaussowska($D70,$D$102:$D$151,Z$15)</f>
        <v>0.3913323569718512</v>
      </c>
      <c r="I70" s="3" cm="1">
        <f t="array" ref="I70">X$8*EstymacjaGaussowska($C70,$C$2:$C$51,X$14)*EstymacjaGaussowska($D70,$D$2:$D$51,X$15)/$H70</f>
        <v>7.3411951200640539E-277</v>
      </c>
      <c r="J70" s="3" cm="1">
        <f t="array" ref="J70">Y$8*EstymacjaGaussowska($C70,$C$52:$C$101,Y$14)*EstymacjaGaussowska($D70,$D$52:$D$101,Y$15)/$H70</f>
        <v>0.96929660806572038</v>
      </c>
      <c r="K70" s="42" cm="1">
        <f t="array" ref="K70">Z$8*EstymacjaGaussowska($C70,$C$102:$C$151,Z$14)*EstymacjaGaussowska($D70,$D$102:$D$151,Z$15)/$H70</f>
        <v>3.0703391934279737E-2</v>
      </c>
      <c r="L70" s="43" t="str">
        <f t="shared" si="9"/>
        <v>versicolor</v>
      </c>
      <c r="M70" s="3" cm="1">
        <f t="array" ref="M70">X$8*EstymacjaGaussowska($C70,$C$2:$C$51,X$14)*EstymacjaGaussowska($D70,$D$2:$D$51,X$15)*VLOOKUP($E70,$W$29:$AA$32,2)+Y$8*EstymacjaGaussowska($C70,$C$52:$C$101,Y$14)*EstymacjaGaussowska($D70,$D$52:$D$101,Y$15)*VLOOKUP($E70,$W$29:$AA$32,3)+Z$8*EstymacjaGaussowska($C70,$C$102:$C$151,Z$14)*EstymacjaGaussowska($D70,$D$102:$D$151,Z$15)*VLOOKUP($E70,$W$29:$AA$32,4)</f>
        <v>0.14870629564930349</v>
      </c>
      <c r="N70" s="3" cm="1">
        <f t="array" ref="N70">X$8*EstymacjaGaussowska($C70,$C$2:$C$51,X$14)*EstymacjaGaussowska($D70,$D$2:$D$51,X$15)*VLOOKUP($E70,$W$29:$AA$32,2)/$M70</f>
        <v>3.4774082147671825E-277</v>
      </c>
      <c r="O70" s="3" cm="1">
        <f t="array" ref="O70">Y$8*EstymacjaGaussowska($C70,$C$52:$C$101,Y$14)*EstymacjaGaussowska($D70,$D$52:$D$101,Y$15)*VLOOKUP($E70,$W$29:$AA$32,3)/$M70</f>
        <v>0.96929660806572016</v>
      </c>
      <c r="P70" s="42" cm="1">
        <f t="array" ref="P70">Z$8*EstymacjaGaussowska($C70,$C$102:$C$151,Z$14)*EstymacjaGaussowska($D70,$D$102:$D$151,Z$15)*VLOOKUP($E70,$W$29:$AA$32,4)/$M70</f>
        <v>3.070339193427973E-2</v>
      </c>
      <c r="Q70" s="43" t="str">
        <f t="shared" si="10"/>
        <v>versicolor</v>
      </c>
      <c r="R70" s="3" cm="1">
        <f t="array" ref="R70">X$8*EstymacjaGaussowska($C70,$C$2:$C$51,X$14)*EstymacjaGaussowska($D70,$D$2:$D$51,X$15)*EstymacjaGaussowska($A70,$A$2:$A$51,X$18)*EstymacjaGaussowska($B70,$B$2:$B$51,X$19)*VLOOKUP($E70,$W$29:$AA$32,2)+Y$8*EstymacjaGaussowska($C70,$C$52:$C$101,Y$14)*EstymacjaGaussowska($D70,$D$52:$D$101,Y$15)*EstymacjaGaussowska($A70,$A$52:$A$101,Y$18)*EstymacjaGaussowska($B70,$B$52:$B$101,Y$19)*VLOOKUP($E70,$W$29:$AA$32,3)+Z$8*EstymacjaGaussowska($C70,$C$102:$C$151,Z$14)*EstymacjaGaussowska($D70,$D$102:$D$151,Z$15)*EstymacjaGaussowska($A70,$A$102:$A$151,Z$18)*EstymacjaGaussowska($B70,$B$102:$B$151,Z$19)*VLOOKUP($E70,$W$29:$AA$32,4)</f>
        <v>2.8461002612879732E-2</v>
      </c>
      <c r="S70" s="3" cm="1">
        <f t="array" ref="S70">X$8*EstymacjaGaussowska($C70,$C$2:$C$51,X$14)*EstymacjaGaussowska($D70,$D$2:$D$51,X$15)*EstymacjaGaussowska($A70,$A$2:$A$51,X$18)*EstymacjaGaussowska($B70,$B$2:$B$51,X$19)*VLOOKUP($E70,$W$29:$AA$32,2)/$R70</f>
        <v>2.9506473735962607E-280</v>
      </c>
      <c r="T70" s="3" cm="1">
        <f t="array" ref="T70">Y$8*EstymacjaGaussowska($C70,$C$52:$C$101,Y$14)*EstymacjaGaussowska($D70,$D$52:$D$101,Y$15)*EstymacjaGaussowska($A70,$A$52:$A$101,Y$18)*EstymacjaGaussowska($B70,$B$52:$B$101,Y$19)*VLOOKUP($E70,$W$29:$AA$32,3)/$R70</f>
        <v>0.99189419589275241</v>
      </c>
      <c r="U70" s="42" cm="1">
        <f t="array" ref="U70">Z$8*EstymacjaGaussowska($C70,$C$102:$C$151,Z$14)*EstymacjaGaussowska($D70,$D$102:$D$151,Z$15)*EstymacjaGaussowska($A70,$A$102:$A$151,Z$18)*EstymacjaGaussowska($B70,$B$102:$B$151,Z$19)*VLOOKUP($E70,$W$29:$AA$32,4)/$R70</f>
        <v>8.1058041072475835E-3</v>
      </c>
    </row>
    <row r="71" spans="1:21" x14ac:dyDescent="0.25">
      <c r="A71" s="9">
        <v>5.6</v>
      </c>
      <c r="B71" s="3">
        <v>2.5</v>
      </c>
      <c r="C71" s="3">
        <v>3.9</v>
      </c>
      <c r="D71" s="8">
        <v>1.1000000000000001</v>
      </c>
      <c r="E71" s="9" t="s">
        <v>12</v>
      </c>
      <c r="F71" s="50" t="s">
        <v>6</v>
      </c>
      <c r="G71" s="43" t="str">
        <f t="shared" si="8"/>
        <v>versicolor</v>
      </c>
      <c r="H71" s="3" cm="1">
        <f t="array" ref="H71">X$8*EstymacjaGaussowska($C71,$C$2:$C$51,X$14)*EstymacjaGaussowska($D71,$D$2:$D$51,X$15)+Y$8*EstymacjaGaussowska($C71,$C$52:$C$101,Y$14)*EstymacjaGaussowska($D71,$D$52:$D$101,Y$15)+Z$8*EstymacjaGaussowska($C71,$C$102:$C$151,Z$14)*EstymacjaGaussowska($D71,$D$102:$D$151,Z$15)</f>
        <v>0.16535686272658315</v>
      </c>
      <c r="I71" s="3" cm="1">
        <f t="array" ref="I71">X$8*EstymacjaGaussowska($C71,$C$2:$C$51,X$14)*EstymacjaGaussowska($D71,$D$2:$D$51,X$15)/$H71</f>
        <v>2.5552215021298731E-145</v>
      </c>
      <c r="J71" s="3" cm="1">
        <f t="array" ref="J71">Y$8*EstymacjaGaussowska($C71,$C$52:$C$101,Y$14)*EstymacjaGaussowska($D71,$D$52:$D$101,Y$15)/$H71</f>
        <v>0.99996641398067154</v>
      </c>
      <c r="K71" s="42" cm="1">
        <f t="array" ref="K71">Z$8*EstymacjaGaussowska($C71,$C$102:$C$151,Z$14)*EstymacjaGaussowska($D71,$D$102:$D$151,Z$15)/$H71</f>
        <v>3.3586019328413612E-5</v>
      </c>
      <c r="L71" s="43" t="str">
        <f t="shared" si="9"/>
        <v>versicolor</v>
      </c>
      <c r="M71" s="3" cm="1">
        <f t="array" ref="M71">X$8*EstymacjaGaussowska($C71,$C$2:$C$51,X$14)*EstymacjaGaussowska($D71,$D$2:$D$51,X$15)*VLOOKUP($E71,$W$29:$AA$32,2)+Y$8*EstymacjaGaussowska($C71,$C$52:$C$101,Y$14)*EstymacjaGaussowska($D71,$D$52:$D$101,Y$15)*VLOOKUP($E71,$W$29:$AA$32,3)+Z$8*EstymacjaGaussowska($C71,$C$102:$C$151,Z$14)*EstymacjaGaussowska($D71,$D$102:$D$151,Z$15)*VLOOKUP($E71,$W$29:$AA$32,4)</f>
        <v>6.2835607836101592E-2</v>
      </c>
      <c r="N71" s="3" cm="1">
        <f t="array" ref="N71">X$8*EstymacjaGaussowska($C71,$C$2:$C$51,X$14)*EstymacjaGaussowska($D71,$D$2:$D$51,X$15)*VLOOKUP($E71,$W$29:$AA$32,2)/$M71</f>
        <v>1.2103680799562558E-145</v>
      </c>
      <c r="O71" s="3" cm="1">
        <f t="array" ref="O71">Y$8*EstymacjaGaussowska($C71,$C$52:$C$101,Y$14)*EstymacjaGaussowska($D71,$D$52:$D$101,Y$15)*VLOOKUP($E71,$W$29:$AA$32,3)/$M71</f>
        <v>0.99996641398067165</v>
      </c>
      <c r="P71" s="42" cm="1">
        <f t="array" ref="P71">Z$8*EstymacjaGaussowska($C71,$C$102:$C$151,Z$14)*EstymacjaGaussowska($D71,$D$102:$D$151,Z$15)*VLOOKUP($E71,$W$29:$AA$32,4)/$M71</f>
        <v>3.3586019328413612E-5</v>
      </c>
      <c r="Q71" s="43" t="str">
        <f t="shared" si="10"/>
        <v>versicolor</v>
      </c>
      <c r="R71" s="3" cm="1">
        <f t="array" ref="R71">X$8*EstymacjaGaussowska($C71,$C$2:$C$51,X$14)*EstymacjaGaussowska($D71,$D$2:$D$51,X$15)*EstymacjaGaussowska($A71,$A$2:$A$51,X$18)*EstymacjaGaussowska($B71,$B$2:$B$51,X$19)*VLOOKUP($E71,$W$29:$AA$32,2)+Y$8*EstymacjaGaussowska($C71,$C$52:$C$101,Y$14)*EstymacjaGaussowska($D71,$D$52:$D$101,Y$15)*EstymacjaGaussowska($A71,$A$52:$A$101,Y$18)*EstymacjaGaussowska($B71,$B$52:$B$101,Y$19)*VLOOKUP($E71,$W$29:$AA$32,3)+Z$8*EstymacjaGaussowska($C71,$C$102:$C$151,Z$14)*EstymacjaGaussowska($D71,$D$102:$D$151,Z$15)*EstymacjaGaussowska($A71,$A$102:$A$151,Z$18)*EstymacjaGaussowska($B71,$B$102:$B$151,Z$19)*VLOOKUP($E71,$W$29:$AA$32,4)</f>
        <v>2.933342109351119E-2</v>
      </c>
      <c r="S71" s="3" cm="1">
        <f t="array" ref="S71">X$8*EstymacjaGaussowska($C71,$C$2:$C$51,X$14)*EstymacjaGaussowska($D71,$D$2:$D$51,X$15)*EstymacjaGaussowska($A71,$A$2:$A$51,X$18)*EstymacjaGaussowska($B71,$B$2:$B$51,X$19)*VLOOKUP($E71,$W$29:$AA$32,2)/$R71</f>
        <v>2.9794145221551466E-147</v>
      </c>
      <c r="T71" s="3" cm="1">
        <f t="array" ref="T71">Y$8*EstymacjaGaussowska($C71,$C$52:$C$101,Y$14)*EstymacjaGaussowska($D71,$D$52:$D$101,Y$15)*EstymacjaGaussowska($A71,$A$52:$A$101,Y$18)*EstymacjaGaussowska($B71,$B$52:$B$101,Y$19)*VLOOKUP($E71,$W$29:$AA$32,3)/$R71</f>
        <v>0.99999362846486284</v>
      </c>
      <c r="U71" s="42" cm="1">
        <f t="array" ref="U71">Z$8*EstymacjaGaussowska($C71,$C$102:$C$151,Z$14)*EstymacjaGaussowska($D71,$D$102:$D$151,Z$15)*EstymacjaGaussowska($A71,$A$102:$A$151,Z$18)*EstymacjaGaussowska($B71,$B$102:$B$151,Z$19)*VLOOKUP($E71,$W$29:$AA$32,4)/$R71</f>
        <v>6.3715351372727952E-6</v>
      </c>
    </row>
    <row r="72" spans="1:21" x14ac:dyDescent="0.25">
      <c r="A72" s="9">
        <v>5.9</v>
      </c>
      <c r="B72" s="3">
        <v>3.2</v>
      </c>
      <c r="C72" s="3">
        <v>4.8</v>
      </c>
      <c r="D72" s="8">
        <v>1.8</v>
      </c>
      <c r="E72" s="9" t="s">
        <v>12</v>
      </c>
      <c r="F72" s="50" t="s">
        <v>6</v>
      </c>
      <c r="G72" s="43" t="str">
        <f t="shared" si="8"/>
        <v>virginica</v>
      </c>
      <c r="H72" s="3" cm="1">
        <f t="array" ref="H72">X$8*EstymacjaGaussowska($C72,$C$2:$C$51,X$14)*EstymacjaGaussowska($D72,$D$2:$D$51,X$15)+Y$8*EstymacjaGaussowska($C72,$C$52:$C$101,Y$14)*EstymacjaGaussowska($D72,$D$52:$D$101,Y$15)+Z$8*EstymacjaGaussowska($C72,$C$102:$C$151,Z$14)*EstymacjaGaussowska($D72,$D$102:$D$151,Z$15)</f>
        <v>0.16986367174339903</v>
      </c>
      <c r="I72" s="3" cm="1">
        <f t="array" ref="I72">X$8*EstymacjaGaussowska($C72,$C$2:$C$51,X$14)*EstymacjaGaussowska($D72,$D$2:$D$51,X$15)/$H72</f>
        <v>0</v>
      </c>
      <c r="J72" s="3" cm="1">
        <f t="array" ref="J72">Y$8*EstymacjaGaussowska($C72,$C$52:$C$101,Y$14)*EstymacjaGaussowska($D72,$D$52:$D$101,Y$15)/$H72</f>
        <v>0.17861708260727199</v>
      </c>
      <c r="K72" s="42" cm="1">
        <f t="array" ref="K72">Z$8*EstymacjaGaussowska($C72,$C$102:$C$151,Z$14)*EstymacjaGaussowska($D72,$D$102:$D$151,Z$15)/$H72</f>
        <v>0.82138291739272806</v>
      </c>
      <c r="L72" s="43" t="str">
        <f t="shared" si="9"/>
        <v>virginica</v>
      </c>
      <c r="M72" s="3" cm="1">
        <f t="array" ref="M72">X$8*EstymacjaGaussowska($C72,$C$2:$C$51,X$14)*EstymacjaGaussowska($D72,$D$2:$D$51,X$15)*VLOOKUP($E72,$W$29:$AA$32,2)+Y$8*EstymacjaGaussowska($C72,$C$52:$C$101,Y$14)*EstymacjaGaussowska($D72,$D$52:$D$101,Y$15)*VLOOKUP($E72,$W$29:$AA$32,3)+Z$8*EstymacjaGaussowska($C72,$C$102:$C$151,Z$14)*EstymacjaGaussowska($D72,$D$102:$D$151,Z$15)*VLOOKUP($E72,$W$29:$AA$32,4)</f>
        <v>6.4548195262491628E-2</v>
      </c>
      <c r="N72" s="3" cm="1">
        <f t="array" ref="N72">X$8*EstymacjaGaussowska($C72,$C$2:$C$51,X$14)*EstymacjaGaussowska($D72,$D$2:$D$51,X$15)*VLOOKUP($E72,$W$29:$AA$32,2)/$M72</f>
        <v>0</v>
      </c>
      <c r="O72" s="3" cm="1">
        <f t="array" ref="O72">Y$8*EstymacjaGaussowska($C72,$C$52:$C$101,Y$14)*EstymacjaGaussowska($D72,$D$52:$D$101,Y$15)*VLOOKUP($E72,$W$29:$AA$32,3)/$M72</f>
        <v>0.17861708260727199</v>
      </c>
      <c r="P72" s="42" cm="1">
        <f t="array" ref="P72">Z$8*EstymacjaGaussowska($C72,$C$102:$C$151,Z$14)*EstymacjaGaussowska($D72,$D$102:$D$151,Z$15)*VLOOKUP($E72,$W$29:$AA$32,4)/$M72</f>
        <v>0.82138291739272806</v>
      </c>
      <c r="Q72" s="43" t="str">
        <f t="shared" si="10"/>
        <v>virginica</v>
      </c>
      <c r="R72" s="3" cm="1">
        <f t="array" ref="R72">X$8*EstymacjaGaussowska($C72,$C$2:$C$51,X$14)*EstymacjaGaussowska($D72,$D$2:$D$51,X$15)*EstymacjaGaussowska($A72,$A$2:$A$51,X$18)*EstymacjaGaussowska($B72,$B$2:$B$51,X$19)*VLOOKUP($E72,$W$29:$AA$32,2)+Y$8*EstymacjaGaussowska($C72,$C$52:$C$101,Y$14)*EstymacjaGaussowska($D72,$D$52:$D$101,Y$15)*EstymacjaGaussowska($A72,$A$52:$A$101,Y$18)*EstymacjaGaussowska($B72,$B$52:$B$101,Y$19)*VLOOKUP($E72,$W$29:$AA$32,3)+Z$8*EstymacjaGaussowska($C72,$C$102:$C$151,Z$14)*EstymacjaGaussowska($D72,$D$102:$D$151,Z$15)*EstymacjaGaussowska($A72,$A$102:$A$151,Z$18)*EstymacjaGaussowska($B72,$B$102:$B$151,Z$19)*VLOOKUP($E72,$W$29:$AA$32,4)</f>
        <v>2.2790751390715253E-2</v>
      </c>
      <c r="S72" s="3" cm="1">
        <f t="array" ref="S72">X$8*EstymacjaGaussowska($C72,$C$2:$C$51,X$14)*EstymacjaGaussowska($D72,$D$2:$D$51,X$15)*EstymacjaGaussowska($A72,$A$2:$A$51,X$18)*EstymacjaGaussowska($B72,$B$2:$B$51,X$19)*VLOOKUP($E72,$W$29:$AA$32,2)/$R72</f>
        <v>0</v>
      </c>
      <c r="T72" s="3" cm="1">
        <f t="array" ref="T72">Y$8*EstymacjaGaussowska($C72,$C$52:$C$101,Y$14)*EstymacjaGaussowska($D72,$D$52:$D$101,Y$15)*EstymacjaGaussowska($A72,$A$52:$A$101,Y$18)*EstymacjaGaussowska($B72,$B$52:$B$101,Y$19)*VLOOKUP($E72,$W$29:$AA$32,3)/$R72</f>
        <v>0.20138076904045338</v>
      </c>
      <c r="U72" s="42" cm="1">
        <f t="array" ref="U72">Z$8*EstymacjaGaussowska($C72,$C$102:$C$151,Z$14)*EstymacjaGaussowska($D72,$D$102:$D$151,Z$15)*EstymacjaGaussowska($A72,$A$102:$A$151,Z$18)*EstymacjaGaussowska($B72,$B$102:$B$151,Z$19)*VLOOKUP($E72,$W$29:$AA$32,4)/$R72</f>
        <v>0.79861923095954668</v>
      </c>
    </row>
    <row r="73" spans="1:21" x14ac:dyDescent="0.25">
      <c r="A73" s="9">
        <v>6.1</v>
      </c>
      <c r="B73" s="3">
        <v>2.8</v>
      </c>
      <c r="C73" s="3">
        <v>4</v>
      </c>
      <c r="D73" s="8">
        <v>1.3</v>
      </c>
      <c r="E73" s="9" t="s">
        <v>12</v>
      </c>
      <c r="F73" s="50" t="s">
        <v>6</v>
      </c>
      <c r="G73" s="43" t="str">
        <f t="shared" si="8"/>
        <v>versicolor</v>
      </c>
      <c r="H73" s="3" cm="1">
        <f t="array" ref="H73">X$8*EstymacjaGaussowska($C73,$C$2:$C$51,X$14)*EstymacjaGaussowska($D73,$D$2:$D$51,X$15)+Y$8*EstymacjaGaussowska($C73,$C$52:$C$101,Y$14)*EstymacjaGaussowska($D73,$D$52:$D$101,Y$15)+Z$8*EstymacjaGaussowska($C73,$C$102:$C$151,Z$14)*EstymacjaGaussowska($D73,$D$102:$D$151,Z$15)</f>
        <v>0.35875457532389737</v>
      </c>
      <c r="I73" s="3" cm="1">
        <f t="array" ref="I73">X$8*EstymacjaGaussowska($C73,$C$2:$C$51,X$14)*EstymacjaGaussowska($D73,$D$2:$D$51,X$15)/$H73</f>
        <v>3.4510386690466513E-178</v>
      </c>
      <c r="J73" s="3" cm="1">
        <f t="array" ref="J73">Y$8*EstymacjaGaussowska($C73,$C$52:$C$101,Y$14)*EstymacjaGaussowska($D73,$D$52:$D$101,Y$15)/$H73</f>
        <v>0.99947134185837383</v>
      </c>
      <c r="K73" s="42" cm="1">
        <f t="array" ref="K73">Z$8*EstymacjaGaussowska($C73,$C$102:$C$151,Z$14)*EstymacjaGaussowska($D73,$D$102:$D$151,Z$15)/$H73</f>
        <v>5.2865814162627635E-4</v>
      </c>
      <c r="L73" s="43" t="str">
        <f t="shared" si="9"/>
        <v>versicolor</v>
      </c>
      <c r="M73" s="3" cm="1">
        <f t="array" ref="M73">X$8*EstymacjaGaussowska($C73,$C$2:$C$51,X$14)*EstymacjaGaussowska($D73,$D$2:$D$51,X$15)*VLOOKUP($E73,$W$29:$AA$32,2)+Y$8*EstymacjaGaussowska($C73,$C$52:$C$101,Y$14)*EstymacjaGaussowska($D73,$D$52:$D$101,Y$15)*VLOOKUP($E73,$W$29:$AA$32,3)+Z$8*EstymacjaGaussowska($C73,$C$102:$C$151,Z$14)*EstymacjaGaussowska($D73,$D$102:$D$151,Z$15)*VLOOKUP($E73,$W$29:$AA$32,4)</f>
        <v>0.13632673862308103</v>
      </c>
      <c r="N73" s="3" cm="1">
        <f t="array" ref="N73">X$8*EstymacjaGaussowska($C73,$C$2:$C$51,X$14)*EstymacjaGaussowska($D73,$D$2:$D$51,X$15)*VLOOKUP($E73,$W$29:$AA$32,2)/$M73</f>
        <v>1.6347025274431503E-178</v>
      </c>
      <c r="O73" s="3" cm="1">
        <f t="array" ref="O73">Y$8*EstymacjaGaussowska($C73,$C$52:$C$101,Y$14)*EstymacjaGaussowska($D73,$D$52:$D$101,Y$15)*VLOOKUP($E73,$W$29:$AA$32,3)/$M73</f>
        <v>0.99947134185837361</v>
      </c>
      <c r="P73" s="42" cm="1">
        <f t="array" ref="P73">Z$8*EstymacjaGaussowska($C73,$C$102:$C$151,Z$14)*EstymacjaGaussowska($D73,$D$102:$D$151,Z$15)*VLOOKUP($E73,$W$29:$AA$32,4)/$M73</f>
        <v>5.2865814162627624E-4</v>
      </c>
      <c r="Q73" s="43" t="str">
        <f t="shared" si="10"/>
        <v>versicolor</v>
      </c>
      <c r="R73" s="3" cm="1">
        <f t="array" ref="R73">X$8*EstymacjaGaussowska($C73,$C$2:$C$51,X$14)*EstymacjaGaussowska($D73,$D$2:$D$51,X$15)*EstymacjaGaussowska($A73,$A$2:$A$51,X$18)*EstymacjaGaussowska($B73,$B$2:$B$51,X$19)*VLOOKUP($E73,$W$29:$AA$32,2)+Y$8*EstymacjaGaussowska($C73,$C$52:$C$101,Y$14)*EstymacjaGaussowska($D73,$D$52:$D$101,Y$15)*EstymacjaGaussowska($A73,$A$52:$A$101,Y$18)*EstymacjaGaussowska($B73,$B$52:$B$101,Y$19)*VLOOKUP($E73,$W$29:$AA$32,3)+Z$8*EstymacjaGaussowska($C73,$C$102:$C$151,Z$14)*EstymacjaGaussowska($D73,$D$102:$D$151,Z$15)*EstymacjaGaussowska($A73,$A$102:$A$151,Z$18)*EstymacjaGaussowska($B73,$B$102:$B$151,Z$19)*VLOOKUP($E73,$W$29:$AA$32,4)</f>
        <v>9.1877085013557194E-2</v>
      </c>
      <c r="S73" s="3" cm="1">
        <f t="array" ref="S73">X$8*EstymacjaGaussowska($C73,$C$2:$C$51,X$14)*EstymacjaGaussowska($D73,$D$2:$D$51,X$15)*EstymacjaGaussowska($A73,$A$2:$A$51,X$18)*EstymacjaGaussowska($B73,$B$2:$B$51,X$19)*VLOOKUP($E73,$W$29:$AA$32,2)/$R73</f>
        <v>9.9865170263128143E-181</v>
      </c>
      <c r="T73" s="3" cm="1">
        <f t="array" ref="T73">Y$8*EstymacjaGaussowska($C73,$C$52:$C$101,Y$14)*EstymacjaGaussowska($D73,$D$52:$D$101,Y$15)*EstymacjaGaussowska($A73,$A$52:$A$101,Y$18)*EstymacjaGaussowska($B73,$B$52:$B$101,Y$19)*VLOOKUP($E73,$W$29:$AA$32,3)/$R73</f>
        <v>0.99957654529582574</v>
      </c>
      <c r="U73" s="42" cm="1">
        <f t="array" ref="U73">Z$8*EstymacjaGaussowska($C73,$C$102:$C$151,Z$14)*EstymacjaGaussowska($D73,$D$102:$D$151,Z$15)*EstymacjaGaussowska($A73,$A$102:$A$151,Z$18)*EstymacjaGaussowska($B73,$B$102:$B$151,Z$19)*VLOOKUP($E73,$W$29:$AA$32,4)/$R73</f>
        <v>4.2345470417415792E-4</v>
      </c>
    </row>
    <row r="74" spans="1:21" x14ac:dyDescent="0.25">
      <c r="A74" s="9">
        <v>6.3</v>
      </c>
      <c r="B74" s="3">
        <v>2.5</v>
      </c>
      <c r="C74" s="3">
        <v>4.9000000000000004</v>
      </c>
      <c r="D74" s="8">
        <v>1.5</v>
      </c>
      <c r="E74" s="9" t="s">
        <v>12</v>
      </c>
      <c r="F74" s="50" t="s">
        <v>6</v>
      </c>
      <c r="G74" s="43" t="str">
        <f t="shared" si="8"/>
        <v>versicolor</v>
      </c>
      <c r="H74" s="3" cm="1">
        <f t="array" ref="H74">X$8*EstymacjaGaussowska($C74,$C$2:$C$51,X$14)*EstymacjaGaussowska($D74,$D$2:$D$51,X$15)+Y$8*EstymacjaGaussowska($C74,$C$52:$C$101,Y$14)*EstymacjaGaussowska($D74,$D$52:$D$101,Y$15)+Z$8*EstymacjaGaussowska($C74,$C$102:$C$151,Z$14)*EstymacjaGaussowska($D74,$D$102:$D$151,Z$15)</f>
        <v>0.24877397547877644</v>
      </c>
      <c r="I74" s="3" cm="1">
        <f t="array" ref="I74">X$8*EstymacjaGaussowska($C74,$C$2:$C$51,X$14)*EstymacjaGaussowska($D74,$D$2:$D$51,X$15)/$H74</f>
        <v>0</v>
      </c>
      <c r="J74" s="3" cm="1">
        <f t="array" ref="J74">Y$8*EstymacjaGaussowska($C74,$C$52:$C$101,Y$14)*EstymacjaGaussowska($D74,$D$52:$D$101,Y$15)/$H74</f>
        <v>0.81942155384352955</v>
      </c>
      <c r="K74" s="42" cm="1">
        <f t="array" ref="K74">Z$8*EstymacjaGaussowska($C74,$C$102:$C$151,Z$14)*EstymacjaGaussowska($D74,$D$102:$D$151,Z$15)/$H74</f>
        <v>0.18057844615647048</v>
      </c>
      <c r="L74" s="43" t="str">
        <f t="shared" si="9"/>
        <v>versicolor</v>
      </c>
      <c r="M74" s="3" cm="1">
        <f t="array" ref="M74">X$8*EstymacjaGaussowska($C74,$C$2:$C$51,X$14)*EstymacjaGaussowska($D74,$D$2:$D$51,X$15)*VLOOKUP($E74,$W$29:$AA$32,2)+Y$8*EstymacjaGaussowska($C74,$C$52:$C$101,Y$14)*EstymacjaGaussowska($D74,$D$52:$D$101,Y$15)*VLOOKUP($E74,$W$29:$AA$32,3)+Z$8*EstymacjaGaussowska($C74,$C$102:$C$151,Z$14)*EstymacjaGaussowska($D74,$D$102:$D$151,Z$15)*VLOOKUP($E74,$W$29:$AA$32,4)</f>
        <v>9.4534110681935041E-2</v>
      </c>
      <c r="N74" s="3" cm="1">
        <f t="array" ref="N74">X$8*EstymacjaGaussowska($C74,$C$2:$C$51,X$14)*EstymacjaGaussowska($D74,$D$2:$D$51,X$15)*VLOOKUP($E74,$W$29:$AA$32,2)/$M74</f>
        <v>0</v>
      </c>
      <c r="O74" s="3" cm="1">
        <f t="array" ref="O74">Y$8*EstymacjaGaussowska($C74,$C$52:$C$101,Y$14)*EstymacjaGaussowska($D74,$D$52:$D$101,Y$15)*VLOOKUP($E74,$W$29:$AA$32,3)/$M74</f>
        <v>0.81942155384352955</v>
      </c>
      <c r="P74" s="42" cm="1">
        <f t="array" ref="P74">Z$8*EstymacjaGaussowska($C74,$C$102:$C$151,Z$14)*EstymacjaGaussowska($D74,$D$102:$D$151,Z$15)*VLOOKUP($E74,$W$29:$AA$32,4)/$M74</f>
        <v>0.18057844615647048</v>
      </c>
      <c r="Q74" s="43" t="str">
        <f t="shared" si="10"/>
        <v>versicolor</v>
      </c>
      <c r="R74" s="3" cm="1">
        <f t="array" ref="R74">X$8*EstymacjaGaussowska($C74,$C$2:$C$51,X$14)*EstymacjaGaussowska($D74,$D$2:$D$51,X$15)*EstymacjaGaussowska($A74,$A$2:$A$51,X$18)*EstymacjaGaussowska($B74,$B$2:$B$51,X$19)*VLOOKUP($E74,$W$29:$AA$32,2)+Y$8*EstymacjaGaussowska($C74,$C$52:$C$101,Y$14)*EstymacjaGaussowska($D74,$D$52:$D$101,Y$15)*EstymacjaGaussowska($A74,$A$52:$A$101,Y$18)*EstymacjaGaussowska($B74,$B$52:$B$101,Y$19)*VLOOKUP($E74,$W$29:$AA$32,3)+Z$8*EstymacjaGaussowska($C74,$C$102:$C$151,Z$14)*EstymacjaGaussowska($D74,$D$102:$D$151,Z$15)*EstymacjaGaussowska($A74,$A$102:$A$151,Z$18)*EstymacjaGaussowska($B74,$B$102:$B$151,Z$19)*VLOOKUP($E74,$W$29:$AA$32,4)</f>
        <v>3.2388597553706683E-2</v>
      </c>
      <c r="S74" s="3" cm="1">
        <f t="array" ref="S74">X$8*EstymacjaGaussowska($C74,$C$2:$C$51,X$14)*EstymacjaGaussowska($D74,$D$2:$D$51,X$15)*EstymacjaGaussowska($A74,$A$2:$A$51,X$18)*EstymacjaGaussowska($B74,$B$2:$B$51,X$19)*VLOOKUP($E74,$W$29:$AA$32,2)/$R74</f>
        <v>0</v>
      </c>
      <c r="T74" s="3" cm="1">
        <f t="array" ref="T74">Y$8*EstymacjaGaussowska($C74,$C$52:$C$101,Y$14)*EstymacjaGaussowska($D74,$D$52:$D$101,Y$15)*EstymacjaGaussowska($A74,$A$52:$A$101,Y$18)*EstymacjaGaussowska($B74,$B$52:$B$101,Y$19)*VLOOKUP($E74,$W$29:$AA$32,3)/$R74</f>
        <v>0.85357670495137228</v>
      </c>
      <c r="U74" s="42" cm="1">
        <f t="array" ref="U74">Z$8*EstymacjaGaussowska($C74,$C$102:$C$151,Z$14)*EstymacjaGaussowska($D74,$D$102:$D$151,Z$15)*EstymacjaGaussowska($A74,$A$102:$A$151,Z$18)*EstymacjaGaussowska($B74,$B$102:$B$151,Z$19)*VLOOKUP($E74,$W$29:$AA$32,4)/$R74</f>
        <v>0.14642329504862778</v>
      </c>
    </row>
    <row r="75" spans="1:21" x14ac:dyDescent="0.25">
      <c r="A75" s="9">
        <v>6.1</v>
      </c>
      <c r="B75" s="3">
        <v>2.8</v>
      </c>
      <c r="C75" s="3">
        <v>4.7</v>
      </c>
      <c r="D75" s="8">
        <v>1.2</v>
      </c>
      <c r="E75" s="9" t="s">
        <v>12</v>
      </c>
      <c r="F75" s="50" t="s">
        <v>6</v>
      </c>
      <c r="G75" s="43" t="str">
        <f t="shared" si="8"/>
        <v>versicolor</v>
      </c>
      <c r="H75" s="3" cm="1">
        <f t="array" ref="H75">X$8*EstymacjaGaussowska($C75,$C$2:$C$51,X$14)*EstymacjaGaussowska($D75,$D$2:$D$51,X$15)+Y$8*EstymacjaGaussowska($C75,$C$52:$C$101,Y$14)*EstymacjaGaussowska($D75,$D$52:$D$101,Y$15)+Z$8*EstymacjaGaussowska($C75,$C$102:$C$151,Z$14)*EstymacjaGaussowska($D75,$D$102:$D$151,Z$15)</f>
        <v>0.29584960532557769</v>
      </c>
      <c r="I75" s="3" cm="1">
        <f t="array" ref="I75">X$8*EstymacjaGaussowska($C75,$C$2:$C$51,X$14)*EstymacjaGaussowska($D75,$D$2:$D$51,X$15)/$H75</f>
        <v>2.1787592650222916E-272</v>
      </c>
      <c r="J75" s="3" cm="1">
        <f t="array" ref="J75">Y$8*EstymacjaGaussowska($C75,$C$52:$C$101,Y$14)*EstymacjaGaussowska($D75,$D$52:$D$101,Y$15)/$H75</f>
        <v>0.99064023590402972</v>
      </c>
      <c r="K75" s="42" cm="1">
        <f t="array" ref="K75">Z$8*EstymacjaGaussowska($C75,$C$102:$C$151,Z$14)*EstymacjaGaussowska($D75,$D$102:$D$151,Z$15)/$H75</f>
        <v>9.3597640959701845E-3</v>
      </c>
      <c r="L75" s="43" t="str">
        <f t="shared" si="9"/>
        <v>versicolor</v>
      </c>
      <c r="M75" s="3" cm="1">
        <f t="array" ref="M75">X$8*EstymacjaGaussowska($C75,$C$2:$C$51,X$14)*EstymacjaGaussowska($D75,$D$2:$D$51,X$15)*VLOOKUP($E75,$W$29:$AA$32,2)+Y$8*EstymacjaGaussowska($C75,$C$52:$C$101,Y$14)*EstymacjaGaussowska($D75,$D$52:$D$101,Y$15)*VLOOKUP($E75,$W$29:$AA$32,3)+Z$8*EstymacjaGaussowska($C75,$C$102:$C$151,Z$14)*EstymacjaGaussowska($D75,$D$102:$D$151,Z$15)*VLOOKUP($E75,$W$29:$AA$32,4)</f>
        <v>0.11242285002371952</v>
      </c>
      <c r="N75" s="3" cm="1">
        <f t="array" ref="N75">X$8*EstymacjaGaussowska($C75,$C$2:$C$51,X$14)*EstymacjaGaussowska($D75,$D$2:$D$51,X$15)*VLOOKUP($E75,$W$29:$AA$32,2)/$M75</f>
        <v>1.0320438623789802E-272</v>
      </c>
      <c r="O75" s="3" cm="1">
        <f t="array" ref="O75">Y$8*EstymacjaGaussowska($C75,$C$52:$C$101,Y$14)*EstymacjaGaussowska($D75,$D$52:$D$101,Y$15)*VLOOKUP($E75,$W$29:$AA$32,3)/$M75</f>
        <v>0.99064023590402983</v>
      </c>
      <c r="P75" s="42" cm="1">
        <f t="array" ref="P75">Z$8*EstymacjaGaussowska($C75,$C$102:$C$151,Z$14)*EstymacjaGaussowska($D75,$D$102:$D$151,Z$15)*VLOOKUP($E75,$W$29:$AA$32,4)/$M75</f>
        <v>9.3597640959701862E-3</v>
      </c>
      <c r="Q75" s="43" t="str">
        <f t="shared" si="10"/>
        <v>versicolor</v>
      </c>
      <c r="R75" s="3" cm="1">
        <f t="array" ref="R75">X$8*EstymacjaGaussowska($C75,$C$2:$C$51,X$14)*EstymacjaGaussowska($D75,$D$2:$D$51,X$15)*EstymacjaGaussowska($A75,$A$2:$A$51,X$18)*EstymacjaGaussowska($B75,$B$2:$B$51,X$19)*VLOOKUP($E75,$W$29:$AA$32,2)+Y$8*EstymacjaGaussowska($C75,$C$52:$C$101,Y$14)*EstymacjaGaussowska($D75,$D$52:$D$101,Y$15)*EstymacjaGaussowska($A75,$A$52:$A$101,Y$18)*EstymacjaGaussowska($B75,$B$52:$B$101,Y$19)*VLOOKUP($E75,$W$29:$AA$32,3)+Z$8*EstymacjaGaussowska($C75,$C$102:$C$151,Z$14)*EstymacjaGaussowska($D75,$D$102:$D$151,Z$15)*EstymacjaGaussowska($A75,$A$102:$A$151,Z$18)*EstymacjaGaussowska($B75,$B$102:$B$151,Z$19)*VLOOKUP($E75,$W$29:$AA$32,4)</f>
        <v>7.563389208751993E-2</v>
      </c>
      <c r="S75" s="3" cm="1">
        <f t="array" ref="S75">X$8*EstymacjaGaussowska($C75,$C$2:$C$51,X$14)*EstymacjaGaussowska($D75,$D$2:$D$51,X$15)*EstymacjaGaussowska($A75,$A$2:$A$51,X$18)*EstymacjaGaussowska($B75,$B$2:$B$51,X$19)*VLOOKUP($E75,$W$29:$AA$32,2)/$R75</f>
        <v>6.3159367496509978E-275</v>
      </c>
      <c r="T75" s="3" cm="1">
        <f t="array" ref="T75">Y$8*EstymacjaGaussowska($C75,$C$52:$C$101,Y$14)*EstymacjaGaussowska($D75,$D$52:$D$101,Y$15)*EstymacjaGaussowska($A75,$A$52:$A$101,Y$18)*EstymacjaGaussowska($B75,$B$52:$B$101,Y$19)*VLOOKUP($E75,$W$29:$AA$32,3)/$R75</f>
        <v>0.99248963154502945</v>
      </c>
      <c r="U75" s="42" cm="1">
        <f t="array" ref="U75">Z$8*EstymacjaGaussowska($C75,$C$102:$C$151,Z$14)*EstymacjaGaussowska($D75,$D$102:$D$151,Z$15)*EstymacjaGaussowska($A75,$A$102:$A$151,Z$18)*EstymacjaGaussowska($B75,$B$102:$B$151,Z$19)*VLOOKUP($E75,$W$29:$AA$32,4)/$R75</f>
        <v>7.5103684549706522E-3</v>
      </c>
    </row>
    <row r="76" spans="1:21" x14ac:dyDescent="0.25">
      <c r="A76" s="9">
        <v>6.4</v>
      </c>
      <c r="B76" s="3">
        <v>2.9</v>
      </c>
      <c r="C76" s="3">
        <v>4.3</v>
      </c>
      <c r="D76" s="8">
        <v>1.3</v>
      </c>
      <c r="E76" s="9" t="s">
        <v>12</v>
      </c>
      <c r="F76" s="50" t="s">
        <v>6</v>
      </c>
      <c r="G76" s="43" t="str">
        <f t="shared" si="8"/>
        <v>versicolor</v>
      </c>
      <c r="H76" s="3" cm="1">
        <f t="array" ref="H76">X$8*EstymacjaGaussowska($C76,$C$2:$C$51,X$14)*EstymacjaGaussowska($D76,$D$2:$D$51,X$15)+Y$8*EstymacjaGaussowska($C76,$C$52:$C$101,Y$14)*EstymacjaGaussowska($D76,$D$52:$D$101,Y$15)+Z$8*EstymacjaGaussowska($C76,$C$102:$C$151,Z$14)*EstymacjaGaussowska($D76,$D$102:$D$151,Z$15)</f>
        <v>0.45144777859823421</v>
      </c>
      <c r="I76" s="3" cm="1">
        <f t="array" ref="I76">X$8*EstymacjaGaussowska($C76,$C$2:$C$51,X$14)*EstymacjaGaussowska($D76,$D$2:$D$51,X$15)/$H76</f>
        <v>1.1803780337441681E-219</v>
      </c>
      <c r="J76" s="3" cm="1">
        <f t="array" ref="J76">Y$8*EstymacjaGaussowska($C76,$C$52:$C$101,Y$14)*EstymacjaGaussowska($D76,$D$52:$D$101,Y$15)/$H76</f>
        <v>0.99695959349378949</v>
      </c>
      <c r="K76" s="42" cm="1">
        <f t="array" ref="K76">Z$8*EstymacjaGaussowska($C76,$C$102:$C$151,Z$14)*EstymacjaGaussowska($D76,$D$102:$D$151,Z$15)/$H76</f>
        <v>3.0404065062105503E-3</v>
      </c>
      <c r="L76" s="43" t="str">
        <f t="shared" si="9"/>
        <v>versicolor</v>
      </c>
      <c r="M76" s="3" cm="1">
        <f t="array" ref="M76">X$8*EstymacjaGaussowska($C76,$C$2:$C$51,X$14)*EstymacjaGaussowska($D76,$D$2:$D$51,X$15)*VLOOKUP($E76,$W$29:$AA$32,2)+Y$8*EstymacjaGaussowska($C76,$C$52:$C$101,Y$14)*EstymacjaGaussowska($D76,$D$52:$D$101,Y$15)*VLOOKUP($E76,$W$29:$AA$32,3)+Z$8*EstymacjaGaussowska($C76,$C$102:$C$151,Z$14)*EstymacjaGaussowska($D76,$D$102:$D$151,Z$15)*VLOOKUP($E76,$W$29:$AA$32,4)</f>
        <v>0.171550155867329</v>
      </c>
      <c r="N76" s="3" cm="1">
        <f t="array" ref="N76">X$8*EstymacjaGaussowska($C76,$C$2:$C$51,X$14)*EstymacjaGaussowska($D76,$D$2:$D$51,X$15)*VLOOKUP($E76,$W$29:$AA$32,2)/$M76</f>
        <v>5.591264370367112E-220</v>
      </c>
      <c r="O76" s="3" cm="1">
        <f t="array" ref="O76">Y$8*EstymacjaGaussowska($C76,$C$52:$C$101,Y$14)*EstymacjaGaussowska($D76,$D$52:$D$101,Y$15)*VLOOKUP($E76,$W$29:$AA$32,3)/$M76</f>
        <v>0.99695959349378949</v>
      </c>
      <c r="P76" s="42" cm="1">
        <f t="array" ref="P76">Z$8*EstymacjaGaussowska($C76,$C$102:$C$151,Z$14)*EstymacjaGaussowska($D76,$D$102:$D$151,Z$15)*VLOOKUP($E76,$W$29:$AA$32,4)/$M76</f>
        <v>3.0404065062105503E-3</v>
      </c>
      <c r="Q76" s="43" t="str">
        <f t="shared" si="10"/>
        <v>versicolor</v>
      </c>
      <c r="R76" s="3" cm="1">
        <f t="array" ref="R76">X$8*EstymacjaGaussowska($C76,$C$2:$C$51,X$14)*EstymacjaGaussowska($D76,$D$2:$D$51,X$15)*EstymacjaGaussowska($A76,$A$2:$A$51,X$18)*EstymacjaGaussowska($B76,$B$2:$B$51,X$19)*VLOOKUP($E76,$W$29:$AA$32,2)+Y$8*EstymacjaGaussowska($C76,$C$52:$C$101,Y$14)*EstymacjaGaussowska($D76,$D$52:$D$101,Y$15)*EstymacjaGaussowska($A76,$A$52:$A$101,Y$18)*EstymacjaGaussowska($B76,$B$52:$B$101,Y$19)*VLOOKUP($E76,$W$29:$AA$32,3)+Z$8*EstymacjaGaussowska($C76,$C$102:$C$151,Z$14)*EstymacjaGaussowska($D76,$D$102:$D$151,Z$15)*EstymacjaGaussowska($A76,$A$102:$A$151,Z$18)*EstymacjaGaussowska($B76,$B$102:$B$151,Z$19)*VLOOKUP($E76,$W$29:$AA$32,4)</f>
        <v>9.2372039582167262E-2</v>
      </c>
      <c r="S76" s="3" cm="1">
        <f t="array" ref="S76">X$8*EstymacjaGaussowska($C76,$C$2:$C$51,X$14)*EstymacjaGaussowska($D76,$D$2:$D$51,X$15)*EstymacjaGaussowska($A76,$A$2:$A$51,X$18)*EstymacjaGaussowska($B76,$B$2:$B$51,X$19)*VLOOKUP($E76,$W$29:$AA$32,2)/$R76</f>
        <v>5.4638286525730288E-224</v>
      </c>
      <c r="T76" s="3" cm="1">
        <f t="array" ref="T76">Y$8*EstymacjaGaussowska($C76,$C$52:$C$101,Y$14)*EstymacjaGaussowska($D76,$D$52:$D$101,Y$15)*EstymacjaGaussowska($A76,$A$52:$A$101,Y$18)*EstymacjaGaussowska($B76,$B$52:$B$101,Y$19)*VLOOKUP($E76,$W$29:$AA$32,3)/$R76</f>
        <v>0.99583913520117495</v>
      </c>
      <c r="U76" s="42" cm="1">
        <f t="array" ref="U76">Z$8*EstymacjaGaussowska($C76,$C$102:$C$151,Z$14)*EstymacjaGaussowska($D76,$D$102:$D$151,Z$15)*EstymacjaGaussowska($A76,$A$102:$A$151,Z$18)*EstymacjaGaussowska($B76,$B$102:$B$151,Z$19)*VLOOKUP($E76,$W$29:$AA$32,4)/$R76</f>
        <v>4.1608647988250801E-3</v>
      </c>
    </row>
    <row r="77" spans="1:21" x14ac:dyDescent="0.25">
      <c r="A77" s="9">
        <v>6.6</v>
      </c>
      <c r="B77" s="3">
        <v>3</v>
      </c>
      <c r="C77" s="3">
        <v>4.4000000000000004</v>
      </c>
      <c r="D77" s="8">
        <v>1.4</v>
      </c>
      <c r="E77" s="9" t="s">
        <v>12</v>
      </c>
      <c r="F77" s="50" t="s">
        <v>6</v>
      </c>
      <c r="G77" s="43" t="str">
        <f t="shared" si="8"/>
        <v>versicolor</v>
      </c>
      <c r="H77" s="3" cm="1">
        <f t="array" ref="H77">X$8*EstymacjaGaussowska($C77,$C$2:$C$51,X$14)*EstymacjaGaussowska($D77,$D$2:$D$51,X$15)+Y$8*EstymacjaGaussowska($C77,$C$52:$C$101,Y$14)*EstymacjaGaussowska($D77,$D$52:$D$101,Y$15)+Z$8*EstymacjaGaussowska($C77,$C$102:$C$151,Z$14)*EstymacjaGaussowska($D77,$D$102:$D$151,Z$15)</f>
        <v>0.46657959118539649</v>
      </c>
      <c r="I77" s="3" cm="1">
        <f t="array" ref="I77">X$8*EstymacjaGaussowska($C77,$C$2:$C$51,X$14)*EstymacjaGaussowska($D77,$D$2:$D$51,X$15)/$H77</f>
        <v>3.6479289744831399E-247</v>
      </c>
      <c r="J77" s="3" cm="1">
        <f t="array" ref="J77">Y$8*EstymacjaGaussowska($C77,$C$52:$C$101,Y$14)*EstymacjaGaussowska($D77,$D$52:$D$101,Y$15)/$H77</f>
        <v>0.98986908545172858</v>
      </c>
      <c r="K77" s="42" cm="1">
        <f t="array" ref="K77">Z$8*EstymacjaGaussowska($C77,$C$102:$C$151,Z$14)*EstymacjaGaussowska($D77,$D$102:$D$151,Z$15)/$H77</f>
        <v>1.0130914548271384E-2</v>
      </c>
      <c r="L77" s="43" t="str">
        <f t="shared" si="9"/>
        <v>versicolor</v>
      </c>
      <c r="M77" s="3" cm="1">
        <f t="array" ref="M77">X$8*EstymacjaGaussowska($C77,$C$2:$C$51,X$14)*EstymacjaGaussowska($D77,$D$2:$D$51,X$15)*VLOOKUP($E77,$W$29:$AA$32,2)+Y$8*EstymacjaGaussowska($C77,$C$52:$C$101,Y$14)*EstymacjaGaussowska($D77,$D$52:$D$101,Y$15)*VLOOKUP($E77,$W$29:$AA$32,3)+Z$8*EstymacjaGaussowska($C77,$C$102:$C$151,Z$14)*EstymacjaGaussowska($D77,$D$102:$D$151,Z$15)*VLOOKUP($E77,$W$29:$AA$32,4)</f>
        <v>0.17730024465045066</v>
      </c>
      <c r="N77" s="3" cm="1">
        <f t="array" ref="N77">X$8*EstymacjaGaussowska($C77,$C$2:$C$51,X$14)*EstymacjaGaussowska($D77,$D$2:$D$51,X$15)*VLOOKUP($E77,$W$29:$AA$32,2)/$M77</f>
        <v>1.7279663563341189E-247</v>
      </c>
      <c r="O77" s="3" cm="1">
        <f t="array" ref="O77">Y$8*EstymacjaGaussowska($C77,$C$52:$C$101,Y$14)*EstymacjaGaussowska($D77,$D$52:$D$101,Y$15)*VLOOKUP($E77,$W$29:$AA$32,3)/$M77</f>
        <v>0.98986908545172858</v>
      </c>
      <c r="P77" s="42" cm="1">
        <f t="array" ref="P77">Z$8*EstymacjaGaussowska($C77,$C$102:$C$151,Z$14)*EstymacjaGaussowska($D77,$D$102:$D$151,Z$15)*VLOOKUP($E77,$W$29:$AA$32,4)/$M77</f>
        <v>1.0130914548271384E-2</v>
      </c>
      <c r="Q77" s="43" t="str">
        <f t="shared" si="10"/>
        <v>versicolor</v>
      </c>
      <c r="R77" s="3" cm="1">
        <f t="array" ref="R77">X$8*EstymacjaGaussowska($C77,$C$2:$C$51,X$14)*EstymacjaGaussowska($D77,$D$2:$D$51,X$15)*EstymacjaGaussowska($A77,$A$2:$A$51,X$18)*EstymacjaGaussowska($B77,$B$2:$B$51,X$19)*VLOOKUP($E77,$W$29:$AA$32,2)+Y$8*EstymacjaGaussowska($C77,$C$52:$C$101,Y$14)*EstymacjaGaussowska($D77,$D$52:$D$101,Y$15)*EstymacjaGaussowska($A77,$A$52:$A$101,Y$18)*EstymacjaGaussowska($B77,$B$52:$B$101,Y$19)*VLOOKUP($E77,$W$29:$AA$32,3)+Z$8*EstymacjaGaussowska($C77,$C$102:$C$151,Z$14)*EstymacjaGaussowska($D77,$D$102:$D$151,Z$15)*EstymacjaGaussowska($A77,$A$102:$A$151,Z$18)*EstymacjaGaussowska($B77,$B$102:$B$151,Z$19)*VLOOKUP($E77,$W$29:$AA$32,4)</f>
        <v>7.1640807071743445E-2</v>
      </c>
      <c r="S77" s="3" cm="1">
        <f t="array" ref="S77">X$8*EstymacjaGaussowska($C77,$C$2:$C$51,X$14)*EstymacjaGaussowska($D77,$D$2:$D$51,X$15)*EstymacjaGaussowska($A77,$A$2:$A$51,X$18)*EstymacjaGaussowska($B77,$B$2:$B$51,X$19)*VLOOKUP($E77,$W$29:$AA$32,2)/$R77</f>
        <v>2.4410064149590984E-253</v>
      </c>
      <c r="T77" s="3" cm="1">
        <f t="array" ref="T77">Y$8*EstymacjaGaussowska($C77,$C$52:$C$101,Y$14)*EstymacjaGaussowska($D77,$D$52:$D$101,Y$15)*EstymacjaGaussowska($A77,$A$52:$A$101,Y$18)*EstymacjaGaussowska($B77,$B$52:$B$101,Y$19)*VLOOKUP($E77,$W$29:$AA$32,3)/$R77</f>
        <v>0.9821359957350333</v>
      </c>
      <c r="U77" s="42" cm="1">
        <f t="array" ref="U77">Z$8*EstymacjaGaussowska($C77,$C$102:$C$151,Z$14)*EstymacjaGaussowska($D77,$D$102:$D$151,Z$15)*EstymacjaGaussowska($A77,$A$102:$A$151,Z$18)*EstymacjaGaussowska($B77,$B$102:$B$151,Z$19)*VLOOKUP($E77,$W$29:$AA$32,4)/$R77</f>
        <v>1.7864004264966572E-2</v>
      </c>
    </row>
    <row r="78" spans="1:21" x14ac:dyDescent="0.25">
      <c r="A78" s="9">
        <v>6.8</v>
      </c>
      <c r="B78" s="3">
        <v>2.8</v>
      </c>
      <c r="C78" s="3">
        <v>4.8</v>
      </c>
      <c r="D78" s="8">
        <v>1.4</v>
      </c>
      <c r="E78" s="9" t="s">
        <v>12</v>
      </c>
      <c r="F78" s="50" t="s">
        <v>6</v>
      </c>
      <c r="G78" s="43" t="str">
        <f t="shared" si="8"/>
        <v>versicolor</v>
      </c>
      <c r="H78" s="3" cm="1">
        <f t="array" ref="H78">X$8*EstymacjaGaussowska($C78,$C$2:$C$51,X$14)*EstymacjaGaussowska($D78,$D$2:$D$51,X$15)+Y$8*EstymacjaGaussowska($C78,$C$52:$C$101,Y$14)*EstymacjaGaussowska($D78,$D$52:$D$101,Y$15)+Z$8*EstymacjaGaussowska($C78,$C$102:$C$151,Z$14)*EstymacjaGaussowska($D78,$D$102:$D$151,Z$15)</f>
        <v>0.34642056207519772</v>
      </c>
      <c r="I78" s="3" cm="1">
        <f t="array" ref="I78">X$8*EstymacjaGaussowska($C78,$C$2:$C$51,X$14)*EstymacjaGaussowska($D78,$D$2:$D$51,X$15)/$H78</f>
        <v>0</v>
      </c>
      <c r="J78" s="3" cm="1">
        <f t="array" ref="J78">Y$8*EstymacjaGaussowska($C78,$C$52:$C$101,Y$14)*EstymacjaGaussowska($D78,$D$52:$D$101,Y$15)/$H78</f>
        <v>0.93380534961446482</v>
      </c>
      <c r="K78" s="42" cm="1">
        <f t="array" ref="K78">Z$8*EstymacjaGaussowska($C78,$C$102:$C$151,Z$14)*EstymacjaGaussowska($D78,$D$102:$D$151,Z$15)/$H78</f>
        <v>6.6194650385535195E-2</v>
      </c>
      <c r="L78" s="43" t="str">
        <f t="shared" si="9"/>
        <v>versicolor</v>
      </c>
      <c r="M78" s="3" cm="1">
        <f t="array" ref="M78">X$8*EstymacjaGaussowska($C78,$C$2:$C$51,X$14)*EstymacjaGaussowska($D78,$D$2:$D$51,X$15)*VLOOKUP($E78,$W$29:$AA$32,2)+Y$8*EstymacjaGaussowska($C78,$C$52:$C$101,Y$14)*EstymacjaGaussowska($D78,$D$52:$D$101,Y$15)*VLOOKUP($E78,$W$29:$AA$32,3)+Z$8*EstymacjaGaussowska($C78,$C$102:$C$151,Z$14)*EstymacjaGaussowska($D78,$D$102:$D$151,Z$15)*VLOOKUP($E78,$W$29:$AA$32,4)</f>
        <v>0.13163981358857513</v>
      </c>
      <c r="N78" s="3" cm="1">
        <f t="array" ref="N78">X$8*EstymacjaGaussowska($C78,$C$2:$C$51,X$14)*EstymacjaGaussowska($D78,$D$2:$D$51,X$15)*VLOOKUP($E78,$W$29:$AA$32,2)/$M78</f>
        <v>0</v>
      </c>
      <c r="O78" s="3" cm="1">
        <f t="array" ref="O78">Y$8*EstymacjaGaussowska($C78,$C$52:$C$101,Y$14)*EstymacjaGaussowska($D78,$D$52:$D$101,Y$15)*VLOOKUP($E78,$W$29:$AA$32,3)/$M78</f>
        <v>0.93380534961446482</v>
      </c>
      <c r="P78" s="42" cm="1">
        <f t="array" ref="P78">Z$8*EstymacjaGaussowska($C78,$C$102:$C$151,Z$14)*EstymacjaGaussowska($D78,$D$102:$D$151,Z$15)*VLOOKUP($E78,$W$29:$AA$32,4)/$M78</f>
        <v>6.6194650385535195E-2</v>
      </c>
      <c r="Q78" s="43" t="str">
        <f t="shared" si="10"/>
        <v>versicolor</v>
      </c>
      <c r="R78" s="3" cm="1">
        <f t="array" ref="R78">X$8*EstymacjaGaussowska($C78,$C$2:$C$51,X$14)*EstymacjaGaussowska($D78,$D$2:$D$51,X$15)*EstymacjaGaussowska($A78,$A$2:$A$51,X$18)*EstymacjaGaussowska($B78,$B$2:$B$51,X$19)*VLOOKUP($E78,$W$29:$AA$32,2)+Y$8*EstymacjaGaussowska($C78,$C$52:$C$101,Y$14)*EstymacjaGaussowska($D78,$D$52:$D$101,Y$15)*EstymacjaGaussowska($A78,$A$52:$A$101,Y$18)*EstymacjaGaussowska($B78,$B$52:$B$101,Y$19)*VLOOKUP($E78,$W$29:$AA$32,3)+Z$8*EstymacjaGaussowska($C78,$C$102:$C$151,Z$14)*EstymacjaGaussowska($D78,$D$102:$D$151,Z$15)*EstymacjaGaussowska($A78,$A$102:$A$151,Z$18)*EstymacjaGaussowska($B78,$B$102:$B$151,Z$19)*VLOOKUP($E78,$W$29:$AA$32,4)</f>
        <v>4.2251886387193682E-2</v>
      </c>
      <c r="S78" s="3" cm="1">
        <f t="array" ref="S78">X$8*EstymacjaGaussowska($C78,$C$2:$C$51,X$14)*EstymacjaGaussowska($D78,$D$2:$D$51,X$15)*EstymacjaGaussowska($A78,$A$2:$A$51,X$18)*EstymacjaGaussowska($B78,$B$2:$B$51,X$19)*VLOOKUP($E78,$W$29:$AA$32,2)/$R78</f>
        <v>0</v>
      </c>
      <c r="T78" s="3" cm="1">
        <f t="array" ref="T78">Y$8*EstymacjaGaussowska($C78,$C$52:$C$101,Y$14)*EstymacjaGaussowska($D78,$D$52:$D$101,Y$15)*EstymacjaGaussowska($A78,$A$52:$A$101,Y$18)*EstymacjaGaussowska($B78,$B$52:$B$101,Y$19)*VLOOKUP($E78,$W$29:$AA$32,3)/$R78</f>
        <v>0.89462630914152996</v>
      </c>
      <c r="U78" s="42" cm="1">
        <f t="array" ref="U78">Z$8*EstymacjaGaussowska($C78,$C$102:$C$151,Z$14)*EstymacjaGaussowska($D78,$D$102:$D$151,Z$15)*EstymacjaGaussowska($A78,$A$102:$A$151,Z$18)*EstymacjaGaussowska($B78,$B$102:$B$151,Z$19)*VLOOKUP($E78,$W$29:$AA$32,4)/$R78</f>
        <v>0.10537369085847002</v>
      </c>
    </row>
    <row r="79" spans="1:21" x14ac:dyDescent="0.25">
      <c r="A79" s="9">
        <v>6.7</v>
      </c>
      <c r="B79" s="3">
        <v>3</v>
      </c>
      <c r="C79" s="3">
        <v>5</v>
      </c>
      <c r="D79" s="8">
        <v>1.7</v>
      </c>
      <c r="E79" s="9" t="s">
        <v>12</v>
      </c>
      <c r="F79" s="50" t="s">
        <v>6</v>
      </c>
      <c r="G79" s="43" t="str">
        <f t="shared" si="8"/>
        <v>virginica</v>
      </c>
      <c r="H79" s="3" cm="1">
        <f t="array" ref="H79">X$8*EstymacjaGaussowska($C79,$C$2:$C$51,X$14)*EstymacjaGaussowska($D79,$D$2:$D$51,X$15)+Y$8*EstymacjaGaussowska($C79,$C$52:$C$101,Y$14)*EstymacjaGaussowska($D79,$D$52:$D$101,Y$15)+Z$8*EstymacjaGaussowska($C79,$C$102:$C$151,Z$14)*EstymacjaGaussowska($D79,$D$102:$D$151,Z$15)</f>
        <v>0.17951677954334269</v>
      </c>
      <c r="I79" s="3" cm="1">
        <f t="array" ref="I79">X$8*EstymacjaGaussowska($C79,$C$2:$C$51,X$14)*EstymacjaGaussowska($D79,$D$2:$D$51,X$15)/$H79</f>
        <v>0</v>
      </c>
      <c r="J79" s="3" cm="1">
        <f t="array" ref="J79">Y$8*EstymacjaGaussowska($C79,$C$52:$C$101,Y$14)*EstymacjaGaussowska($D79,$D$52:$D$101,Y$15)/$H79</f>
        <v>0.21019664713673336</v>
      </c>
      <c r="K79" s="42" cm="1">
        <f t="array" ref="K79">Z$8*EstymacjaGaussowska($C79,$C$102:$C$151,Z$14)*EstymacjaGaussowska($D79,$D$102:$D$151,Z$15)/$H79</f>
        <v>0.78980335286326664</v>
      </c>
      <c r="L79" s="43" t="str">
        <f t="shared" si="9"/>
        <v>virginica</v>
      </c>
      <c r="M79" s="3" cm="1">
        <f t="array" ref="M79">X$8*EstymacjaGaussowska($C79,$C$2:$C$51,X$14)*EstymacjaGaussowska($D79,$D$2:$D$51,X$15)*VLOOKUP($E79,$W$29:$AA$32,2)+Y$8*EstymacjaGaussowska($C79,$C$52:$C$101,Y$14)*EstymacjaGaussowska($D79,$D$52:$D$101,Y$15)*VLOOKUP($E79,$W$29:$AA$32,3)+Z$8*EstymacjaGaussowska($C79,$C$102:$C$151,Z$14)*EstymacjaGaussowska($D79,$D$102:$D$151,Z$15)*VLOOKUP($E79,$W$29:$AA$32,4)</f>
        <v>6.8216376226470227E-2</v>
      </c>
      <c r="N79" s="3" cm="1">
        <f t="array" ref="N79">X$8*EstymacjaGaussowska($C79,$C$2:$C$51,X$14)*EstymacjaGaussowska($D79,$D$2:$D$51,X$15)*VLOOKUP($E79,$W$29:$AA$32,2)/$M79</f>
        <v>0</v>
      </c>
      <c r="O79" s="3" cm="1">
        <f t="array" ref="O79">Y$8*EstymacjaGaussowska($C79,$C$52:$C$101,Y$14)*EstymacjaGaussowska($D79,$D$52:$D$101,Y$15)*VLOOKUP($E79,$W$29:$AA$32,3)/$M79</f>
        <v>0.21019664713673336</v>
      </c>
      <c r="P79" s="42" cm="1">
        <f t="array" ref="P79">Z$8*EstymacjaGaussowska($C79,$C$102:$C$151,Z$14)*EstymacjaGaussowska($D79,$D$102:$D$151,Z$15)*VLOOKUP($E79,$W$29:$AA$32,4)/$M79</f>
        <v>0.78980335286326664</v>
      </c>
      <c r="Q79" s="43" t="str">
        <f t="shared" si="10"/>
        <v>virginica</v>
      </c>
      <c r="R79" s="3" cm="1">
        <f t="array" ref="R79">X$8*EstymacjaGaussowska($C79,$C$2:$C$51,X$14)*EstymacjaGaussowska($D79,$D$2:$D$51,X$15)*EstymacjaGaussowska($A79,$A$2:$A$51,X$18)*EstymacjaGaussowska($B79,$B$2:$B$51,X$19)*VLOOKUP($E79,$W$29:$AA$32,2)+Y$8*EstymacjaGaussowska($C79,$C$52:$C$101,Y$14)*EstymacjaGaussowska($D79,$D$52:$D$101,Y$15)*EstymacjaGaussowska($A79,$A$52:$A$101,Y$18)*EstymacjaGaussowska($B79,$B$52:$B$101,Y$19)*VLOOKUP($E79,$W$29:$AA$32,3)+Z$8*EstymacjaGaussowska($C79,$C$102:$C$151,Z$14)*EstymacjaGaussowska($D79,$D$102:$D$151,Z$15)*EstymacjaGaussowska($A79,$A$102:$A$151,Z$18)*EstymacjaGaussowska($B79,$B$102:$B$151,Z$19)*VLOOKUP($E79,$W$29:$AA$32,4)</f>
        <v>4.0525353097537672E-2</v>
      </c>
      <c r="S79" s="3" cm="1">
        <f t="array" ref="S79">X$8*EstymacjaGaussowska($C79,$C$2:$C$51,X$14)*EstymacjaGaussowska($D79,$D$2:$D$51,X$15)*EstymacjaGaussowska($A79,$A$2:$A$51,X$18)*EstymacjaGaussowska($B79,$B$2:$B$51,X$19)*VLOOKUP($E79,$W$29:$AA$32,2)/$R79</f>
        <v>0</v>
      </c>
      <c r="T79" s="3" cm="1">
        <f t="array" ref="T79">Y$8*EstymacjaGaussowska($C79,$C$52:$C$101,Y$14)*EstymacjaGaussowska($D79,$D$52:$D$101,Y$15)*EstymacjaGaussowska($A79,$A$52:$A$101,Y$18)*EstymacjaGaussowska($B79,$B$52:$B$101,Y$19)*VLOOKUP($E79,$W$29:$AA$32,3)/$R79</f>
        <v>0.1248473043988256</v>
      </c>
      <c r="U79" s="42" cm="1">
        <f t="array" ref="U79">Z$8*EstymacjaGaussowska($C79,$C$102:$C$151,Z$14)*EstymacjaGaussowska($D79,$D$102:$D$151,Z$15)*EstymacjaGaussowska($A79,$A$102:$A$151,Z$18)*EstymacjaGaussowska($B79,$B$102:$B$151,Z$19)*VLOOKUP($E79,$W$29:$AA$32,4)/$R79</f>
        <v>0.87515269560117437</v>
      </c>
    </row>
    <row r="80" spans="1:21" x14ac:dyDescent="0.25">
      <c r="A80" s="9">
        <v>6</v>
      </c>
      <c r="B80" s="3">
        <v>2.9</v>
      </c>
      <c r="C80" s="3">
        <v>4.5</v>
      </c>
      <c r="D80" s="8">
        <v>1.5</v>
      </c>
      <c r="E80" s="9" t="s">
        <v>13</v>
      </c>
      <c r="F80" s="50" t="s">
        <v>6</v>
      </c>
      <c r="G80" s="43" t="str">
        <f t="shared" si="8"/>
        <v>versicolor</v>
      </c>
      <c r="H80" s="3" cm="1">
        <f t="array" ref="H80">X$8*EstymacjaGaussowska($C80,$C$2:$C$51,X$14)*EstymacjaGaussowska($D80,$D$2:$D$51,X$15)+Y$8*EstymacjaGaussowska($C80,$C$52:$C$101,Y$14)*EstymacjaGaussowska($D80,$D$52:$D$101,Y$15)+Z$8*EstymacjaGaussowska($C80,$C$102:$C$151,Z$14)*EstymacjaGaussowska($D80,$D$102:$D$151,Z$15)</f>
        <v>0.3913323569718512</v>
      </c>
      <c r="I80" s="3" cm="1">
        <f t="array" ref="I80">X$8*EstymacjaGaussowska($C80,$C$2:$C$51,X$14)*EstymacjaGaussowska($D80,$D$2:$D$51,X$15)/$H80</f>
        <v>7.3411951200640539E-277</v>
      </c>
      <c r="J80" s="3" cm="1">
        <f t="array" ref="J80">Y$8*EstymacjaGaussowska($C80,$C$52:$C$101,Y$14)*EstymacjaGaussowska($D80,$D$52:$D$101,Y$15)/$H80</f>
        <v>0.96929660806572038</v>
      </c>
      <c r="K80" s="42" cm="1">
        <f t="array" ref="K80">Z$8*EstymacjaGaussowska($C80,$C$102:$C$151,Z$14)*EstymacjaGaussowska($D80,$D$102:$D$151,Z$15)/$H80</f>
        <v>3.0703391934279737E-2</v>
      </c>
      <c r="L80" s="43" t="str">
        <f t="shared" si="9"/>
        <v>versicolor</v>
      </c>
      <c r="M80" s="3" cm="1">
        <f t="array" ref="M80">X$8*EstymacjaGaussowska($C80,$C$2:$C$51,X$14)*EstymacjaGaussowska($D80,$D$2:$D$51,X$15)*VLOOKUP($E80,$W$29:$AA$32,2)+Y$8*EstymacjaGaussowska($C80,$C$52:$C$101,Y$14)*EstymacjaGaussowska($D80,$D$52:$D$101,Y$15)*VLOOKUP($E80,$W$29:$AA$32,3)+Z$8*EstymacjaGaussowska($C80,$C$102:$C$151,Z$14)*EstymacjaGaussowska($D80,$D$102:$D$151,Z$15)*VLOOKUP($E80,$W$29:$AA$32,4)</f>
        <v>6.8277082723052218E-2</v>
      </c>
      <c r="N80" s="3" cm="1">
        <f t="array" ref="N80">X$8*EstymacjaGaussowska($C80,$C$2:$C$51,X$14)*EstymacjaGaussowska($D80,$D$2:$D$51,X$15)*VLOOKUP($E80,$W$29:$AA$32,2)/$M80</f>
        <v>7.5737344575194318E-277</v>
      </c>
      <c r="O80" s="3" cm="1">
        <f t="array" ref="O80">Y$8*EstymacjaGaussowska($C80,$C$52:$C$101,Y$14)*EstymacjaGaussowska($D80,$D$52:$D$101,Y$15)*VLOOKUP($E80,$W$29:$AA$32,3)/$M80</f>
        <v>1</v>
      </c>
      <c r="P80" s="42" cm="1">
        <f t="array" ref="P80">Z$8*EstymacjaGaussowska($C80,$C$102:$C$151,Z$14)*EstymacjaGaussowska($D80,$D$102:$D$151,Z$15)*VLOOKUP($E80,$W$29:$AA$32,4)/$M80</f>
        <v>0</v>
      </c>
      <c r="Q80" s="43" t="str">
        <f t="shared" si="10"/>
        <v>versicolor</v>
      </c>
      <c r="R80" s="3" cm="1">
        <f t="array" ref="R80">X$8*EstymacjaGaussowska($C80,$C$2:$C$51,X$14)*EstymacjaGaussowska($D80,$D$2:$D$51,X$15)*EstymacjaGaussowska($A80,$A$2:$A$51,X$18)*EstymacjaGaussowska($B80,$B$2:$B$51,X$19)*VLOOKUP($E80,$W$29:$AA$32,2)+Y$8*EstymacjaGaussowska($C80,$C$52:$C$101,Y$14)*EstymacjaGaussowska($D80,$D$52:$D$101,Y$15)*EstymacjaGaussowska($A80,$A$52:$A$101,Y$18)*EstymacjaGaussowska($B80,$B$52:$B$101,Y$19)*VLOOKUP($E80,$W$29:$AA$32,3)+Z$8*EstymacjaGaussowska($C80,$C$102:$C$151,Z$14)*EstymacjaGaussowska($D80,$D$102:$D$151,Z$15)*EstymacjaGaussowska($A80,$A$102:$A$151,Z$18)*EstymacjaGaussowska($B80,$B$102:$B$151,Z$19)*VLOOKUP($E80,$W$29:$AA$32,4)</f>
        <v>5.2025248510905849E-2</v>
      </c>
      <c r="S80" s="3" cm="1">
        <f t="array" ref="S80">X$8*EstymacjaGaussowska($C80,$C$2:$C$51,X$14)*EstymacjaGaussowska($D80,$D$2:$D$51,X$15)*EstymacjaGaussowska($A80,$A$2:$A$51,X$18)*EstymacjaGaussowska($B80,$B$2:$B$51,X$19)*VLOOKUP($E80,$W$29:$AA$32,2)/$R80</f>
        <v>1.9857759924908213E-278</v>
      </c>
      <c r="T80" s="3" cm="1">
        <f t="array" ref="T80">Y$8*EstymacjaGaussowska($C80,$C$52:$C$101,Y$14)*EstymacjaGaussowska($D80,$D$52:$D$101,Y$15)*EstymacjaGaussowska($A80,$A$52:$A$101,Y$18)*EstymacjaGaussowska($B80,$B$52:$B$101,Y$19)*VLOOKUP($E80,$W$29:$AA$32,3)/$R80</f>
        <v>1</v>
      </c>
      <c r="U80" s="42" cm="1">
        <f t="array" ref="U80">Z$8*EstymacjaGaussowska($C80,$C$102:$C$151,Z$14)*EstymacjaGaussowska($D80,$D$102:$D$151,Z$15)*EstymacjaGaussowska($A80,$A$102:$A$151,Z$18)*EstymacjaGaussowska($B80,$B$102:$B$151,Z$19)*VLOOKUP($E80,$W$29:$AA$32,4)/$R80</f>
        <v>0</v>
      </c>
    </row>
    <row r="81" spans="1:21" x14ac:dyDescent="0.25">
      <c r="A81" s="9">
        <v>5.7</v>
      </c>
      <c r="B81" s="3">
        <v>2.6</v>
      </c>
      <c r="C81" s="3">
        <v>3.5</v>
      </c>
      <c r="D81" s="8">
        <v>1</v>
      </c>
      <c r="E81" s="9" t="s">
        <v>13</v>
      </c>
      <c r="F81" s="50" t="s">
        <v>6</v>
      </c>
      <c r="G81" s="43" t="str">
        <f t="shared" si="8"/>
        <v>versicolor</v>
      </c>
      <c r="H81" s="3" cm="1">
        <f t="array" ref="H81">X$8*EstymacjaGaussowska($C81,$C$2:$C$51,X$14)*EstymacjaGaussowska($D81,$D$2:$D$51,X$15)+Y$8*EstymacjaGaussowska($C81,$C$52:$C$101,Y$14)*EstymacjaGaussowska($D81,$D$52:$D$101,Y$15)+Z$8*EstymacjaGaussowska($C81,$C$102:$C$151,Z$14)*EstymacjaGaussowska($D81,$D$102:$D$151,Z$15)</f>
        <v>6.1114946230625342E-2</v>
      </c>
      <c r="I81" s="3" cm="1">
        <f t="array" ref="I81">X$8*EstymacjaGaussowska($C81,$C$2:$C$51,X$14)*EstymacjaGaussowska($D81,$D$2:$D$51,X$15)/$H81</f>
        <v>2.8335818293756005E-93</v>
      </c>
      <c r="J81" s="3" cm="1">
        <f t="array" ref="J81">Y$8*EstymacjaGaussowska($C81,$C$52:$C$101,Y$14)*EstymacjaGaussowska($D81,$D$52:$D$101,Y$15)/$H81</f>
        <v>0.99999988288899921</v>
      </c>
      <c r="K81" s="42" cm="1">
        <f t="array" ref="K81">Z$8*EstymacjaGaussowska($C81,$C$102:$C$151,Z$14)*EstymacjaGaussowska($D81,$D$102:$D$151,Z$15)/$H81</f>
        <v>1.1711100074964357E-7</v>
      </c>
      <c r="L81" s="43" t="str">
        <f t="shared" si="9"/>
        <v>versicolor</v>
      </c>
      <c r="M81" s="3" cm="1">
        <f t="array" ref="M81">X$8*EstymacjaGaussowska($C81,$C$2:$C$51,X$14)*EstymacjaGaussowska($D81,$D$2:$D$51,X$15)*VLOOKUP($E81,$W$29:$AA$32,2)+Y$8*EstymacjaGaussowska($C81,$C$52:$C$101,Y$14)*EstymacjaGaussowska($D81,$D$52:$D$101,Y$15)*VLOOKUP($E81,$W$29:$AA$32,3)+Z$8*EstymacjaGaussowska($C81,$C$102:$C$151,Z$14)*EstymacjaGaussowska($D81,$D$102:$D$151,Z$15)*VLOOKUP($E81,$W$29:$AA$32,4)</f>
        <v>1.1000689033210708E-2</v>
      </c>
      <c r="N81" s="3" cm="1">
        <f t="array" ref="N81">X$8*EstymacjaGaussowska($C81,$C$2:$C$51,X$14)*EstymacjaGaussowska($D81,$D$2:$D$51,X$15)*VLOOKUP($E81,$W$29:$AA$32,2)/$M81</f>
        <v>2.8335821612192429E-93</v>
      </c>
      <c r="O81" s="3" cm="1">
        <f t="array" ref="O81">Y$8*EstymacjaGaussowska($C81,$C$52:$C$101,Y$14)*EstymacjaGaussowska($D81,$D$52:$D$101,Y$15)*VLOOKUP($E81,$W$29:$AA$32,3)/$M81</f>
        <v>1</v>
      </c>
      <c r="P81" s="42" cm="1">
        <f t="array" ref="P81">Z$8*EstymacjaGaussowska($C81,$C$102:$C$151,Z$14)*EstymacjaGaussowska($D81,$D$102:$D$151,Z$15)*VLOOKUP($E81,$W$29:$AA$32,4)/$M81</f>
        <v>0</v>
      </c>
      <c r="Q81" s="43" t="str">
        <f t="shared" si="10"/>
        <v>versicolor</v>
      </c>
      <c r="R81" s="3" cm="1">
        <f t="array" ref="R81">X$8*EstymacjaGaussowska($C81,$C$2:$C$51,X$14)*EstymacjaGaussowska($D81,$D$2:$D$51,X$15)*EstymacjaGaussowska($A81,$A$2:$A$51,X$18)*EstymacjaGaussowska($B81,$B$2:$B$51,X$19)*VLOOKUP($E81,$W$29:$AA$32,2)+Y$8*EstymacjaGaussowska($C81,$C$52:$C$101,Y$14)*EstymacjaGaussowska($D81,$D$52:$D$101,Y$15)*EstymacjaGaussowska($A81,$A$52:$A$101,Y$18)*EstymacjaGaussowska($B81,$B$52:$B$101,Y$19)*VLOOKUP($E81,$W$29:$AA$32,3)+Z$8*EstymacjaGaussowska($C81,$C$102:$C$151,Z$14)*EstymacjaGaussowska($D81,$D$102:$D$151,Z$15)*EstymacjaGaussowska($A81,$A$102:$A$151,Z$18)*EstymacjaGaussowska($B81,$B$102:$B$151,Z$19)*VLOOKUP($E81,$W$29:$AA$32,4)</f>
        <v>6.3252231463198187E-3</v>
      </c>
      <c r="S81" s="3" cm="1">
        <f t="array" ref="S81">X$8*EstymacjaGaussowska($C81,$C$2:$C$51,X$14)*EstymacjaGaussowska($D81,$D$2:$D$51,X$15)*EstymacjaGaussowska($A81,$A$2:$A$51,X$18)*EstymacjaGaussowska($B81,$B$2:$B$51,X$19)*VLOOKUP($E81,$W$29:$AA$32,2)/$R81</f>
        <v>6.1197201036460669E-95</v>
      </c>
      <c r="T81" s="3" cm="1">
        <f t="array" ref="T81">Y$8*EstymacjaGaussowska($C81,$C$52:$C$101,Y$14)*EstymacjaGaussowska($D81,$D$52:$D$101,Y$15)*EstymacjaGaussowska($A81,$A$52:$A$101,Y$18)*EstymacjaGaussowska($B81,$B$52:$B$101,Y$19)*VLOOKUP($E81,$W$29:$AA$32,3)/$R81</f>
        <v>1</v>
      </c>
      <c r="U81" s="42" cm="1">
        <f t="array" ref="U81">Z$8*EstymacjaGaussowska($C81,$C$102:$C$151,Z$14)*EstymacjaGaussowska($D81,$D$102:$D$151,Z$15)*EstymacjaGaussowska($A81,$A$102:$A$151,Z$18)*EstymacjaGaussowska($B81,$B$102:$B$151,Z$19)*VLOOKUP($E81,$W$29:$AA$32,4)/$R81</f>
        <v>0</v>
      </c>
    </row>
    <row r="82" spans="1:21" x14ac:dyDescent="0.25">
      <c r="A82" s="9">
        <v>5.5</v>
      </c>
      <c r="B82" s="3">
        <v>2.4</v>
      </c>
      <c r="C82" s="3">
        <v>3.8</v>
      </c>
      <c r="D82" s="8">
        <v>1.1000000000000001</v>
      </c>
      <c r="E82" s="9" t="s">
        <v>13</v>
      </c>
      <c r="F82" s="50" t="s">
        <v>6</v>
      </c>
      <c r="G82" s="43" t="str">
        <f t="shared" si="8"/>
        <v>versicolor</v>
      </c>
      <c r="H82" s="3" cm="1">
        <f t="array" ref="H82">X$8*EstymacjaGaussowska($C82,$C$2:$C$51,X$14)*EstymacjaGaussowska($D82,$D$2:$D$51,X$15)+Y$8*EstymacjaGaussowska($C82,$C$52:$C$101,Y$14)*EstymacjaGaussowska($D82,$D$52:$D$101,Y$15)+Z$8*EstymacjaGaussowska($C82,$C$102:$C$151,Z$14)*EstymacjaGaussowska($D82,$D$102:$D$151,Z$15)</f>
        <v>0.13656608650440979</v>
      </c>
      <c r="I82" s="3" cm="1">
        <f t="array" ref="I82">X$8*EstymacjaGaussowska($C82,$C$2:$C$51,X$14)*EstymacjaGaussowska($D82,$D$2:$D$51,X$15)/$H82</f>
        <v>2.7587983853081694E-133</v>
      </c>
      <c r="J82" s="3" cm="1">
        <f t="array" ref="J82">Y$8*EstymacjaGaussowska($C82,$C$52:$C$101,Y$14)*EstymacjaGaussowska($D82,$D$52:$D$101,Y$15)/$H82</f>
        <v>0.99998433142012222</v>
      </c>
      <c r="K82" s="42" cm="1">
        <f t="array" ref="K82">Z$8*EstymacjaGaussowska($C82,$C$102:$C$151,Z$14)*EstymacjaGaussowska($D82,$D$102:$D$151,Z$15)/$H82</f>
        <v>1.5668579877797469E-5</v>
      </c>
      <c r="L82" s="43" t="str">
        <f t="shared" si="9"/>
        <v>versicolor</v>
      </c>
      <c r="M82" s="3" cm="1">
        <f t="array" ref="M82">X$8*EstymacjaGaussowska($C82,$C$2:$C$51,X$14)*EstymacjaGaussowska($D82,$D$2:$D$51,X$15)*VLOOKUP($E82,$W$29:$AA$32,2)+Y$8*EstymacjaGaussowska($C82,$C$52:$C$101,Y$14)*EstymacjaGaussowska($D82,$D$52:$D$101,Y$15)*VLOOKUP($E82,$W$29:$AA$32,3)+Z$8*EstymacjaGaussowska($C82,$C$102:$C$151,Z$14)*EstymacjaGaussowska($D82,$D$102:$D$151,Z$15)*VLOOKUP($E82,$W$29:$AA$32,4)</f>
        <v>2.4581510407399462E-2</v>
      </c>
      <c r="N82" s="3" cm="1">
        <f t="array" ref="N82">X$8*EstymacjaGaussowska($C82,$C$2:$C$51,X$14)*EstymacjaGaussowska($D82,$D$2:$D$51,X$15)*VLOOKUP($E82,$W$29:$AA$32,2)/$M82</f>
        <v>2.758841612438344E-133</v>
      </c>
      <c r="O82" s="3" cm="1">
        <f t="array" ref="O82">Y$8*EstymacjaGaussowska($C82,$C$52:$C$101,Y$14)*EstymacjaGaussowska($D82,$D$52:$D$101,Y$15)*VLOOKUP($E82,$W$29:$AA$32,3)/$M82</f>
        <v>1</v>
      </c>
      <c r="P82" s="42" cm="1">
        <f t="array" ref="P82">Z$8*EstymacjaGaussowska($C82,$C$102:$C$151,Z$14)*EstymacjaGaussowska($D82,$D$102:$D$151,Z$15)*VLOOKUP($E82,$W$29:$AA$32,4)/$M82</f>
        <v>0</v>
      </c>
      <c r="Q82" s="43" t="str">
        <f t="shared" si="10"/>
        <v>versicolor</v>
      </c>
      <c r="R82" s="3" cm="1">
        <f t="array" ref="R82">X$8*EstymacjaGaussowska($C82,$C$2:$C$51,X$14)*EstymacjaGaussowska($D82,$D$2:$D$51,X$15)*EstymacjaGaussowska($A82,$A$2:$A$51,X$18)*EstymacjaGaussowska($B82,$B$2:$B$51,X$19)*VLOOKUP($E82,$W$29:$AA$32,2)+Y$8*EstymacjaGaussowska($C82,$C$52:$C$101,Y$14)*EstymacjaGaussowska($D82,$D$52:$D$101,Y$15)*EstymacjaGaussowska($A82,$A$52:$A$101,Y$18)*EstymacjaGaussowska($B82,$B$52:$B$101,Y$19)*VLOOKUP($E82,$W$29:$AA$32,3)+Z$8*EstymacjaGaussowska($C82,$C$102:$C$151,Z$14)*EstymacjaGaussowska($D82,$D$102:$D$151,Z$15)*EstymacjaGaussowska($A82,$A$102:$A$151,Z$18)*EstymacjaGaussowska($B82,$B$102:$B$151,Z$19)*VLOOKUP($E82,$W$29:$AA$32,4)</f>
        <v>8.7274109928797347E-3</v>
      </c>
      <c r="S82" s="3" cm="1">
        <f t="array" ref="S82">X$8*EstymacjaGaussowska($C82,$C$2:$C$51,X$14)*EstymacjaGaussowska($D82,$D$2:$D$51,X$15)*EstymacjaGaussowska($A82,$A$2:$A$51,X$18)*EstymacjaGaussowska($B82,$B$2:$B$51,X$19)*VLOOKUP($E82,$W$29:$AA$32,2)/$R82</f>
        <v>1.3351856473004418E-134</v>
      </c>
      <c r="T82" s="3" cm="1">
        <f t="array" ref="T82">Y$8*EstymacjaGaussowska($C82,$C$52:$C$101,Y$14)*EstymacjaGaussowska($D82,$D$52:$D$101,Y$15)*EstymacjaGaussowska($A82,$A$52:$A$101,Y$18)*EstymacjaGaussowska($B82,$B$52:$B$101,Y$19)*VLOOKUP($E82,$W$29:$AA$32,3)/$R82</f>
        <v>1</v>
      </c>
      <c r="U82" s="42" cm="1">
        <f t="array" ref="U82">Z$8*EstymacjaGaussowska($C82,$C$102:$C$151,Z$14)*EstymacjaGaussowska($D82,$D$102:$D$151,Z$15)*EstymacjaGaussowska($A82,$A$102:$A$151,Z$18)*EstymacjaGaussowska($B82,$B$102:$B$151,Z$19)*VLOOKUP($E82,$W$29:$AA$32,4)/$R82</f>
        <v>0</v>
      </c>
    </row>
    <row r="83" spans="1:21" x14ac:dyDescent="0.25">
      <c r="A83" s="9">
        <v>5.5</v>
      </c>
      <c r="B83" s="3">
        <v>2.4</v>
      </c>
      <c r="C83" s="3">
        <v>3.7</v>
      </c>
      <c r="D83" s="8">
        <v>1</v>
      </c>
      <c r="E83" s="9" t="s">
        <v>13</v>
      </c>
      <c r="F83" s="50" t="s">
        <v>6</v>
      </c>
      <c r="G83" s="43" t="str">
        <f t="shared" si="8"/>
        <v>versicolor</v>
      </c>
      <c r="H83" s="3" cm="1">
        <f t="array" ref="H83">X$8*EstymacjaGaussowska($C83,$C$2:$C$51,X$14)*EstymacjaGaussowska($D83,$D$2:$D$51,X$15)+Y$8*EstymacjaGaussowska($C83,$C$52:$C$101,Y$14)*EstymacjaGaussowska($D83,$D$52:$D$101,Y$15)+Z$8*EstymacjaGaussowska($C83,$C$102:$C$151,Z$14)*EstymacjaGaussowska($D83,$D$102:$D$151,Z$15)</f>
        <v>9.0228112733293842E-2</v>
      </c>
      <c r="I83" s="3" cm="1">
        <f t="array" ref="I83">X$8*EstymacjaGaussowska($C83,$C$2:$C$51,X$14)*EstymacjaGaussowska($D83,$D$2:$D$51,X$15)/$H83</f>
        <v>2.7981703808780562E-114</v>
      </c>
      <c r="J83" s="3" cm="1">
        <f t="array" ref="J83">Y$8*EstymacjaGaussowska($C83,$C$52:$C$101,Y$14)*EstymacjaGaussowska($D83,$D$52:$D$101,Y$15)/$H83</f>
        <v>0.99999898945670151</v>
      </c>
      <c r="K83" s="42" cm="1">
        <f t="array" ref="K83">Z$8*EstymacjaGaussowska($C83,$C$102:$C$151,Z$14)*EstymacjaGaussowska($D83,$D$102:$D$151,Z$15)/$H83</f>
        <v>1.0105432984797646E-6</v>
      </c>
      <c r="L83" s="43" t="str">
        <f t="shared" si="9"/>
        <v>versicolor</v>
      </c>
      <c r="M83" s="3" cm="1">
        <f t="array" ref="M83">X$8*EstymacjaGaussowska($C83,$C$2:$C$51,X$14)*EstymacjaGaussowska($D83,$D$2:$D$51,X$15)*VLOOKUP($E83,$W$29:$AA$32,2)+Y$8*EstymacjaGaussowska($C83,$C$52:$C$101,Y$14)*EstymacjaGaussowska($D83,$D$52:$D$101,Y$15)*VLOOKUP($E83,$W$29:$AA$32,3)+Z$8*EstymacjaGaussowska($C83,$C$102:$C$151,Z$14)*EstymacjaGaussowska($D83,$D$102:$D$151,Z$15)*VLOOKUP($E83,$W$29:$AA$32,4)</f>
        <v>1.6241043879698252E-2</v>
      </c>
      <c r="N83" s="3" cm="1">
        <f t="array" ref="N83">X$8*EstymacjaGaussowska($C83,$C$2:$C$51,X$14)*EstymacjaGaussowska($D83,$D$2:$D$51,X$15)*VLOOKUP($E83,$W$29:$AA$32,2)/$M83</f>
        <v>2.7981732085532403E-114</v>
      </c>
      <c r="O83" s="3" cm="1">
        <f t="array" ref="O83">Y$8*EstymacjaGaussowska($C83,$C$52:$C$101,Y$14)*EstymacjaGaussowska($D83,$D$52:$D$101,Y$15)*VLOOKUP($E83,$W$29:$AA$32,3)/$M83</f>
        <v>1</v>
      </c>
      <c r="P83" s="42" cm="1">
        <f t="array" ref="P83">Z$8*EstymacjaGaussowska($C83,$C$102:$C$151,Z$14)*EstymacjaGaussowska($D83,$D$102:$D$151,Z$15)*VLOOKUP($E83,$W$29:$AA$32,4)/$M83</f>
        <v>0</v>
      </c>
      <c r="Q83" s="43" t="str">
        <f t="shared" si="10"/>
        <v>versicolor</v>
      </c>
      <c r="R83" s="3" cm="1">
        <f t="array" ref="R83">X$8*EstymacjaGaussowska($C83,$C$2:$C$51,X$14)*EstymacjaGaussowska($D83,$D$2:$D$51,X$15)*EstymacjaGaussowska($A83,$A$2:$A$51,X$18)*EstymacjaGaussowska($B83,$B$2:$B$51,X$19)*VLOOKUP($E83,$W$29:$AA$32,2)+Y$8*EstymacjaGaussowska($C83,$C$52:$C$101,Y$14)*EstymacjaGaussowska($D83,$D$52:$D$101,Y$15)*EstymacjaGaussowska($A83,$A$52:$A$101,Y$18)*EstymacjaGaussowska($B83,$B$52:$B$101,Y$19)*VLOOKUP($E83,$W$29:$AA$32,3)+Z$8*EstymacjaGaussowska($C83,$C$102:$C$151,Z$14)*EstymacjaGaussowska($D83,$D$102:$D$151,Z$15)*EstymacjaGaussowska($A83,$A$102:$A$151,Z$18)*EstymacjaGaussowska($B83,$B$102:$B$151,Z$19)*VLOOKUP($E83,$W$29:$AA$32,4)</f>
        <v>5.7662146280829741E-3</v>
      </c>
      <c r="S83" s="3" cm="1">
        <f t="array" ref="S83">X$8*EstymacjaGaussowska($C83,$C$2:$C$51,X$14)*EstymacjaGaussowska($D83,$D$2:$D$51,X$15)*EstymacjaGaussowska($A83,$A$2:$A$51,X$18)*EstymacjaGaussowska($B83,$B$2:$B$51,X$19)*VLOOKUP($E83,$W$29:$AA$32,2)/$R83</f>
        <v>1.3542208040782945E-115</v>
      </c>
      <c r="T83" s="3" cm="1">
        <f t="array" ref="T83">Y$8*EstymacjaGaussowska($C83,$C$52:$C$101,Y$14)*EstymacjaGaussowska($D83,$D$52:$D$101,Y$15)*EstymacjaGaussowska($A83,$A$52:$A$101,Y$18)*EstymacjaGaussowska($B83,$B$52:$B$101,Y$19)*VLOOKUP($E83,$W$29:$AA$32,3)/$R83</f>
        <v>1</v>
      </c>
      <c r="U83" s="42" cm="1">
        <f t="array" ref="U83">Z$8*EstymacjaGaussowska($C83,$C$102:$C$151,Z$14)*EstymacjaGaussowska($D83,$D$102:$D$151,Z$15)*EstymacjaGaussowska($A83,$A$102:$A$151,Z$18)*EstymacjaGaussowska($B83,$B$102:$B$151,Z$19)*VLOOKUP($E83,$W$29:$AA$32,4)/$R83</f>
        <v>0</v>
      </c>
    </row>
    <row r="84" spans="1:21" x14ac:dyDescent="0.25">
      <c r="A84" s="9">
        <v>5.8</v>
      </c>
      <c r="B84" s="3">
        <v>2.7</v>
      </c>
      <c r="C84" s="3">
        <v>3.9</v>
      </c>
      <c r="D84" s="8">
        <v>1.2</v>
      </c>
      <c r="E84" s="9" t="s">
        <v>13</v>
      </c>
      <c r="F84" s="50" t="s">
        <v>6</v>
      </c>
      <c r="G84" s="43" t="str">
        <f t="shared" si="8"/>
        <v>versicolor</v>
      </c>
      <c r="H84" s="3" cm="1">
        <f t="array" ref="H84">X$8*EstymacjaGaussowska($C84,$C$2:$C$51,X$14)*EstymacjaGaussowska($D84,$D$2:$D$51,X$15)+Y$8*EstymacjaGaussowska($C84,$C$52:$C$101,Y$14)*EstymacjaGaussowska($D84,$D$52:$D$101,Y$15)+Z$8*EstymacjaGaussowska($C84,$C$102:$C$151,Z$14)*EstymacjaGaussowska($D84,$D$102:$D$151,Z$15)</f>
        <v>0.22948954101217706</v>
      </c>
      <c r="I84" s="3" cm="1">
        <f t="array" ref="I84">X$8*EstymacjaGaussowska($C84,$C$2:$C$51,X$14)*EstymacjaGaussowska($D84,$D$2:$D$51,X$15)/$H84</f>
        <v>1.2946240867888444E-154</v>
      </c>
      <c r="J84" s="3" cm="1">
        <f t="array" ref="J84">Y$8*EstymacjaGaussowska($C84,$C$52:$C$101,Y$14)*EstymacjaGaussowska($D84,$D$52:$D$101,Y$15)/$H84</f>
        <v>0.99988262311314102</v>
      </c>
      <c r="K84" s="42" cm="1">
        <f t="array" ref="K84">Z$8*EstymacjaGaussowska($C84,$C$102:$C$151,Z$14)*EstymacjaGaussowska($D84,$D$102:$D$151,Z$15)/$H84</f>
        <v>1.1737688685896911E-4</v>
      </c>
      <c r="L84" s="43" t="str">
        <f t="shared" si="9"/>
        <v>versicolor</v>
      </c>
      <c r="M84" s="3" cm="1">
        <f t="array" ref="M84">X$8*EstymacjaGaussowska($C84,$C$2:$C$51,X$14)*EstymacjaGaussowska($D84,$D$2:$D$51,X$15)*VLOOKUP($E84,$W$29:$AA$32,2)+Y$8*EstymacjaGaussowska($C84,$C$52:$C$101,Y$14)*EstymacjaGaussowska($D84,$D$52:$D$101,Y$15)*VLOOKUP($E84,$W$29:$AA$32,3)+Z$8*EstymacjaGaussowska($C84,$C$102:$C$151,Z$14)*EstymacjaGaussowska($D84,$D$102:$D$151,Z$15)*VLOOKUP($E84,$W$29:$AA$32,4)</f>
        <v>4.1303268763971543E-2</v>
      </c>
      <c r="N84" s="3" cm="1">
        <f t="array" ref="N84">X$8*EstymacjaGaussowska($C84,$C$2:$C$51,X$14)*EstymacjaGaussowska($D84,$D$2:$D$51,X$15)*VLOOKUP($E84,$W$29:$AA$32,2)/$M84</f>
        <v>1.2947760635723659E-154</v>
      </c>
      <c r="O84" s="3" cm="1">
        <f t="array" ref="O84">Y$8*EstymacjaGaussowska($C84,$C$52:$C$101,Y$14)*EstymacjaGaussowska($D84,$D$52:$D$101,Y$15)*VLOOKUP($E84,$W$29:$AA$32,3)/$M84</f>
        <v>1</v>
      </c>
      <c r="P84" s="42" cm="1">
        <f t="array" ref="P84">Z$8*EstymacjaGaussowska($C84,$C$102:$C$151,Z$14)*EstymacjaGaussowska($D84,$D$102:$D$151,Z$15)*VLOOKUP($E84,$W$29:$AA$32,4)/$M84</f>
        <v>0</v>
      </c>
      <c r="Q84" s="43" t="str">
        <f t="shared" si="10"/>
        <v>versicolor</v>
      </c>
      <c r="R84" s="3" cm="1">
        <f t="array" ref="R84">X$8*EstymacjaGaussowska($C84,$C$2:$C$51,X$14)*EstymacjaGaussowska($D84,$D$2:$D$51,X$15)*EstymacjaGaussowska($A84,$A$2:$A$51,X$18)*EstymacjaGaussowska($B84,$B$2:$B$51,X$19)*VLOOKUP($E84,$W$29:$AA$32,2)+Y$8*EstymacjaGaussowska($C84,$C$52:$C$101,Y$14)*EstymacjaGaussowska($D84,$D$52:$D$101,Y$15)*EstymacjaGaussowska($A84,$A$52:$A$101,Y$18)*EstymacjaGaussowska($B84,$B$52:$B$101,Y$19)*VLOOKUP($E84,$W$29:$AA$32,3)+Z$8*EstymacjaGaussowska($C84,$C$102:$C$151,Z$14)*EstymacjaGaussowska($D84,$D$102:$D$151,Z$15)*EstymacjaGaussowska($A84,$A$102:$A$151,Z$18)*EstymacjaGaussowska($B84,$B$102:$B$151,Z$19)*VLOOKUP($E84,$W$29:$AA$32,4)</f>
        <v>2.821090196945612E-2</v>
      </c>
      <c r="S84" s="3" cm="1">
        <f t="array" ref="S84">X$8*EstymacjaGaussowska($C84,$C$2:$C$51,X$14)*EstymacjaGaussowska($D84,$D$2:$D$51,X$15)*EstymacjaGaussowska($A84,$A$2:$A$51,X$18)*EstymacjaGaussowska($B84,$B$2:$B$51,X$19)*VLOOKUP($E84,$W$29:$AA$32,2)/$R84</f>
        <v>3.6462358724089951E-156</v>
      </c>
      <c r="T84" s="3" cm="1">
        <f t="array" ref="T84">Y$8*EstymacjaGaussowska($C84,$C$52:$C$101,Y$14)*EstymacjaGaussowska($D84,$D$52:$D$101,Y$15)*EstymacjaGaussowska($A84,$A$52:$A$101,Y$18)*EstymacjaGaussowska($B84,$B$52:$B$101,Y$19)*VLOOKUP($E84,$W$29:$AA$32,3)/$R84</f>
        <v>1</v>
      </c>
      <c r="U84" s="42" cm="1">
        <f t="array" ref="U84">Z$8*EstymacjaGaussowska($C84,$C$102:$C$151,Z$14)*EstymacjaGaussowska($D84,$D$102:$D$151,Z$15)*EstymacjaGaussowska($A84,$A$102:$A$151,Z$18)*EstymacjaGaussowska($B84,$B$102:$B$151,Z$19)*VLOOKUP($E84,$W$29:$AA$32,4)/$R84</f>
        <v>0</v>
      </c>
    </row>
    <row r="85" spans="1:21" x14ac:dyDescent="0.25">
      <c r="A85" s="9">
        <v>6</v>
      </c>
      <c r="B85" s="3">
        <v>2.7</v>
      </c>
      <c r="C85" s="3">
        <v>5.0999999999999996</v>
      </c>
      <c r="D85" s="8">
        <v>1.6</v>
      </c>
      <c r="E85" s="9" t="s">
        <v>13</v>
      </c>
      <c r="F85" s="50" t="s">
        <v>6</v>
      </c>
      <c r="G85" s="43" t="str">
        <f t="shared" si="8"/>
        <v>virginica</v>
      </c>
      <c r="H85" s="3" cm="1">
        <f t="array" ref="H85">X$8*EstymacjaGaussowska($C85,$C$2:$C$51,X$14)*EstymacjaGaussowska($D85,$D$2:$D$51,X$15)+Y$8*EstymacjaGaussowska($C85,$C$52:$C$101,Y$14)*EstymacjaGaussowska($D85,$D$52:$D$101,Y$15)+Z$8*EstymacjaGaussowska($C85,$C$102:$C$151,Z$14)*EstymacjaGaussowska($D85,$D$102:$D$151,Z$15)</f>
        <v>0.14858956776601229</v>
      </c>
      <c r="I85" s="3" cm="1">
        <f t="array" ref="I85">X$8*EstymacjaGaussowska($C85,$C$2:$C$51,X$14)*EstymacjaGaussowska($D85,$D$2:$D$51,X$15)/$H85</f>
        <v>0</v>
      </c>
      <c r="J85" s="3" cm="1">
        <f t="array" ref="J85">Y$8*EstymacjaGaussowska($C85,$C$52:$C$101,Y$14)*EstymacjaGaussowska($D85,$D$52:$D$101,Y$15)/$H85</f>
        <v>0.38785510448190658</v>
      </c>
      <c r="K85" s="42" cm="1">
        <f t="array" ref="K85">Z$8*EstymacjaGaussowska($C85,$C$102:$C$151,Z$14)*EstymacjaGaussowska($D85,$D$102:$D$151,Z$15)/$H85</f>
        <v>0.61214489551809348</v>
      </c>
      <c r="L85" s="43" t="str">
        <f t="shared" si="9"/>
        <v>versicolor</v>
      </c>
      <c r="M85" s="3" cm="1">
        <f t="array" ref="M85">X$8*EstymacjaGaussowska($C85,$C$2:$C$51,X$14)*EstymacjaGaussowska($D85,$D$2:$D$51,X$15)*VLOOKUP($E85,$W$29:$AA$32,2)+Y$8*EstymacjaGaussowska($C85,$C$52:$C$101,Y$14)*EstymacjaGaussowska($D85,$D$52:$D$101,Y$15)*VLOOKUP($E85,$W$29:$AA$32,3)+Z$8*EstymacjaGaussowska($C85,$C$102:$C$151,Z$14)*EstymacjaGaussowska($D85,$D$102:$D$151,Z$15)*VLOOKUP($E85,$W$29:$AA$32,4)</f>
        <v>1.0373620019545447E-2</v>
      </c>
      <c r="N85" s="3" cm="1">
        <f t="array" ref="N85">X$8*EstymacjaGaussowska($C85,$C$2:$C$51,X$14)*EstymacjaGaussowska($D85,$D$2:$D$51,X$15)*VLOOKUP($E85,$W$29:$AA$32,2)/$M85</f>
        <v>0</v>
      </c>
      <c r="O85" s="3" cm="1">
        <f t="array" ref="O85">Y$8*EstymacjaGaussowska($C85,$C$52:$C$101,Y$14)*EstymacjaGaussowska($D85,$D$52:$D$101,Y$15)*VLOOKUP($E85,$W$29:$AA$32,3)/$M85</f>
        <v>1</v>
      </c>
      <c r="P85" s="42" cm="1">
        <f t="array" ref="P85">Z$8*EstymacjaGaussowska($C85,$C$102:$C$151,Z$14)*EstymacjaGaussowska($D85,$D$102:$D$151,Z$15)*VLOOKUP($E85,$W$29:$AA$32,4)/$M85</f>
        <v>0</v>
      </c>
      <c r="Q85" s="43" t="str">
        <f t="shared" si="10"/>
        <v>versicolor</v>
      </c>
      <c r="R85" s="3" cm="1">
        <f t="array" ref="R85">X$8*EstymacjaGaussowska($C85,$C$2:$C$51,X$14)*EstymacjaGaussowska($D85,$D$2:$D$51,X$15)*EstymacjaGaussowska($A85,$A$2:$A$51,X$18)*EstymacjaGaussowska($B85,$B$2:$B$51,X$19)*VLOOKUP($E85,$W$29:$AA$32,2)+Y$8*EstymacjaGaussowska($C85,$C$52:$C$101,Y$14)*EstymacjaGaussowska($D85,$D$52:$D$101,Y$15)*EstymacjaGaussowska($A85,$A$52:$A$101,Y$18)*EstymacjaGaussowska($B85,$B$52:$B$101,Y$19)*VLOOKUP($E85,$W$29:$AA$32,3)+Z$8*EstymacjaGaussowska($C85,$C$102:$C$151,Z$14)*EstymacjaGaussowska($D85,$D$102:$D$151,Z$15)*EstymacjaGaussowska($A85,$A$102:$A$151,Z$18)*EstymacjaGaussowska($B85,$B$102:$B$151,Z$19)*VLOOKUP($E85,$W$29:$AA$32,4)</f>
        <v>6.5056931056548042E-3</v>
      </c>
      <c r="S85" s="3" cm="1">
        <f t="array" ref="S85">X$8*EstymacjaGaussowska($C85,$C$2:$C$51,X$14)*EstymacjaGaussowska($D85,$D$2:$D$51,X$15)*EstymacjaGaussowska($A85,$A$2:$A$51,X$18)*EstymacjaGaussowska($B85,$B$2:$B$51,X$19)*VLOOKUP($E85,$W$29:$AA$32,2)/$R85</f>
        <v>0</v>
      </c>
      <c r="T85" s="3" cm="1">
        <f t="array" ref="T85">Y$8*EstymacjaGaussowska($C85,$C$52:$C$101,Y$14)*EstymacjaGaussowska($D85,$D$52:$D$101,Y$15)*EstymacjaGaussowska($A85,$A$52:$A$101,Y$18)*EstymacjaGaussowska($B85,$B$52:$B$101,Y$19)*VLOOKUP($E85,$W$29:$AA$32,3)/$R85</f>
        <v>1</v>
      </c>
      <c r="U85" s="42" cm="1">
        <f t="array" ref="U85">Z$8*EstymacjaGaussowska($C85,$C$102:$C$151,Z$14)*EstymacjaGaussowska($D85,$D$102:$D$151,Z$15)*EstymacjaGaussowska($A85,$A$102:$A$151,Z$18)*EstymacjaGaussowska($B85,$B$102:$B$151,Z$19)*VLOOKUP($E85,$W$29:$AA$32,4)/$R85</f>
        <v>0</v>
      </c>
    </row>
    <row r="86" spans="1:21" x14ac:dyDescent="0.25">
      <c r="A86" s="9">
        <v>5.4</v>
      </c>
      <c r="B86" s="3">
        <v>3</v>
      </c>
      <c r="C86" s="3">
        <v>4.5</v>
      </c>
      <c r="D86" s="8">
        <v>1.5</v>
      </c>
      <c r="E86" s="9" t="s">
        <v>13</v>
      </c>
      <c r="F86" s="50" t="s">
        <v>6</v>
      </c>
      <c r="G86" s="43" t="str">
        <f t="shared" si="8"/>
        <v>versicolor</v>
      </c>
      <c r="H86" s="3" cm="1">
        <f t="array" ref="H86">X$8*EstymacjaGaussowska($C86,$C$2:$C$51,X$14)*EstymacjaGaussowska($D86,$D$2:$D$51,X$15)+Y$8*EstymacjaGaussowska($C86,$C$52:$C$101,Y$14)*EstymacjaGaussowska($D86,$D$52:$D$101,Y$15)+Z$8*EstymacjaGaussowska($C86,$C$102:$C$151,Z$14)*EstymacjaGaussowska($D86,$D$102:$D$151,Z$15)</f>
        <v>0.3913323569718512</v>
      </c>
      <c r="I86" s="3" cm="1">
        <f t="array" ref="I86">X$8*EstymacjaGaussowska($C86,$C$2:$C$51,X$14)*EstymacjaGaussowska($D86,$D$2:$D$51,X$15)/$H86</f>
        <v>7.3411951200640539E-277</v>
      </c>
      <c r="J86" s="3" cm="1">
        <f t="array" ref="J86">Y$8*EstymacjaGaussowska($C86,$C$52:$C$101,Y$14)*EstymacjaGaussowska($D86,$D$52:$D$101,Y$15)/$H86</f>
        <v>0.96929660806572038</v>
      </c>
      <c r="K86" s="42" cm="1">
        <f t="array" ref="K86">Z$8*EstymacjaGaussowska($C86,$C$102:$C$151,Z$14)*EstymacjaGaussowska($D86,$D$102:$D$151,Z$15)/$H86</f>
        <v>3.0703391934279737E-2</v>
      </c>
      <c r="L86" s="43" t="str">
        <f t="shared" si="9"/>
        <v>versicolor</v>
      </c>
      <c r="M86" s="3" cm="1">
        <f t="array" ref="M86">X$8*EstymacjaGaussowska($C86,$C$2:$C$51,X$14)*EstymacjaGaussowska($D86,$D$2:$D$51,X$15)*VLOOKUP($E86,$W$29:$AA$32,2)+Y$8*EstymacjaGaussowska($C86,$C$52:$C$101,Y$14)*EstymacjaGaussowska($D86,$D$52:$D$101,Y$15)*VLOOKUP($E86,$W$29:$AA$32,3)+Z$8*EstymacjaGaussowska($C86,$C$102:$C$151,Z$14)*EstymacjaGaussowska($D86,$D$102:$D$151,Z$15)*VLOOKUP($E86,$W$29:$AA$32,4)</f>
        <v>6.8277082723052218E-2</v>
      </c>
      <c r="N86" s="3" cm="1">
        <f t="array" ref="N86">X$8*EstymacjaGaussowska($C86,$C$2:$C$51,X$14)*EstymacjaGaussowska($D86,$D$2:$D$51,X$15)*VLOOKUP($E86,$W$29:$AA$32,2)/$M86</f>
        <v>7.5737344575194318E-277</v>
      </c>
      <c r="O86" s="3" cm="1">
        <f t="array" ref="O86">Y$8*EstymacjaGaussowska($C86,$C$52:$C$101,Y$14)*EstymacjaGaussowska($D86,$D$52:$D$101,Y$15)*VLOOKUP($E86,$W$29:$AA$32,3)/$M86</f>
        <v>1</v>
      </c>
      <c r="P86" s="42" cm="1">
        <f t="array" ref="P86">Z$8*EstymacjaGaussowska($C86,$C$102:$C$151,Z$14)*EstymacjaGaussowska($D86,$D$102:$D$151,Z$15)*VLOOKUP($E86,$W$29:$AA$32,4)/$M86</f>
        <v>0</v>
      </c>
      <c r="Q86" s="43" t="str">
        <f t="shared" si="10"/>
        <v>versicolor</v>
      </c>
      <c r="R86" s="3" cm="1">
        <f t="array" ref="R86">X$8*EstymacjaGaussowska($C86,$C$2:$C$51,X$14)*EstymacjaGaussowska($D86,$D$2:$D$51,X$15)*EstymacjaGaussowska($A86,$A$2:$A$51,X$18)*EstymacjaGaussowska($B86,$B$2:$B$51,X$19)*VLOOKUP($E86,$W$29:$AA$32,2)+Y$8*EstymacjaGaussowska($C86,$C$52:$C$101,Y$14)*EstymacjaGaussowska($D86,$D$52:$D$101,Y$15)*EstymacjaGaussowska($A86,$A$52:$A$101,Y$18)*EstymacjaGaussowska($B86,$B$52:$B$101,Y$19)*VLOOKUP($E86,$W$29:$AA$32,3)+Z$8*EstymacjaGaussowska($C86,$C$102:$C$151,Z$14)*EstymacjaGaussowska($D86,$D$102:$D$151,Z$15)*EstymacjaGaussowska($A86,$A$102:$A$151,Z$18)*EstymacjaGaussowska($B86,$B$102:$B$151,Z$19)*VLOOKUP($E86,$W$29:$AA$32,4)</f>
        <v>3.5775790725995973E-2</v>
      </c>
      <c r="S86" s="3" cm="1">
        <f t="array" ref="S86">X$8*EstymacjaGaussowska($C86,$C$2:$C$51,X$14)*EstymacjaGaussowska($D86,$D$2:$D$51,X$15)*EstymacjaGaussowska($A86,$A$2:$A$51,X$18)*EstymacjaGaussowska($B86,$B$2:$B$51,X$19)*VLOOKUP($E86,$W$29:$AA$32,2)/$R86</f>
        <v>5.0655070488794397E-277</v>
      </c>
      <c r="T86" s="3" cm="1">
        <f t="array" ref="T86">Y$8*EstymacjaGaussowska($C86,$C$52:$C$101,Y$14)*EstymacjaGaussowska($D86,$D$52:$D$101,Y$15)*EstymacjaGaussowska($A86,$A$52:$A$101,Y$18)*EstymacjaGaussowska($B86,$B$52:$B$101,Y$19)*VLOOKUP($E86,$W$29:$AA$32,3)/$R86</f>
        <v>1</v>
      </c>
      <c r="U86" s="42" cm="1">
        <f t="array" ref="U86">Z$8*EstymacjaGaussowska($C86,$C$102:$C$151,Z$14)*EstymacjaGaussowska($D86,$D$102:$D$151,Z$15)*EstymacjaGaussowska($A86,$A$102:$A$151,Z$18)*EstymacjaGaussowska($B86,$B$102:$B$151,Z$19)*VLOOKUP($E86,$W$29:$AA$32,4)/$R86</f>
        <v>0</v>
      </c>
    </row>
    <row r="87" spans="1:21" x14ac:dyDescent="0.25">
      <c r="A87" s="9">
        <v>6</v>
      </c>
      <c r="B87" s="3">
        <v>3.4</v>
      </c>
      <c r="C87" s="3">
        <v>4.5</v>
      </c>
      <c r="D87" s="8">
        <v>1.6</v>
      </c>
      <c r="E87" s="9" t="s">
        <v>13</v>
      </c>
      <c r="F87" s="50" t="s">
        <v>6</v>
      </c>
      <c r="G87" s="43" t="str">
        <f t="shared" si="8"/>
        <v>versicolor</v>
      </c>
      <c r="H87" s="3" cm="1">
        <f t="array" ref="H87">X$8*EstymacjaGaussowska($C87,$C$2:$C$51,X$14)*EstymacjaGaussowska($D87,$D$2:$D$51,X$15)+Y$8*EstymacjaGaussowska($C87,$C$52:$C$101,Y$14)*EstymacjaGaussowska($D87,$D$52:$D$101,Y$15)+Z$8*EstymacjaGaussowska($C87,$C$102:$C$151,Z$14)*EstymacjaGaussowska($D87,$D$102:$D$151,Z$15)</f>
        <v>0.24521346314995279</v>
      </c>
      <c r="I87" s="3" cm="1">
        <f t="array" ref="I87">X$8*EstymacjaGaussowska($C87,$C$2:$C$51,X$14)*EstymacjaGaussowska($D87,$D$2:$D$51,X$15)/$H87</f>
        <v>1.8160898435428279E-292</v>
      </c>
      <c r="J87" s="3" cm="1">
        <f t="array" ref="J87">Y$8*EstymacjaGaussowska($C87,$C$52:$C$101,Y$14)*EstymacjaGaussowska($D87,$D$52:$D$101,Y$15)/$H87</f>
        <v>0.92166293354236695</v>
      </c>
      <c r="K87" s="42" cm="1">
        <f t="array" ref="K87">Z$8*EstymacjaGaussowska($C87,$C$102:$C$151,Z$14)*EstymacjaGaussowska($D87,$D$102:$D$151,Z$15)/$H87</f>
        <v>7.8337066457633095E-2</v>
      </c>
      <c r="L87" s="43" t="str">
        <f t="shared" si="9"/>
        <v>versicolor</v>
      </c>
      <c r="M87" s="3" cm="1">
        <f t="array" ref="M87">X$8*EstymacjaGaussowska($C87,$C$2:$C$51,X$14)*EstymacjaGaussowska($D87,$D$2:$D$51,X$15)*VLOOKUP($E87,$W$29:$AA$32,2)+Y$8*EstymacjaGaussowska($C87,$C$52:$C$101,Y$14)*EstymacjaGaussowska($D87,$D$52:$D$101,Y$15)*VLOOKUP($E87,$W$29:$AA$32,3)+Z$8*EstymacjaGaussowska($C87,$C$102:$C$151,Z$14)*EstymacjaGaussowska($D87,$D$102:$D$151,Z$15)*VLOOKUP($E87,$W$29:$AA$32,4)</f>
        <v>4.068074876235634E-2</v>
      </c>
      <c r="N87" s="3" cm="1">
        <f t="array" ref="N87">X$8*EstymacjaGaussowska($C87,$C$2:$C$51,X$14)*EstymacjaGaussowska($D87,$D$2:$D$51,X$15)*VLOOKUP($E87,$W$29:$AA$32,2)/$M87</f>
        <v>1.9704490410206415E-292</v>
      </c>
      <c r="O87" s="3" cm="1">
        <f t="array" ref="O87">Y$8*EstymacjaGaussowska($C87,$C$52:$C$101,Y$14)*EstymacjaGaussowska($D87,$D$52:$D$101,Y$15)*VLOOKUP($E87,$W$29:$AA$32,3)/$M87</f>
        <v>1</v>
      </c>
      <c r="P87" s="42" cm="1">
        <f t="array" ref="P87">Z$8*EstymacjaGaussowska($C87,$C$102:$C$151,Z$14)*EstymacjaGaussowska($D87,$D$102:$D$151,Z$15)*VLOOKUP($E87,$W$29:$AA$32,4)/$M87</f>
        <v>0</v>
      </c>
      <c r="Q87" s="43" t="str">
        <f t="shared" si="10"/>
        <v>versicolor</v>
      </c>
      <c r="R87" s="3" cm="1">
        <f t="array" ref="R87">X$8*EstymacjaGaussowska($C87,$C$2:$C$51,X$14)*EstymacjaGaussowska($D87,$D$2:$D$51,X$15)*EstymacjaGaussowska($A87,$A$2:$A$51,X$18)*EstymacjaGaussowska($B87,$B$2:$B$51,X$19)*VLOOKUP($E87,$W$29:$AA$32,2)+Y$8*EstymacjaGaussowska($C87,$C$52:$C$101,Y$14)*EstymacjaGaussowska($D87,$D$52:$D$101,Y$15)*EstymacjaGaussowska($A87,$A$52:$A$101,Y$18)*EstymacjaGaussowska($B87,$B$52:$B$101,Y$19)*VLOOKUP($E87,$W$29:$AA$32,3)+Z$8*EstymacjaGaussowska($C87,$C$102:$C$151,Z$14)*EstymacjaGaussowska($D87,$D$102:$D$151,Z$15)*EstymacjaGaussowska($A87,$A$102:$A$151,Z$18)*EstymacjaGaussowska($B87,$B$102:$B$151,Z$19)*VLOOKUP($E87,$W$29:$AA$32,4)</f>
        <v>5.1718538229061214E-3</v>
      </c>
      <c r="S87" s="3" cm="1">
        <f t="array" ref="S87">X$8*EstymacjaGaussowska($C87,$C$2:$C$51,X$14)*EstymacjaGaussowska($D87,$D$2:$D$51,X$15)*EstymacjaGaussowska($A87,$A$2:$A$51,X$18)*EstymacjaGaussowska($B87,$B$2:$B$51,X$19)*VLOOKUP($E87,$W$29:$AA$32,2)/$R87</f>
        <v>7.0726508199187663E-293</v>
      </c>
      <c r="T87" s="3" cm="1">
        <f t="array" ref="T87">Y$8*EstymacjaGaussowska($C87,$C$52:$C$101,Y$14)*EstymacjaGaussowska($D87,$D$52:$D$101,Y$15)*EstymacjaGaussowska($A87,$A$52:$A$101,Y$18)*EstymacjaGaussowska($B87,$B$52:$B$101,Y$19)*VLOOKUP($E87,$W$29:$AA$32,3)/$R87</f>
        <v>1</v>
      </c>
      <c r="U87" s="42" cm="1">
        <f t="array" ref="U87">Z$8*EstymacjaGaussowska($C87,$C$102:$C$151,Z$14)*EstymacjaGaussowska($D87,$D$102:$D$151,Z$15)*EstymacjaGaussowska($A87,$A$102:$A$151,Z$18)*EstymacjaGaussowska($B87,$B$102:$B$151,Z$19)*VLOOKUP($E87,$W$29:$AA$32,4)/$R87</f>
        <v>0</v>
      </c>
    </row>
    <row r="88" spans="1:21" x14ac:dyDescent="0.25">
      <c r="A88" s="9">
        <v>6.7</v>
      </c>
      <c r="B88" s="3">
        <v>3.1</v>
      </c>
      <c r="C88" s="3">
        <v>4.7</v>
      </c>
      <c r="D88" s="8">
        <v>1.5</v>
      </c>
      <c r="E88" s="9" t="s">
        <v>13</v>
      </c>
      <c r="F88" s="50" t="s">
        <v>6</v>
      </c>
      <c r="G88" s="43" t="str">
        <f t="shared" si="8"/>
        <v>versicolor</v>
      </c>
      <c r="H88" s="3" cm="1">
        <f t="array" ref="H88">X$8*EstymacjaGaussowska($C88,$C$2:$C$51,X$14)*EstymacjaGaussowska($D88,$D$2:$D$51,X$15)+Y$8*EstymacjaGaussowska($C88,$C$52:$C$101,Y$14)*EstymacjaGaussowska($D88,$D$52:$D$101,Y$15)+Z$8*EstymacjaGaussowska($C88,$C$102:$C$151,Z$14)*EstymacjaGaussowska($D88,$D$102:$D$151,Z$15)</f>
        <v>0.34712542595989471</v>
      </c>
      <c r="I88" s="3" cm="1">
        <f t="array" ref="I88">X$8*EstymacjaGaussowska($C88,$C$2:$C$51,X$14)*EstymacjaGaussowska($D88,$D$2:$D$51,X$15)/$H88</f>
        <v>0</v>
      </c>
      <c r="J88" s="3" cm="1">
        <f t="array" ref="J88">Y$8*EstymacjaGaussowska($C88,$C$52:$C$101,Y$14)*EstymacjaGaussowska($D88,$D$52:$D$101,Y$15)/$H88</f>
        <v>0.92308250402837211</v>
      </c>
      <c r="K88" s="42" cm="1">
        <f t="array" ref="K88">Z$8*EstymacjaGaussowska($C88,$C$102:$C$151,Z$14)*EstymacjaGaussowska($D88,$D$102:$D$151,Z$15)/$H88</f>
        <v>7.691749597162785E-2</v>
      </c>
      <c r="L88" s="43" t="str">
        <f t="shared" si="9"/>
        <v>versicolor</v>
      </c>
      <c r="M88" s="3" cm="1">
        <f t="array" ref="M88">X$8*EstymacjaGaussowska($C88,$C$2:$C$51,X$14)*EstymacjaGaussowska($D88,$D$2:$D$51,X$15)*VLOOKUP($E88,$W$29:$AA$32,2)+Y$8*EstymacjaGaussowska($C88,$C$52:$C$101,Y$14)*EstymacjaGaussowska($D88,$D$52:$D$101,Y$15)*VLOOKUP($E88,$W$29:$AA$32,3)+Z$8*EstymacjaGaussowska($C88,$C$102:$C$151,Z$14)*EstymacjaGaussowska($D88,$D$102:$D$151,Z$15)*VLOOKUP($E88,$W$29:$AA$32,4)</f>
        <v>5.7676573333255481E-2</v>
      </c>
      <c r="N88" s="3" cm="1">
        <f t="array" ref="N88">X$8*EstymacjaGaussowska($C88,$C$2:$C$51,X$14)*EstymacjaGaussowska($D88,$D$2:$D$51,X$15)*VLOOKUP($E88,$W$29:$AA$32,2)/$M88</f>
        <v>0</v>
      </c>
      <c r="O88" s="3" cm="1">
        <f t="array" ref="O88">Y$8*EstymacjaGaussowska($C88,$C$52:$C$101,Y$14)*EstymacjaGaussowska($D88,$D$52:$D$101,Y$15)*VLOOKUP($E88,$W$29:$AA$32,3)/$M88</f>
        <v>1</v>
      </c>
      <c r="P88" s="42" cm="1">
        <f t="array" ref="P88">Z$8*EstymacjaGaussowska($C88,$C$102:$C$151,Z$14)*EstymacjaGaussowska($D88,$D$102:$D$151,Z$15)*VLOOKUP($E88,$W$29:$AA$32,4)/$M88</f>
        <v>0</v>
      </c>
      <c r="Q88" s="43" t="str">
        <f t="shared" si="10"/>
        <v>versicolor</v>
      </c>
      <c r="R88" s="3" cm="1">
        <f t="array" ref="R88">X$8*EstymacjaGaussowska($C88,$C$2:$C$51,X$14)*EstymacjaGaussowska($D88,$D$2:$D$51,X$15)*EstymacjaGaussowska($A88,$A$2:$A$51,X$18)*EstymacjaGaussowska($B88,$B$2:$B$51,X$19)*VLOOKUP($E88,$W$29:$AA$32,2)+Y$8*EstymacjaGaussowska($C88,$C$52:$C$101,Y$14)*EstymacjaGaussowska($D88,$D$52:$D$101,Y$15)*EstymacjaGaussowska($A88,$A$52:$A$101,Y$18)*EstymacjaGaussowska($B88,$B$52:$B$101,Y$19)*VLOOKUP($E88,$W$29:$AA$32,3)+Z$8*EstymacjaGaussowska($C88,$C$102:$C$151,Z$14)*EstymacjaGaussowska($D88,$D$102:$D$151,Z$15)*EstymacjaGaussowska($A88,$A$102:$A$151,Z$18)*EstymacjaGaussowska($B88,$B$102:$B$151,Z$19)*VLOOKUP($E88,$W$29:$AA$32,4)</f>
        <v>1.6012736433542386E-2</v>
      </c>
      <c r="S88" s="3" cm="1">
        <f t="array" ref="S88">X$8*EstymacjaGaussowska($C88,$C$2:$C$51,X$14)*EstymacjaGaussowska($D88,$D$2:$D$51,X$15)*EstymacjaGaussowska($A88,$A$2:$A$51,X$18)*EstymacjaGaussowska($B88,$B$2:$B$51,X$19)*VLOOKUP($E88,$W$29:$AA$32,2)/$R88</f>
        <v>0</v>
      </c>
      <c r="T88" s="3" cm="1">
        <f t="array" ref="T88">Y$8*EstymacjaGaussowska($C88,$C$52:$C$101,Y$14)*EstymacjaGaussowska($D88,$D$52:$D$101,Y$15)*EstymacjaGaussowska($A88,$A$52:$A$101,Y$18)*EstymacjaGaussowska($B88,$B$52:$B$101,Y$19)*VLOOKUP($E88,$W$29:$AA$32,3)/$R88</f>
        <v>1</v>
      </c>
      <c r="U88" s="42" cm="1">
        <f t="array" ref="U88">Z$8*EstymacjaGaussowska($C88,$C$102:$C$151,Z$14)*EstymacjaGaussowska($D88,$D$102:$D$151,Z$15)*EstymacjaGaussowska($A88,$A$102:$A$151,Z$18)*EstymacjaGaussowska($B88,$B$102:$B$151,Z$19)*VLOOKUP($E88,$W$29:$AA$32,4)/$R88</f>
        <v>0</v>
      </c>
    </row>
    <row r="89" spans="1:21" x14ac:dyDescent="0.25">
      <c r="A89" s="9">
        <v>6.3</v>
      </c>
      <c r="B89" s="3">
        <v>2.2999999999999998</v>
      </c>
      <c r="C89" s="3">
        <v>4.4000000000000004</v>
      </c>
      <c r="D89" s="8">
        <v>1.3</v>
      </c>
      <c r="E89" s="9" t="s">
        <v>14</v>
      </c>
      <c r="F89" s="50" t="s">
        <v>6</v>
      </c>
      <c r="G89" s="43" t="str">
        <f t="shared" si="8"/>
        <v>versicolor</v>
      </c>
      <c r="H89" s="3" cm="1">
        <f t="array" ref="H89">X$8*EstymacjaGaussowska($C89,$C$2:$C$51,X$14)*EstymacjaGaussowska($D89,$D$2:$D$51,X$15)+Y$8*EstymacjaGaussowska($C89,$C$52:$C$101,Y$14)*EstymacjaGaussowska($D89,$D$52:$D$101,Y$15)+Z$8*EstymacjaGaussowska($C89,$C$102:$C$151,Z$14)*EstymacjaGaussowska($D89,$D$102:$D$151,Z$15)</f>
        <v>0.46911497885843045</v>
      </c>
      <c r="I89" s="3" cm="1">
        <f t="array" ref="I89">X$8*EstymacjaGaussowska($C89,$C$2:$C$51,X$14)*EstymacjaGaussowska($D89,$D$2:$D$51,X$15)/$H89</f>
        <v>1.0989561229552328E-234</v>
      </c>
      <c r="J89" s="3" cm="1">
        <f t="array" ref="J89">Y$8*EstymacjaGaussowska($C89,$C$52:$C$101,Y$14)*EstymacjaGaussowska($D89,$D$52:$D$101,Y$15)/$H89</f>
        <v>0.99501853751602942</v>
      </c>
      <c r="K89" s="42" cm="1">
        <f t="array" ref="K89">Z$8*EstymacjaGaussowska($C89,$C$102:$C$151,Z$14)*EstymacjaGaussowska($D89,$D$102:$D$151,Z$15)/$H89</f>
        <v>4.9814624839706481E-3</v>
      </c>
      <c r="L89" s="43" t="str">
        <f t="shared" si="9"/>
        <v>versicolor</v>
      </c>
      <c r="M89" s="3" cm="1">
        <f t="array" ref="M89">X$8*EstymacjaGaussowska($C89,$C$2:$C$51,X$14)*EstymacjaGaussowska($D89,$D$2:$D$51,X$15)*VLOOKUP($E89,$W$29:$AA$32,2)+Y$8*EstymacjaGaussowska($C89,$C$52:$C$101,Y$14)*EstymacjaGaussowska($D89,$D$52:$D$101,Y$15)*VLOOKUP($E89,$W$29:$AA$32,3)+Z$8*EstymacjaGaussowska($C89,$C$102:$C$151,Z$14)*EstymacjaGaussowska($D89,$D$102:$D$151,Z$15)*VLOOKUP($E89,$W$29:$AA$32,4)</f>
        <v>0.12140904362290746</v>
      </c>
      <c r="N89" s="3" cm="1">
        <f t="array" ref="N89">X$8*EstymacjaGaussowska($C89,$C$2:$C$51,X$14)*EstymacjaGaussowska($D89,$D$2:$D$51,X$15)*VLOOKUP($E89,$W$29:$AA$32,2)/$M89</f>
        <v>8.4925597468295233E-235</v>
      </c>
      <c r="O89" s="3" cm="1">
        <f t="array" ref="O89">Y$8*EstymacjaGaussowska($C89,$C$52:$C$101,Y$14)*EstymacjaGaussowska($D89,$D$52:$D$101,Y$15)*VLOOKUP($E89,$W$29:$AA$32,3)/$M89</f>
        <v>0.99961504042893046</v>
      </c>
      <c r="P89" s="42" cm="1">
        <f t="array" ref="P89">Z$8*EstymacjaGaussowska($C89,$C$102:$C$151,Z$14)*EstymacjaGaussowska($D89,$D$102:$D$151,Z$15)*VLOOKUP($E89,$W$29:$AA$32,4)/$M89</f>
        <v>3.8495957106955296E-4</v>
      </c>
      <c r="Q89" s="43" t="str">
        <f t="shared" si="10"/>
        <v>versicolor</v>
      </c>
      <c r="R89" s="3" cm="1">
        <f t="array" ref="R89">X$8*EstymacjaGaussowska($C89,$C$2:$C$51,X$14)*EstymacjaGaussowska($D89,$D$2:$D$51,X$15)*EstymacjaGaussowska($A89,$A$2:$A$51,X$18)*EstymacjaGaussowska($B89,$B$2:$B$51,X$19)*VLOOKUP($E89,$W$29:$AA$32,2)+Y$8*EstymacjaGaussowska($C89,$C$52:$C$101,Y$14)*EstymacjaGaussowska($D89,$D$52:$D$101,Y$15)*EstymacjaGaussowska($A89,$A$52:$A$101,Y$18)*EstymacjaGaussowska($B89,$B$52:$B$101,Y$19)*VLOOKUP($E89,$W$29:$AA$32,3)+Z$8*EstymacjaGaussowska($C89,$C$102:$C$151,Z$14)*EstymacjaGaussowska($D89,$D$102:$D$151,Z$15)*EstymacjaGaussowska($A89,$A$102:$A$151,Z$18)*EstymacjaGaussowska($B89,$B$102:$B$151,Z$19)*VLOOKUP($E89,$W$29:$AA$32,4)</f>
        <v>3.015081578370301E-2</v>
      </c>
      <c r="S89" s="3" cm="1">
        <f t="array" ref="S89">X$8*EstymacjaGaussowska($C89,$C$2:$C$51,X$14)*EstymacjaGaussowska($D89,$D$2:$D$51,X$15)*EstymacjaGaussowska($A89,$A$2:$A$51,X$18)*EstymacjaGaussowska($B89,$B$2:$B$51,X$19)*VLOOKUP($E89,$W$29:$AA$32,2)/$R89</f>
        <v>1.2643445896938356E-238</v>
      </c>
      <c r="T89" s="3" cm="1">
        <f t="array" ref="T89">Y$8*EstymacjaGaussowska($C89,$C$52:$C$101,Y$14)*EstymacjaGaussowska($D89,$D$52:$D$101,Y$15)*EstymacjaGaussowska($A89,$A$52:$A$101,Y$18)*EstymacjaGaussowska($B89,$B$52:$B$101,Y$19)*VLOOKUP($E89,$W$29:$AA$32,3)/$R89</f>
        <v>0.99985130490558916</v>
      </c>
      <c r="U89" s="42" cm="1">
        <f t="array" ref="U89">Z$8*EstymacjaGaussowska($C89,$C$102:$C$151,Z$14)*EstymacjaGaussowska($D89,$D$102:$D$151,Z$15)*EstymacjaGaussowska($A89,$A$102:$A$151,Z$18)*EstymacjaGaussowska($B89,$B$102:$B$151,Z$19)*VLOOKUP($E89,$W$29:$AA$32,4)/$R89</f>
        <v>1.4869509441087673E-4</v>
      </c>
    </row>
    <row r="90" spans="1:21" x14ac:dyDescent="0.25">
      <c r="A90" s="9">
        <v>5.6</v>
      </c>
      <c r="B90" s="3">
        <v>3</v>
      </c>
      <c r="C90" s="3">
        <v>4.0999999999999996</v>
      </c>
      <c r="D90" s="8">
        <v>1.3</v>
      </c>
      <c r="E90" s="9" t="s">
        <v>14</v>
      </c>
      <c r="F90" s="50" t="s">
        <v>6</v>
      </c>
      <c r="G90" s="43" t="str">
        <f t="shared" si="8"/>
        <v>versicolor</v>
      </c>
      <c r="H90" s="3" cm="1">
        <f t="array" ref="H90">X$8*EstymacjaGaussowska($C90,$C$2:$C$51,X$14)*EstymacjaGaussowska($D90,$D$2:$D$51,X$15)+Y$8*EstymacjaGaussowska($C90,$C$52:$C$101,Y$14)*EstymacjaGaussowska($D90,$D$52:$D$101,Y$15)+Z$8*EstymacjaGaussowska($C90,$C$102:$C$151,Z$14)*EstymacjaGaussowska($D90,$D$102:$D$151,Z$15)</f>
        <v>0.39745114902654405</v>
      </c>
      <c r="I90" s="3" cm="1">
        <f t="array" ref="I90">X$8*EstymacjaGaussowska($C90,$C$2:$C$51,X$14)*EstymacjaGaussowska($D90,$D$2:$D$51,X$15)/$H90</f>
        <v>2.0777280015418524E-191</v>
      </c>
      <c r="J90" s="3" cm="1">
        <f t="array" ref="J90">Y$8*EstymacjaGaussowska($C90,$C$52:$C$101,Y$14)*EstymacjaGaussowska($D90,$D$52:$D$101,Y$15)/$H90</f>
        <v>0.9990009995590613</v>
      </c>
      <c r="K90" s="42" cm="1">
        <f t="array" ref="K90">Z$8*EstymacjaGaussowska($C90,$C$102:$C$151,Z$14)*EstymacjaGaussowska($D90,$D$102:$D$151,Z$15)/$H90</f>
        <v>9.9900044093864681E-4</v>
      </c>
      <c r="L90" s="43" t="str">
        <f t="shared" si="9"/>
        <v>versicolor</v>
      </c>
      <c r="M90" s="3" cm="1">
        <f t="array" ref="M90">X$8*EstymacjaGaussowska($C90,$C$2:$C$51,X$14)*EstymacjaGaussowska($D90,$D$2:$D$51,X$15)*VLOOKUP($E90,$W$29:$AA$32,2)+Y$8*EstymacjaGaussowska($C90,$C$52:$C$101,Y$14)*EstymacjaGaussowska($D90,$D$52:$D$101,Y$15)*VLOOKUP($E90,$W$29:$AA$32,3)+Z$8*EstymacjaGaussowska($C90,$C$102:$C$151,Z$14)*EstymacjaGaussowska($D90,$D$102:$D$151,Z$15)*VLOOKUP($E90,$W$29:$AA$32,4)</f>
        <v>0.10324200581735046</v>
      </c>
      <c r="N90" s="3" cm="1">
        <f t="array" ref="N90">X$8*EstymacjaGaussowska($C90,$C$2:$C$51,X$14)*EstymacjaGaussowska($D90,$D$2:$D$51,X$15)*VLOOKUP($E90,$W$29:$AA$32,2)/$M90</f>
        <v>1.5997275044004506E-191</v>
      </c>
      <c r="O90" s="3" cm="1">
        <f t="array" ref="O90">Y$8*EstymacjaGaussowska($C90,$C$52:$C$101,Y$14)*EstymacjaGaussowska($D90,$D$52:$D$101,Y$15)*VLOOKUP($E90,$W$29:$AA$32,3)/$M90</f>
        <v>0.99992308288278875</v>
      </c>
      <c r="P90" s="42" cm="1">
        <f t="array" ref="P90">Z$8*EstymacjaGaussowska($C90,$C$102:$C$151,Z$14)*EstymacjaGaussowska($D90,$D$102:$D$151,Z$15)*VLOOKUP($E90,$W$29:$AA$32,4)/$M90</f>
        <v>7.6917117211289593E-5</v>
      </c>
      <c r="Q90" s="43" t="str">
        <f t="shared" si="10"/>
        <v>versicolor</v>
      </c>
      <c r="R90" s="3" cm="1">
        <f t="array" ref="R90">X$8*EstymacjaGaussowska($C90,$C$2:$C$51,X$14)*EstymacjaGaussowska($D90,$D$2:$D$51,X$15)*EstymacjaGaussowska($A90,$A$2:$A$51,X$18)*EstymacjaGaussowska($B90,$B$2:$B$51,X$19)*VLOOKUP($E90,$W$29:$AA$32,2)+Y$8*EstymacjaGaussowska($C90,$C$52:$C$101,Y$14)*EstymacjaGaussowska($D90,$D$52:$D$101,Y$15)*EstymacjaGaussowska($A90,$A$52:$A$101,Y$18)*EstymacjaGaussowska($B90,$B$52:$B$101,Y$19)*VLOOKUP($E90,$W$29:$AA$32,3)+Z$8*EstymacjaGaussowska($C90,$C$102:$C$151,Z$14)*EstymacjaGaussowska($D90,$D$102:$D$151,Z$15)*EstymacjaGaussowska($A90,$A$102:$A$151,Z$18)*EstymacjaGaussowska($B90,$B$102:$B$151,Z$19)*VLOOKUP($E90,$W$29:$AA$32,4)</f>
        <v>7.3834355793404957E-2</v>
      </c>
      <c r="S90" s="3" cm="1">
        <f t="array" ref="S90">X$8*EstymacjaGaussowska($C90,$C$2:$C$51,X$14)*EstymacjaGaussowska($D90,$D$2:$D$51,X$15)*EstymacjaGaussowska($A90,$A$2:$A$51,X$18)*EstymacjaGaussowska($B90,$B$2:$B$51,X$19)*VLOOKUP($E90,$W$29:$AA$32,2)/$R90</f>
        <v>4.5934938649001211E-192</v>
      </c>
      <c r="T90" s="3" cm="1">
        <f t="array" ref="T90">Y$8*EstymacjaGaussowska($C90,$C$52:$C$101,Y$14)*EstymacjaGaussowska($D90,$D$52:$D$101,Y$15)*EstymacjaGaussowska($A90,$A$52:$A$101,Y$18)*EstymacjaGaussowska($B90,$B$52:$B$101,Y$19)*VLOOKUP($E90,$W$29:$AA$32,3)/$R90</f>
        <v>0.99997461669812038</v>
      </c>
      <c r="U90" s="42" cm="1">
        <f t="array" ref="U90">Z$8*EstymacjaGaussowska($C90,$C$102:$C$151,Z$14)*EstymacjaGaussowska($D90,$D$102:$D$151,Z$15)*EstymacjaGaussowska($A90,$A$102:$A$151,Z$18)*EstymacjaGaussowska($B90,$B$102:$B$151,Z$19)*VLOOKUP($E90,$W$29:$AA$32,4)/$R90</f>
        <v>2.5383301879610174E-5</v>
      </c>
    </row>
    <row r="91" spans="1:21" x14ac:dyDescent="0.25">
      <c r="A91" s="9">
        <v>5.5</v>
      </c>
      <c r="B91" s="3">
        <v>2.5</v>
      </c>
      <c r="C91" s="3">
        <v>4</v>
      </c>
      <c r="D91" s="8">
        <v>1.3</v>
      </c>
      <c r="E91" s="9" t="s">
        <v>14</v>
      </c>
      <c r="F91" s="50" t="s">
        <v>6</v>
      </c>
      <c r="G91" s="43" t="str">
        <f t="shared" si="8"/>
        <v>versicolor</v>
      </c>
      <c r="H91" s="3" cm="1">
        <f t="array" ref="H91">X$8*EstymacjaGaussowska($C91,$C$2:$C$51,X$14)*EstymacjaGaussowska($D91,$D$2:$D$51,X$15)+Y$8*EstymacjaGaussowska($C91,$C$52:$C$101,Y$14)*EstymacjaGaussowska($D91,$D$52:$D$101,Y$15)+Z$8*EstymacjaGaussowska($C91,$C$102:$C$151,Z$14)*EstymacjaGaussowska($D91,$D$102:$D$151,Z$15)</f>
        <v>0.35875457532389737</v>
      </c>
      <c r="I91" s="3" cm="1">
        <f t="array" ref="I91">X$8*EstymacjaGaussowska($C91,$C$2:$C$51,X$14)*EstymacjaGaussowska($D91,$D$2:$D$51,X$15)/$H91</f>
        <v>3.4510386690466513E-178</v>
      </c>
      <c r="J91" s="3" cm="1">
        <f t="array" ref="J91">Y$8*EstymacjaGaussowska($C91,$C$52:$C$101,Y$14)*EstymacjaGaussowska($D91,$D$52:$D$101,Y$15)/$H91</f>
        <v>0.99947134185837383</v>
      </c>
      <c r="K91" s="42" cm="1">
        <f t="array" ref="K91">Z$8*EstymacjaGaussowska($C91,$C$102:$C$151,Z$14)*EstymacjaGaussowska($D91,$D$102:$D$151,Z$15)/$H91</f>
        <v>5.2865814162627635E-4</v>
      </c>
      <c r="L91" s="43" t="str">
        <f t="shared" si="9"/>
        <v>versicolor</v>
      </c>
      <c r="M91" s="3" cm="1">
        <f t="array" ref="M91">X$8*EstymacjaGaussowska($C91,$C$2:$C$51,X$14)*EstymacjaGaussowska($D91,$D$2:$D$51,X$15)*VLOOKUP($E91,$W$29:$AA$32,2)+Y$8*EstymacjaGaussowska($C91,$C$52:$C$101,Y$14)*EstymacjaGaussowska($D91,$D$52:$D$101,Y$15)*VLOOKUP($E91,$W$29:$AA$32,3)+Z$8*EstymacjaGaussowska($C91,$C$102:$C$151,Z$14)*EstymacjaGaussowska($D91,$D$102:$D$151,Z$15)*VLOOKUP($E91,$W$29:$AA$32,4)</f>
        <v>9.3230671537711571E-2</v>
      </c>
      <c r="N91" s="3" cm="1">
        <f t="array" ref="N91">X$8*EstymacjaGaussowska($C91,$C$2:$C$51,X$14)*EstymacjaGaussowska($D91,$D$2:$D$51,X$15)*VLOOKUP($E91,$W$29:$AA$32,2)/$M91</f>
        <v>2.6559412084452936E-178</v>
      </c>
      <c r="O91" s="3" cm="1">
        <f t="array" ref="O91">Y$8*EstymacjaGaussowska($C91,$C$52:$C$101,Y$14)*EstymacjaGaussowska($D91,$D$52:$D$101,Y$15)*VLOOKUP($E91,$W$29:$AA$32,3)/$M91</f>
        <v>0.9999593141347235</v>
      </c>
      <c r="P91" s="42" cm="1">
        <f t="array" ref="P91">Z$8*EstymacjaGaussowska($C91,$C$102:$C$151,Z$14)*EstymacjaGaussowska($D91,$D$102:$D$151,Z$15)*VLOOKUP($E91,$W$29:$AA$32,4)/$M91</f>
        <v>4.068586527641586E-5</v>
      </c>
      <c r="Q91" s="43" t="str">
        <f t="shared" si="10"/>
        <v>versicolor</v>
      </c>
      <c r="R91" s="3" cm="1">
        <f t="array" ref="R91">X$8*EstymacjaGaussowska($C91,$C$2:$C$51,X$14)*EstymacjaGaussowska($D91,$D$2:$D$51,X$15)*EstymacjaGaussowska($A91,$A$2:$A$51,X$18)*EstymacjaGaussowska($B91,$B$2:$B$51,X$19)*VLOOKUP($E91,$W$29:$AA$32,2)+Y$8*EstymacjaGaussowska($C91,$C$52:$C$101,Y$14)*EstymacjaGaussowska($D91,$D$52:$D$101,Y$15)*EstymacjaGaussowska($A91,$A$52:$A$101,Y$18)*EstymacjaGaussowska($B91,$B$52:$B$101,Y$19)*VLOOKUP($E91,$W$29:$AA$32,3)+Z$8*EstymacjaGaussowska($C91,$C$102:$C$151,Z$14)*EstymacjaGaussowska($D91,$D$102:$D$151,Z$15)*EstymacjaGaussowska($A91,$A$102:$A$151,Z$18)*EstymacjaGaussowska($B91,$B$102:$B$151,Z$19)*VLOOKUP($E91,$W$29:$AA$32,4)</f>
        <v>3.8450573474574867E-2</v>
      </c>
      <c r="S91" s="3" cm="1">
        <f t="array" ref="S91">X$8*EstymacjaGaussowska($C91,$C$2:$C$51,X$14)*EstymacjaGaussowska($D91,$D$2:$D$51,X$15)*EstymacjaGaussowska($A91,$A$2:$A$51,X$18)*EstymacjaGaussowska($B91,$B$2:$B$51,X$19)*VLOOKUP($E91,$W$29:$AA$32,2)/$R91</f>
        <v>9.8423181991807203E-180</v>
      </c>
      <c r="T91" s="3" cm="1">
        <f t="array" ref="T91">Y$8*EstymacjaGaussowska($C91,$C$52:$C$101,Y$14)*EstymacjaGaussowska($D91,$D$52:$D$101,Y$15)*EstymacjaGaussowska($A91,$A$52:$A$101,Y$18)*EstymacjaGaussowska($B91,$B$52:$B$101,Y$19)*VLOOKUP($E91,$W$29:$AA$32,3)/$R91</f>
        <v>0.99999357013628221</v>
      </c>
      <c r="U91" s="42" cm="1">
        <f t="array" ref="U91">Z$8*EstymacjaGaussowska($C91,$C$102:$C$151,Z$14)*EstymacjaGaussowska($D91,$D$102:$D$151,Z$15)*EstymacjaGaussowska($A91,$A$102:$A$151,Z$18)*EstymacjaGaussowska($B91,$B$102:$B$151,Z$19)*VLOOKUP($E91,$W$29:$AA$32,4)/$R91</f>
        <v>6.4298637177319953E-6</v>
      </c>
    </row>
    <row r="92" spans="1:21" x14ac:dyDescent="0.25">
      <c r="A92" s="9">
        <v>5.5</v>
      </c>
      <c r="B92" s="3">
        <v>2.6</v>
      </c>
      <c r="C92" s="3">
        <v>4.4000000000000004</v>
      </c>
      <c r="D92" s="8">
        <v>1.2</v>
      </c>
      <c r="E92" s="9" t="s">
        <v>14</v>
      </c>
      <c r="F92" s="50" t="s">
        <v>6</v>
      </c>
      <c r="G92" s="43" t="str">
        <f t="shared" si="8"/>
        <v>versicolor</v>
      </c>
      <c r="H92" s="3" cm="1">
        <f t="array" ref="H92">X$8*EstymacjaGaussowska($C92,$C$2:$C$51,X$14)*EstymacjaGaussowska($D92,$D$2:$D$51,X$15)+Y$8*EstymacjaGaussowska($C92,$C$52:$C$101,Y$14)*EstymacjaGaussowska($D92,$D$52:$D$101,Y$15)+Z$8*EstymacjaGaussowska($C92,$C$102:$C$151,Z$14)*EstymacjaGaussowska($D92,$D$102:$D$151,Z$15)</f>
        <v>0.34680751728574544</v>
      </c>
      <c r="I92" s="3" cm="1">
        <f t="array" ref="I92">X$8*EstymacjaGaussowska($C92,$C$2:$C$51,X$14)*EstymacjaGaussowska($D92,$D$2:$D$51,X$15)/$H92</f>
        <v>9.7563420887898883E-224</v>
      </c>
      <c r="J92" s="3" cm="1">
        <f t="array" ref="J92">Y$8*EstymacjaGaussowska($C92,$C$52:$C$101,Y$14)*EstymacjaGaussowska($D92,$D$52:$D$101,Y$15)/$H92</f>
        <v>0.99778345812610092</v>
      </c>
      <c r="K92" s="42" cm="1">
        <f t="array" ref="K92">Z$8*EstymacjaGaussowska($C92,$C$102:$C$151,Z$14)*EstymacjaGaussowska($D92,$D$102:$D$151,Z$15)/$H92</f>
        <v>2.2165418738990467E-3</v>
      </c>
      <c r="L92" s="43" t="str">
        <f t="shared" si="9"/>
        <v>versicolor</v>
      </c>
      <c r="M92" s="3" cm="1">
        <f t="array" ref="M92">X$8*EstymacjaGaussowska($C92,$C$2:$C$51,X$14)*EstymacjaGaussowska($D92,$D$2:$D$51,X$15)*VLOOKUP($E92,$W$29:$AA$32,2)+Y$8*EstymacjaGaussowska($C92,$C$52:$C$101,Y$14)*EstymacjaGaussowska($D92,$D$52:$D$101,Y$15)*VLOOKUP($E92,$W$29:$AA$32,3)+Z$8*EstymacjaGaussowska($C92,$C$102:$C$151,Z$14)*EstymacjaGaussowska($D92,$D$102:$D$151,Z$15)*VLOOKUP($E92,$W$29:$AA$32,4)</f>
        <v>8.9985463282074588E-2</v>
      </c>
      <c r="N92" s="3" cm="1">
        <f t="array" ref="N92">X$8*EstymacjaGaussowska($C92,$C$2:$C$51,X$14)*EstymacjaGaussowska($D92,$D$2:$D$51,X$15)*VLOOKUP($E92,$W$29:$AA$32,2)/$M92</f>
        <v>7.5202652832875152E-224</v>
      </c>
      <c r="O92" s="3" cm="1">
        <f t="array" ref="O92">Y$8*EstymacjaGaussowska($C92,$C$52:$C$101,Y$14)*EstymacjaGaussowska($D92,$D$52:$D$101,Y$15)*VLOOKUP($E92,$W$29:$AA$32,3)/$M92</f>
        <v>0.99982914720751337</v>
      </c>
      <c r="P92" s="42" cm="1">
        <f t="array" ref="P92">Z$8*EstymacjaGaussowska($C92,$C$102:$C$151,Z$14)*EstymacjaGaussowska($D92,$D$102:$D$151,Z$15)*VLOOKUP($E92,$W$29:$AA$32,4)/$M92</f>
        <v>1.7085279248652878E-4</v>
      </c>
      <c r="Q92" s="43" t="str">
        <f t="shared" si="10"/>
        <v>versicolor</v>
      </c>
      <c r="R92" s="3" cm="1">
        <f t="array" ref="R92">X$8*EstymacjaGaussowska($C92,$C$2:$C$51,X$14)*EstymacjaGaussowska($D92,$D$2:$D$51,X$15)*EstymacjaGaussowska($A92,$A$2:$A$51,X$18)*EstymacjaGaussowska($B92,$B$2:$B$51,X$19)*VLOOKUP($E92,$W$29:$AA$32,2)+Y$8*EstymacjaGaussowska($C92,$C$52:$C$101,Y$14)*EstymacjaGaussowska($D92,$D$52:$D$101,Y$15)*EstymacjaGaussowska($A92,$A$52:$A$101,Y$18)*EstymacjaGaussowska($B92,$B$52:$B$101,Y$19)*VLOOKUP($E92,$W$29:$AA$32,3)+Z$8*EstymacjaGaussowska($C92,$C$102:$C$151,Z$14)*EstymacjaGaussowska($D92,$D$102:$D$151,Z$15)*EstymacjaGaussowska($A92,$A$102:$A$151,Z$18)*EstymacjaGaussowska($B92,$B$102:$B$151,Z$19)*VLOOKUP($E92,$W$29:$AA$32,4)</f>
        <v>4.3084956097418234E-2</v>
      </c>
      <c r="S92" s="3" cm="1">
        <f t="array" ref="S92">X$8*EstymacjaGaussowska($C92,$C$2:$C$51,X$14)*EstymacjaGaussowska($D92,$D$2:$D$51,X$15)*EstymacjaGaussowska($A92,$A$2:$A$51,X$18)*EstymacjaGaussowska($B92,$B$2:$B$51,X$19)*VLOOKUP($E92,$W$29:$AA$32,2)/$R92</f>
        <v>3.5631772538064572E-225</v>
      </c>
      <c r="T92" s="3" cm="1">
        <f t="array" ref="T92">Y$8*EstymacjaGaussowska($C92,$C$52:$C$101,Y$14)*EstymacjaGaussowska($D92,$D$52:$D$101,Y$15)*EstymacjaGaussowska($A92,$A$52:$A$101,Y$18)*EstymacjaGaussowska($B92,$B$52:$B$101,Y$19)*VLOOKUP($E92,$W$29:$AA$32,3)/$R92</f>
        <v>0.99996659826718814</v>
      </c>
      <c r="U92" s="42" cm="1">
        <f t="array" ref="U92">Z$8*EstymacjaGaussowska($C92,$C$102:$C$151,Z$14)*EstymacjaGaussowska($D92,$D$102:$D$151,Z$15)*EstymacjaGaussowska($A92,$A$102:$A$151,Z$18)*EstymacjaGaussowska($B92,$B$102:$B$151,Z$19)*VLOOKUP($E92,$W$29:$AA$32,4)/$R92</f>
        <v>3.3401732811767852E-5</v>
      </c>
    </row>
    <row r="93" spans="1:21" x14ac:dyDescent="0.25">
      <c r="A93" s="9">
        <v>6.1</v>
      </c>
      <c r="B93" s="3">
        <v>3</v>
      </c>
      <c r="C93" s="3">
        <v>4.5999999999999996</v>
      </c>
      <c r="D93" s="8">
        <v>1.4</v>
      </c>
      <c r="E93" s="9" t="s">
        <v>14</v>
      </c>
      <c r="F93" s="50" t="s">
        <v>6</v>
      </c>
      <c r="G93" s="43" t="str">
        <f t="shared" si="8"/>
        <v>versicolor</v>
      </c>
      <c r="H93" s="3" cm="1">
        <f t="array" ref="H93">X$8*EstymacjaGaussowska($C93,$C$2:$C$51,X$14)*EstymacjaGaussowska($D93,$D$2:$D$51,X$15)+Y$8*EstymacjaGaussowska($C93,$C$52:$C$101,Y$14)*EstymacjaGaussowska($D93,$D$52:$D$101,Y$15)+Z$8*EstymacjaGaussowska($C93,$C$102:$C$151,Z$14)*EstymacjaGaussowska($D93,$D$102:$D$151,Z$15)</f>
        <v>0.45187085187295561</v>
      </c>
      <c r="I93" s="3" cm="1">
        <f t="array" ref="I93">X$8*EstymacjaGaussowska($C93,$C$2:$C$51,X$14)*EstymacjaGaussowska($D93,$D$2:$D$51,X$15)/$H93</f>
        <v>5.113587019326827E-279</v>
      </c>
      <c r="J93" s="3" cm="1">
        <f t="array" ref="J93">Y$8*EstymacjaGaussowska($C93,$C$52:$C$101,Y$14)*EstymacjaGaussowska($D93,$D$52:$D$101,Y$15)/$H93</f>
        <v>0.97392778804423841</v>
      </c>
      <c r="K93" s="42" cm="1">
        <f t="array" ref="K93">Z$8*EstymacjaGaussowska($C93,$C$102:$C$151,Z$14)*EstymacjaGaussowska($D93,$D$102:$D$151,Z$15)/$H93</f>
        <v>2.6072211955761562E-2</v>
      </c>
      <c r="L93" s="43" t="str">
        <f t="shared" si="9"/>
        <v>versicolor</v>
      </c>
      <c r="M93" s="3" cm="1">
        <f t="array" ref="M93">X$8*EstymacjaGaussowska($C93,$C$2:$C$51,X$14)*EstymacjaGaussowska($D93,$D$2:$D$51,X$15)*VLOOKUP($E93,$W$29:$AA$32,2)+Y$8*EstymacjaGaussowska($C93,$C$52:$C$101,Y$14)*EstymacjaGaussowska($D93,$D$52:$D$101,Y$15)*VLOOKUP($E93,$W$29:$AA$32,3)+Z$8*EstymacjaGaussowska($C93,$C$102:$C$151,Z$14)*EstymacjaGaussowska($D93,$D$102:$D$151,Z$15)*VLOOKUP($E93,$W$29:$AA$32,4)</f>
        <v>0.11465891605656954</v>
      </c>
      <c r="N93" s="3" cm="1">
        <f t="array" ref="N93">X$8*EstymacjaGaussowska($C93,$C$2:$C$51,X$14)*EstymacjaGaussowska($D93,$D$2:$D$51,X$15)*VLOOKUP($E93,$W$29:$AA$32,2)/$M93</f>
        <v>4.0305298567617291E-279</v>
      </c>
      <c r="O93" s="3" cm="1">
        <f t="array" ref="O93">Y$8*EstymacjaGaussowska($C93,$C$52:$C$101,Y$14)*EstymacjaGaussowska($D93,$D$52:$D$101,Y$15)*VLOOKUP($E93,$W$29:$AA$32,3)/$M93</f>
        <v>0.99794498796398001</v>
      </c>
      <c r="P93" s="42" cm="1">
        <f t="array" ref="P93">Z$8*EstymacjaGaussowska($C93,$C$102:$C$151,Z$14)*EstymacjaGaussowska($D93,$D$102:$D$151,Z$15)*VLOOKUP($E93,$W$29:$AA$32,4)/$M93</f>
        <v>2.0550120360198908E-3</v>
      </c>
      <c r="Q93" s="43" t="str">
        <f t="shared" si="10"/>
        <v>versicolor</v>
      </c>
      <c r="R93" s="3" cm="1">
        <f t="array" ref="R93">X$8*EstymacjaGaussowska($C93,$C$2:$C$51,X$14)*EstymacjaGaussowska($D93,$D$2:$D$51,X$15)*EstymacjaGaussowska($A93,$A$2:$A$51,X$18)*EstymacjaGaussowska($B93,$B$2:$B$51,X$19)*VLOOKUP($E93,$W$29:$AA$32,2)+Y$8*EstymacjaGaussowska($C93,$C$52:$C$101,Y$14)*EstymacjaGaussowska($D93,$D$52:$D$101,Y$15)*EstymacjaGaussowska($A93,$A$52:$A$101,Y$18)*EstymacjaGaussowska($B93,$B$52:$B$101,Y$19)*VLOOKUP($E93,$W$29:$AA$32,3)+Z$8*EstymacjaGaussowska($C93,$C$102:$C$151,Z$14)*EstymacjaGaussowska($D93,$D$102:$D$151,Z$15)*EstymacjaGaussowska($A93,$A$102:$A$151,Z$18)*EstymacjaGaussowska($B93,$B$102:$B$151,Z$19)*VLOOKUP($E93,$W$29:$AA$32,4)</f>
        <v>7.49056494279981E-2</v>
      </c>
      <c r="S93" s="3" cm="1">
        <f t="array" ref="S93">X$8*EstymacjaGaussowska($C93,$C$2:$C$51,X$14)*EstymacjaGaussowska($D93,$D$2:$D$51,X$15)*EstymacjaGaussowska($A93,$A$2:$A$51,X$18)*EstymacjaGaussowska($B93,$B$2:$B$51,X$19)*VLOOKUP($E93,$W$29:$AA$32,2)/$R93</f>
        <v>6.3716749033023166E-281</v>
      </c>
      <c r="T93" s="3" cm="1">
        <f t="array" ref="T93">Y$8*EstymacjaGaussowska($C93,$C$52:$C$101,Y$14)*EstymacjaGaussowska($D93,$D$52:$D$101,Y$15)*EstymacjaGaussowska($A93,$A$52:$A$101,Y$18)*EstymacjaGaussowska($B93,$B$52:$B$101,Y$19)*VLOOKUP($E93,$W$29:$AA$32,3)/$R93</f>
        <v>0.998023572548425</v>
      </c>
      <c r="U93" s="42" cm="1">
        <f t="array" ref="U93">Z$8*EstymacjaGaussowska($C93,$C$102:$C$151,Z$14)*EstymacjaGaussowska($D93,$D$102:$D$151,Z$15)*EstymacjaGaussowska($A93,$A$102:$A$151,Z$18)*EstymacjaGaussowska($B93,$B$102:$B$151,Z$19)*VLOOKUP($E93,$W$29:$AA$32,4)/$R93</f>
        <v>1.9764274515748997E-3</v>
      </c>
    </row>
    <row r="94" spans="1:21" x14ac:dyDescent="0.25">
      <c r="A94" s="9">
        <v>5.8</v>
      </c>
      <c r="B94" s="3">
        <v>2.6</v>
      </c>
      <c r="C94" s="3">
        <v>4</v>
      </c>
      <c r="D94" s="8">
        <v>1.2</v>
      </c>
      <c r="E94" s="9" t="s">
        <v>14</v>
      </c>
      <c r="F94" s="50" t="s">
        <v>6</v>
      </c>
      <c r="G94" s="43" t="str">
        <f t="shared" si="8"/>
        <v>versicolor</v>
      </c>
      <c r="H94" s="3" cm="1">
        <f t="array" ref="H94">X$8*EstymacjaGaussowska($C94,$C$2:$C$51,X$14)*EstymacjaGaussowska($D94,$D$2:$D$51,X$15)+Y$8*EstymacjaGaussowska($C94,$C$52:$C$101,Y$14)*EstymacjaGaussowska($D94,$D$52:$D$101,Y$15)+Z$8*EstymacjaGaussowska($C94,$C$102:$C$151,Z$14)*EstymacjaGaussowska($D94,$D$102:$D$151,Z$15)</f>
        <v>0.26587900375630907</v>
      </c>
      <c r="I94" s="3" cm="1">
        <f t="array" ref="I94">X$8*EstymacjaGaussowska($C94,$C$2:$C$51,X$14)*EstymacjaGaussowska($D94,$D$2:$D$51,X$15)/$H94</f>
        <v>3.0561812024917881E-167</v>
      </c>
      <c r="J94" s="3" cm="1">
        <f t="array" ref="J94">Y$8*EstymacjaGaussowska($C94,$C$52:$C$101,Y$14)*EstymacjaGaussowska($D94,$D$52:$D$101,Y$15)/$H94</f>
        <v>0.99976535213381046</v>
      </c>
      <c r="K94" s="42" cm="1">
        <f t="array" ref="K94">Z$8*EstymacjaGaussowska($C94,$C$102:$C$151,Z$14)*EstymacjaGaussowska($D94,$D$102:$D$151,Z$15)/$H94</f>
        <v>2.3464786618955765E-4</v>
      </c>
      <c r="L94" s="43" t="str">
        <f t="shared" si="9"/>
        <v>versicolor</v>
      </c>
      <c r="M94" s="3" cm="1">
        <f t="array" ref="M94">X$8*EstymacjaGaussowska($C94,$C$2:$C$51,X$14)*EstymacjaGaussowska($D94,$D$2:$D$51,X$15)*VLOOKUP($E94,$W$29:$AA$32,2)+Y$8*EstymacjaGaussowska($C94,$C$52:$C$101,Y$14)*EstymacjaGaussowska($D94,$D$52:$D$101,Y$15)*VLOOKUP($E94,$W$29:$AA$32,3)+Z$8*EstymacjaGaussowska($C94,$C$102:$C$151,Z$14)*EstymacjaGaussowska($D94,$D$102:$D$151,Z$15)*VLOOKUP($E94,$W$29:$AA$32,4)</f>
        <v>6.9113567870825315E-2</v>
      </c>
      <c r="N94" s="3" cm="1">
        <f t="array" ref="N94">X$8*EstymacjaGaussowska($C94,$C$2:$C$51,X$14)*EstymacjaGaussowska($D94,$D$2:$D$51,X$15)*VLOOKUP($E94,$W$29:$AA$32,2)/$M94</f>
        <v>2.3514179297934485E-167</v>
      </c>
      <c r="O94" s="3" cm="1">
        <f t="array" ref="O94">Y$8*EstymacjaGaussowska($C94,$C$52:$C$101,Y$14)*EstymacjaGaussowska($D94,$D$52:$D$101,Y$15)*VLOOKUP($E94,$W$29:$AA$32,3)/$M94</f>
        <v>0.99998194625373338</v>
      </c>
      <c r="P94" s="42" cm="1">
        <f t="array" ref="P94">Z$8*EstymacjaGaussowska($C94,$C$102:$C$151,Z$14)*EstymacjaGaussowska($D94,$D$102:$D$151,Z$15)*VLOOKUP($E94,$W$29:$AA$32,4)/$M94</f>
        <v>1.8053746266616609E-5</v>
      </c>
      <c r="Q94" s="43" t="str">
        <f t="shared" si="10"/>
        <v>versicolor</v>
      </c>
      <c r="R94" s="3" cm="1">
        <f t="array" ref="R94">X$8*EstymacjaGaussowska($C94,$C$2:$C$51,X$14)*EstymacjaGaussowska($D94,$D$2:$D$51,X$15)*EstymacjaGaussowska($A94,$A$2:$A$51,X$18)*EstymacjaGaussowska($B94,$B$2:$B$51,X$19)*VLOOKUP($E94,$W$29:$AA$32,2)+Y$8*EstymacjaGaussowska($C94,$C$52:$C$101,Y$14)*EstymacjaGaussowska($D94,$D$52:$D$101,Y$15)*EstymacjaGaussowska($A94,$A$52:$A$101,Y$18)*EstymacjaGaussowska($B94,$B$52:$B$101,Y$19)*VLOOKUP($E94,$W$29:$AA$32,3)+Z$8*EstymacjaGaussowska($C94,$C$102:$C$151,Z$14)*EstymacjaGaussowska($D94,$D$102:$D$151,Z$15)*EstymacjaGaussowska($A94,$A$102:$A$151,Z$18)*EstymacjaGaussowska($B94,$B$102:$B$151,Z$19)*VLOOKUP($E94,$W$29:$AA$32,4)</f>
        <v>3.9955596903215221E-2</v>
      </c>
      <c r="S94" s="3" cm="1">
        <f t="array" ref="S94">X$8*EstymacjaGaussowska($C94,$C$2:$C$51,X$14)*EstymacjaGaussowska($D94,$D$2:$D$51,X$15)*EstymacjaGaussowska($A94,$A$2:$A$51,X$18)*EstymacjaGaussowska($B94,$B$2:$B$51,X$19)*VLOOKUP($E94,$W$29:$AA$32,2)/$R94</f>
        <v>3.4616651891208295E-169</v>
      </c>
      <c r="T94" s="3" cm="1">
        <f t="array" ref="T94">Y$8*EstymacjaGaussowska($C94,$C$52:$C$101,Y$14)*EstymacjaGaussowska($D94,$D$52:$D$101,Y$15)*EstymacjaGaussowska($A94,$A$52:$A$101,Y$18)*EstymacjaGaussowska($B94,$B$52:$B$101,Y$19)*VLOOKUP($E94,$W$29:$AA$32,3)/$R94</f>
        <v>0.99999351354358768</v>
      </c>
      <c r="U94" s="42" cm="1">
        <f t="array" ref="U94">Z$8*EstymacjaGaussowska($C94,$C$102:$C$151,Z$14)*EstymacjaGaussowska($D94,$D$102:$D$151,Z$15)*EstymacjaGaussowska($A94,$A$102:$A$151,Z$18)*EstymacjaGaussowska($B94,$B$102:$B$151,Z$19)*VLOOKUP($E94,$W$29:$AA$32,4)/$R94</f>
        <v>6.4864564122980153E-6</v>
      </c>
    </row>
    <row r="95" spans="1:21" x14ac:dyDescent="0.25">
      <c r="A95" s="9">
        <v>5</v>
      </c>
      <c r="B95" s="3">
        <v>2.2999999999999998</v>
      </c>
      <c r="C95" s="3">
        <v>3.3</v>
      </c>
      <c r="D95" s="8">
        <v>1</v>
      </c>
      <c r="E95" s="9" t="s">
        <v>14</v>
      </c>
      <c r="F95" s="50" t="s">
        <v>6</v>
      </c>
      <c r="G95" s="43" t="str">
        <f t="shared" si="8"/>
        <v>versicolor</v>
      </c>
      <c r="H95" s="3" cm="1">
        <f t="array" ref="H95">X$8*EstymacjaGaussowska($C95,$C$2:$C$51,X$14)*EstymacjaGaussowska($D95,$D$2:$D$51,X$15)+Y$8*EstymacjaGaussowska($C95,$C$52:$C$101,Y$14)*EstymacjaGaussowska($D95,$D$52:$D$101,Y$15)+Z$8*EstymacjaGaussowska($C95,$C$102:$C$151,Z$14)*EstymacjaGaussowska($D95,$D$102:$D$151,Z$15)</f>
        <v>4.2512064980799444E-2</v>
      </c>
      <c r="I95" s="3" cm="1">
        <f t="array" ref="I95">X$8*EstymacjaGaussowska($C95,$C$2:$C$51,X$14)*EstymacjaGaussowska($D95,$D$2:$D$51,X$15)/$H95</f>
        <v>9.88354189413301E-75</v>
      </c>
      <c r="J95" s="3" cm="1">
        <f t="array" ref="J95">Y$8*EstymacjaGaussowska($C95,$C$52:$C$101,Y$14)*EstymacjaGaussowska($D95,$D$52:$D$101,Y$15)/$H95</f>
        <v>0.99999999230716097</v>
      </c>
      <c r="K95" s="42" cm="1">
        <f t="array" ref="K95">Z$8*EstymacjaGaussowska($C95,$C$102:$C$151,Z$14)*EstymacjaGaussowska($D95,$D$102:$D$151,Z$15)/$H95</f>
        <v>7.6928390547935089E-9</v>
      </c>
      <c r="L95" s="43" t="str">
        <f t="shared" si="9"/>
        <v>versicolor</v>
      </c>
      <c r="M95" s="3" cm="1">
        <f t="array" ref="M95">X$8*EstymacjaGaussowska($C95,$C$2:$C$51,X$14)*EstymacjaGaussowska($D95,$D$2:$D$51,X$15)*VLOOKUP($E95,$W$29:$AA$32,2)+Y$8*EstymacjaGaussowska($C95,$C$52:$C$101,Y$14)*EstymacjaGaussowska($D95,$D$52:$D$101,Y$15)*VLOOKUP($E95,$W$29:$AA$32,3)+Z$8*EstymacjaGaussowska($C95,$C$102:$C$151,Z$14)*EstymacjaGaussowska($D95,$D$102:$D$151,Z$15)*VLOOKUP($E95,$W$29:$AA$32,4)</f>
        <v>1.1053136816518622E-2</v>
      </c>
      <c r="N95" s="3" cm="1">
        <f t="array" ref="N95">X$8*EstymacjaGaussowska($C95,$C$2:$C$51,X$14)*EstymacjaGaussowska($D95,$D$2:$D$51,X$15)*VLOOKUP($E95,$W$29:$AA$32,2)/$M95</f>
        <v>7.6027245879360416E-75</v>
      </c>
      <c r="O95" s="3" cm="1">
        <f t="array" ref="O95">Y$8*EstymacjaGaussowska($C95,$C$52:$C$101,Y$14)*EstymacjaGaussowska($D95,$D$52:$D$101,Y$15)*VLOOKUP($E95,$W$29:$AA$32,3)/$M95</f>
        <v>0.99999999940824313</v>
      </c>
      <c r="P95" s="42" cm="1">
        <f t="array" ref="P95">Z$8*EstymacjaGaussowska($C95,$C$102:$C$151,Z$14)*EstymacjaGaussowska($D95,$D$102:$D$151,Z$15)*VLOOKUP($E95,$W$29:$AA$32,4)/$M95</f>
        <v>5.9175685457084555E-10</v>
      </c>
      <c r="Q95" s="43" t="str">
        <f t="shared" si="10"/>
        <v>versicolor</v>
      </c>
      <c r="R95" s="3" cm="1">
        <f t="array" ref="R95">X$8*EstymacjaGaussowska($C95,$C$2:$C$51,X$14)*EstymacjaGaussowska($D95,$D$2:$D$51,X$15)*EstymacjaGaussowska($A95,$A$2:$A$51,X$18)*EstymacjaGaussowska($B95,$B$2:$B$51,X$19)*VLOOKUP($E95,$W$29:$AA$32,2)+Y$8*EstymacjaGaussowska($C95,$C$52:$C$101,Y$14)*EstymacjaGaussowska($D95,$D$52:$D$101,Y$15)*EstymacjaGaussowska($A95,$A$52:$A$101,Y$18)*EstymacjaGaussowska($B95,$B$52:$B$101,Y$19)*VLOOKUP($E95,$W$29:$AA$32,3)+Z$8*EstymacjaGaussowska($C95,$C$102:$C$151,Z$14)*EstymacjaGaussowska($D95,$D$102:$D$151,Z$15)*EstymacjaGaussowska($A95,$A$102:$A$151,Z$18)*EstymacjaGaussowska($B95,$B$102:$B$151,Z$19)*VLOOKUP($E95,$W$29:$AA$32,4)</f>
        <v>1.0395450541821505E-3</v>
      </c>
      <c r="S95" s="3" cm="1">
        <f t="array" ref="S95">X$8*EstymacjaGaussowska($C95,$C$2:$C$51,X$14)*EstymacjaGaussowska($D95,$D$2:$D$51,X$15)*EstymacjaGaussowska($A95,$A$2:$A$51,X$18)*EstymacjaGaussowska($B95,$B$2:$B$51,X$19)*VLOOKUP($E95,$W$29:$AA$32,2)/$R95</f>
        <v>3.8741997009443942E-75</v>
      </c>
      <c r="T95" s="3" cm="1">
        <f t="array" ref="T95">Y$8*EstymacjaGaussowska($C95,$C$52:$C$101,Y$14)*EstymacjaGaussowska($D95,$D$52:$D$101,Y$15)*EstymacjaGaussowska($A95,$A$52:$A$101,Y$18)*EstymacjaGaussowska($B95,$B$52:$B$101,Y$19)*VLOOKUP($E95,$W$29:$AA$32,3)/$R95</f>
        <v>0.99999999996630662</v>
      </c>
      <c r="U95" s="42" cm="1">
        <f t="array" ref="U95">Z$8*EstymacjaGaussowska($C95,$C$102:$C$151,Z$14)*EstymacjaGaussowska($D95,$D$102:$D$151,Z$15)*EstymacjaGaussowska($A95,$A$102:$A$151,Z$18)*EstymacjaGaussowska($B95,$B$102:$B$151,Z$19)*VLOOKUP($E95,$W$29:$AA$32,4)/$R95</f>
        <v>3.3693425647759498E-11</v>
      </c>
    </row>
    <row r="96" spans="1:21" x14ac:dyDescent="0.25">
      <c r="A96" s="9">
        <v>5.6</v>
      </c>
      <c r="B96" s="3">
        <v>2.7</v>
      </c>
      <c r="C96" s="3">
        <v>4.2</v>
      </c>
      <c r="D96" s="8">
        <v>1.3</v>
      </c>
      <c r="E96" s="9" t="s">
        <v>14</v>
      </c>
      <c r="F96" s="50" t="s">
        <v>6</v>
      </c>
      <c r="G96" s="43" t="str">
        <f t="shared" si="8"/>
        <v>versicolor</v>
      </c>
      <c r="H96" s="3" cm="1">
        <f t="array" ref="H96">X$8*EstymacjaGaussowska($C96,$C$2:$C$51,X$14)*EstymacjaGaussowska($D96,$D$2:$D$51,X$15)+Y$8*EstymacjaGaussowska($C96,$C$52:$C$101,Y$14)*EstymacjaGaussowska($D96,$D$52:$D$101,Y$15)+Z$8*EstymacjaGaussowska($C96,$C$102:$C$151,Z$14)*EstymacjaGaussowska($D96,$D$102:$D$151,Z$15)</f>
        <v>0.42708887344334423</v>
      </c>
      <c r="I96" s="3" cm="1">
        <f t="array" ref="I96">X$8*EstymacjaGaussowska($C96,$C$2:$C$51,X$14)*EstymacjaGaussowska($D96,$D$2:$D$51,X$15)/$H96</f>
        <v>3.1451979270728947E-205</v>
      </c>
      <c r="J96" s="3" cm="1">
        <f t="array" ref="J96">Y$8*EstymacjaGaussowska($C96,$C$52:$C$101,Y$14)*EstymacjaGaussowska($D96,$D$52:$D$101,Y$15)/$H96</f>
        <v>0.99821198935774458</v>
      </c>
      <c r="K96" s="42" cm="1">
        <f t="array" ref="K96">Z$8*EstymacjaGaussowska($C96,$C$102:$C$151,Z$14)*EstymacjaGaussowska($D96,$D$102:$D$151,Z$15)/$H96</f>
        <v>1.7880106422554665E-3</v>
      </c>
      <c r="L96" s="43" t="str">
        <f t="shared" si="9"/>
        <v>versicolor</v>
      </c>
      <c r="M96" s="3" cm="1">
        <f t="array" ref="M96">X$8*EstymacjaGaussowska($C96,$C$2:$C$51,X$14)*EstymacjaGaussowska($D96,$D$2:$D$51,X$15)*VLOOKUP($E96,$W$29:$AA$32,2)+Y$8*EstymacjaGaussowska($C96,$C$52:$C$101,Y$14)*EstymacjaGaussowska($D96,$D$52:$D$101,Y$15)*VLOOKUP($E96,$W$29:$AA$32,3)+Z$8*EstymacjaGaussowska($C96,$C$102:$C$151,Z$14)*EstymacjaGaussowska($D96,$D$102:$D$151,Z$15)*VLOOKUP($E96,$W$29:$AA$32,4)</f>
        <v>0.11085983362705217</v>
      </c>
      <c r="N96" s="3" cm="1">
        <f t="array" ref="N96">X$8*EstymacjaGaussowska($C96,$C$2:$C$51,X$14)*EstymacjaGaussowska($D96,$D$2:$D$51,X$15)*VLOOKUP($E96,$W$29:$AA$32,2)/$M96</f>
        <v>2.4233827446447032E-205</v>
      </c>
      <c r="O96" s="3" cm="1">
        <f t="array" ref="O96">Y$8*EstymacjaGaussowska($C96,$C$52:$C$101,Y$14)*EstymacjaGaussowska($D96,$D$52:$D$101,Y$15)*VLOOKUP($E96,$W$29:$AA$32,3)/$M96</f>
        <v>0.99986223333989932</v>
      </c>
      <c r="P96" s="42" cm="1">
        <f t="array" ref="P96">Z$8*EstymacjaGaussowska($C96,$C$102:$C$151,Z$14)*EstymacjaGaussowska($D96,$D$102:$D$151,Z$15)*VLOOKUP($E96,$W$29:$AA$32,4)/$M96</f>
        <v>1.377666601006432E-4</v>
      </c>
      <c r="Q96" s="43" t="str">
        <f t="shared" si="10"/>
        <v>versicolor</v>
      </c>
      <c r="R96" s="3" cm="1">
        <f t="array" ref="R96">X$8*EstymacjaGaussowska($C96,$C$2:$C$51,X$14)*EstymacjaGaussowska($D96,$D$2:$D$51,X$15)*EstymacjaGaussowska($A96,$A$2:$A$51,X$18)*EstymacjaGaussowska($B96,$B$2:$B$51,X$19)*VLOOKUP($E96,$W$29:$AA$32,2)+Y$8*EstymacjaGaussowska($C96,$C$52:$C$101,Y$14)*EstymacjaGaussowska($D96,$D$52:$D$101,Y$15)*EstymacjaGaussowska($A96,$A$52:$A$101,Y$18)*EstymacjaGaussowska($B96,$B$52:$B$101,Y$19)*VLOOKUP($E96,$W$29:$AA$32,3)+Z$8*EstymacjaGaussowska($C96,$C$102:$C$151,Z$14)*EstymacjaGaussowska($D96,$D$102:$D$151,Z$15)*EstymacjaGaussowska($A96,$A$102:$A$151,Z$18)*EstymacjaGaussowska($B96,$B$102:$B$151,Z$19)*VLOOKUP($E96,$W$29:$AA$32,4)</f>
        <v>7.0984905127920481E-2</v>
      </c>
      <c r="S96" s="3" cm="1">
        <f t="array" ref="S96">X$8*EstymacjaGaussowska($C96,$C$2:$C$51,X$14)*EstymacjaGaussowska($D96,$D$2:$D$51,X$15)*EstymacjaGaussowska($A96,$A$2:$A$51,X$18)*EstymacjaGaussowska($B96,$B$2:$B$51,X$19)*VLOOKUP($E96,$W$29:$AA$32,2)/$R96</f>
        <v>1.458976523521329E-206</v>
      </c>
      <c r="T96" s="3" cm="1">
        <f t="array" ref="T96">Y$8*EstymacjaGaussowska($C96,$C$52:$C$101,Y$14)*EstymacjaGaussowska($D96,$D$52:$D$101,Y$15)*EstymacjaGaussowska($A96,$A$52:$A$101,Y$18)*EstymacjaGaussowska($B96,$B$52:$B$101,Y$19)*VLOOKUP($E96,$W$29:$AA$32,3)/$R96</f>
        <v>0.99996413314045229</v>
      </c>
      <c r="U96" s="42" cm="1">
        <f t="array" ref="U96">Z$8*EstymacjaGaussowska($C96,$C$102:$C$151,Z$14)*EstymacjaGaussowska($D96,$D$102:$D$151,Z$15)*EstymacjaGaussowska($A96,$A$102:$A$151,Z$18)*EstymacjaGaussowska($B96,$B$102:$B$151,Z$19)*VLOOKUP($E96,$W$29:$AA$32,4)/$R96</f>
        <v>3.5866859547693111E-5</v>
      </c>
    </row>
    <row r="97" spans="1:21" x14ac:dyDescent="0.25">
      <c r="A97" s="9">
        <v>5.7</v>
      </c>
      <c r="B97" s="3">
        <v>3</v>
      </c>
      <c r="C97" s="3">
        <v>4.2</v>
      </c>
      <c r="D97" s="8">
        <v>1.2</v>
      </c>
      <c r="E97" s="9" t="s">
        <v>14</v>
      </c>
      <c r="F97" s="50" t="s">
        <v>6</v>
      </c>
      <c r="G97" s="43" t="str">
        <f t="shared" si="8"/>
        <v>versicolor</v>
      </c>
      <c r="H97" s="3" cm="1">
        <f t="array" ref="H97">X$8*EstymacjaGaussowska($C97,$C$2:$C$51,X$14)*EstymacjaGaussowska($D97,$D$2:$D$51,X$15)+Y$8*EstymacjaGaussowska($C97,$C$52:$C$101,Y$14)*EstymacjaGaussowska($D97,$D$52:$D$101,Y$15)+Z$8*EstymacjaGaussowska($C97,$C$102:$C$151,Z$14)*EstymacjaGaussowska($D97,$D$102:$D$151,Z$15)</f>
        <v>0.31630088864998546</v>
      </c>
      <c r="I97" s="3" cm="1">
        <f t="array" ref="I97">X$8*EstymacjaGaussowska($C97,$C$2:$C$51,X$14)*EstymacjaGaussowska($D97,$D$2:$D$51,X$15)/$H97</f>
        <v>2.787287036359817E-194</v>
      </c>
      <c r="J97" s="3" cm="1">
        <f t="array" ref="J97">Y$8*EstymacjaGaussowska($C97,$C$52:$C$101,Y$14)*EstymacjaGaussowska($D97,$D$52:$D$101,Y$15)/$H97</f>
        <v>0.99920582497895039</v>
      </c>
      <c r="K97" s="42" cm="1">
        <f t="array" ref="K97">Z$8*EstymacjaGaussowska($C97,$C$102:$C$151,Z$14)*EstymacjaGaussowska($D97,$D$102:$D$151,Z$15)/$H97</f>
        <v>7.9417502104964265E-4</v>
      </c>
      <c r="L97" s="43" t="str">
        <f t="shared" si="9"/>
        <v>versicolor</v>
      </c>
      <c r="M97" s="3" cm="1">
        <f t="array" ref="M97">X$8*EstymacjaGaussowska($C97,$C$2:$C$51,X$14)*EstymacjaGaussowska($D97,$D$2:$D$51,X$15)*VLOOKUP($E97,$W$29:$AA$32,2)+Y$8*EstymacjaGaussowska($C97,$C$52:$C$101,Y$14)*EstymacjaGaussowska($D97,$D$52:$D$101,Y$15)*VLOOKUP($E97,$W$29:$AA$32,3)+Z$8*EstymacjaGaussowska($C97,$C$102:$C$151,Z$14)*EstymacjaGaussowska($D97,$D$102:$D$151,Z$15)*VLOOKUP($E97,$W$29:$AA$32,4)</f>
        <v>8.2177943465419831E-2</v>
      </c>
      <c r="N97" s="3" cm="1">
        <f t="array" ref="N97">X$8*EstymacjaGaussowska($C97,$C$2:$C$51,X$14)*EstymacjaGaussowska($D97,$D$2:$D$51,X$15)*VLOOKUP($E97,$W$29:$AA$32,2)/$M97</f>
        <v>2.1456398866787838E-194</v>
      </c>
      <c r="O97" s="3" cm="1">
        <f t="array" ref="O97">Y$8*EstymacjaGaussowska($C97,$C$52:$C$101,Y$14)*EstymacjaGaussowska($D97,$D$52:$D$101,Y$15)*VLOOKUP($E97,$W$29:$AA$32,3)/$M97</f>
        <v>0.99993886479648708</v>
      </c>
      <c r="P97" s="42" cm="1">
        <f t="array" ref="P97">Z$8*EstymacjaGaussowska($C97,$C$102:$C$151,Z$14)*EstymacjaGaussowska($D97,$D$102:$D$151,Z$15)*VLOOKUP($E97,$W$29:$AA$32,4)/$M97</f>
        <v>6.1135203512929521E-5</v>
      </c>
      <c r="Q97" s="43" t="str">
        <f t="shared" si="10"/>
        <v>versicolor</v>
      </c>
      <c r="R97" s="3" cm="1">
        <f t="array" ref="R97">X$8*EstymacjaGaussowska($C97,$C$2:$C$51,X$14)*EstymacjaGaussowska($D97,$D$2:$D$51,X$15)*EstymacjaGaussowska($A97,$A$2:$A$51,X$18)*EstymacjaGaussowska($B97,$B$2:$B$51,X$19)*VLOOKUP($E97,$W$29:$AA$32,2)+Y$8*EstymacjaGaussowska($C97,$C$52:$C$101,Y$14)*EstymacjaGaussowska($D97,$D$52:$D$101,Y$15)*EstymacjaGaussowska($A97,$A$52:$A$101,Y$18)*EstymacjaGaussowska($B97,$B$52:$B$101,Y$19)*VLOOKUP($E97,$W$29:$AA$32,3)+Z$8*EstymacjaGaussowska($C97,$C$102:$C$151,Z$14)*EstymacjaGaussowska($D97,$D$102:$D$151,Z$15)*EstymacjaGaussowska($A97,$A$102:$A$151,Z$18)*EstymacjaGaussowska($B97,$B$102:$B$151,Z$19)*VLOOKUP($E97,$W$29:$AA$32,4)</f>
        <v>6.2344343124290602E-2</v>
      </c>
      <c r="S97" s="3" cm="1">
        <f t="array" ref="S97">X$8*EstymacjaGaussowska($C97,$C$2:$C$51,X$14)*EstymacjaGaussowska($D97,$D$2:$D$51,X$15)*EstymacjaGaussowska($A97,$A$2:$A$51,X$18)*EstymacjaGaussowska($B97,$B$2:$B$51,X$19)*VLOOKUP($E97,$W$29:$AA$32,2)/$R97</f>
        <v>4.2282530605372764E-195</v>
      </c>
      <c r="T97" s="3" cm="1">
        <f t="array" ref="T97">Y$8*EstymacjaGaussowska($C97,$C$52:$C$101,Y$14)*EstymacjaGaussowska($D97,$D$52:$D$101,Y$15)*EstymacjaGaussowska($A97,$A$52:$A$101,Y$18)*EstymacjaGaussowska($B97,$B$52:$B$101,Y$19)*VLOOKUP($E97,$W$29:$AA$32,3)/$R97</f>
        <v>0.9999752206647381</v>
      </c>
      <c r="U97" s="42" cm="1">
        <f t="array" ref="U97">Z$8*EstymacjaGaussowska($C97,$C$102:$C$151,Z$14)*EstymacjaGaussowska($D97,$D$102:$D$151,Z$15)*EstymacjaGaussowska($A97,$A$102:$A$151,Z$18)*EstymacjaGaussowska($B97,$B$102:$B$151,Z$19)*VLOOKUP($E97,$W$29:$AA$32,4)/$R97</f>
        <v>2.4779335261873552E-5</v>
      </c>
    </row>
    <row r="98" spans="1:21" x14ac:dyDescent="0.25">
      <c r="A98" s="9">
        <v>5.7</v>
      </c>
      <c r="B98" s="3">
        <v>2.9</v>
      </c>
      <c r="C98" s="3">
        <v>4.2</v>
      </c>
      <c r="D98" s="8">
        <v>1.3</v>
      </c>
      <c r="E98" s="9" t="s">
        <v>14</v>
      </c>
      <c r="F98" s="50" t="s">
        <v>6</v>
      </c>
      <c r="G98" s="43" t="str">
        <f t="shared" ref="G98:G129" si="11">IF(I98&gt;MAX(J98:K98),$F$2,IF(J98&gt;K98,$F$52,$F$102))</f>
        <v>versicolor</v>
      </c>
      <c r="H98" s="3" cm="1">
        <f t="array" ref="H98">X$8*EstymacjaGaussowska($C98,$C$2:$C$51,X$14)*EstymacjaGaussowska($D98,$D$2:$D$51,X$15)+Y$8*EstymacjaGaussowska($C98,$C$52:$C$101,Y$14)*EstymacjaGaussowska($D98,$D$52:$D$101,Y$15)+Z$8*EstymacjaGaussowska($C98,$C$102:$C$151,Z$14)*EstymacjaGaussowska($D98,$D$102:$D$151,Z$15)</f>
        <v>0.42708887344334423</v>
      </c>
      <c r="I98" s="3" cm="1">
        <f t="array" ref="I98">X$8*EstymacjaGaussowska($C98,$C$2:$C$51,X$14)*EstymacjaGaussowska($D98,$D$2:$D$51,X$15)/$H98</f>
        <v>3.1451979270728947E-205</v>
      </c>
      <c r="J98" s="3" cm="1">
        <f t="array" ref="J98">Y$8*EstymacjaGaussowska($C98,$C$52:$C$101,Y$14)*EstymacjaGaussowska($D98,$D$52:$D$101,Y$15)/$H98</f>
        <v>0.99821198935774458</v>
      </c>
      <c r="K98" s="42" cm="1">
        <f t="array" ref="K98">Z$8*EstymacjaGaussowska($C98,$C$102:$C$151,Z$14)*EstymacjaGaussowska($D98,$D$102:$D$151,Z$15)/$H98</f>
        <v>1.7880106422554665E-3</v>
      </c>
      <c r="L98" s="43" t="str">
        <f t="shared" si="9"/>
        <v>versicolor</v>
      </c>
      <c r="M98" s="3" cm="1">
        <f t="array" ref="M98">X$8*EstymacjaGaussowska($C98,$C$2:$C$51,X$14)*EstymacjaGaussowska($D98,$D$2:$D$51,X$15)*VLOOKUP($E98,$W$29:$AA$32,2)+Y$8*EstymacjaGaussowska($C98,$C$52:$C$101,Y$14)*EstymacjaGaussowska($D98,$D$52:$D$101,Y$15)*VLOOKUP($E98,$W$29:$AA$32,3)+Z$8*EstymacjaGaussowska($C98,$C$102:$C$151,Z$14)*EstymacjaGaussowska($D98,$D$102:$D$151,Z$15)*VLOOKUP($E98,$W$29:$AA$32,4)</f>
        <v>0.11085983362705217</v>
      </c>
      <c r="N98" s="3" cm="1">
        <f t="array" ref="N98">X$8*EstymacjaGaussowska($C98,$C$2:$C$51,X$14)*EstymacjaGaussowska($D98,$D$2:$D$51,X$15)*VLOOKUP($E98,$W$29:$AA$32,2)/$M98</f>
        <v>2.4233827446447032E-205</v>
      </c>
      <c r="O98" s="3" cm="1">
        <f t="array" ref="O98">Y$8*EstymacjaGaussowska($C98,$C$52:$C$101,Y$14)*EstymacjaGaussowska($D98,$D$52:$D$101,Y$15)*VLOOKUP($E98,$W$29:$AA$32,3)/$M98</f>
        <v>0.99986223333989932</v>
      </c>
      <c r="P98" s="42" cm="1">
        <f t="array" ref="P98">Z$8*EstymacjaGaussowska($C98,$C$102:$C$151,Z$14)*EstymacjaGaussowska($D98,$D$102:$D$151,Z$15)*VLOOKUP($E98,$W$29:$AA$32,4)/$M98</f>
        <v>1.377666601006432E-4</v>
      </c>
      <c r="Q98" s="43" t="str">
        <f t="shared" si="10"/>
        <v>versicolor</v>
      </c>
      <c r="R98" s="3" cm="1">
        <f t="array" ref="R98">X$8*EstymacjaGaussowska($C98,$C$2:$C$51,X$14)*EstymacjaGaussowska($D98,$D$2:$D$51,X$15)*EstymacjaGaussowska($A98,$A$2:$A$51,X$18)*EstymacjaGaussowska($B98,$B$2:$B$51,X$19)*VLOOKUP($E98,$W$29:$AA$32,2)+Y$8*EstymacjaGaussowska($C98,$C$52:$C$101,Y$14)*EstymacjaGaussowska($D98,$D$52:$D$101,Y$15)*EstymacjaGaussowska($A98,$A$52:$A$101,Y$18)*EstymacjaGaussowska($B98,$B$52:$B$101,Y$19)*VLOOKUP($E98,$W$29:$AA$32,3)+Z$8*EstymacjaGaussowska($C98,$C$102:$C$151,Z$14)*EstymacjaGaussowska($D98,$D$102:$D$151,Z$15)*EstymacjaGaussowska($A98,$A$102:$A$151,Z$18)*EstymacjaGaussowska($B98,$B$102:$B$151,Z$19)*VLOOKUP($E98,$W$29:$AA$32,4)</f>
        <v>9.1491591208764794E-2</v>
      </c>
      <c r="S98" s="3" cm="1">
        <f t="array" ref="S98">X$8*EstymacjaGaussowska($C98,$C$2:$C$51,X$14)*EstymacjaGaussowska($D98,$D$2:$D$51,X$15)*EstymacjaGaussowska($A98,$A$2:$A$51,X$18)*EstymacjaGaussowska($B98,$B$2:$B$51,X$19)*VLOOKUP($E98,$W$29:$AA$32,2)/$R98</f>
        <v>3.049525962499018E-206</v>
      </c>
      <c r="T98" s="3" cm="1">
        <f t="array" ref="T98">Y$8*EstymacjaGaussowska($C98,$C$52:$C$101,Y$14)*EstymacjaGaussowska($D98,$D$52:$D$101,Y$15)*EstymacjaGaussowska($A98,$A$52:$A$101,Y$18)*EstymacjaGaussowska($B98,$B$52:$B$101,Y$19)*VLOOKUP($E98,$W$29:$AA$32,3)/$R98</f>
        <v>0.99995016125532177</v>
      </c>
      <c r="U98" s="42" cm="1">
        <f t="array" ref="U98">Z$8*EstymacjaGaussowska($C98,$C$102:$C$151,Z$14)*EstymacjaGaussowska($D98,$D$102:$D$151,Z$15)*EstymacjaGaussowska($A98,$A$102:$A$151,Z$18)*EstymacjaGaussowska($B98,$B$102:$B$151,Z$19)*VLOOKUP($E98,$W$29:$AA$32,4)/$R98</f>
        <v>4.9838744678264121E-5</v>
      </c>
    </row>
    <row r="99" spans="1:21" x14ac:dyDescent="0.25">
      <c r="A99" s="9">
        <v>6.2</v>
      </c>
      <c r="B99" s="3">
        <v>2.9</v>
      </c>
      <c r="C99" s="3">
        <v>4.3</v>
      </c>
      <c r="D99" s="8">
        <v>1.3</v>
      </c>
      <c r="E99" s="9" t="s">
        <v>14</v>
      </c>
      <c r="F99" s="50" t="s">
        <v>6</v>
      </c>
      <c r="G99" s="43" t="str">
        <f t="shared" si="11"/>
        <v>versicolor</v>
      </c>
      <c r="H99" s="3" cm="1">
        <f t="array" ref="H99">X$8*EstymacjaGaussowska($C99,$C$2:$C$51,X$14)*EstymacjaGaussowska($D99,$D$2:$D$51,X$15)+Y$8*EstymacjaGaussowska($C99,$C$52:$C$101,Y$14)*EstymacjaGaussowska($D99,$D$52:$D$101,Y$15)+Z$8*EstymacjaGaussowska($C99,$C$102:$C$151,Z$14)*EstymacjaGaussowska($D99,$D$102:$D$151,Z$15)</f>
        <v>0.45144777859823421</v>
      </c>
      <c r="I99" s="3" cm="1">
        <f t="array" ref="I99">X$8*EstymacjaGaussowska($C99,$C$2:$C$51,X$14)*EstymacjaGaussowska($D99,$D$2:$D$51,X$15)/$H99</f>
        <v>1.1803780337441681E-219</v>
      </c>
      <c r="J99" s="3" cm="1">
        <f t="array" ref="J99">Y$8*EstymacjaGaussowska($C99,$C$52:$C$101,Y$14)*EstymacjaGaussowska($D99,$D$52:$D$101,Y$15)/$H99</f>
        <v>0.99695959349378949</v>
      </c>
      <c r="K99" s="42" cm="1">
        <f t="array" ref="K99">Z$8*EstymacjaGaussowska($C99,$C$102:$C$151,Z$14)*EstymacjaGaussowska($D99,$D$102:$D$151,Z$15)/$H99</f>
        <v>3.0404065062105503E-3</v>
      </c>
      <c r="L99" s="43" t="str">
        <f t="shared" si="9"/>
        <v>versicolor</v>
      </c>
      <c r="M99" s="3" cm="1">
        <f t="array" ref="M99">X$8*EstymacjaGaussowska($C99,$C$2:$C$51,X$14)*EstymacjaGaussowska($D99,$D$2:$D$51,X$15)*VLOOKUP($E99,$W$29:$AA$32,2)+Y$8*EstymacjaGaussowska($C99,$C$52:$C$101,Y$14)*EstymacjaGaussowska($D99,$D$52:$D$101,Y$15)*VLOOKUP($E99,$W$29:$AA$32,3)+Z$8*EstymacjaGaussowska($C99,$C$102:$C$151,Z$14)*EstymacjaGaussowska($D99,$D$102:$D$151,Z$15)*VLOOKUP($E99,$W$29:$AA$32,4)</f>
        <v>0.11704700209235745</v>
      </c>
      <c r="N99" s="3" cm="1">
        <f t="array" ref="N99">X$8*EstymacjaGaussowska($C99,$C$2:$C$51,X$14)*EstymacjaGaussowska($D99,$D$2:$D$51,X$15)*VLOOKUP($E99,$W$29:$AA$32,2)/$M99</f>
        <v>9.1053855581791179E-220</v>
      </c>
      <c r="O99" s="3" cm="1">
        <f t="array" ref="O99">Y$8*EstymacjaGaussowska($C99,$C$52:$C$101,Y$14)*EstymacjaGaussowska($D99,$D$52:$D$101,Y$15)*VLOOKUP($E99,$W$29:$AA$32,3)/$M99</f>
        <v>0.99976546434530955</v>
      </c>
      <c r="P99" s="42" cm="1">
        <f t="array" ref="P99">Z$8*EstymacjaGaussowska($C99,$C$102:$C$151,Z$14)*EstymacjaGaussowska($D99,$D$102:$D$151,Z$15)*VLOOKUP($E99,$W$29:$AA$32,4)/$M99</f>
        <v>2.3453565469046622E-4</v>
      </c>
      <c r="Q99" s="43" t="str">
        <f t="shared" si="10"/>
        <v>versicolor</v>
      </c>
      <c r="R99" s="3" cm="1">
        <f t="array" ref="R99">X$8*EstymacjaGaussowska($C99,$C$2:$C$51,X$14)*EstymacjaGaussowska($D99,$D$2:$D$51,X$15)*EstymacjaGaussowska($A99,$A$2:$A$51,X$18)*EstymacjaGaussowska($B99,$B$2:$B$51,X$19)*VLOOKUP($E99,$W$29:$AA$32,2)+Y$8*EstymacjaGaussowska($C99,$C$52:$C$101,Y$14)*EstymacjaGaussowska($D99,$D$52:$D$101,Y$15)*EstymacjaGaussowska($A99,$A$52:$A$101,Y$18)*EstymacjaGaussowska($B99,$B$52:$B$101,Y$19)*VLOOKUP($E99,$W$29:$AA$32,3)+Z$8*EstymacjaGaussowska($C99,$C$102:$C$151,Z$14)*EstymacjaGaussowska($D99,$D$102:$D$151,Z$15)*EstymacjaGaussowska($A99,$A$102:$A$151,Z$18)*EstymacjaGaussowska($B99,$B$102:$B$151,Z$19)*VLOOKUP($E99,$W$29:$AA$32,4)</f>
        <v>7.6541863300876298E-2</v>
      </c>
      <c r="S99" s="3" cm="1">
        <f t="array" ref="S99">X$8*EstymacjaGaussowska($C99,$C$2:$C$51,X$14)*EstymacjaGaussowska($D99,$D$2:$D$51,X$15)*EstymacjaGaussowska($A99,$A$2:$A$51,X$18)*EstymacjaGaussowska($B99,$B$2:$B$51,X$19)*VLOOKUP($E99,$W$29:$AA$32,2)/$R99</f>
        <v>2.6578685282664864E-222</v>
      </c>
      <c r="T99" s="3" cm="1">
        <f t="array" ref="T99">Y$8*EstymacjaGaussowska($C99,$C$52:$C$101,Y$14)*EstymacjaGaussowska($D99,$D$52:$D$101,Y$15)*EstymacjaGaussowska($A99,$A$52:$A$101,Y$18)*EstymacjaGaussowska($B99,$B$52:$B$101,Y$19)*VLOOKUP($E99,$W$29:$AA$32,3)/$R99</f>
        <v>0.99975811870028886</v>
      </c>
      <c r="U99" s="42" cm="1">
        <f t="array" ref="U99">Z$8*EstymacjaGaussowska($C99,$C$102:$C$151,Z$14)*EstymacjaGaussowska($D99,$D$102:$D$151,Z$15)*EstymacjaGaussowska($A99,$A$102:$A$151,Z$18)*EstymacjaGaussowska($B99,$B$102:$B$151,Z$19)*VLOOKUP($E99,$W$29:$AA$32,4)/$R99</f>
        <v>2.4188129971117206E-4</v>
      </c>
    </row>
    <row r="100" spans="1:21" x14ac:dyDescent="0.25">
      <c r="A100" s="9">
        <v>5.0999999999999996</v>
      </c>
      <c r="B100" s="3">
        <v>2.5</v>
      </c>
      <c r="C100" s="3">
        <v>3</v>
      </c>
      <c r="D100" s="8">
        <v>1.1000000000000001</v>
      </c>
      <c r="E100" s="9" t="s">
        <v>14</v>
      </c>
      <c r="F100" s="50" t="s">
        <v>6</v>
      </c>
      <c r="G100" s="43" t="str">
        <f t="shared" si="11"/>
        <v>versicolor</v>
      </c>
      <c r="H100" s="3" cm="1">
        <f t="array" ref="H100">X$8*EstymacjaGaussowska($C100,$C$2:$C$51,X$14)*EstymacjaGaussowska($D100,$D$2:$D$51,X$15)+Y$8*EstymacjaGaussowska($C100,$C$52:$C$101,Y$14)*EstymacjaGaussowska($D100,$D$52:$D$101,Y$15)+Z$8*EstymacjaGaussowska($C100,$C$102:$C$151,Z$14)*EstymacjaGaussowska($D100,$D$102:$D$151,Z$15)</f>
        <v>2.3049870567350809E-2</v>
      </c>
      <c r="I100" s="3" cm="1">
        <f t="array" ref="I100">X$8*EstymacjaGaussowska($C100,$C$2:$C$51,X$14)*EstymacjaGaussowska($D100,$D$2:$D$51,X$15)/$H100</f>
        <v>5.6644897894079717E-59</v>
      </c>
      <c r="J100" s="3" cm="1">
        <f t="array" ref="J100">Y$8*EstymacjaGaussowska($C100,$C$52:$C$101,Y$14)*EstymacjaGaussowska($D100,$D$52:$D$101,Y$15)/$H100</f>
        <v>0.99999999960681885</v>
      </c>
      <c r="K100" s="42" cm="1">
        <f t="array" ref="K100">Z$8*EstymacjaGaussowska($C100,$C$102:$C$151,Z$14)*EstymacjaGaussowska($D100,$D$102:$D$151,Z$15)/$H100</f>
        <v>3.9318110895386004E-10</v>
      </c>
      <c r="L100" s="43" t="str">
        <f t="shared" si="9"/>
        <v>versicolor</v>
      </c>
      <c r="M100" s="3" cm="1">
        <f t="array" ref="M100">X$8*EstymacjaGaussowska($C100,$C$2:$C$51,X$14)*EstymacjaGaussowska($D100,$D$2:$D$51,X$15)*VLOOKUP($E100,$W$29:$AA$32,2)+Y$8*EstymacjaGaussowska($C100,$C$52:$C$101,Y$14)*EstymacjaGaussowska($D100,$D$52:$D$101,Y$15)*VLOOKUP($E100,$W$29:$AA$32,3)+Z$8*EstymacjaGaussowska($C100,$C$102:$C$151,Z$14)*EstymacjaGaussowska($D100,$D$102:$D$151,Z$15)*VLOOKUP($E100,$W$29:$AA$32,4)</f>
        <v>5.992966345336144E-3</v>
      </c>
      <c r="N100" s="3" cm="1">
        <f t="array" ref="N100">X$8*EstymacjaGaussowska($C100,$C$2:$C$51,X$14)*EstymacjaGaussowska($D100,$D$2:$D$51,X$15)*VLOOKUP($E100,$W$29:$AA$32,2)/$M100</f>
        <v>4.3572998395875552E-59</v>
      </c>
      <c r="O100" s="3" cm="1">
        <f t="array" ref="O100">Y$8*EstymacjaGaussowska($C100,$C$52:$C$101,Y$14)*EstymacjaGaussowska($D100,$D$52:$D$101,Y$15)*VLOOKUP($E100,$W$29:$AA$32,3)/$M100</f>
        <v>0.9999999999697553</v>
      </c>
      <c r="P100" s="42" cm="1">
        <f t="array" ref="P100">Z$8*EstymacjaGaussowska($C100,$C$102:$C$151,Z$14)*EstymacjaGaussowska($D100,$D$102:$D$151,Z$15)*VLOOKUP($E100,$W$29:$AA$32,4)/$M100</f>
        <v>3.0244700699735367E-11</v>
      </c>
      <c r="Q100" s="43" t="str">
        <f t="shared" si="10"/>
        <v>versicolor</v>
      </c>
      <c r="R100" s="3" cm="1">
        <f t="array" ref="R100">X$8*EstymacjaGaussowska($C100,$C$2:$C$51,X$14)*EstymacjaGaussowska($D100,$D$2:$D$51,X$15)*EstymacjaGaussowska($A100,$A$2:$A$51,X$18)*EstymacjaGaussowska($B100,$B$2:$B$51,X$19)*VLOOKUP($E100,$W$29:$AA$32,2)+Y$8*EstymacjaGaussowska($C100,$C$52:$C$101,Y$14)*EstymacjaGaussowska($D100,$D$52:$D$101,Y$15)*EstymacjaGaussowska($A100,$A$52:$A$101,Y$18)*EstymacjaGaussowska($B100,$B$52:$B$101,Y$19)*VLOOKUP($E100,$W$29:$AA$32,3)+Z$8*EstymacjaGaussowska($C100,$C$102:$C$151,Z$14)*EstymacjaGaussowska($D100,$D$102:$D$151,Z$15)*EstymacjaGaussowska($A100,$A$102:$A$151,Z$18)*EstymacjaGaussowska($B100,$B$102:$B$151,Z$19)*VLOOKUP($E100,$W$29:$AA$32,4)</f>
        <v>1.0120419522203674E-3</v>
      </c>
      <c r="S100" s="3" cm="1">
        <f t="array" ref="S100">X$8*EstymacjaGaussowska($C100,$C$2:$C$51,X$14)*EstymacjaGaussowska($D100,$D$2:$D$51,X$15)*EstymacjaGaussowska($A100,$A$2:$A$51,X$18)*EstymacjaGaussowska($B100,$B$2:$B$51,X$19)*VLOOKUP($E100,$W$29:$AA$32,2)/$R100</f>
        <v>9.5187256926378747E-60</v>
      </c>
      <c r="T100" s="3" cm="1">
        <f t="array" ref="T100">Y$8*EstymacjaGaussowska($C100,$C$52:$C$101,Y$14)*EstymacjaGaussowska($D100,$D$52:$D$101,Y$15)*EstymacjaGaussowska($A100,$A$52:$A$101,Y$18)*EstymacjaGaussowska($B100,$B$52:$B$101,Y$19)*VLOOKUP($E100,$W$29:$AA$32,3)/$R100</f>
        <v>0.99999999999673728</v>
      </c>
      <c r="U100" s="42" cm="1">
        <f t="array" ref="U100">Z$8*EstymacjaGaussowska($C100,$C$102:$C$151,Z$14)*EstymacjaGaussowska($D100,$D$102:$D$151,Z$15)*EstymacjaGaussowska($A100,$A$102:$A$151,Z$18)*EstymacjaGaussowska($B100,$B$102:$B$151,Z$19)*VLOOKUP($E100,$W$29:$AA$32,4)/$R100</f>
        <v>3.2627714045873864E-12</v>
      </c>
    </row>
    <row r="101" spans="1:21" x14ac:dyDescent="0.25">
      <c r="A101" s="9">
        <v>5.7</v>
      </c>
      <c r="B101" s="3">
        <v>2.8</v>
      </c>
      <c r="C101" s="3">
        <v>4.0999999999999996</v>
      </c>
      <c r="D101" s="8">
        <v>1.3</v>
      </c>
      <c r="E101" s="9" t="s">
        <v>14</v>
      </c>
      <c r="F101" s="50" t="s">
        <v>6</v>
      </c>
      <c r="G101" s="43" t="str">
        <f t="shared" si="11"/>
        <v>versicolor</v>
      </c>
      <c r="H101" s="3" cm="1">
        <f t="array" ref="H101">X$8*EstymacjaGaussowska($C101,$C$2:$C$51,X$14)*EstymacjaGaussowska($D101,$D$2:$D$51,X$15)+Y$8*EstymacjaGaussowska($C101,$C$52:$C$101,Y$14)*EstymacjaGaussowska($D101,$D$52:$D$101,Y$15)+Z$8*EstymacjaGaussowska($C101,$C$102:$C$151,Z$14)*EstymacjaGaussowska($D101,$D$102:$D$151,Z$15)</f>
        <v>0.39745114902654405</v>
      </c>
      <c r="I101" s="3" cm="1">
        <f t="array" ref="I101">X$8*EstymacjaGaussowska($C101,$C$2:$C$51,X$14)*EstymacjaGaussowska($D101,$D$2:$D$51,X$15)/$H101</f>
        <v>2.0777280015418524E-191</v>
      </c>
      <c r="J101" s="3" cm="1">
        <f t="array" ref="J101">Y$8*EstymacjaGaussowska($C101,$C$52:$C$101,Y$14)*EstymacjaGaussowska($D101,$D$52:$D$101,Y$15)/$H101</f>
        <v>0.9990009995590613</v>
      </c>
      <c r="K101" s="42" cm="1">
        <f t="array" ref="K101">Z$8*EstymacjaGaussowska($C101,$C$102:$C$151,Z$14)*EstymacjaGaussowska($D101,$D$102:$D$151,Z$15)/$H101</f>
        <v>9.9900044093864681E-4</v>
      </c>
      <c r="L101" s="43" t="str">
        <f t="shared" si="9"/>
        <v>versicolor</v>
      </c>
      <c r="M101" s="3" cm="1">
        <f t="array" ref="M101">X$8*EstymacjaGaussowska($C101,$C$2:$C$51,X$14)*EstymacjaGaussowska($D101,$D$2:$D$51,X$15)*VLOOKUP($E101,$W$29:$AA$32,2)+Y$8*EstymacjaGaussowska($C101,$C$52:$C$101,Y$14)*EstymacjaGaussowska($D101,$D$52:$D$101,Y$15)*VLOOKUP($E101,$W$29:$AA$32,3)+Z$8*EstymacjaGaussowska($C101,$C$102:$C$151,Z$14)*EstymacjaGaussowska($D101,$D$102:$D$151,Z$15)*VLOOKUP($E101,$W$29:$AA$32,4)</f>
        <v>0.10324200581735046</v>
      </c>
      <c r="N101" s="3" cm="1">
        <f t="array" ref="N101">X$8*EstymacjaGaussowska($C101,$C$2:$C$51,X$14)*EstymacjaGaussowska($D101,$D$2:$D$51,X$15)*VLOOKUP($E101,$W$29:$AA$32,2)/$M101</f>
        <v>1.5997275044004506E-191</v>
      </c>
      <c r="O101" s="3" cm="1">
        <f t="array" ref="O101">Y$8*EstymacjaGaussowska($C101,$C$52:$C$101,Y$14)*EstymacjaGaussowska($D101,$D$52:$D$101,Y$15)*VLOOKUP($E101,$W$29:$AA$32,3)/$M101</f>
        <v>0.99992308288278875</v>
      </c>
      <c r="P101" s="42" cm="1">
        <f t="array" ref="P101">Z$8*EstymacjaGaussowska($C101,$C$102:$C$151,Z$14)*EstymacjaGaussowska($D101,$D$102:$D$151,Z$15)*VLOOKUP($E101,$W$29:$AA$32,4)/$M101</f>
        <v>7.6917117211289593E-5</v>
      </c>
      <c r="Q101" s="43" t="str">
        <f t="shared" si="10"/>
        <v>versicolor</v>
      </c>
      <c r="R101" s="3" cm="1">
        <f t="array" ref="R101">X$8*EstymacjaGaussowska($C101,$C$2:$C$51,X$14)*EstymacjaGaussowska($D101,$D$2:$D$51,X$15)*EstymacjaGaussowska($A101,$A$2:$A$51,X$18)*EstymacjaGaussowska($B101,$B$2:$B$51,X$19)*VLOOKUP($E101,$W$29:$AA$32,2)+Y$8*EstymacjaGaussowska($C101,$C$52:$C$101,Y$14)*EstymacjaGaussowska($D101,$D$52:$D$101,Y$15)*EstymacjaGaussowska($A101,$A$52:$A$101,Y$18)*EstymacjaGaussowska($B101,$B$52:$B$101,Y$19)*VLOOKUP($E101,$W$29:$AA$32,3)+Z$8*EstymacjaGaussowska($C101,$C$102:$C$151,Z$14)*EstymacjaGaussowska($D101,$D$102:$D$151,Z$15)*EstymacjaGaussowska($A101,$A$102:$A$151,Z$18)*EstymacjaGaussowska($B101,$B$102:$B$151,Z$19)*VLOOKUP($E101,$W$29:$AA$32,4)</f>
        <v>8.080213065981727E-2</v>
      </c>
      <c r="S101" s="3" cm="1">
        <f t="array" ref="S101">X$8*EstymacjaGaussowska($C101,$C$2:$C$51,X$14)*EstymacjaGaussowska($D101,$D$2:$D$51,X$15)*EstymacjaGaussowska($A101,$A$2:$A$51,X$18)*EstymacjaGaussowska($B101,$B$2:$B$51,X$19)*VLOOKUP($E101,$W$29:$AA$32,2)/$R101</f>
        <v>1.2182286878466913E-192</v>
      </c>
      <c r="T101" s="3" cm="1">
        <f t="array" ref="T101">Y$8*EstymacjaGaussowska($C101,$C$52:$C$101,Y$14)*EstymacjaGaussowska($D101,$D$52:$D$101,Y$15)*EstymacjaGaussowska($A101,$A$52:$A$101,Y$18)*EstymacjaGaussowska($B101,$B$52:$B$101,Y$19)*VLOOKUP($E101,$W$29:$AA$32,3)/$R101</f>
        <v>0.99997403539954355</v>
      </c>
      <c r="U101" s="42" cm="1">
        <f t="array" ref="U101">Z$8*EstymacjaGaussowska($C101,$C$102:$C$151,Z$14)*EstymacjaGaussowska($D101,$D$102:$D$151,Z$15)*EstymacjaGaussowska($A101,$A$102:$A$151,Z$18)*EstymacjaGaussowska($B101,$B$102:$B$151,Z$19)*VLOOKUP($E101,$W$29:$AA$32,4)/$R101</f>
        <v>2.596460045645755E-5</v>
      </c>
    </row>
    <row r="102" spans="1:21" x14ac:dyDescent="0.25">
      <c r="A102" s="9">
        <v>6.3</v>
      </c>
      <c r="B102" s="3">
        <v>3.3</v>
      </c>
      <c r="C102" s="3">
        <v>6</v>
      </c>
      <c r="D102" s="8">
        <v>2.5</v>
      </c>
      <c r="E102" s="9" t="s">
        <v>11</v>
      </c>
      <c r="F102" s="50" t="s">
        <v>7</v>
      </c>
      <c r="G102" s="43" t="str">
        <f t="shared" si="11"/>
        <v>virginica</v>
      </c>
      <c r="H102" s="3" cm="1">
        <f t="array" ref="H102">X$8*EstymacjaGaussowska($C102,$C$2:$C$51,X$14)*EstymacjaGaussowska($D102,$D$2:$D$51,X$15)+Y$8*EstymacjaGaussowska($C102,$C$52:$C$101,Y$14)*EstymacjaGaussowska($D102,$D$52:$D$101,Y$15)+Z$8*EstymacjaGaussowska($C102,$C$102:$C$151,Z$14)*EstymacjaGaussowska($D102,$D$102:$D$151,Z$15)</f>
        <v>6.9533701656898178E-2</v>
      </c>
      <c r="I102" s="3" cm="1">
        <f t="array" ref="I102">X$8*EstymacjaGaussowska($C102,$C$2:$C$51,X$14)*EstymacjaGaussowska($D102,$D$2:$D$51,X$15)/$H102</f>
        <v>0</v>
      </c>
      <c r="J102" s="3" cm="1">
        <f t="array" ref="J102">Y$8*EstymacjaGaussowska($C102,$C$52:$C$101,Y$14)*EstymacjaGaussowska($D102,$D$52:$D$101,Y$15)/$H102</f>
        <v>1.8136147170563604E-17</v>
      </c>
      <c r="K102" s="42" cm="1">
        <f t="array" ref="K102">Z$8*EstymacjaGaussowska($C102,$C$102:$C$151,Z$14)*EstymacjaGaussowska($D102,$D$102:$D$151,Z$15)/$H102</f>
        <v>1</v>
      </c>
      <c r="L102" s="43" t="str">
        <f t="shared" si="9"/>
        <v>virginica</v>
      </c>
      <c r="M102" s="3" cm="1">
        <f t="array" ref="M102">X$8*EstymacjaGaussowska($C102,$C$2:$C$51,X$14)*EstymacjaGaussowska($D102,$D$2:$D$51,X$15)*VLOOKUP($E102,$W$29:$AA$32,2)+Y$8*EstymacjaGaussowska($C102,$C$52:$C$101,Y$14)*EstymacjaGaussowska($D102,$D$52:$D$101,Y$15)*VLOOKUP($E102,$W$29:$AA$32,3)+Z$8*EstymacjaGaussowska($C102,$C$102:$C$151,Z$14)*EstymacjaGaussowska($D102,$D$102:$D$151,Z$15)*VLOOKUP($E102,$W$29:$AA$32,4)</f>
        <v>4.1720220994138905E-2</v>
      </c>
      <c r="N102" s="3" cm="1">
        <f t="array" ref="N102">X$8*EstymacjaGaussowska($C102,$C$2:$C$51,X$14)*EstymacjaGaussowska($D102,$D$2:$D$51,X$15)*VLOOKUP($E102,$W$29:$AA$32,2)/$M102</f>
        <v>0</v>
      </c>
      <c r="O102" s="3" cm="1">
        <f t="array" ref="O102">Y$8*EstymacjaGaussowska($C102,$C$52:$C$101,Y$14)*EstymacjaGaussowska($D102,$D$52:$D$101,Y$15)*VLOOKUP($E102,$W$29:$AA$32,3)/$M102</f>
        <v>5.4408441511690814E-18</v>
      </c>
      <c r="P102" s="42" cm="1">
        <f t="array" ref="P102">Z$8*EstymacjaGaussowska($C102,$C$102:$C$151,Z$14)*EstymacjaGaussowska($D102,$D$102:$D$151,Z$15)*VLOOKUP($E102,$W$29:$AA$32,4)/$M102</f>
        <v>1</v>
      </c>
      <c r="Q102" s="43" t="str">
        <f t="shared" si="10"/>
        <v>virginica</v>
      </c>
      <c r="R102" s="3" cm="1">
        <f t="array" ref="R102">X$8*EstymacjaGaussowska($C102,$C$2:$C$51,X$14)*EstymacjaGaussowska($D102,$D$2:$D$51,X$15)*EstymacjaGaussowska($A102,$A$2:$A$51,X$18)*EstymacjaGaussowska($B102,$B$2:$B$51,X$19)*VLOOKUP($E102,$W$29:$AA$32,2)+Y$8*EstymacjaGaussowska($C102,$C$52:$C$101,Y$14)*EstymacjaGaussowska($D102,$D$52:$D$101,Y$15)*EstymacjaGaussowska($A102,$A$52:$A$101,Y$18)*EstymacjaGaussowska($B102,$B$52:$B$101,Y$19)*VLOOKUP($E102,$W$29:$AA$32,3)+Z$8*EstymacjaGaussowska($C102,$C$102:$C$151,Z$14)*EstymacjaGaussowska($D102,$D$102:$D$151,Z$15)*EstymacjaGaussowska($A102,$A$102:$A$151,Z$18)*EstymacjaGaussowska($B102,$B$102:$B$151,Z$19)*VLOOKUP($E102,$W$29:$AA$32,4)</f>
        <v>1.6366094739006229E-2</v>
      </c>
      <c r="S102" s="3" cm="1">
        <f t="array" ref="S102">X$8*EstymacjaGaussowska($C102,$C$2:$C$51,X$14)*EstymacjaGaussowska($D102,$D$2:$D$51,X$15)*EstymacjaGaussowska($A102,$A$2:$A$51,X$18)*EstymacjaGaussowska($B102,$B$2:$B$51,X$19)*VLOOKUP($E102,$W$29:$AA$32,2)/$R102</f>
        <v>0</v>
      </c>
      <c r="T102" s="3" cm="1">
        <f t="array" ref="T102">Y$8*EstymacjaGaussowska($C102,$C$52:$C$101,Y$14)*EstymacjaGaussowska($D102,$D$52:$D$101,Y$15)*EstymacjaGaussowska($A102,$A$52:$A$101,Y$18)*EstymacjaGaussowska($B102,$B$52:$B$101,Y$19)*VLOOKUP($E102,$W$29:$AA$32,3)/$R102</f>
        <v>2.5022541461886402E-18</v>
      </c>
      <c r="U102" s="42" cm="1">
        <f t="array" ref="U102">Z$8*EstymacjaGaussowska($C102,$C$102:$C$151,Z$14)*EstymacjaGaussowska($D102,$D$102:$D$151,Z$15)*EstymacjaGaussowska($A102,$A$102:$A$151,Z$18)*EstymacjaGaussowska($B102,$B$102:$B$151,Z$19)*VLOOKUP($E102,$W$29:$AA$32,4)/$R102</f>
        <v>1</v>
      </c>
    </row>
    <row r="103" spans="1:21" x14ac:dyDescent="0.25">
      <c r="A103" s="9">
        <v>5.8</v>
      </c>
      <c r="B103" s="3">
        <v>2.7</v>
      </c>
      <c r="C103" s="3">
        <v>5.0999999999999996</v>
      </c>
      <c r="D103" s="8">
        <v>1.9</v>
      </c>
      <c r="E103" s="9" t="s">
        <v>11</v>
      </c>
      <c r="F103" s="50" t="s">
        <v>7</v>
      </c>
      <c r="G103" s="43" t="str">
        <f t="shared" si="11"/>
        <v>virginica</v>
      </c>
      <c r="H103" s="3" cm="1">
        <f t="array" ref="H103">X$8*EstymacjaGaussowska($C103,$C$2:$C$51,X$14)*EstymacjaGaussowska($D103,$D$2:$D$51,X$15)+Y$8*EstymacjaGaussowska($C103,$C$52:$C$101,Y$14)*EstymacjaGaussowska($D103,$D$52:$D$101,Y$15)+Z$8*EstymacjaGaussowska($C103,$C$102:$C$151,Z$14)*EstymacjaGaussowska($D103,$D$102:$D$151,Z$15)</f>
        <v>0.24915186853837593</v>
      </c>
      <c r="I103" s="3" cm="1">
        <f t="array" ref="I103">X$8*EstymacjaGaussowska($C103,$C$2:$C$51,X$14)*EstymacjaGaussowska($D103,$D$2:$D$51,X$15)/$H103</f>
        <v>0</v>
      </c>
      <c r="J103" s="3" cm="1">
        <f t="array" ref="J103">Y$8*EstymacjaGaussowska($C103,$C$52:$C$101,Y$14)*EstymacjaGaussowska($D103,$D$52:$D$101,Y$15)/$H103</f>
        <v>1.5982516439517612E-2</v>
      </c>
      <c r="K103" s="42" cm="1">
        <f t="array" ref="K103">Z$8*EstymacjaGaussowska($C103,$C$102:$C$151,Z$14)*EstymacjaGaussowska($D103,$D$102:$D$151,Z$15)/$H103</f>
        <v>0.98401748356048235</v>
      </c>
      <c r="L103" s="43" t="str">
        <f t="shared" si="9"/>
        <v>virginica</v>
      </c>
      <c r="M103" s="3" cm="1">
        <f t="array" ref="M103">X$8*EstymacjaGaussowska($C103,$C$2:$C$51,X$14)*EstymacjaGaussowska($D103,$D$2:$D$51,X$15)*VLOOKUP($E103,$W$29:$AA$32,2)+Y$8*EstymacjaGaussowska($C103,$C$52:$C$101,Y$14)*EstymacjaGaussowska($D103,$D$52:$D$101,Y$15)*VLOOKUP($E103,$W$29:$AA$32,3)+Z$8*EstymacjaGaussowska($C103,$C$102:$C$151,Z$14)*EstymacjaGaussowska($D103,$D$102:$D$151,Z$15)*VLOOKUP($E103,$W$29:$AA$32,4)</f>
        <v>0.14781865011238807</v>
      </c>
      <c r="N103" s="3" cm="1">
        <f t="array" ref="N103">X$8*EstymacjaGaussowska($C103,$C$2:$C$51,X$14)*EstymacjaGaussowska($D103,$D$2:$D$51,X$15)*VLOOKUP($E103,$W$29:$AA$32,2)/$M103</f>
        <v>0</v>
      </c>
      <c r="O103" s="3" cm="1">
        <f t="array" ref="O103">Y$8*EstymacjaGaussowska($C103,$C$52:$C$101,Y$14)*EstymacjaGaussowska($D103,$D$52:$D$101,Y$15)*VLOOKUP($E103,$W$29:$AA$32,3)/$M103</f>
        <v>4.8490044370465566E-3</v>
      </c>
      <c r="P103" s="42" cm="1">
        <f t="array" ref="P103">Z$8*EstymacjaGaussowska($C103,$C$102:$C$151,Z$14)*EstymacjaGaussowska($D103,$D$102:$D$151,Z$15)*VLOOKUP($E103,$W$29:$AA$32,4)/$M103</f>
        <v>0.9951509955629535</v>
      </c>
      <c r="Q103" s="43" t="str">
        <f t="shared" si="10"/>
        <v>virginica</v>
      </c>
      <c r="R103" s="3" cm="1">
        <f t="array" ref="R103">X$8*EstymacjaGaussowska($C103,$C$2:$C$51,X$14)*EstymacjaGaussowska($D103,$D$2:$D$51,X$15)*EstymacjaGaussowska($A103,$A$2:$A$51,X$18)*EstymacjaGaussowska($B103,$B$2:$B$51,X$19)*VLOOKUP($E103,$W$29:$AA$32,2)+Y$8*EstymacjaGaussowska($C103,$C$52:$C$101,Y$14)*EstymacjaGaussowska($D103,$D$52:$D$101,Y$15)*EstymacjaGaussowska($A103,$A$52:$A$101,Y$18)*EstymacjaGaussowska($B103,$B$52:$B$101,Y$19)*VLOOKUP($E103,$W$29:$AA$32,3)+Z$8*EstymacjaGaussowska($C103,$C$102:$C$151,Z$14)*EstymacjaGaussowska($D103,$D$102:$D$151,Z$15)*EstymacjaGaussowska($A103,$A$102:$A$151,Z$18)*EstymacjaGaussowska($B103,$B$102:$B$151,Z$19)*VLOOKUP($E103,$W$29:$AA$32,4)</f>
        <v>4.0536871293924255E-2</v>
      </c>
      <c r="S103" s="3" cm="1">
        <f t="array" ref="S103">X$8*EstymacjaGaussowska($C103,$C$2:$C$51,X$14)*EstymacjaGaussowska($D103,$D$2:$D$51,X$15)*EstymacjaGaussowska($A103,$A$2:$A$51,X$18)*EstymacjaGaussowska($B103,$B$2:$B$51,X$19)*VLOOKUP($E103,$W$29:$AA$32,2)/$R103</f>
        <v>0</v>
      </c>
      <c r="T103" s="3" cm="1">
        <f t="array" ref="T103">Y$8*EstymacjaGaussowska($C103,$C$52:$C$101,Y$14)*EstymacjaGaussowska($D103,$D$52:$D$101,Y$15)*EstymacjaGaussowska($A103,$A$52:$A$101,Y$18)*EstymacjaGaussowska($B103,$B$52:$B$101,Y$19)*VLOOKUP($E103,$W$29:$AA$32,3)/$R103</f>
        <v>1.2077140977908248E-2</v>
      </c>
      <c r="U103" s="42" cm="1">
        <f t="array" ref="U103">Z$8*EstymacjaGaussowska($C103,$C$102:$C$151,Z$14)*EstymacjaGaussowska($D103,$D$102:$D$151,Z$15)*EstymacjaGaussowska($A103,$A$102:$A$151,Z$18)*EstymacjaGaussowska($B103,$B$102:$B$151,Z$19)*VLOOKUP($E103,$W$29:$AA$32,4)/$R103</f>
        <v>0.98792285902209176</v>
      </c>
    </row>
    <row r="104" spans="1:21" x14ac:dyDescent="0.25">
      <c r="A104" s="9">
        <v>7.1</v>
      </c>
      <c r="B104" s="3">
        <v>3</v>
      </c>
      <c r="C104" s="3">
        <v>5.9</v>
      </c>
      <c r="D104" s="8">
        <v>2.1</v>
      </c>
      <c r="E104" s="9" t="s">
        <v>11</v>
      </c>
      <c r="F104" s="50" t="s">
        <v>7</v>
      </c>
      <c r="G104" s="43" t="str">
        <f t="shared" si="11"/>
        <v>virginica</v>
      </c>
      <c r="H104" s="3" cm="1">
        <f t="array" ref="H104">X$8*EstymacjaGaussowska($C104,$C$2:$C$51,X$14)*EstymacjaGaussowska($D104,$D$2:$D$51,X$15)+Y$8*EstymacjaGaussowska($C104,$C$52:$C$101,Y$14)*EstymacjaGaussowska($D104,$D$52:$D$101,Y$15)+Z$8*EstymacjaGaussowska($C104,$C$102:$C$151,Z$14)*EstymacjaGaussowska($D104,$D$102:$D$151,Z$15)</f>
        <v>0.17953533278869041</v>
      </c>
      <c r="I104" s="3" cm="1">
        <f t="array" ref="I104">X$8*EstymacjaGaussowska($C104,$C$2:$C$51,X$14)*EstymacjaGaussowska($D104,$D$2:$D$51,X$15)/$H104</f>
        <v>0</v>
      </c>
      <c r="J104" s="3" cm="1">
        <f t="array" ref="J104">Y$8*EstymacjaGaussowska($C104,$C$52:$C$101,Y$14)*EstymacjaGaussowska($D104,$D$52:$D$101,Y$15)/$H104</f>
        <v>1.0985269717308601E-7</v>
      </c>
      <c r="K104" s="42" cm="1">
        <f t="array" ref="K104">Z$8*EstymacjaGaussowska($C104,$C$102:$C$151,Z$14)*EstymacjaGaussowska($D104,$D$102:$D$151,Z$15)/$H104</f>
        <v>0.99999989014730284</v>
      </c>
      <c r="L104" s="43" t="str">
        <f t="shared" si="9"/>
        <v>virginica</v>
      </c>
      <c r="M104" s="3" cm="1">
        <f t="array" ref="M104">X$8*EstymacjaGaussowska($C104,$C$2:$C$51,X$14)*EstymacjaGaussowska($D104,$D$2:$D$51,X$15)*VLOOKUP($E104,$W$29:$AA$32,2)+Y$8*EstymacjaGaussowska($C104,$C$52:$C$101,Y$14)*EstymacjaGaussowska($D104,$D$52:$D$101,Y$15)*VLOOKUP($E104,$W$29:$AA$32,3)+Z$8*EstymacjaGaussowska($C104,$C$102:$C$151,Z$14)*EstymacjaGaussowska($D104,$D$102:$D$151,Z$15)*VLOOKUP($E104,$W$29:$AA$32,4)</f>
        <v>0.10772119138978922</v>
      </c>
      <c r="N104" s="3" cm="1">
        <f t="array" ref="N104">X$8*EstymacjaGaussowska($C104,$C$2:$C$51,X$14)*EstymacjaGaussowska($D104,$D$2:$D$51,X$15)*VLOOKUP($E104,$W$29:$AA$32,2)/$M104</f>
        <v>0</v>
      </c>
      <c r="O104" s="3" cm="1">
        <f t="array" ref="O104">Y$8*EstymacjaGaussowska($C104,$C$52:$C$101,Y$14)*EstymacjaGaussowska($D104,$D$52:$D$101,Y$15)*VLOOKUP($E104,$W$29:$AA$32,3)/$M104</f>
        <v>3.2955811686125159E-8</v>
      </c>
      <c r="P104" s="42" cm="1">
        <f t="array" ref="P104">Z$8*EstymacjaGaussowska($C104,$C$102:$C$151,Z$14)*EstymacjaGaussowska($D104,$D$102:$D$151,Z$15)*VLOOKUP($E104,$W$29:$AA$32,4)/$M104</f>
        <v>0.99999996704418825</v>
      </c>
      <c r="Q104" s="43" t="str">
        <f t="shared" si="10"/>
        <v>virginica</v>
      </c>
      <c r="R104" s="3" cm="1">
        <f t="array" ref="R104">X$8*EstymacjaGaussowska($C104,$C$2:$C$51,X$14)*EstymacjaGaussowska($D104,$D$2:$D$51,X$15)*EstymacjaGaussowska($A104,$A$2:$A$51,X$18)*EstymacjaGaussowska($B104,$B$2:$B$51,X$19)*VLOOKUP($E104,$W$29:$AA$32,2)+Y$8*EstymacjaGaussowska($C104,$C$52:$C$101,Y$14)*EstymacjaGaussowska($D104,$D$52:$D$101,Y$15)*EstymacjaGaussowska($A104,$A$52:$A$101,Y$18)*EstymacjaGaussowska($B104,$B$52:$B$101,Y$19)*VLOOKUP($E104,$W$29:$AA$32,3)+Z$8*EstymacjaGaussowska($C104,$C$102:$C$151,Z$14)*EstymacjaGaussowska($D104,$D$102:$D$151,Z$15)*EstymacjaGaussowska($A104,$A$102:$A$151,Z$18)*EstymacjaGaussowska($B104,$B$102:$B$151,Z$19)*VLOOKUP($E104,$W$29:$AA$32,4)</f>
        <v>4.5069834518169316E-2</v>
      </c>
      <c r="S104" s="3" cm="1">
        <f t="array" ref="S104">X$8*EstymacjaGaussowska($C104,$C$2:$C$51,X$14)*EstymacjaGaussowska($D104,$D$2:$D$51,X$15)*EstymacjaGaussowska($A104,$A$2:$A$51,X$18)*EstymacjaGaussowska($B104,$B$2:$B$51,X$19)*VLOOKUP($E104,$W$29:$AA$32,2)/$R104</f>
        <v>0</v>
      </c>
      <c r="T104" s="3" cm="1">
        <f t="array" ref="T104">Y$8*EstymacjaGaussowska($C104,$C$52:$C$101,Y$14)*EstymacjaGaussowska($D104,$D$52:$D$101,Y$15)*EstymacjaGaussowska($A104,$A$52:$A$101,Y$18)*EstymacjaGaussowska($B104,$B$52:$B$101,Y$19)*VLOOKUP($E104,$W$29:$AA$32,3)/$R104</f>
        <v>9.2412874439413401E-9</v>
      </c>
      <c r="U104" s="42" cm="1">
        <f t="array" ref="U104">Z$8*EstymacjaGaussowska($C104,$C$102:$C$151,Z$14)*EstymacjaGaussowska($D104,$D$102:$D$151,Z$15)*EstymacjaGaussowska($A104,$A$102:$A$151,Z$18)*EstymacjaGaussowska($B104,$B$102:$B$151,Z$19)*VLOOKUP($E104,$W$29:$AA$32,4)/$R104</f>
        <v>0.99999999075871249</v>
      </c>
    </row>
    <row r="105" spans="1:21" x14ac:dyDescent="0.25">
      <c r="A105" s="9">
        <v>6.3</v>
      </c>
      <c r="B105" s="3">
        <v>2.9</v>
      </c>
      <c r="C105" s="3">
        <v>5.6</v>
      </c>
      <c r="D105" s="8">
        <v>1.8</v>
      </c>
      <c r="E105" s="9" t="s">
        <v>11</v>
      </c>
      <c r="F105" s="50" t="s">
        <v>7</v>
      </c>
      <c r="G105" s="43" t="str">
        <f t="shared" si="11"/>
        <v>virginica</v>
      </c>
      <c r="H105" s="3" cm="1">
        <f t="array" ref="H105">X$8*EstymacjaGaussowska($C105,$C$2:$C$51,X$14)*EstymacjaGaussowska($D105,$D$2:$D$51,X$15)+Y$8*EstymacjaGaussowska($C105,$C$52:$C$101,Y$14)*EstymacjaGaussowska($D105,$D$52:$D$101,Y$15)+Z$8*EstymacjaGaussowska($C105,$C$102:$C$151,Z$14)*EstymacjaGaussowska($D105,$D$102:$D$151,Z$15)</f>
        <v>0.23107776562541352</v>
      </c>
      <c r="I105" s="3" cm="1">
        <f t="array" ref="I105">X$8*EstymacjaGaussowska($C105,$C$2:$C$51,X$14)*EstymacjaGaussowska($D105,$D$2:$D$51,X$15)/$H105</f>
        <v>0</v>
      </c>
      <c r="J105" s="3" cm="1">
        <f t="array" ref="J105">Y$8*EstymacjaGaussowska($C105,$C$52:$C$101,Y$14)*EstymacjaGaussowska($D105,$D$52:$D$101,Y$15)/$H105</f>
        <v>1.2202972793867826E-3</v>
      </c>
      <c r="K105" s="42" cm="1">
        <f t="array" ref="K105">Z$8*EstymacjaGaussowska($C105,$C$102:$C$151,Z$14)*EstymacjaGaussowska($D105,$D$102:$D$151,Z$15)/$H105</f>
        <v>0.99877970272061323</v>
      </c>
      <c r="L105" s="43" t="str">
        <f t="shared" si="9"/>
        <v>virginica</v>
      </c>
      <c r="M105" s="3" cm="1">
        <f t="array" ref="M105">X$8*EstymacjaGaussowska($C105,$C$2:$C$51,X$14)*EstymacjaGaussowska($D105,$D$2:$D$51,X$15)*VLOOKUP($E105,$W$29:$AA$32,2)+Y$8*EstymacjaGaussowska($C105,$C$52:$C$101,Y$14)*EstymacjaGaussowska($D105,$D$52:$D$101,Y$15)*VLOOKUP($E105,$W$29:$AA$32,3)+Z$8*EstymacjaGaussowska($C105,$C$102:$C$151,Z$14)*EstymacjaGaussowska($D105,$D$102:$D$151,Z$15)*VLOOKUP($E105,$W$29:$AA$32,4)</f>
        <v>0.13852822627638592</v>
      </c>
      <c r="N105" s="3" cm="1">
        <f t="array" ref="N105">X$8*EstymacjaGaussowska($C105,$C$2:$C$51,X$14)*EstymacjaGaussowska($D105,$D$2:$D$51,X$15)*VLOOKUP($E105,$W$29:$AA$32,2)/$M105</f>
        <v>0</v>
      </c>
      <c r="O105" s="3" cm="1">
        <f t="array" ref="O105">Y$8*EstymacjaGaussowska($C105,$C$52:$C$101,Y$14)*EstymacjaGaussowska($D105,$D$52:$D$101,Y$15)*VLOOKUP($E105,$W$29:$AA$32,3)/$M105</f>
        <v>3.6640216751375969E-4</v>
      </c>
      <c r="P105" s="42" cm="1">
        <f t="array" ref="P105">Z$8*EstymacjaGaussowska($C105,$C$102:$C$151,Z$14)*EstymacjaGaussowska($D105,$D$102:$D$151,Z$15)*VLOOKUP($E105,$W$29:$AA$32,4)/$M105</f>
        <v>0.99963359783248618</v>
      </c>
      <c r="Q105" s="43" t="str">
        <f t="shared" si="10"/>
        <v>virginica</v>
      </c>
      <c r="R105" s="3" cm="1">
        <f t="array" ref="R105">X$8*EstymacjaGaussowska($C105,$C$2:$C$51,X$14)*EstymacjaGaussowska($D105,$D$2:$D$51,X$15)*EstymacjaGaussowska($A105,$A$2:$A$51,X$18)*EstymacjaGaussowska($B105,$B$2:$B$51,X$19)*VLOOKUP($E105,$W$29:$AA$32,2)+Y$8*EstymacjaGaussowska($C105,$C$52:$C$101,Y$14)*EstymacjaGaussowska($D105,$D$52:$D$101,Y$15)*EstymacjaGaussowska($A105,$A$52:$A$101,Y$18)*EstymacjaGaussowska($B105,$B$52:$B$101,Y$19)*VLOOKUP($E105,$W$29:$AA$32,3)+Z$8*EstymacjaGaussowska($C105,$C$102:$C$151,Z$14)*EstymacjaGaussowska($D105,$D$102:$D$151,Z$15)*EstymacjaGaussowska($A105,$A$102:$A$151,Z$18)*EstymacjaGaussowska($B105,$B$102:$B$151,Z$19)*VLOOKUP($E105,$W$29:$AA$32,4)</f>
        <v>9.9571090064373466E-2</v>
      </c>
      <c r="S105" s="3" cm="1">
        <f t="array" ref="S105">X$8*EstymacjaGaussowska($C105,$C$2:$C$51,X$14)*EstymacjaGaussowska($D105,$D$2:$D$51,X$15)*EstymacjaGaussowska($A105,$A$2:$A$51,X$18)*EstymacjaGaussowska($B105,$B$2:$B$51,X$19)*VLOOKUP($E105,$W$29:$AA$32,2)/$R105</f>
        <v>0</v>
      </c>
      <c r="T105" s="3" cm="1">
        <f t="array" ref="T105">Y$8*EstymacjaGaussowska($C105,$C$52:$C$101,Y$14)*EstymacjaGaussowska($D105,$D$52:$D$101,Y$15)*EstymacjaGaussowska($A105,$A$52:$A$101,Y$18)*EstymacjaGaussowska($B105,$B$52:$B$101,Y$19)*VLOOKUP($E105,$W$29:$AA$32,3)/$R105</f>
        <v>3.0321111254912666E-4</v>
      </c>
      <c r="U105" s="42" cm="1">
        <f t="array" ref="U105">Z$8*EstymacjaGaussowska($C105,$C$102:$C$151,Z$14)*EstymacjaGaussowska($D105,$D$102:$D$151,Z$15)*EstymacjaGaussowska($A105,$A$102:$A$151,Z$18)*EstymacjaGaussowska($B105,$B$102:$B$151,Z$19)*VLOOKUP($E105,$W$29:$AA$32,4)/$R105</f>
        <v>0.99969678888745084</v>
      </c>
    </row>
    <row r="106" spans="1:21" x14ac:dyDescent="0.25">
      <c r="A106" s="9">
        <v>6.5</v>
      </c>
      <c r="B106" s="3">
        <v>3</v>
      </c>
      <c r="C106" s="3">
        <v>5.8</v>
      </c>
      <c r="D106" s="8">
        <v>2.2000000000000002</v>
      </c>
      <c r="E106" s="9" t="s">
        <v>11</v>
      </c>
      <c r="F106" s="50" t="s">
        <v>7</v>
      </c>
      <c r="G106" s="43" t="str">
        <f t="shared" si="11"/>
        <v>virginica</v>
      </c>
      <c r="H106" s="3" cm="1">
        <f t="array" ref="H106">X$8*EstymacjaGaussowska($C106,$C$2:$C$51,X$14)*EstymacjaGaussowska($D106,$D$2:$D$51,X$15)+Y$8*EstymacjaGaussowska($C106,$C$52:$C$101,Y$14)*EstymacjaGaussowska($D106,$D$52:$D$101,Y$15)+Z$8*EstymacjaGaussowska($C106,$C$102:$C$151,Z$14)*EstymacjaGaussowska($D106,$D$102:$D$151,Z$15)</f>
        <v>0.19113225961139352</v>
      </c>
      <c r="I106" s="3" cm="1">
        <f t="array" ref="I106">X$8*EstymacjaGaussowska($C106,$C$2:$C$51,X$14)*EstymacjaGaussowska($D106,$D$2:$D$51,X$15)/$H106</f>
        <v>0</v>
      </c>
      <c r="J106" s="3" cm="1">
        <f t="array" ref="J106">Y$8*EstymacjaGaussowska($C106,$C$52:$C$101,Y$14)*EstymacjaGaussowska($D106,$D$52:$D$101,Y$15)/$H106</f>
        <v>1.0168780816013169E-8</v>
      </c>
      <c r="K106" s="42" cm="1">
        <f t="array" ref="K106">Z$8*EstymacjaGaussowska($C106,$C$102:$C$151,Z$14)*EstymacjaGaussowska($D106,$D$102:$D$151,Z$15)/$H106</f>
        <v>0.99999998983121918</v>
      </c>
      <c r="L106" s="43" t="str">
        <f t="shared" si="9"/>
        <v>virginica</v>
      </c>
      <c r="M106" s="3" cm="1">
        <f t="array" ref="M106">X$8*EstymacjaGaussowska($C106,$C$2:$C$51,X$14)*EstymacjaGaussowska($D106,$D$2:$D$51,X$15)*VLOOKUP($E106,$W$29:$AA$32,2)+Y$8*EstymacjaGaussowska($C106,$C$52:$C$101,Y$14)*EstymacjaGaussowska($D106,$D$52:$D$101,Y$15)*VLOOKUP($E106,$W$29:$AA$32,3)+Z$8*EstymacjaGaussowska($C106,$C$102:$C$151,Z$14)*EstymacjaGaussowska($D106,$D$102:$D$151,Z$15)*VLOOKUP($E106,$W$29:$AA$32,4)</f>
        <v>0.11467935495053164</v>
      </c>
      <c r="N106" s="3" cm="1">
        <f t="array" ref="N106">X$8*EstymacjaGaussowska($C106,$C$2:$C$51,X$14)*EstymacjaGaussowska($D106,$D$2:$D$51,X$15)*VLOOKUP($E106,$W$29:$AA$32,2)/$M106</f>
        <v>0</v>
      </c>
      <c r="O106" s="3" cm="1">
        <f t="array" ref="O106">Y$8*EstymacjaGaussowska($C106,$C$52:$C$101,Y$14)*EstymacjaGaussowska($D106,$D$52:$D$101,Y$15)*VLOOKUP($E106,$W$29:$AA$32,3)/$M106</f>
        <v>3.0506342665188125E-9</v>
      </c>
      <c r="P106" s="42" cm="1">
        <f t="array" ref="P106">Z$8*EstymacjaGaussowska($C106,$C$102:$C$151,Z$14)*EstymacjaGaussowska($D106,$D$102:$D$151,Z$15)*VLOOKUP($E106,$W$29:$AA$32,4)/$M106</f>
        <v>0.99999999694936581</v>
      </c>
      <c r="Q106" s="43" t="str">
        <f t="shared" si="10"/>
        <v>virginica</v>
      </c>
      <c r="R106" s="3" cm="1">
        <f t="array" ref="R106">X$8*EstymacjaGaussowska($C106,$C$2:$C$51,X$14)*EstymacjaGaussowska($D106,$D$2:$D$51,X$15)*EstymacjaGaussowska($A106,$A$2:$A$51,X$18)*EstymacjaGaussowska($B106,$B$2:$B$51,X$19)*VLOOKUP($E106,$W$29:$AA$32,2)+Y$8*EstymacjaGaussowska($C106,$C$52:$C$101,Y$14)*EstymacjaGaussowska($D106,$D$52:$D$101,Y$15)*EstymacjaGaussowska($A106,$A$52:$A$101,Y$18)*EstymacjaGaussowska($B106,$B$52:$B$101,Y$19)*VLOOKUP($E106,$W$29:$AA$32,3)+Z$8*EstymacjaGaussowska($C106,$C$102:$C$151,Z$14)*EstymacjaGaussowska($D106,$D$102:$D$151,Z$15)*EstymacjaGaussowska($A106,$A$102:$A$151,Z$18)*EstymacjaGaussowska($B106,$B$102:$B$151,Z$19)*VLOOKUP($E106,$W$29:$AA$32,4)</f>
        <v>8.5839214611947046E-2</v>
      </c>
      <c r="S106" s="3" cm="1">
        <f t="array" ref="S106">X$8*EstymacjaGaussowska($C106,$C$2:$C$51,X$14)*EstymacjaGaussowska($D106,$D$2:$D$51,X$15)*EstymacjaGaussowska($A106,$A$2:$A$51,X$18)*EstymacjaGaussowska($B106,$B$2:$B$51,X$19)*VLOOKUP($E106,$W$29:$AA$32,2)/$R106</f>
        <v>0</v>
      </c>
      <c r="T106" s="3" cm="1">
        <f t="array" ref="T106">Y$8*EstymacjaGaussowska($C106,$C$52:$C$101,Y$14)*EstymacjaGaussowska($D106,$D$52:$D$101,Y$15)*EstymacjaGaussowska($A106,$A$52:$A$101,Y$18)*EstymacjaGaussowska($B106,$B$52:$B$101,Y$19)*VLOOKUP($E106,$W$29:$AA$32,3)/$R106</f>
        <v>1.8193393172673463E-9</v>
      </c>
      <c r="U106" s="42" cm="1">
        <f t="array" ref="U106">Z$8*EstymacjaGaussowska($C106,$C$102:$C$151,Z$14)*EstymacjaGaussowska($D106,$D$102:$D$151,Z$15)*EstymacjaGaussowska($A106,$A$102:$A$151,Z$18)*EstymacjaGaussowska($B106,$B$102:$B$151,Z$19)*VLOOKUP($E106,$W$29:$AA$32,4)/$R106</f>
        <v>0.99999999818066065</v>
      </c>
    </row>
    <row r="107" spans="1:21" x14ac:dyDescent="0.25">
      <c r="A107" s="9">
        <v>7.6</v>
      </c>
      <c r="B107" s="3">
        <v>3</v>
      </c>
      <c r="C107" s="3">
        <v>6.6</v>
      </c>
      <c r="D107" s="8">
        <v>2.1</v>
      </c>
      <c r="E107" s="9" t="s">
        <v>11</v>
      </c>
      <c r="F107" s="50" t="s">
        <v>7</v>
      </c>
      <c r="G107" s="43" t="str">
        <f t="shared" si="11"/>
        <v>virginica</v>
      </c>
      <c r="H107" s="3" cm="1">
        <f t="array" ref="H107">X$8*EstymacjaGaussowska($C107,$C$2:$C$51,X$14)*EstymacjaGaussowska($D107,$D$2:$D$51,X$15)+Y$8*EstymacjaGaussowska($C107,$C$52:$C$101,Y$14)*EstymacjaGaussowska($D107,$D$52:$D$101,Y$15)+Z$8*EstymacjaGaussowska($C107,$C$102:$C$151,Z$14)*EstymacjaGaussowska($D107,$D$102:$D$151,Z$15)</f>
        <v>5.9337407452298173E-2</v>
      </c>
      <c r="I107" s="3" cm="1">
        <f t="array" ref="I107">X$8*EstymacjaGaussowska($C107,$C$2:$C$51,X$14)*EstymacjaGaussowska($D107,$D$2:$D$51,X$15)/$H107</f>
        <v>0</v>
      </c>
      <c r="J107" s="3" cm="1">
        <f t="array" ref="J107">Y$8*EstymacjaGaussowska($C107,$C$52:$C$101,Y$14)*EstymacjaGaussowska($D107,$D$52:$D$101,Y$15)/$H107</f>
        <v>5.0584844461606928E-14</v>
      </c>
      <c r="K107" s="42" cm="1">
        <f t="array" ref="K107">Z$8*EstymacjaGaussowska($C107,$C$102:$C$151,Z$14)*EstymacjaGaussowska($D107,$D$102:$D$151,Z$15)/$H107</f>
        <v>0.99999999999994937</v>
      </c>
      <c r="L107" s="43" t="str">
        <f t="shared" si="9"/>
        <v>virginica</v>
      </c>
      <c r="M107" s="3" cm="1">
        <f t="array" ref="M107">X$8*EstymacjaGaussowska($C107,$C$2:$C$51,X$14)*EstymacjaGaussowska($D107,$D$2:$D$51,X$15)*VLOOKUP($E107,$W$29:$AA$32,2)+Y$8*EstymacjaGaussowska($C107,$C$52:$C$101,Y$14)*EstymacjaGaussowska($D107,$D$52:$D$101,Y$15)*VLOOKUP($E107,$W$29:$AA$32,3)+Z$8*EstymacjaGaussowska($C107,$C$102:$C$151,Z$14)*EstymacjaGaussowska($D107,$D$102:$D$151,Z$15)*VLOOKUP($E107,$W$29:$AA$32,4)</f>
        <v>3.5602444471377642E-2</v>
      </c>
      <c r="N107" s="3" cm="1">
        <f t="array" ref="N107">X$8*EstymacjaGaussowska($C107,$C$2:$C$51,X$14)*EstymacjaGaussowska($D107,$D$2:$D$51,X$15)*VLOOKUP($E107,$W$29:$AA$32,2)/$M107</f>
        <v>0</v>
      </c>
      <c r="O107" s="3" cm="1">
        <f t="array" ref="O107">Y$8*EstymacjaGaussowska($C107,$C$52:$C$101,Y$14)*EstymacjaGaussowska($D107,$D$52:$D$101,Y$15)*VLOOKUP($E107,$W$29:$AA$32,3)/$M107</f>
        <v>1.5175453338482616E-14</v>
      </c>
      <c r="P107" s="42" cm="1">
        <f t="array" ref="P107">Z$8*EstymacjaGaussowska($C107,$C$102:$C$151,Z$14)*EstymacjaGaussowska($D107,$D$102:$D$151,Z$15)*VLOOKUP($E107,$W$29:$AA$32,4)/$M107</f>
        <v>0.99999999999998479</v>
      </c>
      <c r="Q107" s="43" t="str">
        <f t="shared" si="10"/>
        <v>virginica</v>
      </c>
      <c r="R107" s="3" cm="1">
        <f t="array" ref="R107">X$8*EstymacjaGaussowska($C107,$C$2:$C$51,X$14)*EstymacjaGaussowska($D107,$D$2:$D$51,X$15)*EstymacjaGaussowska($A107,$A$2:$A$51,X$18)*EstymacjaGaussowska($B107,$B$2:$B$51,X$19)*VLOOKUP($E107,$W$29:$AA$32,2)+Y$8*EstymacjaGaussowska($C107,$C$52:$C$101,Y$14)*EstymacjaGaussowska($D107,$D$52:$D$101,Y$15)*EstymacjaGaussowska($A107,$A$52:$A$101,Y$18)*EstymacjaGaussowska($B107,$B$52:$B$101,Y$19)*VLOOKUP($E107,$W$29:$AA$32,3)+Z$8*EstymacjaGaussowska($C107,$C$102:$C$151,Z$14)*EstymacjaGaussowska($D107,$D$102:$D$151,Z$15)*EstymacjaGaussowska($A107,$A$102:$A$151,Z$18)*EstymacjaGaussowska($B107,$B$102:$B$151,Z$19)*VLOOKUP($E107,$W$29:$AA$32,4)</f>
        <v>9.8846636803609066E-3</v>
      </c>
      <c r="S107" s="3" cm="1">
        <f t="array" ref="S107">X$8*EstymacjaGaussowska($C107,$C$2:$C$51,X$14)*EstymacjaGaussowska($D107,$D$2:$D$51,X$15)*EstymacjaGaussowska($A107,$A$2:$A$51,X$18)*EstymacjaGaussowska($B107,$B$2:$B$51,X$19)*VLOOKUP($E107,$W$29:$AA$32,2)/$R107</f>
        <v>0</v>
      </c>
      <c r="T107" s="3" cm="1">
        <f t="array" ref="T107">Y$8*EstymacjaGaussowska($C107,$C$52:$C$101,Y$14)*EstymacjaGaussowska($D107,$D$52:$D$101,Y$15)*EstymacjaGaussowska($A107,$A$52:$A$101,Y$18)*EstymacjaGaussowska($B107,$B$52:$B$101,Y$19)*VLOOKUP($E107,$W$29:$AA$32,3)/$R107</f>
        <v>1.6743529335988698E-16</v>
      </c>
      <c r="U107" s="42" cm="1">
        <f t="array" ref="U107">Z$8*EstymacjaGaussowska($C107,$C$102:$C$151,Z$14)*EstymacjaGaussowska($D107,$D$102:$D$151,Z$15)*EstymacjaGaussowska($A107,$A$102:$A$151,Z$18)*EstymacjaGaussowska($B107,$B$102:$B$151,Z$19)*VLOOKUP($E107,$W$29:$AA$32,4)/$R107</f>
        <v>0.99999999999999978</v>
      </c>
    </row>
    <row r="108" spans="1:21" x14ac:dyDescent="0.25">
      <c r="A108" s="9">
        <v>4.9000000000000004</v>
      </c>
      <c r="B108" s="3">
        <v>2.5</v>
      </c>
      <c r="C108" s="3">
        <v>4.5</v>
      </c>
      <c r="D108" s="8">
        <v>1.7</v>
      </c>
      <c r="E108" s="9" t="s">
        <v>11</v>
      </c>
      <c r="F108" s="50" t="s">
        <v>7</v>
      </c>
      <c r="G108" s="43" t="str">
        <f t="shared" si="11"/>
        <v>versicolor</v>
      </c>
      <c r="H108" s="3" cm="1">
        <f t="array" ref="H108">X$8*EstymacjaGaussowska($C108,$C$2:$C$51,X$14)*EstymacjaGaussowska($D108,$D$2:$D$51,X$15)+Y$8*EstymacjaGaussowska($C108,$C$52:$C$101,Y$14)*EstymacjaGaussowska($D108,$D$52:$D$101,Y$15)+Z$8*EstymacjaGaussowska($C108,$C$102:$C$151,Z$14)*EstymacjaGaussowska($D108,$D$102:$D$151,Z$15)</f>
        <v>0.13076316545470595</v>
      </c>
      <c r="I108" s="3" cm="1">
        <f t="array" ref="I108">X$8*EstymacjaGaussowska($C108,$C$2:$C$51,X$14)*EstymacjaGaussowska($D108,$D$2:$D$51,X$15)/$H108</f>
        <v>0</v>
      </c>
      <c r="J108" s="3" cm="1">
        <f t="array" ref="J108">Y$8*EstymacjaGaussowska($C108,$C$52:$C$101,Y$14)*EstymacjaGaussowska($D108,$D$52:$D$101,Y$15)/$H108</f>
        <v>0.75031267897484955</v>
      </c>
      <c r="K108" s="42" cm="1">
        <f t="array" ref="K108">Z$8*EstymacjaGaussowska($C108,$C$102:$C$151,Z$14)*EstymacjaGaussowska($D108,$D$102:$D$151,Z$15)/$H108</f>
        <v>0.24968732102515054</v>
      </c>
      <c r="L108" s="43" t="str">
        <f t="shared" si="9"/>
        <v>virginica</v>
      </c>
      <c r="M108" s="3" cm="1">
        <f t="array" ref="M108">X$8*EstymacjaGaussowska($C108,$C$2:$C$51,X$14)*EstymacjaGaussowska($D108,$D$2:$D$51,X$15)*VLOOKUP($E108,$W$29:$AA$32,2)+Y$8*EstymacjaGaussowska($C108,$C$52:$C$101,Y$14)*EstymacjaGaussowska($D108,$D$52:$D$101,Y$15)*VLOOKUP($E108,$W$29:$AA$32,3)+Z$8*EstymacjaGaussowska($C108,$C$102:$C$151,Z$14)*EstymacjaGaussowska($D108,$D$102:$D$151,Z$15)*VLOOKUP($E108,$W$29:$AA$32,4)</f>
        <v>3.7250329659731768E-2</v>
      </c>
      <c r="N108" s="3" cm="1">
        <f t="array" ref="N108">X$8*EstymacjaGaussowska($C108,$C$2:$C$51,X$14)*EstymacjaGaussowska($D108,$D$2:$D$51,X$15)*VLOOKUP($E108,$W$29:$AA$32,2)/$M108</f>
        <v>0</v>
      </c>
      <c r="O108" s="3" cm="1">
        <f t="array" ref="O108">Y$8*EstymacjaGaussowska($C108,$C$52:$C$101,Y$14)*EstymacjaGaussowska($D108,$D$52:$D$101,Y$15)*VLOOKUP($E108,$W$29:$AA$32,3)/$M108</f>
        <v>0.47410015262577715</v>
      </c>
      <c r="P108" s="42" cm="1">
        <f t="array" ref="P108">Z$8*EstymacjaGaussowska($C108,$C$102:$C$151,Z$14)*EstymacjaGaussowska($D108,$D$102:$D$151,Z$15)*VLOOKUP($E108,$W$29:$AA$32,4)/$M108</f>
        <v>0.5258998473742228</v>
      </c>
      <c r="Q108" s="43" t="str">
        <f t="shared" si="10"/>
        <v>versicolor</v>
      </c>
      <c r="R108" s="3" cm="1">
        <f t="array" ref="R108">X$8*EstymacjaGaussowska($C108,$C$2:$C$51,X$14)*EstymacjaGaussowska($D108,$D$2:$D$51,X$15)*EstymacjaGaussowska($A108,$A$2:$A$51,X$18)*EstymacjaGaussowska($B108,$B$2:$B$51,X$19)*VLOOKUP($E108,$W$29:$AA$32,2)+Y$8*EstymacjaGaussowska($C108,$C$52:$C$101,Y$14)*EstymacjaGaussowska($D108,$D$52:$D$101,Y$15)*EstymacjaGaussowska($A108,$A$52:$A$101,Y$18)*EstymacjaGaussowska($B108,$B$52:$B$101,Y$19)*VLOOKUP($E108,$W$29:$AA$32,3)+Z$8*EstymacjaGaussowska($C108,$C$102:$C$151,Z$14)*EstymacjaGaussowska($D108,$D$102:$D$151,Z$15)*EstymacjaGaussowska($A108,$A$102:$A$151,Z$18)*EstymacjaGaussowska($B108,$B$102:$B$151,Z$19)*VLOOKUP($E108,$W$29:$AA$32,4)</f>
        <v>2.1250899778919564E-3</v>
      </c>
      <c r="S108" s="3" cm="1">
        <f t="array" ref="S108">X$8*EstymacjaGaussowska($C108,$C$2:$C$51,X$14)*EstymacjaGaussowska($D108,$D$2:$D$51,X$15)*EstymacjaGaussowska($A108,$A$2:$A$51,X$18)*EstymacjaGaussowska($B108,$B$2:$B$51,X$19)*VLOOKUP($E108,$W$29:$AA$32,2)/$R108</f>
        <v>0</v>
      </c>
      <c r="T108" s="3" cm="1">
        <f t="array" ref="T108">Y$8*EstymacjaGaussowska($C108,$C$52:$C$101,Y$14)*EstymacjaGaussowska($D108,$D$52:$D$101,Y$15)*EstymacjaGaussowska($A108,$A$52:$A$101,Y$18)*EstymacjaGaussowska($B108,$B$52:$B$101,Y$19)*VLOOKUP($E108,$W$29:$AA$32,3)/$R108</f>
        <v>0.87293967186233801</v>
      </c>
      <c r="U108" s="42" cm="1">
        <f t="array" ref="U108">Z$8*EstymacjaGaussowska($C108,$C$102:$C$151,Z$14)*EstymacjaGaussowska($D108,$D$102:$D$151,Z$15)*EstymacjaGaussowska($A108,$A$102:$A$151,Z$18)*EstymacjaGaussowska($B108,$B$102:$B$151,Z$19)*VLOOKUP($E108,$W$29:$AA$32,4)/$R108</f>
        <v>0.12706032813766191</v>
      </c>
    </row>
    <row r="109" spans="1:21" x14ac:dyDescent="0.25">
      <c r="A109" s="9">
        <v>7.3</v>
      </c>
      <c r="B109" s="3">
        <v>2.9</v>
      </c>
      <c r="C109" s="3">
        <v>6.3</v>
      </c>
      <c r="D109" s="8">
        <v>1.8</v>
      </c>
      <c r="E109" s="9" t="s">
        <v>11</v>
      </c>
      <c r="F109" s="50" t="s">
        <v>7</v>
      </c>
      <c r="G109" s="43" t="str">
        <f t="shared" si="11"/>
        <v>virginica</v>
      </c>
      <c r="H109" s="3" cm="1">
        <f t="array" ref="H109">X$8*EstymacjaGaussowska($C109,$C$2:$C$51,X$14)*EstymacjaGaussowska($D109,$D$2:$D$51,X$15)+Y$8*EstymacjaGaussowska($C109,$C$52:$C$101,Y$14)*EstymacjaGaussowska($D109,$D$52:$D$101,Y$15)+Z$8*EstymacjaGaussowska($C109,$C$102:$C$151,Z$14)*EstymacjaGaussowska($D109,$D$102:$D$151,Z$15)</f>
        <v>9.0195213592677292E-2</v>
      </c>
      <c r="I109" s="3" cm="1">
        <f t="array" ref="I109">X$8*EstymacjaGaussowska($C109,$C$2:$C$51,X$14)*EstymacjaGaussowska($D109,$D$2:$D$51,X$15)/$H109</f>
        <v>0</v>
      </c>
      <c r="J109" s="3" cm="1">
        <f t="array" ref="J109">Y$8*EstymacjaGaussowska($C109,$C$52:$C$101,Y$14)*EstymacjaGaussowska($D109,$D$52:$D$101,Y$15)/$H109</f>
        <v>2.2348928505042112E-8</v>
      </c>
      <c r="K109" s="42" cm="1">
        <f t="array" ref="K109">Z$8*EstymacjaGaussowska($C109,$C$102:$C$151,Z$14)*EstymacjaGaussowska($D109,$D$102:$D$151,Z$15)/$H109</f>
        <v>0.99999997765107163</v>
      </c>
      <c r="L109" s="43" t="str">
        <f t="shared" si="9"/>
        <v>virginica</v>
      </c>
      <c r="M109" s="3" cm="1">
        <f t="array" ref="M109">X$8*EstymacjaGaussowska($C109,$C$2:$C$51,X$14)*EstymacjaGaussowska($D109,$D$2:$D$51,X$15)*VLOOKUP($E109,$W$29:$AA$32,2)+Y$8*EstymacjaGaussowska($C109,$C$52:$C$101,Y$14)*EstymacjaGaussowska($D109,$D$52:$D$101,Y$15)*VLOOKUP($E109,$W$29:$AA$32,3)+Z$8*EstymacjaGaussowska($C109,$C$102:$C$151,Z$14)*EstymacjaGaussowska($D109,$D$102:$D$151,Z$15)*VLOOKUP($E109,$W$29:$AA$32,4)</f>
        <v>5.4117127308984499E-2</v>
      </c>
      <c r="N109" s="3" cm="1">
        <f t="array" ref="N109">X$8*EstymacjaGaussowska($C109,$C$2:$C$51,X$14)*EstymacjaGaussowska($D109,$D$2:$D$51,X$15)*VLOOKUP($E109,$W$29:$AA$32,2)/$M109</f>
        <v>0</v>
      </c>
      <c r="O109" s="3" cm="1">
        <f t="array" ref="O109">Y$8*EstymacjaGaussowska($C109,$C$52:$C$101,Y$14)*EstymacjaGaussowska($D109,$D$52:$D$101,Y$15)*VLOOKUP($E109,$W$29:$AA$32,3)/$M109</f>
        <v>6.7046786564023015E-9</v>
      </c>
      <c r="P109" s="42" cm="1">
        <f t="array" ref="P109">Z$8*EstymacjaGaussowska($C109,$C$102:$C$151,Z$14)*EstymacjaGaussowska($D109,$D$102:$D$151,Z$15)*VLOOKUP($E109,$W$29:$AA$32,4)/$M109</f>
        <v>0.99999999329532141</v>
      </c>
      <c r="Q109" s="43" t="str">
        <f t="shared" si="10"/>
        <v>virginica</v>
      </c>
      <c r="R109" s="3" cm="1">
        <f t="array" ref="R109">X$8*EstymacjaGaussowska($C109,$C$2:$C$51,X$14)*EstymacjaGaussowska($D109,$D$2:$D$51,X$15)*EstymacjaGaussowska($A109,$A$2:$A$51,X$18)*EstymacjaGaussowska($B109,$B$2:$B$51,X$19)*VLOOKUP($E109,$W$29:$AA$32,2)+Y$8*EstymacjaGaussowska($C109,$C$52:$C$101,Y$14)*EstymacjaGaussowska($D109,$D$52:$D$101,Y$15)*EstymacjaGaussowska($A109,$A$52:$A$101,Y$18)*EstymacjaGaussowska($B109,$B$52:$B$101,Y$19)*VLOOKUP($E109,$W$29:$AA$32,3)+Z$8*EstymacjaGaussowska($C109,$C$102:$C$151,Z$14)*EstymacjaGaussowska($D109,$D$102:$D$151,Z$15)*EstymacjaGaussowska($A109,$A$102:$A$151,Z$18)*EstymacjaGaussowska($B109,$B$102:$B$151,Z$19)*VLOOKUP($E109,$W$29:$AA$32,4)</f>
        <v>1.8137423674231358E-2</v>
      </c>
      <c r="S109" s="3" cm="1">
        <f t="array" ref="S109">X$8*EstymacjaGaussowska($C109,$C$2:$C$51,X$14)*EstymacjaGaussowska($D109,$D$2:$D$51,X$15)*EstymacjaGaussowska($A109,$A$2:$A$51,X$18)*EstymacjaGaussowska($B109,$B$2:$B$51,X$19)*VLOOKUP($E109,$W$29:$AA$32,2)/$R109</f>
        <v>0</v>
      </c>
      <c r="T109" s="3" cm="1">
        <f t="array" ref="T109">Y$8*EstymacjaGaussowska($C109,$C$52:$C$101,Y$14)*EstymacjaGaussowska($D109,$D$52:$D$101,Y$15)*EstymacjaGaussowska($A109,$A$52:$A$101,Y$18)*EstymacjaGaussowska($B109,$B$52:$B$101,Y$19)*VLOOKUP($E109,$W$29:$AA$32,3)/$R109</f>
        <v>8.5111259270152497E-10</v>
      </c>
      <c r="U109" s="42" cm="1">
        <f t="array" ref="U109">Z$8*EstymacjaGaussowska($C109,$C$102:$C$151,Z$14)*EstymacjaGaussowska($D109,$D$102:$D$151,Z$15)*EstymacjaGaussowska($A109,$A$102:$A$151,Z$18)*EstymacjaGaussowska($B109,$B$102:$B$151,Z$19)*VLOOKUP($E109,$W$29:$AA$32,4)/$R109</f>
        <v>0.99999999914888749</v>
      </c>
    </row>
    <row r="110" spans="1:21" x14ac:dyDescent="0.25">
      <c r="A110" s="9">
        <v>6.7</v>
      </c>
      <c r="B110" s="3">
        <v>2.5</v>
      </c>
      <c r="C110" s="3">
        <v>5.8</v>
      </c>
      <c r="D110" s="8">
        <v>1.8</v>
      </c>
      <c r="E110" s="9" t="s">
        <v>11</v>
      </c>
      <c r="F110" s="50" t="s">
        <v>7</v>
      </c>
      <c r="G110" s="43" t="str">
        <f t="shared" si="11"/>
        <v>virginica</v>
      </c>
      <c r="H110" s="3" cm="1">
        <f t="array" ref="H110">X$8*EstymacjaGaussowska($C110,$C$2:$C$51,X$14)*EstymacjaGaussowska($D110,$D$2:$D$51,X$15)+Y$8*EstymacjaGaussowska($C110,$C$52:$C$101,Y$14)*EstymacjaGaussowska($D110,$D$52:$D$101,Y$15)+Z$8*EstymacjaGaussowska($C110,$C$102:$C$151,Z$14)*EstymacjaGaussowska($D110,$D$102:$D$151,Z$15)</f>
        <v>0.20501132713291217</v>
      </c>
      <c r="I110" s="3" cm="1">
        <f t="array" ref="I110">X$8*EstymacjaGaussowska($C110,$C$2:$C$51,X$14)*EstymacjaGaussowska($D110,$D$2:$D$51,X$15)/$H110</f>
        <v>0</v>
      </c>
      <c r="J110" s="3" cm="1">
        <f t="array" ref="J110">Y$8*EstymacjaGaussowska($C110,$C$52:$C$101,Y$14)*EstymacjaGaussowska($D110,$D$52:$D$101,Y$15)/$H110</f>
        <v>1.1345751378286544E-4</v>
      </c>
      <c r="K110" s="42" cm="1">
        <f t="array" ref="K110">Z$8*EstymacjaGaussowska($C110,$C$102:$C$151,Z$14)*EstymacjaGaussowska($D110,$D$102:$D$151,Z$15)/$H110</f>
        <v>0.99988654248621722</v>
      </c>
      <c r="L110" s="43" t="str">
        <f t="shared" si="9"/>
        <v>virginica</v>
      </c>
      <c r="M110" s="3" cm="1">
        <f t="array" ref="M110">X$8*EstymacjaGaussowska($C110,$C$2:$C$51,X$14)*EstymacjaGaussowska($D110,$D$2:$D$51,X$15)*VLOOKUP($E110,$W$29:$AA$32,2)+Y$8*EstymacjaGaussowska($C110,$C$52:$C$101,Y$14)*EstymacjaGaussowska($D110,$D$52:$D$101,Y$15)*VLOOKUP($E110,$W$29:$AA$32,3)+Z$8*EstymacjaGaussowska($C110,$C$102:$C$151,Z$14)*EstymacjaGaussowska($D110,$D$102:$D$151,Z$15)*VLOOKUP($E110,$W$29:$AA$32,4)</f>
        <v>0.1229970270480483</v>
      </c>
      <c r="N110" s="3" cm="1">
        <f t="array" ref="N110">X$8*EstymacjaGaussowska($C110,$C$2:$C$51,X$14)*EstymacjaGaussowska($D110,$D$2:$D$51,X$15)*VLOOKUP($E110,$W$29:$AA$32,2)/$M110</f>
        <v>0</v>
      </c>
      <c r="O110" s="3" cm="1">
        <f t="array" ref="O110">Y$8*EstymacjaGaussowska($C110,$C$52:$C$101,Y$14)*EstymacjaGaussowska($D110,$D$52:$D$101,Y$15)*VLOOKUP($E110,$W$29:$AA$32,3)/$M110</f>
        <v>3.4039957597130399E-5</v>
      </c>
      <c r="P110" s="42" cm="1">
        <f t="array" ref="P110">Z$8*EstymacjaGaussowska($C110,$C$102:$C$151,Z$14)*EstymacjaGaussowska($D110,$D$102:$D$151,Z$15)*VLOOKUP($E110,$W$29:$AA$32,4)/$M110</f>
        <v>0.9999659600424029</v>
      </c>
      <c r="Q110" s="43" t="str">
        <f t="shared" si="10"/>
        <v>virginica</v>
      </c>
      <c r="R110" s="3" cm="1">
        <f t="array" ref="R110">X$8*EstymacjaGaussowska($C110,$C$2:$C$51,X$14)*EstymacjaGaussowska($D110,$D$2:$D$51,X$15)*EstymacjaGaussowska($A110,$A$2:$A$51,X$18)*EstymacjaGaussowska($B110,$B$2:$B$51,X$19)*VLOOKUP($E110,$W$29:$AA$32,2)+Y$8*EstymacjaGaussowska($C110,$C$52:$C$101,Y$14)*EstymacjaGaussowska($D110,$D$52:$D$101,Y$15)*EstymacjaGaussowska($A110,$A$52:$A$101,Y$18)*EstymacjaGaussowska($B110,$B$52:$B$101,Y$19)*VLOOKUP($E110,$W$29:$AA$32,3)+Z$8*EstymacjaGaussowska($C110,$C$102:$C$151,Z$14)*EstymacjaGaussowska($D110,$D$102:$D$151,Z$15)*EstymacjaGaussowska($A110,$A$102:$A$151,Z$18)*EstymacjaGaussowska($B110,$B$102:$B$151,Z$19)*VLOOKUP($E110,$W$29:$AA$32,4)</f>
        <v>3.0381688890005452E-2</v>
      </c>
      <c r="S110" s="3" cm="1">
        <f t="array" ref="S110">X$8*EstymacjaGaussowska($C110,$C$2:$C$51,X$14)*EstymacjaGaussowska($D110,$D$2:$D$51,X$15)*EstymacjaGaussowska($A110,$A$2:$A$51,X$18)*EstymacjaGaussowska($B110,$B$2:$B$51,X$19)*VLOOKUP($E110,$W$29:$AA$32,2)/$R110</f>
        <v>0</v>
      </c>
      <c r="T110" s="3" cm="1">
        <f t="array" ref="T110">Y$8*EstymacjaGaussowska($C110,$C$52:$C$101,Y$14)*EstymacjaGaussowska($D110,$D$52:$D$101,Y$15)*EstymacjaGaussowska($A110,$A$52:$A$101,Y$18)*EstymacjaGaussowska($B110,$B$52:$B$101,Y$19)*VLOOKUP($E110,$W$29:$AA$32,3)/$R110</f>
        <v>3.174004495158273E-5</v>
      </c>
      <c r="U110" s="42" cm="1">
        <f t="array" ref="U110">Z$8*EstymacjaGaussowska($C110,$C$102:$C$151,Z$14)*EstymacjaGaussowska($D110,$D$102:$D$151,Z$15)*EstymacjaGaussowska($A110,$A$102:$A$151,Z$18)*EstymacjaGaussowska($B110,$B$102:$B$151,Z$19)*VLOOKUP($E110,$W$29:$AA$32,4)/$R110</f>
        <v>0.99996825995504834</v>
      </c>
    </row>
    <row r="111" spans="1:21" x14ac:dyDescent="0.25">
      <c r="A111" s="9">
        <v>7.2</v>
      </c>
      <c r="B111" s="3">
        <v>3.6</v>
      </c>
      <c r="C111" s="3">
        <v>6.1</v>
      </c>
      <c r="D111" s="8">
        <v>2.5</v>
      </c>
      <c r="E111" s="9" t="s">
        <v>11</v>
      </c>
      <c r="F111" s="50" t="s">
        <v>7</v>
      </c>
      <c r="G111" s="43" t="str">
        <f t="shared" si="11"/>
        <v>virginica</v>
      </c>
      <c r="H111" s="3" cm="1">
        <f t="array" ref="H111">X$8*EstymacjaGaussowska($C111,$C$2:$C$51,X$14)*EstymacjaGaussowska($D111,$D$2:$D$51,X$15)+Y$8*EstymacjaGaussowska($C111,$C$52:$C$101,Y$14)*EstymacjaGaussowska($D111,$D$52:$D$101,Y$15)+Z$8*EstymacjaGaussowska($C111,$C$102:$C$151,Z$14)*EstymacjaGaussowska($D111,$D$102:$D$151,Z$15)</f>
        <v>5.8268783318084397E-2</v>
      </c>
      <c r="I111" s="3" cm="1">
        <f t="array" ref="I111">X$8*EstymacjaGaussowska($C111,$C$2:$C$51,X$14)*EstymacjaGaussowska($D111,$D$2:$D$51,X$15)/$H111</f>
        <v>0</v>
      </c>
      <c r="J111" s="3" cm="1">
        <f t="array" ref="J111">Y$8*EstymacjaGaussowska($C111,$C$52:$C$101,Y$14)*EstymacjaGaussowska($D111,$D$52:$D$101,Y$15)/$H111</f>
        <v>3.3414856329055694E-18</v>
      </c>
      <c r="K111" s="42" cm="1">
        <f t="array" ref="K111">Z$8*EstymacjaGaussowska($C111,$C$102:$C$151,Z$14)*EstymacjaGaussowska($D111,$D$102:$D$151,Z$15)/$H111</f>
        <v>1</v>
      </c>
      <c r="L111" s="43" t="str">
        <f t="shared" si="9"/>
        <v>virginica</v>
      </c>
      <c r="M111" s="3" cm="1">
        <f t="array" ref="M111">X$8*EstymacjaGaussowska($C111,$C$2:$C$51,X$14)*EstymacjaGaussowska($D111,$D$2:$D$51,X$15)*VLOOKUP($E111,$W$29:$AA$32,2)+Y$8*EstymacjaGaussowska($C111,$C$52:$C$101,Y$14)*EstymacjaGaussowska($D111,$D$52:$D$101,Y$15)*VLOOKUP($E111,$W$29:$AA$32,3)+Z$8*EstymacjaGaussowska($C111,$C$102:$C$151,Z$14)*EstymacjaGaussowska($D111,$D$102:$D$151,Z$15)*VLOOKUP($E111,$W$29:$AA$32,4)</f>
        <v>3.4961269990850634E-2</v>
      </c>
      <c r="N111" s="3" cm="1">
        <f t="array" ref="N111">X$8*EstymacjaGaussowska($C111,$C$2:$C$51,X$14)*EstymacjaGaussowska($D111,$D$2:$D$51,X$15)*VLOOKUP($E111,$W$29:$AA$32,2)/$M111</f>
        <v>0</v>
      </c>
      <c r="O111" s="3" cm="1">
        <f t="array" ref="O111">Y$8*EstymacjaGaussowska($C111,$C$52:$C$101,Y$14)*EstymacjaGaussowska($D111,$D$52:$D$101,Y$15)*VLOOKUP($E111,$W$29:$AA$32,3)/$M111</f>
        <v>1.0024456898716709E-18</v>
      </c>
      <c r="P111" s="42" cm="1">
        <f t="array" ref="P111">Z$8*EstymacjaGaussowska($C111,$C$102:$C$151,Z$14)*EstymacjaGaussowska($D111,$D$102:$D$151,Z$15)*VLOOKUP($E111,$W$29:$AA$32,4)/$M111</f>
        <v>1</v>
      </c>
      <c r="Q111" s="43" t="str">
        <f t="shared" si="10"/>
        <v>virginica</v>
      </c>
      <c r="R111" s="3" cm="1">
        <f t="array" ref="R111">X$8*EstymacjaGaussowska($C111,$C$2:$C$51,X$14)*EstymacjaGaussowska($D111,$D$2:$D$51,X$15)*EstymacjaGaussowska($A111,$A$2:$A$51,X$18)*EstymacjaGaussowska($B111,$B$2:$B$51,X$19)*VLOOKUP($E111,$W$29:$AA$32,2)+Y$8*EstymacjaGaussowska($C111,$C$52:$C$101,Y$14)*EstymacjaGaussowska($D111,$D$52:$D$101,Y$15)*EstymacjaGaussowska($A111,$A$52:$A$101,Y$18)*EstymacjaGaussowska($B111,$B$52:$B$101,Y$19)*VLOOKUP($E111,$W$29:$AA$32,3)+Z$8*EstymacjaGaussowska($C111,$C$102:$C$151,Z$14)*EstymacjaGaussowska($D111,$D$102:$D$151,Z$15)*EstymacjaGaussowska($A111,$A$102:$A$151,Z$18)*EstymacjaGaussowska($B111,$B$102:$B$151,Z$19)*VLOOKUP($E111,$W$29:$AA$32,4)</f>
        <v>1.9081113648144251E-3</v>
      </c>
      <c r="S111" s="3" cm="1">
        <f t="array" ref="S111">X$8*EstymacjaGaussowska($C111,$C$2:$C$51,X$14)*EstymacjaGaussowska($D111,$D$2:$D$51,X$15)*EstymacjaGaussowska($A111,$A$2:$A$51,X$18)*EstymacjaGaussowska($B111,$B$2:$B$51,X$19)*VLOOKUP($E111,$W$29:$AA$32,2)/$R111</f>
        <v>0</v>
      </c>
      <c r="T111" s="3" cm="1">
        <f t="array" ref="T111">Y$8*EstymacjaGaussowska($C111,$C$52:$C$101,Y$14)*EstymacjaGaussowska($D111,$D$52:$D$101,Y$15)*EstymacjaGaussowska($A111,$A$52:$A$101,Y$18)*EstymacjaGaussowska($B111,$B$52:$B$101,Y$19)*VLOOKUP($E111,$W$29:$AA$32,3)/$R111</f>
        <v>4.257583932461832E-20</v>
      </c>
      <c r="U111" s="42" cm="1">
        <f t="array" ref="U111">Z$8*EstymacjaGaussowska($C111,$C$102:$C$151,Z$14)*EstymacjaGaussowska($D111,$D$102:$D$151,Z$15)*EstymacjaGaussowska($A111,$A$102:$A$151,Z$18)*EstymacjaGaussowska($B111,$B$102:$B$151,Z$19)*VLOOKUP($E111,$W$29:$AA$32,4)/$R111</f>
        <v>1</v>
      </c>
    </row>
    <row r="112" spans="1:21" x14ac:dyDescent="0.25">
      <c r="A112" s="9">
        <v>6.5</v>
      </c>
      <c r="B112" s="3">
        <v>3.2</v>
      </c>
      <c r="C112" s="3">
        <v>5.0999999999999996</v>
      </c>
      <c r="D112" s="8">
        <v>2</v>
      </c>
      <c r="E112" s="9" t="s">
        <v>11</v>
      </c>
      <c r="F112" s="50" t="s">
        <v>7</v>
      </c>
      <c r="G112" s="43" t="str">
        <f t="shared" si="11"/>
        <v>virginica</v>
      </c>
      <c r="H112" s="3" cm="1">
        <f t="array" ref="H112">X$8*EstymacjaGaussowska($C112,$C$2:$C$51,X$14)*EstymacjaGaussowska($D112,$D$2:$D$51,X$15)+Y$8*EstymacjaGaussowska($C112,$C$52:$C$101,Y$14)*EstymacjaGaussowska($D112,$D$52:$D$101,Y$15)+Z$8*EstymacjaGaussowska($C112,$C$102:$C$151,Z$14)*EstymacjaGaussowska($D112,$D$102:$D$151,Z$15)</f>
        <v>0.23472383769987795</v>
      </c>
      <c r="I112" s="3" cm="1">
        <f t="array" ref="I112">X$8*EstymacjaGaussowska($C112,$C$2:$C$51,X$14)*EstymacjaGaussowska($D112,$D$2:$D$51,X$15)/$H112</f>
        <v>0</v>
      </c>
      <c r="J112" s="3" cm="1">
        <f t="array" ref="J112">Y$8*EstymacjaGaussowska($C112,$C$52:$C$101,Y$14)*EstymacjaGaussowska($D112,$D$52:$D$101,Y$15)/$H112</f>
        <v>2.8693487603192775E-3</v>
      </c>
      <c r="K112" s="42" cm="1">
        <f t="array" ref="K112">Z$8*EstymacjaGaussowska($C112,$C$102:$C$151,Z$14)*EstymacjaGaussowska($D112,$D$102:$D$151,Z$15)/$H112</f>
        <v>0.9971306512396807</v>
      </c>
      <c r="L112" s="43" t="str">
        <f t="shared" si="9"/>
        <v>virginica</v>
      </c>
      <c r="M112" s="3" cm="1">
        <f t="array" ref="M112">X$8*EstymacjaGaussowska($C112,$C$2:$C$51,X$14)*EstymacjaGaussowska($D112,$D$2:$D$51,X$15)*VLOOKUP($E112,$W$29:$AA$32,2)+Y$8*EstymacjaGaussowska($C112,$C$52:$C$101,Y$14)*EstymacjaGaussowska($D112,$D$52:$D$101,Y$15)*VLOOKUP($E112,$W$29:$AA$32,3)+Z$8*EstymacjaGaussowska($C112,$C$102:$C$151,Z$14)*EstymacjaGaussowska($D112,$D$102:$D$151,Z$15)*VLOOKUP($E112,$W$29:$AA$32,4)</f>
        <v>0.14055143070778373</v>
      </c>
      <c r="N112" s="3" cm="1">
        <f t="array" ref="N112">X$8*EstymacjaGaussowska($C112,$C$2:$C$51,X$14)*EstymacjaGaussowska($D112,$D$2:$D$51,X$15)*VLOOKUP($E112,$W$29:$AA$32,2)/$M112</f>
        <v>0</v>
      </c>
      <c r="O112" s="3" cm="1">
        <f t="array" ref="O112">Y$8*EstymacjaGaussowska($C112,$C$52:$C$101,Y$14)*EstymacjaGaussowska($D112,$D$52:$D$101,Y$15)*VLOOKUP($E112,$W$29:$AA$32,3)/$M112</f>
        <v>8.6253707187031355E-4</v>
      </c>
      <c r="P112" s="42" cm="1">
        <f t="array" ref="P112">Z$8*EstymacjaGaussowska($C112,$C$102:$C$151,Z$14)*EstymacjaGaussowska($D112,$D$102:$D$151,Z$15)*VLOOKUP($E112,$W$29:$AA$32,4)/$M112</f>
        <v>0.99913746292812977</v>
      </c>
      <c r="Q112" s="43" t="str">
        <f t="shared" si="10"/>
        <v>virginica</v>
      </c>
      <c r="R112" s="3" cm="1">
        <f t="array" ref="R112">X$8*EstymacjaGaussowska($C112,$C$2:$C$51,X$14)*EstymacjaGaussowska($D112,$D$2:$D$51,X$15)*EstymacjaGaussowska($A112,$A$2:$A$51,X$18)*EstymacjaGaussowska($B112,$B$2:$B$51,X$19)*VLOOKUP($E112,$W$29:$AA$32,2)+Y$8*EstymacjaGaussowska($C112,$C$52:$C$101,Y$14)*EstymacjaGaussowska($D112,$D$52:$D$101,Y$15)*EstymacjaGaussowska($A112,$A$52:$A$101,Y$18)*EstymacjaGaussowska($B112,$B$52:$B$101,Y$19)*VLOOKUP($E112,$W$29:$AA$32,3)+Z$8*EstymacjaGaussowska($C112,$C$102:$C$151,Z$14)*EstymacjaGaussowska($D112,$D$102:$D$151,Z$15)*EstymacjaGaussowska($A112,$A$102:$A$151,Z$18)*EstymacjaGaussowska($B112,$B$102:$B$151,Z$19)*VLOOKUP($E112,$W$29:$AA$32,4)</f>
        <v>7.7248406811032205E-2</v>
      </c>
      <c r="S112" s="3" cm="1">
        <f t="array" ref="S112">X$8*EstymacjaGaussowska($C112,$C$2:$C$51,X$14)*EstymacjaGaussowska($D112,$D$2:$D$51,X$15)*EstymacjaGaussowska($A112,$A$2:$A$51,X$18)*EstymacjaGaussowska($B112,$B$2:$B$51,X$19)*VLOOKUP($E112,$W$29:$AA$32,2)/$R112</f>
        <v>0</v>
      </c>
      <c r="T112" s="3" cm="1">
        <f t="array" ref="T112">Y$8*EstymacjaGaussowska($C112,$C$52:$C$101,Y$14)*EstymacjaGaussowska($D112,$D$52:$D$101,Y$15)*EstymacjaGaussowska($A112,$A$52:$A$101,Y$18)*EstymacjaGaussowska($B112,$B$52:$B$101,Y$19)*VLOOKUP($E112,$W$29:$AA$32,3)/$R112</f>
        <v>3.7724420980077039E-4</v>
      </c>
      <c r="U112" s="42" cm="1">
        <f t="array" ref="U112">Z$8*EstymacjaGaussowska($C112,$C$102:$C$151,Z$14)*EstymacjaGaussowska($D112,$D$102:$D$151,Z$15)*EstymacjaGaussowska($A112,$A$102:$A$151,Z$18)*EstymacjaGaussowska($B112,$B$102:$B$151,Z$19)*VLOOKUP($E112,$W$29:$AA$32,4)/$R112</f>
        <v>0.99962275579019921</v>
      </c>
    </row>
    <row r="113" spans="1:21" x14ac:dyDescent="0.25">
      <c r="A113" s="9">
        <v>6.4</v>
      </c>
      <c r="B113" s="3">
        <v>2.7</v>
      </c>
      <c r="C113" s="3">
        <v>5.3</v>
      </c>
      <c r="D113" s="8">
        <v>1.9</v>
      </c>
      <c r="E113" s="9" t="s">
        <v>11</v>
      </c>
      <c r="F113" s="50" t="s">
        <v>7</v>
      </c>
      <c r="G113" s="43" t="str">
        <f t="shared" si="11"/>
        <v>virginica</v>
      </c>
      <c r="H113" s="3" cm="1">
        <f t="array" ref="H113">X$8*EstymacjaGaussowska($C113,$C$2:$C$51,X$14)*EstymacjaGaussowska($D113,$D$2:$D$51,X$15)+Y$8*EstymacjaGaussowska($C113,$C$52:$C$101,Y$14)*EstymacjaGaussowska($D113,$D$52:$D$101,Y$15)+Z$8*EstymacjaGaussowska($C113,$C$102:$C$151,Z$14)*EstymacjaGaussowska($D113,$D$102:$D$151,Z$15)</f>
        <v>0.26045058432370422</v>
      </c>
      <c r="I113" s="3" cm="1">
        <f t="array" ref="I113">X$8*EstymacjaGaussowska($C113,$C$2:$C$51,X$14)*EstymacjaGaussowska($D113,$D$2:$D$51,X$15)/$H113</f>
        <v>0</v>
      </c>
      <c r="J113" s="3" cm="1">
        <f t="array" ref="J113">Y$8*EstymacjaGaussowska($C113,$C$52:$C$101,Y$14)*EstymacjaGaussowska($D113,$D$52:$D$101,Y$15)/$H113</f>
        <v>5.1078160172323556E-3</v>
      </c>
      <c r="K113" s="42" cm="1">
        <f t="array" ref="K113">Z$8*EstymacjaGaussowska($C113,$C$102:$C$151,Z$14)*EstymacjaGaussowska($D113,$D$102:$D$151,Z$15)/$H113</f>
        <v>0.99489218398276769</v>
      </c>
      <c r="L113" s="43" t="str">
        <f t="shared" si="9"/>
        <v>virginica</v>
      </c>
      <c r="M113" s="3" cm="1">
        <f t="array" ref="M113">X$8*EstymacjaGaussowska($C113,$C$2:$C$51,X$14)*EstymacjaGaussowska($D113,$D$2:$D$51,X$15)*VLOOKUP($E113,$W$29:$AA$32,2)+Y$8*EstymacjaGaussowska($C113,$C$52:$C$101,Y$14)*EstymacjaGaussowska($D113,$D$52:$D$101,Y$15)*VLOOKUP($E113,$W$29:$AA$32,3)+Z$8*EstymacjaGaussowska($C113,$C$102:$C$151,Z$14)*EstymacjaGaussowska($D113,$D$102:$D$151,Z$15)*VLOOKUP($E113,$W$29:$AA$32,4)</f>
        <v>0.15571161045437396</v>
      </c>
      <c r="N113" s="3" cm="1">
        <f t="array" ref="N113">X$8*EstymacjaGaussowska($C113,$C$2:$C$51,X$14)*EstymacjaGaussowska($D113,$D$2:$D$51,X$15)*VLOOKUP($E113,$W$29:$AA$32,2)/$M113</f>
        <v>0</v>
      </c>
      <c r="O113" s="3" cm="1">
        <f t="array" ref="O113">Y$8*EstymacjaGaussowska($C113,$C$52:$C$101,Y$14)*EstymacjaGaussowska($D113,$D$52:$D$101,Y$15)*VLOOKUP($E113,$W$29:$AA$32,3)/$M113</f>
        <v>1.5378433196879136E-3</v>
      </c>
      <c r="P113" s="42" cm="1">
        <f t="array" ref="P113">Z$8*EstymacjaGaussowska($C113,$C$102:$C$151,Z$14)*EstymacjaGaussowska($D113,$D$102:$D$151,Z$15)*VLOOKUP($E113,$W$29:$AA$32,4)/$M113</f>
        <v>0.99846215668031202</v>
      </c>
      <c r="Q113" s="43" t="str">
        <f t="shared" si="10"/>
        <v>virginica</v>
      </c>
      <c r="R113" s="3" cm="1">
        <f t="array" ref="R113">X$8*EstymacjaGaussowska($C113,$C$2:$C$51,X$14)*EstymacjaGaussowska($D113,$D$2:$D$51,X$15)*EstymacjaGaussowska($A113,$A$2:$A$51,X$18)*EstymacjaGaussowska($B113,$B$2:$B$51,X$19)*VLOOKUP($E113,$W$29:$AA$32,2)+Y$8*EstymacjaGaussowska($C113,$C$52:$C$101,Y$14)*EstymacjaGaussowska($D113,$D$52:$D$101,Y$15)*EstymacjaGaussowska($A113,$A$52:$A$101,Y$18)*EstymacjaGaussowska($B113,$B$52:$B$101,Y$19)*VLOOKUP($E113,$W$29:$AA$32,3)+Z$8*EstymacjaGaussowska($C113,$C$102:$C$151,Z$14)*EstymacjaGaussowska($D113,$D$102:$D$151,Z$15)*EstymacjaGaussowska($A113,$A$102:$A$151,Z$18)*EstymacjaGaussowska($B113,$B$102:$B$151,Z$19)*VLOOKUP($E113,$W$29:$AA$32,4)</f>
        <v>8.3450697107588789E-2</v>
      </c>
      <c r="S113" s="3" cm="1">
        <f t="array" ref="S113">X$8*EstymacjaGaussowska($C113,$C$2:$C$51,X$14)*EstymacjaGaussowska($D113,$D$2:$D$51,X$15)*EstymacjaGaussowska($A113,$A$2:$A$51,X$18)*EstymacjaGaussowska($B113,$B$2:$B$51,X$19)*VLOOKUP($E113,$W$29:$AA$32,2)/$R113</f>
        <v>0</v>
      </c>
      <c r="T113" s="3" cm="1">
        <f t="array" ref="T113">Y$8*EstymacjaGaussowska($C113,$C$52:$C$101,Y$14)*EstymacjaGaussowska($D113,$D$52:$D$101,Y$15)*EstymacjaGaussowska($A113,$A$52:$A$101,Y$18)*EstymacjaGaussowska($B113,$B$52:$B$101,Y$19)*VLOOKUP($E113,$W$29:$AA$32,3)/$R113</f>
        <v>1.2702470539814198E-3</v>
      </c>
      <c r="U113" s="42" cm="1">
        <f t="array" ref="U113">Z$8*EstymacjaGaussowska($C113,$C$102:$C$151,Z$14)*EstymacjaGaussowska($D113,$D$102:$D$151,Z$15)*EstymacjaGaussowska($A113,$A$102:$A$151,Z$18)*EstymacjaGaussowska($B113,$B$102:$B$151,Z$19)*VLOOKUP($E113,$W$29:$AA$32,4)/$R113</f>
        <v>0.99872975294601862</v>
      </c>
    </row>
    <row r="114" spans="1:21" x14ac:dyDescent="0.25">
      <c r="A114" s="9">
        <v>6.8</v>
      </c>
      <c r="B114" s="3">
        <v>3</v>
      </c>
      <c r="C114" s="3">
        <v>5.5</v>
      </c>
      <c r="D114" s="8">
        <v>2.1</v>
      </c>
      <c r="E114" s="9" t="s">
        <v>11</v>
      </c>
      <c r="F114" s="50" t="s">
        <v>7</v>
      </c>
      <c r="G114" s="43" t="str">
        <f t="shared" si="11"/>
        <v>virginica</v>
      </c>
      <c r="H114" s="3" cm="1">
        <f t="array" ref="H114">X$8*EstymacjaGaussowska($C114,$C$2:$C$51,X$14)*EstymacjaGaussowska($D114,$D$2:$D$51,X$15)+Y$8*EstymacjaGaussowska($C114,$C$52:$C$101,Y$14)*EstymacjaGaussowska($D114,$D$52:$D$101,Y$15)+Z$8*EstymacjaGaussowska($C114,$C$102:$C$151,Z$14)*EstymacjaGaussowska($D114,$D$102:$D$151,Z$15)</f>
        <v>0.23014607260655984</v>
      </c>
      <c r="I114" s="3" cm="1">
        <f t="array" ref="I114">X$8*EstymacjaGaussowska($C114,$C$2:$C$51,X$14)*EstymacjaGaussowska($D114,$D$2:$D$51,X$15)/$H114</f>
        <v>0</v>
      </c>
      <c r="J114" s="3" cm="1">
        <f t="array" ref="J114">Y$8*EstymacjaGaussowska($C114,$C$52:$C$101,Y$14)*EstymacjaGaussowska($D114,$D$52:$D$101,Y$15)/$H114</f>
        <v>1.2776406693811221E-5</v>
      </c>
      <c r="K114" s="42" cm="1">
        <f t="array" ref="K114">Z$8*EstymacjaGaussowska($C114,$C$102:$C$151,Z$14)*EstymacjaGaussowska($D114,$D$102:$D$151,Z$15)/$H114</f>
        <v>0.99998722359330616</v>
      </c>
      <c r="L114" s="43" t="str">
        <f t="shared" si="9"/>
        <v>virginica</v>
      </c>
      <c r="M114" s="3" cm="1">
        <f t="array" ref="M114">X$8*EstymacjaGaussowska($C114,$C$2:$C$51,X$14)*EstymacjaGaussowska($D114,$D$2:$D$51,X$15)*VLOOKUP($E114,$W$29:$AA$32,2)+Y$8*EstymacjaGaussowska($C114,$C$52:$C$101,Y$14)*EstymacjaGaussowska($D114,$D$52:$D$101,Y$15)*VLOOKUP($E114,$W$29:$AA$32,3)+Z$8*EstymacjaGaussowska($C114,$C$102:$C$151,Z$14)*EstymacjaGaussowska($D114,$D$102:$D$151,Z$15)*VLOOKUP($E114,$W$29:$AA$32,4)</f>
        <v>0.13808640857921042</v>
      </c>
      <c r="N114" s="3" cm="1">
        <f t="array" ref="N114">X$8*EstymacjaGaussowska($C114,$C$2:$C$51,X$14)*EstymacjaGaussowska($D114,$D$2:$D$51,X$15)*VLOOKUP($E114,$W$29:$AA$32,2)/$M114</f>
        <v>0</v>
      </c>
      <c r="O114" s="3" cm="1">
        <f t="array" ref="O114">Y$8*EstymacjaGaussowska($C114,$C$52:$C$101,Y$14)*EstymacjaGaussowska($D114,$D$52:$D$101,Y$15)*VLOOKUP($E114,$W$29:$AA$32,3)/$M114</f>
        <v>3.8329562881292287E-6</v>
      </c>
      <c r="P114" s="42" cm="1">
        <f t="array" ref="P114">Z$8*EstymacjaGaussowska($C114,$C$102:$C$151,Z$14)*EstymacjaGaussowska($D114,$D$102:$D$151,Z$15)*VLOOKUP($E114,$W$29:$AA$32,4)/$M114</f>
        <v>0.99999616704371186</v>
      </c>
      <c r="Q114" s="43" t="str">
        <f t="shared" si="10"/>
        <v>virginica</v>
      </c>
      <c r="R114" s="3" cm="1">
        <f t="array" ref="R114">X$8*EstymacjaGaussowska($C114,$C$2:$C$51,X$14)*EstymacjaGaussowska($D114,$D$2:$D$51,X$15)*EstymacjaGaussowska($A114,$A$2:$A$51,X$18)*EstymacjaGaussowska($B114,$B$2:$B$51,X$19)*VLOOKUP($E114,$W$29:$AA$32,2)+Y$8*EstymacjaGaussowska($C114,$C$52:$C$101,Y$14)*EstymacjaGaussowska($D114,$D$52:$D$101,Y$15)*EstymacjaGaussowska($A114,$A$52:$A$101,Y$18)*EstymacjaGaussowska($B114,$B$52:$B$101,Y$19)*VLOOKUP($E114,$W$29:$AA$32,3)+Z$8*EstymacjaGaussowska($C114,$C$102:$C$151,Z$14)*EstymacjaGaussowska($D114,$D$102:$D$151,Z$15)*EstymacjaGaussowska($A114,$A$102:$A$151,Z$18)*EstymacjaGaussowska($B114,$B$102:$B$151,Z$19)*VLOOKUP($E114,$W$29:$AA$32,4)</f>
        <v>8.2117042198217624E-2</v>
      </c>
      <c r="S114" s="3" cm="1">
        <f t="array" ref="S114">X$8*EstymacjaGaussowska($C114,$C$2:$C$51,X$14)*EstymacjaGaussowska($D114,$D$2:$D$51,X$15)*EstymacjaGaussowska($A114,$A$2:$A$51,X$18)*EstymacjaGaussowska($B114,$B$2:$B$51,X$19)*VLOOKUP($E114,$W$29:$AA$32,2)/$R114</f>
        <v>0</v>
      </c>
      <c r="T114" s="3" cm="1">
        <f t="array" ref="T114">Y$8*EstymacjaGaussowska($C114,$C$52:$C$101,Y$14)*EstymacjaGaussowska($D114,$D$52:$D$101,Y$15)*EstymacjaGaussowska($A114,$A$52:$A$101,Y$18)*EstymacjaGaussowska($B114,$B$52:$B$101,Y$19)*VLOOKUP($E114,$W$29:$AA$32,3)/$R114</f>
        <v>1.921165246032091E-6</v>
      </c>
      <c r="U114" s="42" cm="1">
        <f t="array" ref="U114">Z$8*EstymacjaGaussowska($C114,$C$102:$C$151,Z$14)*EstymacjaGaussowska($D114,$D$102:$D$151,Z$15)*EstymacjaGaussowska($A114,$A$102:$A$151,Z$18)*EstymacjaGaussowska($B114,$B$102:$B$151,Z$19)*VLOOKUP($E114,$W$29:$AA$32,4)/$R114</f>
        <v>0.99999807883475389</v>
      </c>
    </row>
    <row r="115" spans="1:21" x14ac:dyDescent="0.25">
      <c r="A115" s="9">
        <v>5.7</v>
      </c>
      <c r="B115" s="3">
        <v>2.5</v>
      </c>
      <c r="C115" s="3">
        <v>5</v>
      </c>
      <c r="D115" s="8">
        <v>2</v>
      </c>
      <c r="E115" s="9" t="s">
        <v>11</v>
      </c>
      <c r="F115" s="50" t="s">
        <v>7</v>
      </c>
      <c r="G115" s="43" t="str">
        <f t="shared" si="11"/>
        <v>virginica</v>
      </c>
      <c r="H115" s="3" cm="1">
        <f t="array" ref="H115">X$8*EstymacjaGaussowska($C115,$C$2:$C$51,X$14)*EstymacjaGaussowska($D115,$D$2:$D$51,X$15)+Y$8*EstymacjaGaussowska($C115,$C$52:$C$101,Y$14)*EstymacjaGaussowska($D115,$D$52:$D$101,Y$15)+Z$8*EstymacjaGaussowska($C115,$C$102:$C$151,Z$14)*EstymacjaGaussowska($D115,$D$102:$D$151,Z$15)</f>
        <v>0.21566061672418638</v>
      </c>
      <c r="I115" s="3" cm="1">
        <f t="array" ref="I115">X$8*EstymacjaGaussowska($C115,$C$2:$C$51,X$14)*EstymacjaGaussowska($D115,$D$2:$D$51,X$15)/$H115</f>
        <v>0</v>
      </c>
      <c r="J115" s="3" cm="1">
        <f t="array" ref="J115">Y$8*EstymacjaGaussowska($C115,$C$52:$C$101,Y$14)*EstymacjaGaussowska($D115,$D$52:$D$101,Y$15)/$H115</f>
        <v>4.7101139845976562E-3</v>
      </c>
      <c r="K115" s="42" cm="1">
        <f t="array" ref="K115">Z$8*EstymacjaGaussowska($C115,$C$102:$C$151,Z$14)*EstymacjaGaussowska($D115,$D$102:$D$151,Z$15)/$H115</f>
        <v>0.99528988601540236</v>
      </c>
      <c r="L115" s="43" t="str">
        <f t="shared" si="9"/>
        <v>virginica</v>
      </c>
      <c r="M115" s="3" cm="1">
        <f t="array" ref="M115">X$8*EstymacjaGaussowska($C115,$C$2:$C$51,X$14)*EstymacjaGaussowska($D115,$D$2:$D$51,X$15)*VLOOKUP($E115,$W$29:$AA$32,2)+Y$8*EstymacjaGaussowska($C115,$C$52:$C$101,Y$14)*EstymacjaGaussowska($D115,$D$52:$D$101,Y$15)*VLOOKUP($E115,$W$29:$AA$32,3)+Z$8*EstymacjaGaussowska($C115,$C$102:$C$151,Z$14)*EstymacjaGaussowska($D115,$D$102:$D$151,Z$15)*VLOOKUP($E115,$W$29:$AA$32,4)</f>
        <v>0.12896973987807284</v>
      </c>
      <c r="N115" s="3" cm="1">
        <f t="array" ref="N115">X$8*EstymacjaGaussowska($C115,$C$2:$C$51,X$14)*EstymacjaGaussowska($D115,$D$2:$D$51,X$15)*VLOOKUP($E115,$W$29:$AA$32,2)/$M115</f>
        <v>0</v>
      </c>
      <c r="O115" s="3" cm="1">
        <f t="array" ref="O115">Y$8*EstymacjaGaussowska($C115,$C$52:$C$101,Y$14)*EstymacjaGaussowska($D115,$D$52:$D$101,Y$15)*VLOOKUP($E115,$W$29:$AA$32,3)/$M115</f>
        <v>1.4177084933998884E-3</v>
      </c>
      <c r="P115" s="42" cm="1">
        <f t="array" ref="P115">Z$8*EstymacjaGaussowska($C115,$C$102:$C$151,Z$14)*EstymacjaGaussowska($D115,$D$102:$D$151,Z$15)*VLOOKUP($E115,$W$29:$AA$32,4)/$M115</f>
        <v>0.99858229150660005</v>
      </c>
      <c r="Q115" s="43" t="str">
        <f t="shared" si="10"/>
        <v>virginica</v>
      </c>
      <c r="R115" s="3" cm="1">
        <f t="array" ref="R115">X$8*EstymacjaGaussowska($C115,$C$2:$C$51,X$14)*EstymacjaGaussowska($D115,$D$2:$D$51,X$15)*EstymacjaGaussowska($A115,$A$2:$A$51,X$18)*EstymacjaGaussowska($B115,$B$2:$B$51,X$19)*VLOOKUP($E115,$W$29:$AA$32,2)+Y$8*EstymacjaGaussowska($C115,$C$52:$C$101,Y$14)*EstymacjaGaussowska($D115,$D$52:$D$101,Y$15)*EstymacjaGaussowska($A115,$A$52:$A$101,Y$18)*EstymacjaGaussowska($B115,$B$52:$B$101,Y$19)*VLOOKUP($E115,$W$29:$AA$32,3)+Z$8*EstymacjaGaussowska($C115,$C$102:$C$151,Z$14)*EstymacjaGaussowska($D115,$D$102:$D$151,Z$15)*EstymacjaGaussowska($A115,$A$102:$A$151,Z$18)*EstymacjaGaussowska($B115,$B$102:$B$151,Z$19)*VLOOKUP($E115,$W$29:$AA$32,4)</f>
        <v>1.4950828847268288E-2</v>
      </c>
      <c r="S115" s="3" cm="1">
        <f t="array" ref="S115">X$8*EstymacjaGaussowska($C115,$C$2:$C$51,X$14)*EstymacjaGaussowska($D115,$D$2:$D$51,X$15)*EstymacjaGaussowska($A115,$A$2:$A$51,X$18)*EstymacjaGaussowska($B115,$B$2:$B$51,X$19)*VLOOKUP($E115,$W$29:$AA$32,2)/$R115</f>
        <v>0</v>
      </c>
      <c r="T115" s="3" cm="1">
        <f t="array" ref="T115">Y$8*EstymacjaGaussowska($C115,$C$52:$C$101,Y$14)*EstymacjaGaussowska($D115,$D$52:$D$101,Y$15)*EstymacjaGaussowska($A115,$A$52:$A$101,Y$18)*EstymacjaGaussowska($B115,$B$52:$B$101,Y$19)*VLOOKUP($E115,$W$29:$AA$32,3)/$R115</f>
        <v>6.0563553219392169E-3</v>
      </c>
      <c r="U115" s="42" cm="1">
        <f t="array" ref="U115">Z$8*EstymacjaGaussowska($C115,$C$102:$C$151,Z$14)*EstymacjaGaussowska($D115,$D$102:$D$151,Z$15)*EstymacjaGaussowska($A115,$A$102:$A$151,Z$18)*EstymacjaGaussowska($B115,$B$102:$B$151,Z$19)*VLOOKUP($E115,$W$29:$AA$32,4)/$R115</f>
        <v>0.99394364467806084</v>
      </c>
    </row>
    <row r="116" spans="1:21" x14ac:dyDescent="0.25">
      <c r="A116" s="9">
        <v>5.8</v>
      </c>
      <c r="B116" s="3">
        <v>2.8</v>
      </c>
      <c r="C116" s="3">
        <v>5.0999999999999996</v>
      </c>
      <c r="D116" s="8">
        <v>2.4</v>
      </c>
      <c r="E116" s="9" t="s">
        <v>11</v>
      </c>
      <c r="F116" s="50" t="s">
        <v>7</v>
      </c>
      <c r="G116" s="43" t="str">
        <f t="shared" si="11"/>
        <v>virginica</v>
      </c>
      <c r="H116" s="3" cm="1">
        <f t="array" ref="H116">X$8*EstymacjaGaussowska($C116,$C$2:$C$51,X$14)*EstymacjaGaussowska($D116,$D$2:$D$51,X$15)+Y$8*EstymacjaGaussowska($C116,$C$52:$C$101,Y$14)*EstymacjaGaussowska($D116,$D$52:$D$101,Y$15)+Z$8*EstymacjaGaussowska($C116,$C$102:$C$151,Z$14)*EstymacjaGaussowska($D116,$D$102:$D$151,Z$15)</f>
        <v>0.15310048148091007</v>
      </c>
      <c r="I116" s="3" cm="1">
        <f t="array" ref="I116">X$8*EstymacjaGaussowska($C116,$C$2:$C$51,X$14)*EstymacjaGaussowska($D116,$D$2:$D$51,X$15)/$H116</f>
        <v>0</v>
      </c>
      <c r="J116" s="3" cm="1">
        <f t="array" ref="J116">Y$8*EstymacjaGaussowska($C116,$C$52:$C$101,Y$14)*EstymacjaGaussowska($D116,$D$52:$D$101,Y$15)/$H116</f>
        <v>1.1278028141020874E-10</v>
      </c>
      <c r="K116" s="42" cm="1">
        <f t="array" ref="K116">Z$8*EstymacjaGaussowska($C116,$C$102:$C$151,Z$14)*EstymacjaGaussowska($D116,$D$102:$D$151,Z$15)/$H116</f>
        <v>0.99999999988721977</v>
      </c>
      <c r="L116" s="43" t="str">
        <f t="shared" si="9"/>
        <v>virginica</v>
      </c>
      <c r="M116" s="3" cm="1">
        <f t="array" ref="M116">X$8*EstymacjaGaussowska($C116,$C$2:$C$51,X$14)*EstymacjaGaussowska($D116,$D$2:$D$51,X$15)*VLOOKUP($E116,$W$29:$AA$32,2)+Y$8*EstymacjaGaussowska($C116,$C$52:$C$101,Y$14)*EstymacjaGaussowska($D116,$D$52:$D$101,Y$15)*VLOOKUP($E116,$W$29:$AA$32,3)+Z$8*EstymacjaGaussowska($C116,$C$102:$C$151,Z$14)*EstymacjaGaussowska($D116,$D$102:$D$151,Z$15)*VLOOKUP($E116,$W$29:$AA$32,4)</f>
        <v>9.1860288881294022E-2</v>
      </c>
      <c r="N116" s="3" cm="1">
        <f t="array" ref="N116">X$8*EstymacjaGaussowska($C116,$C$2:$C$51,X$14)*EstymacjaGaussowska($D116,$D$2:$D$51,X$15)*VLOOKUP($E116,$W$29:$AA$32,2)/$M116</f>
        <v>0</v>
      </c>
      <c r="O116" s="3" cm="1">
        <f t="array" ref="O116">Y$8*EstymacjaGaussowska($C116,$C$52:$C$101,Y$14)*EstymacjaGaussowska($D116,$D$52:$D$101,Y$15)*VLOOKUP($E116,$W$29:$AA$32,3)/$M116</f>
        <v>3.3834084425733692E-11</v>
      </c>
      <c r="P116" s="42" cm="1">
        <f t="array" ref="P116">Z$8*EstymacjaGaussowska($C116,$C$102:$C$151,Z$14)*EstymacjaGaussowska($D116,$D$102:$D$151,Z$15)*VLOOKUP($E116,$W$29:$AA$32,4)/$M116</f>
        <v>0.99999999996616584</v>
      </c>
      <c r="Q116" s="43" t="str">
        <f t="shared" si="10"/>
        <v>virginica</v>
      </c>
      <c r="R116" s="3" cm="1">
        <f t="array" ref="R116">X$8*EstymacjaGaussowska($C116,$C$2:$C$51,X$14)*EstymacjaGaussowska($D116,$D$2:$D$51,X$15)*EstymacjaGaussowska($A116,$A$2:$A$51,X$18)*EstymacjaGaussowska($B116,$B$2:$B$51,X$19)*VLOOKUP($E116,$W$29:$AA$32,2)+Y$8*EstymacjaGaussowska($C116,$C$52:$C$101,Y$14)*EstymacjaGaussowska($D116,$D$52:$D$101,Y$15)*EstymacjaGaussowska($A116,$A$52:$A$101,Y$18)*EstymacjaGaussowska($B116,$B$52:$B$101,Y$19)*VLOOKUP($E116,$W$29:$AA$32,3)+Z$8*EstymacjaGaussowska($C116,$C$102:$C$151,Z$14)*EstymacjaGaussowska($D116,$D$102:$D$151,Z$15)*EstymacjaGaussowska($A116,$A$102:$A$151,Z$18)*EstymacjaGaussowska($B116,$B$102:$B$151,Z$19)*VLOOKUP($E116,$W$29:$AA$32,4)</f>
        <v>3.0419632998579613E-2</v>
      </c>
      <c r="S116" s="3" cm="1">
        <f t="array" ref="S116">X$8*EstymacjaGaussowska($C116,$C$2:$C$51,X$14)*EstymacjaGaussowska($D116,$D$2:$D$51,X$15)*EstymacjaGaussowska($A116,$A$2:$A$51,X$18)*EstymacjaGaussowska($B116,$B$2:$B$51,X$19)*VLOOKUP($E116,$W$29:$AA$32,2)/$R116</f>
        <v>0</v>
      </c>
      <c r="T116" s="3" cm="1">
        <f t="array" ref="T116">Y$8*EstymacjaGaussowska($C116,$C$52:$C$101,Y$14)*EstymacjaGaussowska($D116,$D$52:$D$101,Y$15)*EstymacjaGaussowska($A116,$A$52:$A$101,Y$18)*EstymacjaGaussowska($B116,$B$52:$B$101,Y$19)*VLOOKUP($E116,$W$29:$AA$32,3)/$R116</f>
        <v>8.0404460881656186E-11</v>
      </c>
      <c r="U116" s="42" cm="1">
        <f t="array" ref="U116">Z$8*EstymacjaGaussowska($C116,$C$102:$C$151,Z$14)*EstymacjaGaussowska($D116,$D$102:$D$151,Z$15)*EstymacjaGaussowska($A116,$A$102:$A$151,Z$18)*EstymacjaGaussowska($B116,$B$102:$B$151,Z$19)*VLOOKUP($E116,$W$29:$AA$32,4)/$R116</f>
        <v>0.99999999991959554</v>
      </c>
    </row>
    <row r="117" spans="1:21" x14ac:dyDescent="0.25">
      <c r="A117" s="9">
        <v>6.4</v>
      </c>
      <c r="B117" s="3">
        <v>3.2</v>
      </c>
      <c r="C117" s="3">
        <v>5.3</v>
      </c>
      <c r="D117" s="8">
        <v>2.2999999999999998</v>
      </c>
      <c r="E117" s="9" t="s">
        <v>11</v>
      </c>
      <c r="F117" s="50" t="s">
        <v>7</v>
      </c>
      <c r="G117" s="43" t="str">
        <f t="shared" si="11"/>
        <v>virginica</v>
      </c>
      <c r="H117" s="3" cm="1">
        <f t="array" ref="H117">X$8*EstymacjaGaussowska($C117,$C$2:$C$51,X$14)*EstymacjaGaussowska($D117,$D$2:$D$51,X$15)+Y$8*EstymacjaGaussowska($C117,$C$52:$C$101,Y$14)*EstymacjaGaussowska($D117,$D$52:$D$101,Y$15)+Z$8*EstymacjaGaussowska($C117,$C$102:$C$151,Z$14)*EstymacjaGaussowska($D117,$D$102:$D$151,Z$15)</f>
        <v>0.20177739115276622</v>
      </c>
      <c r="I117" s="3" cm="1">
        <f t="array" ref="I117">X$8*EstymacjaGaussowska($C117,$C$2:$C$51,X$14)*EstymacjaGaussowska($D117,$D$2:$D$51,X$15)/$H117</f>
        <v>0</v>
      </c>
      <c r="J117" s="3" cm="1">
        <f t="array" ref="J117">Y$8*EstymacjaGaussowska($C117,$C$52:$C$101,Y$14)*EstymacjaGaussowska($D117,$D$52:$D$101,Y$15)/$H117</f>
        <v>1.1385352988368349E-8</v>
      </c>
      <c r="K117" s="42" cm="1">
        <f t="array" ref="K117">Z$8*EstymacjaGaussowska($C117,$C$102:$C$151,Z$14)*EstymacjaGaussowska($D117,$D$102:$D$151,Z$15)/$H117</f>
        <v>0.99999998861464701</v>
      </c>
      <c r="L117" s="43" t="str">
        <f t="shared" si="9"/>
        <v>virginica</v>
      </c>
      <c r="M117" s="3" cm="1">
        <f t="array" ref="M117">X$8*EstymacjaGaussowska($C117,$C$2:$C$51,X$14)*EstymacjaGaussowska($D117,$D$2:$D$51,X$15)*VLOOKUP($E117,$W$29:$AA$32,2)+Y$8*EstymacjaGaussowska($C117,$C$52:$C$101,Y$14)*EstymacjaGaussowska($D117,$D$52:$D$101,Y$15)*VLOOKUP($E117,$W$29:$AA$32,3)+Z$8*EstymacjaGaussowska($C117,$C$102:$C$151,Z$14)*EstymacjaGaussowska($D117,$D$102:$D$151,Z$15)*VLOOKUP($E117,$W$29:$AA$32,4)</f>
        <v>0.12106643372679085</v>
      </c>
      <c r="N117" s="3" cm="1">
        <f t="array" ref="N117">X$8*EstymacjaGaussowska($C117,$C$2:$C$51,X$14)*EstymacjaGaussowska($D117,$D$2:$D$51,X$15)*VLOOKUP($E117,$W$29:$AA$32,2)/$M117</f>
        <v>0</v>
      </c>
      <c r="O117" s="3" cm="1">
        <f t="array" ref="O117">Y$8*EstymacjaGaussowska($C117,$C$52:$C$101,Y$14)*EstymacjaGaussowska($D117,$D$52:$D$101,Y$15)*VLOOKUP($E117,$W$29:$AA$32,3)/$M117</f>
        <v>3.4156059237320205E-9</v>
      </c>
      <c r="P117" s="42" cm="1">
        <f t="array" ref="P117">Z$8*EstymacjaGaussowska($C117,$C$102:$C$151,Z$14)*EstymacjaGaussowska($D117,$D$102:$D$151,Z$15)*VLOOKUP($E117,$W$29:$AA$32,4)/$M117</f>
        <v>0.99999999658439409</v>
      </c>
      <c r="Q117" s="43" t="str">
        <f t="shared" si="10"/>
        <v>virginica</v>
      </c>
      <c r="R117" s="3" cm="1">
        <f t="array" ref="R117">X$8*EstymacjaGaussowska($C117,$C$2:$C$51,X$14)*EstymacjaGaussowska($D117,$D$2:$D$51,X$15)*EstymacjaGaussowska($A117,$A$2:$A$51,X$18)*EstymacjaGaussowska($B117,$B$2:$B$51,X$19)*VLOOKUP($E117,$W$29:$AA$32,2)+Y$8*EstymacjaGaussowska($C117,$C$52:$C$101,Y$14)*EstymacjaGaussowska($D117,$D$52:$D$101,Y$15)*EstymacjaGaussowska($A117,$A$52:$A$101,Y$18)*EstymacjaGaussowska($B117,$B$52:$B$101,Y$19)*VLOOKUP($E117,$W$29:$AA$32,3)+Z$8*EstymacjaGaussowska($C117,$C$102:$C$151,Z$14)*EstymacjaGaussowska($D117,$D$102:$D$151,Z$15)*EstymacjaGaussowska($A117,$A$102:$A$151,Z$18)*EstymacjaGaussowska($B117,$B$102:$B$151,Z$19)*VLOOKUP($E117,$W$29:$AA$32,4)</f>
        <v>6.7499401690395033E-2</v>
      </c>
      <c r="S117" s="3" cm="1">
        <f t="array" ref="S117">X$8*EstymacjaGaussowska($C117,$C$2:$C$51,X$14)*EstymacjaGaussowska($D117,$D$2:$D$51,X$15)*EstymacjaGaussowska($A117,$A$2:$A$51,X$18)*EstymacjaGaussowska($B117,$B$2:$B$51,X$19)*VLOOKUP($E117,$W$29:$AA$32,2)/$R117</f>
        <v>0</v>
      </c>
      <c r="T117" s="3" cm="1">
        <f t="array" ref="T117">Y$8*EstymacjaGaussowska($C117,$C$52:$C$101,Y$14)*EstymacjaGaussowska($D117,$D$52:$D$101,Y$15)*EstymacjaGaussowska($A117,$A$52:$A$101,Y$18)*EstymacjaGaussowska($B117,$B$52:$B$101,Y$19)*VLOOKUP($E117,$W$29:$AA$32,3)/$R117</f>
        <v>1.6309478599766173E-9</v>
      </c>
      <c r="U117" s="42" cm="1">
        <f t="array" ref="U117">Z$8*EstymacjaGaussowska($C117,$C$102:$C$151,Z$14)*EstymacjaGaussowska($D117,$D$102:$D$151,Z$15)*EstymacjaGaussowska($A117,$A$102:$A$151,Z$18)*EstymacjaGaussowska($B117,$B$102:$B$151,Z$19)*VLOOKUP($E117,$W$29:$AA$32,4)/$R117</f>
        <v>0.99999999836905207</v>
      </c>
    </row>
    <row r="118" spans="1:21" x14ac:dyDescent="0.25">
      <c r="A118" s="9">
        <v>6.5</v>
      </c>
      <c r="B118" s="3">
        <v>3</v>
      </c>
      <c r="C118" s="3">
        <v>5.5</v>
      </c>
      <c r="D118" s="8">
        <v>1.8</v>
      </c>
      <c r="E118" s="9" t="s">
        <v>11</v>
      </c>
      <c r="F118" s="50" t="s">
        <v>7</v>
      </c>
      <c r="G118" s="43" t="str">
        <f t="shared" si="11"/>
        <v>virginica</v>
      </c>
      <c r="H118" s="3" cm="1">
        <f t="array" ref="H118">X$8*EstymacjaGaussowska($C118,$C$2:$C$51,X$14)*EstymacjaGaussowska($D118,$D$2:$D$51,X$15)+Y$8*EstymacjaGaussowska($C118,$C$52:$C$101,Y$14)*EstymacjaGaussowska($D118,$D$52:$D$101,Y$15)+Z$8*EstymacjaGaussowska($C118,$C$102:$C$151,Z$14)*EstymacjaGaussowska($D118,$D$102:$D$151,Z$15)</f>
        <v>0.23507637397058076</v>
      </c>
      <c r="I118" s="3" cm="1">
        <f t="array" ref="I118">X$8*EstymacjaGaussowska($C118,$C$2:$C$51,X$14)*EstymacjaGaussowska($D118,$D$2:$D$51,X$15)/$H118</f>
        <v>0</v>
      </c>
      <c r="J118" s="3" cm="1">
        <f t="array" ref="J118">Y$8*EstymacjaGaussowska($C118,$C$52:$C$101,Y$14)*EstymacjaGaussowska($D118,$D$52:$D$101,Y$15)/$H118</f>
        <v>3.2699858978227285E-3</v>
      </c>
      <c r="K118" s="42" cm="1">
        <f t="array" ref="K118">Z$8*EstymacjaGaussowska($C118,$C$102:$C$151,Z$14)*EstymacjaGaussowska($D118,$D$102:$D$151,Z$15)/$H118</f>
        <v>0.99673001410217732</v>
      </c>
      <c r="L118" s="43" t="str">
        <f t="shared" si="9"/>
        <v>virginica</v>
      </c>
      <c r="M118" s="3" cm="1">
        <f t="array" ref="M118">X$8*EstymacjaGaussowska($C118,$C$2:$C$51,X$14)*EstymacjaGaussowska($D118,$D$2:$D$51,X$15)*VLOOKUP($E118,$W$29:$AA$32,2)+Y$8*EstymacjaGaussowska($C118,$C$52:$C$101,Y$14)*EstymacjaGaussowska($D118,$D$52:$D$101,Y$15)*VLOOKUP($E118,$W$29:$AA$32,3)+Z$8*EstymacjaGaussowska($C118,$C$102:$C$151,Z$14)*EstymacjaGaussowska($D118,$D$102:$D$151,Z$15)*VLOOKUP($E118,$W$29:$AA$32,4)</f>
        <v>0.14072297188267452</v>
      </c>
      <c r="N118" s="3" cm="1">
        <f t="array" ref="N118">X$8*EstymacjaGaussowska($C118,$C$2:$C$51,X$14)*EstymacjaGaussowska($D118,$D$2:$D$51,X$15)*VLOOKUP($E118,$W$29:$AA$32,2)/$M118</f>
        <v>0</v>
      </c>
      <c r="O118" s="3" cm="1">
        <f t="array" ref="O118">Y$8*EstymacjaGaussowska($C118,$C$52:$C$101,Y$14)*EstymacjaGaussowska($D118,$D$52:$D$101,Y$15)*VLOOKUP($E118,$W$29:$AA$32,3)/$M118</f>
        <v>9.8324641067471224E-4</v>
      </c>
      <c r="P118" s="42" cm="1">
        <f t="array" ref="P118">Z$8*EstymacjaGaussowska($C118,$C$102:$C$151,Z$14)*EstymacjaGaussowska($D118,$D$102:$D$151,Z$15)*VLOOKUP($E118,$W$29:$AA$32,4)/$M118</f>
        <v>0.99901675358932529</v>
      </c>
      <c r="Q118" s="43" t="str">
        <f t="shared" si="10"/>
        <v>virginica</v>
      </c>
      <c r="R118" s="3" cm="1">
        <f t="array" ref="R118">X$8*EstymacjaGaussowska($C118,$C$2:$C$51,X$14)*EstymacjaGaussowska($D118,$D$2:$D$51,X$15)*EstymacjaGaussowska($A118,$A$2:$A$51,X$18)*EstymacjaGaussowska($B118,$B$2:$B$51,X$19)*VLOOKUP($E118,$W$29:$AA$32,2)+Y$8*EstymacjaGaussowska($C118,$C$52:$C$101,Y$14)*EstymacjaGaussowska($D118,$D$52:$D$101,Y$15)*EstymacjaGaussowska($A118,$A$52:$A$101,Y$18)*EstymacjaGaussowska($B118,$B$52:$B$101,Y$19)*VLOOKUP($E118,$W$29:$AA$32,3)+Z$8*EstymacjaGaussowska($C118,$C$102:$C$151,Z$14)*EstymacjaGaussowska($D118,$D$102:$D$151,Z$15)*EstymacjaGaussowska($A118,$A$102:$A$151,Z$18)*EstymacjaGaussowska($B118,$B$102:$B$151,Z$19)*VLOOKUP($E118,$W$29:$AA$32,4)</f>
        <v>0.10529144977778905</v>
      </c>
      <c r="S118" s="3" cm="1">
        <f t="array" ref="S118">X$8*EstymacjaGaussowska($C118,$C$2:$C$51,X$14)*EstymacjaGaussowska($D118,$D$2:$D$51,X$15)*EstymacjaGaussowska($A118,$A$2:$A$51,X$18)*EstymacjaGaussowska($B118,$B$2:$B$51,X$19)*VLOOKUP($E118,$W$29:$AA$32,2)/$R118</f>
        <v>0</v>
      </c>
      <c r="T118" s="3" cm="1">
        <f t="array" ref="T118">Y$8*EstymacjaGaussowska($C118,$C$52:$C$101,Y$14)*EstymacjaGaussowska($D118,$D$52:$D$101,Y$15)*EstymacjaGaussowska($A118,$A$52:$A$101,Y$18)*EstymacjaGaussowska($B118,$B$52:$B$101,Y$19)*VLOOKUP($E118,$W$29:$AA$32,3)/$R118</f>
        <v>5.8662196068656823E-4</v>
      </c>
      <c r="U118" s="42" cm="1">
        <f t="array" ref="U118">Z$8*EstymacjaGaussowska($C118,$C$102:$C$151,Z$14)*EstymacjaGaussowska($D118,$D$102:$D$151,Z$15)*EstymacjaGaussowska($A118,$A$102:$A$151,Z$18)*EstymacjaGaussowska($B118,$B$102:$B$151,Z$19)*VLOOKUP($E118,$W$29:$AA$32,4)/$R118</f>
        <v>0.99941337803931352</v>
      </c>
    </row>
    <row r="119" spans="1:21" x14ac:dyDescent="0.25">
      <c r="A119" s="9">
        <v>7.7</v>
      </c>
      <c r="B119" s="3">
        <v>3.8</v>
      </c>
      <c r="C119" s="3">
        <v>6.7</v>
      </c>
      <c r="D119" s="8">
        <v>2.2000000000000002</v>
      </c>
      <c r="E119" s="9" t="s">
        <v>11</v>
      </c>
      <c r="F119" s="50" t="s">
        <v>7</v>
      </c>
      <c r="G119" s="43" t="str">
        <f t="shared" si="11"/>
        <v>virginica</v>
      </c>
      <c r="H119" s="3" cm="1">
        <f t="array" ref="H119">X$8*EstymacjaGaussowska($C119,$C$2:$C$51,X$14)*EstymacjaGaussowska($D119,$D$2:$D$51,X$15)+Y$8*EstymacjaGaussowska($C119,$C$52:$C$101,Y$14)*EstymacjaGaussowska($D119,$D$52:$D$101,Y$15)+Z$8*EstymacjaGaussowska($C119,$C$102:$C$151,Z$14)*EstymacjaGaussowska($D119,$D$102:$D$151,Z$15)</f>
        <v>5.0226141878722104E-2</v>
      </c>
      <c r="I119" s="3" cm="1">
        <f t="array" ref="I119">X$8*EstymacjaGaussowska($C119,$C$2:$C$51,X$14)*EstymacjaGaussowska($D119,$D$2:$D$51,X$15)/$H119</f>
        <v>0</v>
      </c>
      <c r="J119" s="3" cm="1">
        <f t="array" ref="J119">Y$8*EstymacjaGaussowska($C119,$C$52:$C$101,Y$14)*EstymacjaGaussowska($D119,$D$52:$D$101,Y$15)/$H119</f>
        <v>6.518550880378943E-17</v>
      </c>
      <c r="K119" s="42" cm="1">
        <f t="array" ref="K119">Z$8*EstymacjaGaussowska($C119,$C$102:$C$151,Z$14)*EstymacjaGaussowska($D119,$D$102:$D$151,Z$15)/$H119</f>
        <v>1</v>
      </c>
      <c r="L119" s="43" t="str">
        <f t="shared" si="9"/>
        <v>virginica</v>
      </c>
      <c r="M119" s="3" cm="1">
        <f t="array" ref="M119">X$8*EstymacjaGaussowska($C119,$C$2:$C$51,X$14)*EstymacjaGaussowska($D119,$D$2:$D$51,X$15)*VLOOKUP($E119,$W$29:$AA$32,2)+Y$8*EstymacjaGaussowska($C119,$C$52:$C$101,Y$14)*EstymacjaGaussowska($D119,$D$52:$D$101,Y$15)*VLOOKUP($E119,$W$29:$AA$32,3)+Z$8*EstymacjaGaussowska($C119,$C$102:$C$151,Z$14)*EstymacjaGaussowska($D119,$D$102:$D$151,Z$15)*VLOOKUP($E119,$W$29:$AA$32,4)</f>
        <v>3.0135685127233261E-2</v>
      </c>
      <c r="N119" s="3" cm="1">
        <f t="array" ref="N119">X$8*EstymacjaGaussowska($C119,$C$2:$C$51,X$14)*EstymacjaGaussowska($D119,$D$2:$D$51,X$15)*VLOOKUP($E119,$W$29:$AA$32,2)/$M119</f>
        <v>0</v>
      </c>
      <c r="O119" s="3" cm="1">
        <f t="array" ref="O119">Y$8*EstymacjaGaussowska($C119,$C$52:$C$101,Y$14)*EstymacjaGaussowska($D119,$D$52:$D$101,Y$15)*VLOOKUP($E119,$W$29:$AA$32,3)/$M119</f>
        <v>1.9555652641136828E-17</v>
      </c>
      <c r="P119" s="42" cm="1">
        <f t="array" ref="P119">Z$8*EstymacjaGaussowska($C119,$C$102:$C$151,Z$14)*EstymacjaGaussowska($D119,$D$102:$D$151,Z$15)*VLOOKUP($E119,$W$29:$AA$32,4)/$M119</f>
        <v>1</v>
      </c>
      <c r="Q119" s="43" t="str">
        <f t="shared" si="10"/>
        <v>virginica</v>
      </c>
      <c r="R119" s="3" cm="1">
        <f t="array" ref="R119">X$8*EstymacjaGaussowska($C119,$C$2:$C$51,X$14)*EstymacjaGaussowska($D119,$D$2:$D$51,X$15)*EstymacjaGaussowska($A119,$A$2:$A$51,X$18)*EstymacjaGaussowska($B119,$B$2:$B$51,X$19)*VLOOKUP($E119,$W$29:$AA$32,2)+Y$8*EstymacjaGaussowska($C119,$C$52:$C$101,Y$14)*EstymacjaGaussowska($D119,$D$52:$D$101,Y$15)*EstymacjaGaussowska($A119,$A$52:$A$101,Y$18)*EstymacjaGaussowska($B119,$B$52:$B$101,Y$19)*VLOOKUP($E119,$W$29:$AA$32,3)+Z$8*EstymacjaGaussowska($C119,$C$102:$C$151,Z$14)*EstymacjaGaussowska($D119,$D$102:$D$151,Z$15)*EstymacjaGaussowska($A119,$A$102:$A$151,Z$18)*EstymacjaGaussowska($B119,$B$102:$B$151,Z$19)*VLOOKUP($E119,$W$29:$AA$32,4)</f>
        <v>8.0121769613234178E-4</v>
      </c>
      <c r="S119" s="3" cm="1">
        <f t="array" ref="S119">X$8*EstymacjaGaussowska($C119,$C$2:$C$51,X$14)*EstymacjaGaussowska($D119,$D$2:$D$51,X$15)*EstymacjaGaussowska($A119,$A$2:$A$51,X$18)*EstymacjaGaussowska($B119,$B$2:$B$51,X$19)*VLOOKUP($E119,$W$29:$AA$32,2)/$R119</f>
        <v>0</v>
      </c>
      <c r="T119" s="3" cm="1">
        <f t="array" ref="T119">Y$8*EstymacjaGaussowska($C119,$C$52:$C$101,Y$14)*EstymacjaGaussowska($D119,$D$52:$D$101,Y$15)*EstymacjaGaussowska($A119,$A$52:$A$101,Y$18)*EstymacjaGaussowska($B119,$B$52:$B$101,Y$19)*VLOOKUP($E119,$W$29:$AA$32,3)/$R119</f>
        <v>1.3194107700767302E-21</v>
      </c>
      <c r="U119" s="42" cm="1">
        <f t="array" ref="U119">Z$8*EstymacjaGaussowska($C119,$C$102:$C$151,Z$14)*EstymacjaGaussowska($D119,$D$102:$D$151,Z$15)*EstymacjaGaussowska($A119,$A$102:$A$151,Z$18)*EstymacjaGaussowska($B119,$B$102:$B$151,Z$19)*VLOOKUP($E119,$W$29:$AA$32,4)/$R119</f>
        <v>1</v>
      </c>
    </row>
    <row r="120" spans="1:21" x14ac:dyDescent="0.25">
      <c r="A120" s="9">
        <v>7.7</v>
      </c>
      <c r="B120" s="3">
        <v>2.6</v>
      </c>
      <c r="C120" s="3">
        <v>6.9</v>
      </c>
      <c r="D120" s="8">
        <v>2.2999999999999998</v>
      </c>
      <c r="E120" s="9" t="s">
        <v>11</v>
      </c>
      <c r="F120" s="50" t="s">
        <v>7</v>
      </c>
      <c r="G120" s="43" t="str">
        <f t="shared" si="11"/>
        <v>virginica</v>
      </c>
      <c r="H120" s="3" cm="1">
        <f t="array" ref="H120">X$8*EstymacjaGaussowska($C120,$C$2:$C$51,X$14)*EstymacjaGaussowska($D120,$D$2:$D$51,X$15)+Y$8*EstymacjaGaussowska($C120,$C$52:$C$101,Y$14)*EstymacjaGaussowska($D120,$D$52:$D$101,Y$15)+Z$8*EstymacjaGaussowska($C120,$C$102:$C$151,Z$14)*EstymacjaGaussowska($D120,$D$102:$D$151,Z$15)</f>
        <v>3.1836805999006679E-2</v>
      </c>
      <c r="I120" s="3" cm="1">
        <f t="array" ref="I120">X$8*EstymacjaGaussowska($C120,$C$2:$C$51,X$14)*EstymacjaGaussowska($D120,$D$2:$D$51,X$15)/$H120</f>
        <v>0</v>
      </c>
      <c r="J120" s="3" cm="1">
        <f t="array" ref="J120">Y$8*EstymacjaGaussowska($C120,$C$52:$C$101,Y$14)*EstymacjaGaussowska($D120,$D$52:$D$101,Y$15)/$H120</f>
        <v>1.0742825526473076E-21</v>
      </c>
      <c r="K120" s="42" cm="1">
        <f t="array" ref="K120">Z$8*EstymacjaGaussowska($C120,$C$102:$C$151,Z$14)*EstymacjaGaussowska($D120,$D$102:$D$151,Z$15)/$H120</f>
        <v>1</v>
      </c>
      <c r="L120" s="43" t="str">
        <f t="shared" si="9"/>
        <v>virginica</v>
      </c>
      <c r="M120" s="3" cm="1">
        <f t="array" ref="M120">X$8*EstymacjaGaussowska($C120,$C$2:$C$51,X$14)*EstymacjaGaussowska($D120,$D$2:$D$51,X$15)*VLOOKUP($E120,$W$29:$AA$32,2)+Y$8*EstymacjaGaussowska($C120,$C$52:$C$101,Y$14)*EstymacjaGaussowska($D120,$D$52:$D$101,Y$15)*VLOOKUP($E120,$W$29:$AA$32,3)+Z$8*EstymacjaGaussowska($C120,$C$102:$C$151,Z$14)*EstymacjaGaussowska($D120,$D$102:$D$151,Z$15)*VLOOKUP($E120,$W$29:$AA$32,4)</f>
        <v>1.9102083599404008E-2</v>
      </c>
      <c r="N120" s="3" cm="1">
        <f t="array" ref="N120">X$8*EstymacjaGaussowska($C120,$C$2:$C$51,X$14)*EstymacjaGaussowska($D120,$D$2:$D$51,X$15)*VLOOKUP($E120,$W$29:$AA$32,2)/$M120</f>
        <v>0</v>
      </c>
      <c r="O120" s="3" cm="1">
        <f t="array" ref="O120">Y$8*EstymacjaGaussowska($C120,$C$52:$C$101,Y$14)*EstymacjaGaussowska($D120,$D$52:$D$101,Y$15)*VLOOKUP($E120,$W$29:$AA$32,3)/$M120</f>
        <v>3.2228476579419221E-22</v>
      </c>
      <c r="P120" s="42" cm="1">
        <f t="array" ref="P120">Z$8*EstymacjaGaussowska($C120,$C$102:$C$151,Z$14)*EstymacjaGaussowska($D120,$D$102:$D$151,Z$15)*VLOOKUP($E120,$W$29:$AA$32,4)/$M120</f>
        <v>1</v>
      </c>
      <c r="Q120" s="43" t="str">
        <f t="shared" si="10"/>
        <v>virginica</v>
      </c>
      <c r="R120" s="3" cm="1">
        <f t="array" ref="R120">X$8*EstymacjaGaussowska($C120,$C$2:$C$51,X$14)*EstymacjaGaussowska($D120,$D$2:$D$51,X$15)*EstymacjaGaussowska($A120,$A$2:$A$51,X$18)*EstymacjaGaussowska($B120,$B$2:$B$51,X$19)*VLOOKUP($E120,$W$29:$AA$32,2)+Y$8*EstymacjaGaussowska($C120,$C$52:$C$101,Y$14)*EstymacjaGaussowska($D120,$D$52:$D$101,Y$15)*EstymacjaGaussowska($A120,$A$52:$A$101,Y$18)*EstymacjaGaussowska($B120,$B$52:$B$101,Y$19)*VLOOKUP($E120,$W$29:$AA$32,3)+Z$8*EstymacjaGaussowska($C120,$C$102:$C$151,Z$14)*EstymacjaGaussowska($D120,$D$102:$D$151,Z$15)*EstymacjaGaussowska($A120,$A$102:$A$151,Z$18)*EstymacjaGaussowska($B120,$B$102:$B$151,Z$19)*VLOOKUP($E120,$W$29:$AA$32,4)</f>
        <v>2.5782467460832496E-3</v>
      </c>
      <c r="S120" s="3" cm="1">
        <f t="array" ref="S120">X$8*EstymacjaGaussowska($C120,$C$2:$C$51,X$14)*EstymacjaGaussowska($D120,$D$2:$D$51,X$15)*EstymacjaGaussowska($A120,$A$2:$A$51,X$18)*EstymacjaGaussowska($B120,$B$2:$B$51,X$19)*VLOOKUP($E120,$W$29:$AA$32,2)/$R120</f>
        <v>0</v>
      </c>
      <c r="T120" s="3" cm="1">
        <f t="array" ref="T120">Y$8*EstymacjaGaussowska($C120,$C$52:$C$101,Y$14)*EstymacjaGaussowska($D120,$D$52:$D$101,Y$15)*EstymacjaGaussowska($A120,$A$52:$A$101,Y$18)*EstymacjaGaussowska($B120,$B$52:$B$101,Y$19)*VLOOKUP($E120,$W$29:$AA$32,3)/$R120</f>
        <v>1.8121829186832265E-24</v>
      </c>
      <c r="U120" s="42" cm="1">
        <f t="array" ref="U120">Z$8*EstymacjaGaussowska($C120,$C$102:$C$151,Z$14)*EstymacjaGaussowska($D120,$D$102:$D$151,Z$15)*EstymacjaGaussowska($A120,$A$102:$A$151,Z$18)*EstymacjaGaussowska($B120,$B$102:$B$151,Z$19)*VLOOKUP($E120,$W$29:$AA$32,4)/$R120</f>
        <v>1</v>
      </c>
    </row>
    <row r="121" spans="1:21" x14ac:dyDescent="0.25">
      <c r="A121" s="9">
        <v>6</v>
      </c>
      <c r="B121" s="3">
        <v>2.2000000000000002</v>
      </c>
      <c r="C121" s="3">
        <v>5</v>
      </c>
      <c r="D121" s="8">
        <v>1.5</v>
      </c>
      <c r="E121" s="9" t="s">
        <v>11</v>
      </c>
      <c r="F121" s="50" t="s">
        <v>7</v>
      </c>
      <c r="G121" s="43" t="str">
        <f t="shared" si="11"/>
        <v>versicolor</v>
      </c>
      <c r="H121" s="3" cm="1">
        <f t="array" ref="H121">X$8*EstymacjaGaussowska($C121,$C$2:$C$51,X$14)*EstymacjaGaussowska($D121,$D$2:$D$51,X$15)+Y$8*EstymacjaGaussowska($C121,$C$52:$C$101,Y$14)*EstymacjaGaussowska($D121,$D$52:$D$101,Y$15)+Z$8*EstymacjaGaussowska($C121,$C$102:$C$151,Z$14)*EstymacjaGaussowska($D121,$D$102:$D$151,Z$15)</f>
        <v>0.19805971167189818</v>
      </c>
      <c r="I121" s="3" cm="1">
        <f t="array" ref="I121">X$8*EstymacjaGaussowska($C121,$C$2:$C$51,X$14)*EstymacjaGaussowska($D121,$D$2:$D$51,X$15)/$H121</f>
        <v>0</v>
      </c>
      <c r="J121" s="3" cm="1">
        <f t="array" ref="J121">Y$8*EstymacjaGaussowska($C121,$C$52:$C$101,Y$14)*EstymacjaGaussowska($D121,$D$52:$D$101,Y$15)/$H121</f>
        <v>0.73656220698337704</v>
      </c>
      <c r="K121" s="42" cm="1">
        <f t="array" ref="K121">Z$8*EstymacjaGaussowska($C121,$C$102:$C$151,Z$14)*EstymacjaGaussowska($D121,$D$102:$D$151,Z$15)/$H121</f>
        <v>0.26343779301662307</v>
      </c>
      <c r="L121" s="43" t="str">
        <f t="shared" si="9"/>
        <v>virginica</v>
      </c>
      <c r="M121" s="3" cm="1">
        <f t="array" ref="M121">X$8*EstymacjaGaussowska($C121,$C$2:$C$51,X$14)*EstymacjaGaussowska($D121,$D$2:$D$51,X$15)*VLOOKUP($E121,$W$29:$AA$32,2)+Y$8*EstymacjaGaussowska($C121,$C$52:$C$101,Y$14)*EstymacjaGaussowska($D121,$D$52:$D$101,Y$15)*VLOOKUP($E121,$W$29:$AA$32,3)+Z$8*EstymacjaGaussowska($C121,$C$102:$C$151,Z$14)*EstymacjaGaussowska($D121,$D$102:$D$151,Z$15)*VLOOKUP($E121,$W$29:$AA$32,4)</f>
        <v>5.7564841698850164E-2</v>
      </c>
      <c r="N121" s="3" cm="1">
        <f t="array" ref="N121">X$8*EstymacjaGaussowska($C121,$C$2:$C$51,X$14)*EstymacjaGaussowska($D121,$D$2:$D$51,X$15)*VLOOKUP($E121,$W$29:$AA$32,2)/$M121</f>
        <v>0</v>
      </c>
      <c r="O121" s="3" cm="1">
        <f t="array" ref="O121">Y$8*EstymacjaGaussowska($C121,$C$52:$C$101,Y$14)*EstymacjaGaussowska($D121,$D$52:$D$101,Y$15)*VLOOKUP($E121,$W$29:$AA$32,3)/$M121</f>
        <v>0.45616374382147473</v>
      </c>
      <c r="P121" s="42" cm="1">
        <f t="array" ref="P121">Z$8*EstymacjaGaussowska($C121,$C$102:$C$151,Z$14)*EstymacjaGaussowska($D121,$D$102:$D$151,Z$15)*VLOOKUP($E121,$W$29:$AA$32,4)/$M121</f>
        <v>0.54383625617852527</v>
      </c>
      <c r="Q121" s="43" t="str">
        <f t="shared" si="10"/>
        <v>versicolor</v>
      </c>
      <c r="R121" s="3" cm="1">
        <f t="array" ref="R121">X$8*EstymacjaGaussowska($C121,$C$2:$C$51,X$14)*EstymacjaGaussowska($D121,$D$2:$D$51,X$15)*EstymacjaGaussowska($A121,$A$2:$A$51,X$18)*EstymacjaGaussowska($B121,$B$2:$B$51,X$19)*VLOOKUP($E121,$W$29:$AA$32,2)+Y$8*EstymacjaGaussowska($C121,$C$52:$C$101,Y$14)*EstymacjaGaussowska($D121,$D$52:$D$101,Y$15)*EstymacjaGaussowska($A121,$A$52:$A$101,Y$18)*EstymacjaGaussowska($B121,$B$52:$B$101,Y$19)*VLOOKUP($E121,$W$29:$AA$32,3)+Z$8*EstymacjaGaussowska($C121,$C$102:$C$151,Z$14)*EstymacjaGaussowska($D121,$D$102:$D$151,Z$15)*EstymacjaGaussowska($A121,$A$102:$A$151,Z$18)*EstymacjaGaussowska($B121,$B$102:$B$151,Z$19)*VLOOKUP($E121,$W$29:$AA$32,4)</f>
        <v>7.2450340811418415E-3</v>
      </c>
      <c r="S121" s="3" cm="1">
        <f t="array" ref="S121">X$8*EstymacjaGaussowska($C121,$C$2:$C$51,X$14)*EstymacjaGaussowska($D121,$D$2:$D$51,X$15)*EstymacjaGaussowska($A121,$A$2:$A$51,X$18)*EstymacjaGaussowska($B121,$B$2:$B$51,X$19)*VLOOKUP($E121,$W$29:$AA$32,2)/$R121</f>
        <v>0</v>
      </c>
      <c r="T121" s="3" cm="1">
        <f t="array" ref="T121">Y$8*EstymacjaGaussowska($C121,$C$52:$C$101,Y$14)*EstymacjaGaussowska($D121,$D$52:$D$101,Y$15)*EstymacjaGaussowska($A121,$A$52:$A$101,Y$18)*EstymacjaGaussowska($B121,$B$52:$B$101,Y$19)*VLOOKUP($E121,$W$29:$AA$32,3)/$R121</f>
        <v>0.82712434577759064</v>
      </c>
      <c r="U121" s="42" cm="1">
        <f t="array" ref="U121">Z$8*EstymacjaGaussowska($C121,$C$102:$C$151,Z$14)*EstymacjaGaussowska($D121,$D$102:$D$151,Z$15)*EstymacjaGaussowska($A121,$A$102:$A$151,Z$18)*EstymacjaGaussowska($B121,$B$102:$B$151,Z$19)*VLOOKUP($E121,$W$29:$AA$32,4)/$R121</f>
        <v>0.17287565422240933</v>
      </c>
    </row>
    <row r="122" spans="1:21" x14ac:dyDescent="0.25">
      <c r="A122" s="9">
        <v>6.9</v>
      </c>
      <c r="B122" s="3">
        <v>3.2</v>
      </c>
      <c r="C122" s="3">
        <v>5.7</v>
      </c>
      <c r="D122" s="8">
        <v>2.2999999999999998</v>
      </c>
      <c r="E122" s="9" t="s">
        <v>11</v>
      </c>
      <c r="F122" s="50" t="s">
        <v>7</v>
      </c>
      <c r="G122" s="43" t="str">
        <f t="shared" si="11"/>
        <v>virginica</v>
      </c>
      <c r="H122" s="3" cm="1">
        <f t="array" ref="H122">X$8*EstymacjaGaussowska($C122,$C$2:$C$51,X$14)*EstymacjaGaussowska($D122,$D$2:$D$51,X$15)+Y$8*EstymacjaGaussowska($C122,$C$52:$C$101,Y$14)*EstymacjaGaussowska($D122,$D$52:$D$101,Y$15)+Z$8*EstymacjaGaussowska($C122,$C$102:$C$151,Z$14)*EstymacjaGaussowska($D122,$D$102:$D$151,Z$15)</f>
        <v>0.19145368775016849</v>
      </c>
      <c r="I122" s="3" cm="1">
        <f t="array" ref="I122">X$8*EstymacjaGaussowska($C122,$C$2:$C$51,X$14)*EstymacjaGaussowska($D122,$D$2:$D$51,X$15)/$H122</f>
        <v>0</v>
      </c>
      <c r="J122" s="3" cm="1">
        <f t="array" ref="J122">Y$8*EstymacjaGaussowska($C122,$C$52:$C$101,Y$14)*EstymacjaGaussowska($D122,$D$52:$D$101,Y$15)/$H122</f>
        <v>2.8575578162411875E-10</v>
      </c>
      <c r="K122" s="42" cm="1">
        <f t="array" ref="K122">Z$8*EstymacjaGaussowska($C122,$C$102:$C$151,Z$14)*EstymacjaGaussowska($D122,$D$102:$D$151,Z$15)/$H122</f>
        <v>0.99999999971424425</v>
      </c>
      <c r="L122" s="43" t="str">
        <f t="shared" si="9"/>
        <v>virginica</v>
      </c>
      <c r="M122" s="3" cm="1">
        <f t="array" ref="M122">X$8*EstymacjaGaussowska($C122,$C$2:$C$51,X$14)*EstymacjaGaussowska($D122,$D$2:$D$51,X$15)*VLOOKUP($E122,$W$29:$AA$32,2)+Y$8*EstymacjaGaussowska($C122,$C$52:$C$101,Y$14)*EstymacjaGaussowska($D122,$D$52:$D$101,Y$15)*VLOOKUP($E122,$W$29:$AA$32,3)+Z$8*EstymacjaGaussowska($C122,$C$102:$C$151,Z$14)*EstymacjaGaussowska($D122,$D$102:$D$151,Z$15)*VLOOKUP($E122,$W$29:$AA$32,4)</f>
        <v>0.11487221262712333</v>
      </c>
      <c r="N122" s="3" cm="1">
        <f t="array" ref="N122">X$8*EstymacjaGaussowska($C122,$C$2:$C$51,X$14)*EstymacjaGaussowska($D122,$D$2:$D$51,X$15)*VLOOKUP($E122,$W$29:$AA$32,2)/$M122</f>
        <v>0</v>
      </c>
      <c r="O122" s="3" cm="1">
        <f t="array" ref="O122">Y$8*EstymacjaGaussowska($C122,$C$52:$C$101,Y$14)*EstymacjaGaussowska($D122,$D$52:$D$101,Y$15)*VLOOKUP($E122,$W$29:$AA$32,3)/$M122</f>
        <v>8.5726734504383446E-11</v>
      </c>
      <c r="P122" s="42" cm="1">
        <f t="array" ref="P122">Z$8*EstymacjaGaussowska($C122,$C$102:$C$151,Z$14)*EstymacjaGaussowska($D122,$D$102:$D$151,Z$15)*VLOOKUP($E122,$W$29:$AA$32,4)/$M122</f>
        <v>0.99999999991427324</v>
      </c>
      <c r="Q122" s="43" t="str">
        <f t="shared" si="10"/>
        <v>virginica</v>
      </c>
      <c r="R122" s="3" cm="1">
        <f t="array" ref="R122">X$8*EstymacjaGaussowska($C122,$C$2:$C$51,X$14)*EstymacjaGaussowska($D122,$D$2:$D$51,X$15)*EstymacjaGaussowska($A122,$A$2:$A$51,X$18)*EstymacjaGaussowska($B122,$B$2:$B$51,X$19)*VLOOKUP($E122,$W$29:$AA$32,2)+Y$8*EstymacjaGaussowska($C122,$C$52:$C$101,Y$14)*EstymacjaGaussowska($D122,$D$52:$D$101,Y$15)*EstymacjaGaussowska($A122,$A$52:$A$101,Y$18)*EstymacjaGaussowska($B122,$B$52:$B$101,Y$19)*VLOOKUP($E122,$W$29:$AA$32,3)+Z$8*EstymacjaGaussowska($C122,$C$102:$C$151,Z$14)*EstymacjaGaussowska($D122,$D$102:$D$151,Z$15)*EstymacjaGaussowska($A122,$A$102:$A$151,Z$18)*EstymacjaGaussowska($B122,$B$102:$B$151,Z$19)*VLOOKUP($E122,$W$29:$AA$32,4)</f>
        <v>4.4711203526481343E-2</v>
      </c>
      <c r="S122" s="3" cm="1">
        <f t="array" ref="S122">X$8*EstymacjaGaussowska($C122,$C$2:$C$51,X$14)*EstymacjaGaussowska($D122,$D$2:$D$51,X$15)*EstymacjaGaussowska($A122,$A$2:$A$51,X$18)*EstymacjaGaussowska($B122,$B$2:$B$51,X$19)*VLOOKUP($E122,$W$29:$AA$32,2)/$R122</f>
        <v>0</v>
      </c>
      <c r="T122" s="3" cm="1">
        <f t="array" ref="T122">Y$8*EstymacjaGaussowska($C122,$C$52:$C$101,Y$14)*EstymacjaGaussowska($D122,$D$52:$D$101,Y$15)*EstymacjaGaussowska($A122,$A$52:$A$101,Y$18)*EstymacjaGaussowska($B122,$B$52:$B$101,Y$19)*VLOOKUP($E122,$W$29:$AA$32,3)/$R122</f>
        <v>2.8093534301915904E-11</v>
      </c>
      <c r="U122" s="42" cm="1">
        <f t="array" ref="U122">Z$8*EstymacjaGaussowska($C122,$C$102:$C$151,Z$14)*EstymacjaGaussowska($D122,$D$102:$D$151,Z$15)*EstymacjaGaussowska($A122,$A$102:$A$151,Z$18)*EstymacjaGaussowska($B122,$B$102:$B$151,Z$19)*VLOOKUP($E122,$W$29:$AA$32,4)/$R122</f>
        <v>0.99999999997190658</v>
      </c>
    </row>
    <row r="123" spans="1:21" x14ac:dyDescent="0.25">
      <c r="A123" s="9">
        <v>5.6</v>
      </c>
      <c r="B123" s="3">
        <v>2.8</v>
      </c>
      <c r="C123" s="3">
        <v>4.9000000000000004</v>
      </c>
      <c r="D123" s="8">
        <v>2</v>
      </c>
      <c r="E123" s="9" t="s">
        <v>11</v>
      </c>
      <c r="F123" s="50" t="s">
        <v>7</v>
      </c>
      <c r="G123" s="43" t="str">
        <f t="shared" si="11"/>
        <v>virginica</v>
      </c>
      <c r="H123" s="3" cm="1">
        <f t="array" ref="H123">X$8*EstymacjaGaussowska($C123,$C$2:$C$51,X$14)*EstymacjaGaussowska($D123,$D$2:$D$51,X$15)+Y$8*EstymacjaGaussowska($C123,$C$52:$C$101,Y$14)*EstymacjaGaussowska($D123,$D$52:$D$101,Y$15)+Z$8*EstymacjaGaussowska($C123,$C$102:$C$151,Z$14)*EstymacjaGaussowska($D123,$D$102:$D$151,Z$15)</f>
        <v>0.18622584048227786</v>
      </c>
      <c r="I123" s="3" cm="1">
        <f t="array" ref="I123">X$8*EstymacjaGaussowska($C123,$C$2:$C$51,X$14)*EstymacjaGaussowska($D123,$D$2:$D$51,X$15)/$H123</f>
        <v>0</v>
      </c>
      <c r="J123" s="3" cm="1">
        <f t="array" ref="J123">Y$8*EstymacjaGaussowska($C123,$C$52:$C$101,Y$14)*EstymacjaGaussowska($D123,$D$52:$D$101,Y$15)/$H123</f>
        <v>7.6220022519148979E-3</v>
      </c>
      <c r="K123" s="42" cm="1">
        <f t="array" ref="K123">Z$8*EstymacjaGaussowska($C123,$C$102:$C$151,Z$14)*EstymacjaGaussowska($D123,$D$102:$D$151,Z$15)/$H123</f>
        <v>0.99237799774808511</v>
      </c>
      <c r="L123" s="43" t="str">
        <f t="shared" si="9"/>
        <v>virginica</v>
      </c>
      <c r="M123" s="3" cm="1">
        <f t="array" ref="M123">X$8*EstymacjaGaussowska($C123,$C$2:$C$51,X$14)*EstymacjaGaussowska($D123,$D$2:$D$51,X$15)*VLOOKUP($E123,$W$29:$AA$32,2)+Y$8*EstymacjaGaussowska($C123,$C$52:$C$101,Y$14)*EstymacjaGaussowska($D123,$D$52:$D$101,Y$15)*VLOOKUP($E123,$W$29:$AA$32,3)+Z$8*EstymacjaGaussowska($C123,$C$102:$C$151,Z$14)*EstymacjaGaussowska($D123,$D$102:$D$151,Z$15)*VLOOKUP($E123,$W$29:$AA$32,4)</f>
        <v>0.11113935050364804</v>
      </c>
      <c r="N123" s="3" cm="1">
        <f t="array" ref="N123">X$8*EstymacjaGaussowska($C123,$C$2:$C$51,X$14)*EstymacjaGaussowska($D123,$D$2:$D$51,X$15)*VLOOKUP($E123,$W$29:$AA$32,2)/$M123</f>
        <v>0</v>
      </c>
      <c r="O123" s="3" cm="1">
        <f t="array" ref="O123">Y$8*EstymacjaGaussowska($C123,$C$52:$C$101,Y$14)*EstymacjaGaussowska($D123,$D$52:$D$101,Y$15)*VLOOKUP($E123,$W$29:$AA$32,3)/$M123</f>
        <v>2.2988660491167221E-3</v>
      </c>
      <c r="P123" s="42" cm="1">
        <f t="array" ref="P123">Z$8*EstymacjaGaussowska($C123,$C$102:$C$151,Z$14)*EstymacjaGaussowska($D123,$D$102:$D$151,Z$15)*VLOOKUP($E123,$W$29:$AA$32,4)/$M123</f>
        <v>0.99770113395088322</v>
      </c>
      <c r="Q123" s="43" t="str">
        <f t="shared" si="10"/>
        <v>virginica</v>
      </c>
      <c r="R123" s="3" cm="1">
        <f t="array" ref="R123">X$8*EstymacjaGaussowska($C123,$C$2:$C$51,X$14)*EstymacjaGaussowska($D123,$D$2:$D$51,X$15)*EstymacjaGaussowska($A123,$A$2:$A$51,X$18)*EstymacjaGaussowska($B123,$B$2:$B$51,X$19)*VLOOKUP($E123,$W$29:$AA$32,2)+Y$8*EstymacjaGaussowska($C123,$C$52:$C$101,Y$14)*EstymacjaGaussowska($D123,$D$52:$D$101,Y$15)*EstymacjaGaussowska($A123,$A$52:$A$101,Y$18)*EstymacjaGaussowska($B123,$B$52:$B$101,Y$19)*VLOOKUP($E123,$W$29:$AA$32,3)+Z$8*EstymacjaGaussowska($C123,$C$102:$C$151,Z$14)*EstymacjaGaussowska($D123,$D$102:$D$151,Z$15)*EstymacjaGaussowska($A123,$A$102:$A$151,Z$18)*EstymacjaGaussowska($B123,$B$102:$B$151,Z$19)*VLOOKUP($E123,$W$29:$AA$32,4)</f>
        <v>2.2672866560150329E-2</v>
      </c>
      <c r="S123" s="3" cm="1">
        <f t="array" ref="S123">X$8*EstymacjaGaussowska($C123,$C$2:$C$51,X$14)*EstymacjaGaussowska($D123,$D$2:$D$51,X$15)*EstymacjaGaussowska($A123,$A$2:$A$51,X$18)*EstymacjaGaussowska($B123,$B$2:$B$51,X$19)*VLOOKUP($E123,$W$29:$AA$32,2)/$R123</f>
        <v>0</v>
      </c>
      <c r="T123" s="3" cm="1">
        <f t="array" ref="T123">Y$8*EstymacjaGaussowska($C123,$C$52:$C$101,Y$14)*EstymacjaGaussowska($D123,$D$52:$D$101,Y$15)*EstymacjaGaussowska($A123,$A$52:$A$101,Y$18)*EstymacjaGaussowska($B123,$B$52:$B$101,Y$19)*VLOOKUP($E123,$W$29:$AA$32,3)/$R123</f>
        <v>8.3143913304349511E-3</v>
      </c>
      <c r="U123" s="42" cm="1">
        <f t="array" ref="U123">Z$8*EstymacjaGaussowska($C123,$C$102:$C$151,Z$14)*EstymacjaGaussowska($D123,$D$102:$D$151,Z$15)*EstymacjaGaussowska($A123,$A$102:$A$151,Z$18)*EstymacjaGaussowska($B123,$B$102:$B$151,Z$19)*VLOOKUP($E123,$W$29:$AA$32,4)/$R123</f>
        <v>0.99168560866956501</v>
      </c>
    </row>
    <row r="124" spans="1:21" x14ac:dyDescent="0.25">
      <c r="A124" s="9">
        <v>7.7</v>
      </c>
      <c r="B124" s="3">
        <v>2.8</v>
      </c>
      <c r="C124" s="3">
        <v>6.7</v>
      </c>
      <c r="D124" s="8">
        <v>2</v>
      </c>
      <c r="E124" s="9" t="s">
        <v>11</v>
      </c>
      <c r="F124" s="50" t="s">
        <v>7</v>
      </c>
      <c r="G124" s="43" t="str">
        <f t="shared" si="11"/>
        <v>virginica</v>
      </c>
      <c r="H124" s="3" cm="1">
        <f t="array" ref="H124">X$8*EstymacjaGaussowska($C124,$C$2:$C$51,X$14)*EstymacjaGaussowska($D124,$D$2:$D$51,X$15)+Y$8*EstymacjaGaussowska($C124,$C$52:$C$101,Y$14)*EstymacjaGaussowska($D124,$D$52:$D$101,Y$15)+Z$8*EstymacjaGaussowska($C124,$C$102:$C$151,Z$14)*EstymacjaGaussowska($D124,$D$102:$D$151,Z$15)</f>
        <v>5.7110599700339749E-2</v>
      </c>
      <c r="I124" s="3" cm="1">
        <f t="array" ref="I124">X$8*EstymacjaGaussowska($C124,$C$2:$C$51,X$14)*EstymacjaGaussowska($D124,$D$2:$D$51,X$15)/$H124</f>
        <v>0</v>
      </c>
      <c r="J124" s="3" cm="1">
        <f t="array" ref="J124">Y$8*EstymacjaGaussowska($C124,$C$52:$C$101,Y$14)*EstymacjaGaussowska($D124,$D$52:$D$101,Y$15)/$H124</f>
        <v>4.1722170580014024E-14</v>
      </c>
      <c r="K124" s="42" cm="1">
        <f t="array" ref="K124">Z$8*EstymacjaGaussowska($C124,$C$102:$C$151,Z$14)*EstymacjaGaussowska($D124,$D$102:$D$151,Z$15)/$H124</f>
        <v>0.99999999999995837</v>
      </c>
      <c r="L124" s="43" t="str">
        <f t="shared" si="9"/>
        <v>virginica</v>
      </c>
      <c r="M124" s="3" cm="1">
        <f t="array" ref="M124">X$8*EstymacjaGaussowska($C124,$C$2:$C$51,X$14)*EstymacjaGaussowska($D124,$D$2:$D$51,X$15)*VLOOKUP($E124,$W$29:$AA$32,2)+Y$8*EstymacjaGaussowska($C124,$C$52:$C$101,Y$14)*EstymacjaGaussowska($D124,$D$52:$D$101,Y$15)*VLOOKUP($E124,$W$29:$AA$32,3)+Z$8*EstymacjaGaussowska($C124,$C$102:$C$151,Z$14)*EstymacjaGaussowska($D124,$D$102:$D$151,Z$15)*VLOOKUP($E124,$W$29:$AA$32,4)</f>
        <v>3.4266359820202853E-2</v>
      </c>
      <c r="N124" s="3" cm="1">
        <f t="array" ref="N124">X$8*EstymacjaGaussowska($C124,$C$2:$C$51,X$14)*EstymacjaGaussowska($D124,$D$2:$D$51,X$15)*VLOOKUP($E124,$W$29:$AA$32,2)/$M124</f>
        <v>0</v>
      </c>
      <c r="O124" s="3" cm="1">
        <f t="array" ref="O124">Y$8*EstymacjaGaussowska($C124,$C$52:$C$101,Y$14)*EstymacjaGaussowska($D124,$D$52:$D$101,Y$15)*VLOOKUP($E124,$W$29:$AA$32,3)/$M124</f>
        <v>1.251665117400457E-14</v>
      </c>
      <c r="P124" s="42" cm="1">
        <f t="array" ref="P124">Z$8*EstymacjaGaussowska($C124,$C$102:$C$151,Z$14)*EstymacjaGaussowska($D124,$D$102:$D$151,Z$15)*VLOOKUP($E124,$W$29:$AA$32,4)/$M124</f>
        <v>0.99999999999998745</v>
      </c>
      <c r="Q124" s="43" t="str">
        <f t="shared" si="10"/>
        <v>virginica</v>
      </c>
      <c r="R124" s="3" cm="1">
        <f t="array" ref="R124">X$8*EstymacjaGaussowska($C124,$C$2:$C$51,X$14)*EstymacjaGaussowska($D124,$D$2:$D$51,X$15)*EstymacjaGaussowska($A124,$A$2:$A$51,X$18)*EstymacjaGaussowska($B124,$B$2:$B$51,X$19)*VLOOKUP($E124,$W$29:$AA$32,2)+Y$8*EstymacjaGaussowska($C124,$C$52:$C$101,Y$14)*EstymacjaGaussowska($D124,$D$52:$D$101,Y$15)*EstymacjaGaussowska($A124,$A$52:$A$101,Y$18)*EstymacjaGaussowska($B124,$B$52:$B$101,Y$19)*VLOOKUP($E124,$W$29:$AA$32,3)+Z$8*EstymacjaGaussowska($C124,$C$102:$C$151,Z$14)*EstymacjaGaussowska($D124,$D$102:$D$151,Z$15)*EstymacjaGaussowska($A124,$A$102:$A$151,Z$18)*EstymacjaGaussowska($B124,$B$102:$B$151,Z$19)*VLOOKUP($E124,$W$29:$AA$32,4)</f>
        <v>7.373664811250953E-3</v>
      </c>
      <c r="S124" s="3" cm="1">
        <f t="array" ref="S124">X$8*EstymacjaGaussowska($C124,$C$2:$C$51,X$14)*EstymacjaGaussowska($D124,$D$2:$D$51,X$15)*EstymacjaGaussowska($A124,$A$2:$A$51,X$18)*EstymacjaGaussowska($B124,$B$2:$B$51,X$19)*VLOOKUP($E124,$W$29:$AA$32,2)/$R124</f>
        <v>0</v>
      </c>
      <c r="T124" s="3" cm="1">
        <f t="array" ref="T124">Y$8*EstymacjaGaussowska($C124,$C$52:$C$101,Y$14)*EstymacjaGaussowska($D124,$D$52:$D$101,Y$15)*EstymacjaGaussowska($A124,$A$52:$A$101,Y$18)*EstymacjaGaussowska($B124,$B$52:$B$101,Y$19)*VLOOKUP($E124,$W$29:$AA$32,3)/$R124</f>
        <v>6.0091253852659821E-17</v>
      </c>
      <c r="U124" s="42" cm="1">
        <f t="array" ref="U124">Z$8*EstymacjaGaussowska($C124,$C$102:$C$151,Z$14)*EstymacjaGaussowska($D124,$D$102:$D$151,Z$15)*EstymacjaGaussowska($A124,$A$102:$A$151,Z$18)*EstymacjaGaussowska($B124,$B$102:$B$151,Z$19)*VLOOKUP($E124,$W$29:$AA$32,4)/$R124</f>
        <v>0.99999999999999989</v>
      </c>
    </row>
    <row r="125" spans="1:21" x14ac:dyDescent="0.25">
      <c r="A125" s="9">
        <v>6.3</v>
      </c>
      <c r="B125" s="3">
        <v>2.7</v>
      </c>
      <c r="C125" s="3">
        <v>4.9000000000000004</v>
      </c>
      <c r="D125" s="8">
        <v>1.8</v>
      </c>
      <c r="E125" s="9" t="s">
        <v>11</v>
      </c>
      <c r="F125" s="50" t="s">
        <v>7</v>
      </c>
      <c r="G125" s="43" t="str">
        <f t="shared" si="11"/>
        <v>virginica</v>
      </c>
      <c r="H125" s="3" cm="1">
        <f t="array" ref="H125">X$8*EstymacjaGaussowska($C125,$C$2:$C$51,X$14)*EstymacjaGaussowska($D125,$D$2:$D$51,X$15)+Y$8*EstymacjaGaussowska($C125,$C$52:$C$101,Y$14)*EstymacjaGaussowska($D125,$D$52:$D$101,Y$15)+Z$8*EstymacjaGaussowska($C125,$C$102:$C$151,Z$14)*EstymacjaGaussowska($D125,$D$102:$D$151,Z$15)</f>
        <v>0.19765172027916578</v>
      </c>
      <c r="I125" s="3" cm="1">
        <f t="array" ref="I125">X$8*EstymacjaGaussowska($C125,$C$2:$C$51,X$14)*EstymacjaGaussowska($D125,$D$2:$D$51,X$15)/$H125</f>
        <v>0</v>
      </c>
      <c r="J125" s="3" cm="1">
        <f t="array" ref="J125">Y$8*EstymacjaGaussowska($C125,$C$52:$C$101,Y$14)*EstymacjaGaussowska($D125,$D$52:$D$101,Y$15)/$H125</f>
        <v>0.11809021685474017</v>
      </c>
      <c r="K125" s="42" cm="1">
        <f t="array" ref="K125">Z$8*EstymacjaGaussowska($C125,$C$102:$C$151,Z$14)*EstymacjaGaussowska($D125,$D$102:$D$151,Z$15)/$H125</f>
        <v>0.88190978314525981</v>
      </c>
      <c r="L125" s="43" t="str">
        <f t="shared" si="9"/>
        <v>virginica</v>
      </c>
      <c r="M125" s="3" cm="1">
        <f t="array" ref="M125">X$8*EstymacjaGaussowska($C125,$C$2:$C$51,X$14)*EstymacjaGaussowska($D125,$D$2:$D$51,X$15)*VLOOKUP($E125,$W$29:$AA$32,2)+Y$8*EstymacjaGaussowska($C125,$C$52:$C$101,Y$14)*EstymacjaGaussowska($D125,$D$52:$D$101,Y$15)*VLOOKUP($E125,$W$29:$AA$32,3)+Z$8*EstymacjaGaussowska($C125,$C$102:$C$151,Z$14)*EstymacjaGaussowska($D125,$D$102:$D$151,Z$15)*VLOOKUP($E125,$W$29:$AA$32,4)</f>
        <v>0.10878792367351822</v>
      </c>
      <c r="N125" s="3" cm="1">
        <f t="array" ref="N125">X$8*EstymacjaGaussowska($C125,$C$2:$C$51,X$14)*EstymacjaGaussowska($D125,$D$2:$D$51,X$15)*VLOOKUP($E125,$W$29:$AA$32,2)/$M125</f>
        <v>0</v>
      </c>
      <c r="O125" s="3" cm="1">
        <f t="array" ref="O125">Y$8*EstymacjaGaussowska($C125,$C$52:$C$101,Y$14)*EstymacjaGaussowska($D125,$D$52:$D$101,Y$15)*VLOOKUP($E125,$W$29:$AA$32,3)/$M125</f>
        <v>3.8619472362711849E-2</v>
      </c>
      <c r="P125" s="42" cm="1">
        <f t="array" ref="P125">Z$8*EstymacjaGaussowska($C125,$C$102:$C$151,Z$14)*EstymacjaGaussowska($D125,$D$102:$D$151,Z$15)*VLOOKUP($E125,$W$29:$AA$32,4)/$M125</f>
        <v>0.96138052763728821</v>
      </c>
      <c r="Q125" s="43" t="str">
        <f t="shared" si="10"/>
        <v>virginica</v>
      </c>
      <c r="R125" s="3" cm="1">
        <f t="array" ref="R125">X$8*EstymacjaGaussowska($C125,$C$2:$C$51,X$14)*EstymacjaGaussowska($D125,$D$2:$D$51,X$15)*EstymacjaGaussowska($A125,$A$2:$A$51,X$18)*EstymacjaGaussowska($B125,$B$2:$B$51,X$19)*VLOOKUP($E125,$W$29:$AA$32,2)+Y$8*EstymacjaGaussowska($C125,$C$52:$C$101,Y$14)*EstymacjaGaussowska($D125,$D$52:$D$101,Y$15)*EstymacjaGaussowska($A125,$A$52:$A$101,Y$18)*EstymacjaGaussowska($B125,$B$52:$B$101,Y$19)*VLOOKUP($E125,$W$29:$AA$32,3)+Z$8*EstymacjaGaussowska($C125,$C$102:$C$151,Z$14)*EstymacjaGaussowska($D125,$D$102:$D$151,Z$15)*EstymacjaGaussowska($A125,$A$102:$A$151,Z$18)*EstymacjaGaussowska($B125,$B$102:$B$151,Z$19)*VLOOKUP($E125,$W$29:$AA$32,4)</f>
        <v>5.6748632411176274E-2</v>
      </c>
      <c r="S125" s="3" cm="1">
        <f t="array" ref="S125">X$8*EstymacjaGaussowska($C125,$C$2:$C$51,X$14)*EstymacjaGaussowska($D125,$D$2:$D$51,X$15)*EstymacjaGaussowska($A125,$A$2:$A$51,X$18)*EstymacjaGaussowska($B125,$B$2:$B$51,X$19)*VLOOKUP($E125,$W$29:$AA$32,2)/$R125</f>
        <v>0</v>
      </c>
      <c r="T125" s="3" cm="1">
        <f t="array" ref="T125">Y$8*EstymacjaGaussowska($C125,$C$52:$C$101,Y$14)*EstymacjaGaussowska($D125,$D$52:$D$101,Y$15)*EstymacjaGaussowska($A125,$A$52:$A$101,Y$18)*EstymacjaGaussowska($B125,$B$52:$B$101,Y$19)*VLOOKUP($E125,$W$29:$AA$32,3)/$R125</f>
        <v>3.6244133515785419E-2</v>
      </c>
      <c r="U125" s="42" cm="1">
        <f t="array" ref="U125">Z$8*EstymacjaGaussowska($C125,$C$102:$C$151,Z$14)*EstymacjaGaussowska($D125,$D$102:$D$151,Z$15)*EstymacjaGaussowska($A125,$A$102:$A$151,Z$18)*EstymacjaGaussowska($B125,$B$102:$B$151,Z$19)*VLOOKUP($E125,$W$29:$AA$32,4)/$R125</f>
        <v>0.96375586648421463</v>
      </c>
    </row>
    <row r="126" spans="1:21" x14ac:dyDescent="0.25">
      <c r="A126" s="9">
        <v>6.7</v>
      </c>
      <c r="B126" s="3">
        <v>3.3</v>
      </c>
      <c r="C126" s="3">
        <v>5.7</v>
      </c>
      <c r="D126" s="8">
        <v>2.1</v>
      </c>
      <c r="E126" s="9" t="s">
        <v>11</v>
      </c>
      <c r="F126" s="50" t="s">
        <v>7</v>
      </c>
      <c r="G126" s="43" t="str">
        <f t="shared" si="11"/>
        <v>virginica</v>
      </c>
      <c r="H126" s="3" cm="1">
        <f t="array" ref="H126">X$8*EstymacjaGaussowska($C126,$C$2:$C$51,X$14)*EstymacjaGaussowska($D126,$D$2:$D$51,X$15)+Y$8*EstymacjaGaussowska($C126,$C$52:$C$101,Y$14)*EstymacjaGaussowska($D126,$D$52:$D$101,Y$15)+Z$8*EstymacjaGaussowska($C126,$C$102:$C$151,Z$14)*EstymacjaGaussowska($D126,$D$102:$D$151,Z$15)</f>
        <v>0.21744766873631943</v>
      </c>
      <c r="I126" s="3" cm="1">
        <f t="array" ref="I126">X$8*EstymacjaGaussowska($C126,$C$2:$C$51,X$14)*EstymacjaGaussowska($D126,$D$2:$D$51,X$15)/$H126</f>
        <v>0</v>
      </c>
      <c r="J126" s="3" cm="1">
        <f t="array" ref="J126">Y$8*EstymacjaGaussowska($C126,$C$52:$C$101,Y$14)*EstymacjaGaussowska($D126,$D$52:$D$101,Y$15)/$H126</f>
        <v>1.550028733150052E-6</v>
      </c>
      <c r="K126" s="42" cm="1">
        <f t="array" ref="K126">Z$8*EstymacjaGaussowska($C126,$C$102:$C$151,Z$14)*EstymacjaGaussowska($D126,$D$102:$D$151,Z$15)/$H126</f>
        <v>0.99999844997126686</v>
      </c>
      <c r="L126" s="43" t="str">
        <f t="shared" si="9"/>
        <v>virginica</v>
      </c>
      <c r="M126" s="3" cm="1">
        <f t="array" ref="M126">X$8*EstymacjaGaussowska($C126,$C$2:$C$51,X$14)*EstymacjaGaussowska($D126,$D$2:$D$51,X$15)*VLOOKUP($E126,$W$29:$AA$32,2)+Y$8*EstymacjaGaussowska($C126,$C$52:$C$101,Y$14)*EstymacjaGaussowska($D126,$D$52:$D$101,Y$15)*VLOOKUP($E126,$W$29:$AA$32,3)+Z$8*EstymacjaGaussowska($C126,$C$102:$C$151,Z$14)*EstymacjaGaussowska($D126,$D$102:$D$151,Z$15)*VLOOKUP($E126,$W$29:$AA$32,4)</f>
        <v>0.13046845968073517</v>
      </c>
      <c r="N126" s="3" cm="1">
        <f t="array" ref="N126">X$8*EstymacjaGaussowska($C126,$C$2:$C$51,X$14)*EstymacjaGaussowska($D126,$D$2:$D$51,X$15)*VLOOKUP($E126,$W$29:$AA$32,2)/$M126</f>
        <v>0</v>
      </c>
      <c r="O126" s="3" cm="1">
        <f t="array" ref="O126">Y$8*EstymacjaGaussowska($C126,$C$52:$C$101,Y$14)*EstymacjaGaussowska($D126,$D$52:$D$101,Y$15)*VLOOKUP($E126,$W$29:$AA$32,3)/$M126</f>
        <v>4.6500912448926842E-7</v>
      </c>
      <c r="P126" s="42" cm="1">
        <f t="array" ref="P126">Z$8*EstymacjaGaussowska($C126,$C$102:$C$151,Z$14)*EstymacjaGaussowska($D126,$D$102:$D$151,Z$15)*VLOOKUP($E126,$W$29:$AA$32,4)/$M126</f>
        <v>0.99999953499087546</v>
      </c>
      <c r="Q126" s="43" t="str">
        <f t="shared" si="10"/>
        <v>virginica</v>
      </c>
      <c r="R126" s="3" cm="1">
        <f t="array" ref="R126">X$8*EstymacjaGaussowska($C126,$C$2:$C$51,X$14)*EstymacjaGaussowska($D126,$D$2:$D$51,X$15)*EstymacjaGaussowska($A126,$A$2:$A$51,X$18)*EstymacjaGaussowska($B126,$B$2:$B$51,X$19)*VLOOKUP($E126,$W$29:$AA$32,2)+Y$8*EstymacjaGaussowska($C126,$C$52:$C$101,Y$14)*EstymacjaGaussowska($D126,$D$52:$D$101,Y$15)*EstymacjaGaussowska($A126,$A$52:$A$101,Y$18)*EstymacjaGaussowska($B126,$B$52:$B$101,Y$19)*VLOOKUP($E126,$W$29:$AA$32,3)+Z$8*EstymacjaGaussowska($C126,$C$102:$C$151,Z$14)*EstymacjaGaussowska($D126,$D$102:$D$151,Z$15)*EstymacjaGaussowska($A126,$A$102:$A$151,Z$18)*EstymacjaGaussowska($B126,$B$102:$B$151,Z$19)*VLOOKUP($E126,$W$29:$AA$32,4)</f>
        <v>4.5506590048830023E-2</v>
      </c>
      <c r="S126" s="3" cm="1">
        <f t="array" ref="S126">X$8*EstymacjaGaussowska($C126,$C$2:$C$51,X$14)*EstymacjaGaussowska($D126,$D$2:$D$51,X$15)*EstymacjaGaussowska($A126,$A$2:$A$51,X$18)*EstymacjaGaussowska($B126,$B$2:$B$51,X$19)*VLOOKUP($E126,$W$29:$AA$32,2)/$R126</f>
        <v>0</v>
      </c>
      <c r="T126" s="3" cm="1">
        <f t="array" ref="T126">Y$8*EstymacjaGaussowska($C126,$C$52:$C$101,Y$14)*EstymacjaGaussowska($D126,$D$52:$D$101,Y$15)*EstymacjaGaussowska($A126,$A$52:$A$101,Y$18)*EstymacjaGaussowska($B126,$B$52:$B$101,Y$19)*VLOOKUP($E126,$W$29:$AA$32,3)/$R126</f>
        <v>1.5522203121331118E-7</v>
      </c>
      <c r="U126" s="42" cm="1">
        <f t="array" ref="U126">Z$8*EstymacjaGaussowska($C126,$C$102:$C$151,Z$14)*EstymacjaGaussowska($D126,$D$102:$D$151,Z$15)*EstymacjaGaussowska($A126,$A$102:$A$151,Z$18)*EstymacjaGaussowska($B126,$B$102:$B$151,Z$19)*VLOOKUP($E126,$W$29:$AA$32,4)/$R126</f>
        <v>0.99999984477796866</v>
      </c>
    </row>
    <row r="127" spans="1:21" x14ac:dyDescent="0.25">
      <c r="A127" s="9">
        <v>7.2</v>
      </c>
      <c r="B127" s="3">
        <v>3.2</v>
      </c>
      <c r="C127" s="3">
        <v>6</v>
      </c>
      <c r="D127" s="8">
        <v>1.8</v>
      </c>
      <c r="E127" s="9" t="s">
        <v>11</v>
      </c>
      <c r="F127" s="50" t="s">
        <v>7</v>
      </c>
      <c r="G127" s="43" t="str">
        <f t="shared" si="11"/>
        <v>virginica</v>
      </c>
      <c r="H127" s="3" cm="1">
        <f t="array" ref="H127">X$8*EstymacjaGaussowska($C127,$C$2:$C$51,X$14)*EstymacjaGaussowska($D127,$D$2:$D$51,X$15)+Y$8*EstymacjaGaussowska($C127,$C$52:$C$101,Y$14)*EstymacjaGaussowska($D127,$D$52:$D$101,Y$15)+Z$8*EstymacjaGaussowska($C127,$C$102:$C$151,Z$14)*EstymacjaGaussowska($D127,$D$102:$D$151,Z$15)</f>
        <v>0.15742851464978216</v>
      </c>
      <c r="I127" s="3" cm="1">
        <f t="array" ref="I127">X$8*EstymacjaGaussowska($C127,$C$2:$C$51,X$14)*EstymacjaGaussowska($D127,$D$2:$D$51,X$15)/$H127</f>
        <v>0</v>
      </c>
      <c r="J127" s="3" cm="1">
        <f t="array" ref="J127">Y$8*EstymacjaGaussowska($C127,$C$52:$C$101,Y$14)*EstymacjaGaussowska($D127,$D$52:$D$101,Y$15)/$H127</f>
        <v>6.0686740555057969E-6</v>
      </c>
      <c r="K127" s="42" cm="1">
        <f t="array" ref="K127">Z$8*EstymacjaGaussowska($C127,$C$102:$C$151,Z$14)*EstymacjaGaussowska($D127,$D$102:$D$151,Z$15)/$H127</f>
        <v>0.9999939313259445</v>
      </c>
      <c r="L127" s="43" t="str">
        <f t="shared" si="9"/>
        <v>virginica</v>
      </c>
      <c r="M127" s="3" cm="1">
        <f t="array" ref="M127">X$8*EstymacjaGaussowska($C127,$C$2:$C$51,X$14)*EstymacjaGaussowska($D127,$D$2:$D$51,X$15)*VLOOKUP($E127,$W$29:$AA$32,2)+Y$8*EstymacjaGaussowska($C127,$C$52:$C$101,Y$14)*EstymacjaGaussowska($D127,$D$52:$D$101,Y$15)*VLOOKUP($E127,$W$29:$AA$32,3)+Z$8*EstymacjaGaussowska($C127,$C$102:$C$151,Z$14)*EstymacjaGaussowska($D127,$D$102:$D$151,Z$15)*VLOOKUP($E127,$W$29:$AA$32,4)</f>
        <v>9.4456707529285464E-2</v>
      </c>
      <c r="N127" s="3" cm="1">
        <f t="array" ref="N127">X$8*EstymacjaGaussowska($C127,$C$2:$C$51,X$14)*EstymacjaGaussowska($D127,$D$2:$D$51,X$15)*VLOOKUP($E127,$W$29:$AA$32,2)/$M127</f>
        <v>0</v>
      </c>
      <c r="O127" s="3" cm="1">
        <f t="array" ref="O127">Y$8*EstymacjaGaussowska($C127,$C$52:$C$101,Y$14)*EstymacjaGaussowska($D127,$D$52:$D$101,Y$15)*VLOOKUP($E127,$W$29:$AA$32,3)/$M127</f>
        <v>1.8206099507336001E-6</v>
      </c>
      <c r="P127" s="42" cm="1">
        <f t="array" ref="P127">Z$8*EstymacjaGaussowska($C127,$C$102:$C$151,Z$14)*EstymacjaGaussowska($D127,$D$102:$D$151,Z$15)*VLOOKUP($E127,$W$29:$AA$32,4)/$M127</f>
        <v>0.99999817939004931</v>
      </c>
      <c r="Q127" s="43" t="str">
        <f t="shared" si="10"/>
        <v>virginica</v>
      </c>
      <c r="R127" s="3" cm="1">
        <f t="array" ref="R127">X$8*EstymacjaGaussowska($C127,$C$2:$C$51,X$14)*EstymacjaGaussowska($D127,$D$2:$D$51,X$15)*EstymacjaGaussowska($A127,$A$2:$A$51,X$18)*EstymacjaGaussowska($B127,$B$2:$B$51,X$19)*VLOOKUP($E127,$W$29:$AA$32,2)+Y$8*EstymacjaGaussowska($C127,$C$52:$C$101,Y$14)*EstymacjaGaussowska($D127,$D$52:$D$101,Y$15)*EstymacjaGaussowska($A127,$A$52:$A$101,Y$18)*EstymacjaGaussowska($B127,$B$52:$B$101,Y$19)*VLOOKUP($E127,$W$29:$AA$32,3)+Z$8*EstymacjaGaussowska($C127,$C$102:$C$151,Z$14)*EstymacjaGaussowska($D127,$D$102:$D$151,Z$15)*EstymacjaGaussowska($A127,$A$102:$A$151,Z$18)*EstymacjaGaussowska($B127,$B$102:$B$151,Z$19)*VLOOKUP($E127,$W$29:$AA$32,4)</f>
        <v>2.6160866874164832E-2</v>
      </c>
      <c r="S127" s="3" cm="1">
        <f t="array" ref="S127">X$8*EstymacjaGaussowska($C127,$C$2:$C$51,X$14)*EstymacjaGaussowska($D127,$D$2:$D$51,X$15)*EstymacjaGaussowska($A127,$A$2:$A$51,X$18)*EstymacjaGaussowska($B127,$B$2:$B$51,X$19)*VLOOKUP($E127,$W$29:$AA$32,2)/$R127</f>
        <v>0</v>
      </c>
      <c r="T127" s="3" cm="1">
        <f t="array" ref="T127">Y$8*EstymacjaGaussowska($C127,$C$52:$C$101,Y$14)*EstymacjaGaussowska($D127,$D$52:$D$101,Y$15)*EstymacjaGaussowska($A127,$A$52:$A$101,Y$18)*EstymacjaGaussowska($B127,$B$52:$B$101,Y$19)*VLOOKUP($E127,$W$29:$AA$32,3)/$R127</f>
        <v>2.5313959700501838E-7</v>
      </c>
      <c r="U127" s="42" cm="1">
        <f t="array" ref="U127">Z$8*EstymacjaGaussowska($C127,$C$102:$C$151,Z$14)*EstymacjaGaussowska($D127,$D$102:$D$151,Z$15)*EstymacjaGaussowska($A127,$A$102:$A$151,Z$18)*EstymacjaGaussowska($B127,$B$102:$B$151,Z$19)*VLOOKUP($E127,$W$29:$AA$32,4)/$R127</f>
        <v>0.99999974686040294</v>
      </c>
    </row>
    <row r="128" spans="1:21" x14ac:dyDescent="0.25">
      <c r="A128" s="9">
        <v>6.2</v>
      </c>
      <c r="B128" s="3">
        <v>2.8</v>
      </c>
      <c r="C128" s="3">
        <v>4.8</v>
      </c>
      <c r="D128" s="8">
        <v>1.8</v>
      </c>
      <c r="E128" s="9" t="s">
        <v>11</v>
      </c>
      <c r="F128" s="50" t="s">
        <v>7</v>
      </c>
      <c r="G128" s="43" t="str">
        <f t="shared" si="11"/>
        <v>virginica</v>
      </c>
      <c r="H128" s="3" cm="1">
        <f t="array" ref="H128">X$8*EstymacjaGaussowska($C128,$C$2:$C$51,X$14)*EstymacjaGaussowska($D128,$D$2:$D$51,X$15)+Y$8*EstymacjaGaussowska($C128,$C$52:$C$101,Y$14)*EstymacjaGaussowska($D128,$D$52:$D$101,Y$15)+Z$8*EstymacjaGaussowska($C128,$C$102:$C$151,Z$14)*EstymacjaGaussowska($D128,$D$102:$D$151,Z$15)</f>
        <v>0.16986367174339903</v>
      </c>
      <c r="I128" s="3" cm="1">
        <f t="array" ref="I128">X$8*EstymacjaGaussowska($C128,$C$2:$C$51,X$14)*EstymacjaGaussowska($D128,$D$2:$D$51,X$15)/$H128</f>
        <v>0</v>
      </c>
      <c r="J128" s="3" cm="1">
        <f t="array" ref="J128">Y$8*EstymacjaGaussowska($C128,$C$52:$C$101,Y$14)*EstymacjaGaussowska($D128,$D$52:$D$101,Y$15)/$H128</f>
        <v>0.17861708260727199</v>
      </c>
      <c r="K128" s="42" cm="1">
        <f t="array" ref="K128">Z$8*EstymacjaGaussowska($C128,$C$102:$C$151,Z$14)*EstymacjaGaussowska($D128,$D$102:$D$151,Z$15)/$H128</f>
        <v>0.82138291739272806</v>
      </c>
      <c r="L128" s="43" t="str">
        <f t="shared" si="9"/>
        <v>virginica</v>
      </c>
      <c r="M128" s="3" cm="1">
        <f t="array" ref="M128">X$8*EstymacjaGaussowska($C128,$C$2:$C$51,X$14)*EstymacjaGaussowska($D128,$D$2:$D$51,X$15)*VLOOKUP($E128,$W$29:$AA$32,2)+Y$8*EstymacjaGaussowska($C128,$C$52:$C$101,Y$14)*EstymacjaGaussowska($D128,$D$52:$D$101,Y$15)*VLOOKUP($E128,$W$29:$AA$32,3)+Z$8*EstymacjaGaussowska($C128,$C$102:$C$151,Z$14)*EstymacjaGaussowska($D128,$D$102:$D$151,Z$15)*VLOOKUP($E128,$W$29:$AA$32,4)</f>
        <v>8.917517058117802E-2</v>
      </c>
      <c r="N128" s="3" cm="1">
        <f t="array" ref="N128">X$8*EstymacjaGaussowska($C128,$C$2:$C$51,X$14)*EstymacjaGaussowska($D128,$D$2:$D$51,X$15)*VLOOKUP($E128,$W$29:$AA$32,2)/$M128</f>
        <v>0</v>
      </c>
      <c r="O128" s="3" cm="1">
        <f t="array" ref="O128">Y$8*EstymacjaGaussowska($C128,$C$52:$C$101,Y$14)*EstymacjaGaussowska($D128,$D$52:$D$101,Y$15)*VLOOKUP($E128,$W$29:$AA$32,3)/$M128</f>
        <v>6.1242379377634132E-2</v>
      </c>
      <c r="P128" s="42" cm="1">
        <f t="array" ref="P128">Z$8*EstymacjaGaussowska($C128,$C$102:$C$151,Z$14)*EstymacjaGaussowska($D128,$D$102:$D$151,Z$15)*VLOOKUP($E128,$W$29:$AA$32,4)/$M128</f>
        <v>0.93875762062236578</v>
      </c>
      <c r="Q128" s="43" t="str">
        <f t="shared" si="10"/>
        <v>virginica</v>
      </c>
      <c r="R128" s="3" cm="1">
        <f t="array" ref="R128">X$8*EstymacjaGaussowska($C128,$C$2:$C$51,X$14)*EstymacjaGaussowska($D128,$D$2:$D$51,X$15)*EstymacjaGaussowska($A128,$A$2:$A$51,X$18)*EstymacjaGaussowska($B128,$B$2:$B$51,X$19)*VLOOKUP($E128,$W$29:$AA$32,2)+Y$8*EstymacjaGaussowska($C128,$C$52:$C$101,Y$14)*EstymacjaGaussowska($D128,$D$52:$D$101,Y$15)*EstymacjaGaussowska($A128,$A$52:$A$101,Y$18)*EstymacjaGaussowska($B128,$B$52:$B$101,Y$19)*VLOOKUP($E128,$W$29:$AA$32,3)+Z$8*EstymacjaGaussowska($C128,$C$102:$C$151,Z$14)*EstymacjaGaussowska($D128,$D$102:$D$151,Z$15)*EstymacjaGaussowska($A128,$A$102:$A$151,Z$18)*EstymacjaGaussowska($B128,$B$102:$B$151,Z$19)*VLOOKUP($E128,$W$29:$AA$32,4)</f>
        <v>5.3346944670416695E-2</v>
      </c>
      <c r="S128" s="3" cm="1">
        <f t="array" ref="S128">X$8*EstymacjaGaussowska($C128,$C$2:$C$51,X$14)*EstymacjaGaussowska($D128,$D$2:$D$51,X$15)*EstymacjaGaussowska($A128,$A$2:$A$51,X$18)*EstymacjaGaussowska($B128,$B$2:$B$51,X$19)*VLOOKUP($E128,$W$29:$AA$32,2)/$R128</f>
        <v>0</v>
      </c>
      <c r="T128" s="3" cm="1">
        <f t="array" ref="T128">Y$8*EstymacjaGaussowska($C128,$C$52:$C$101,Y$14)*EstymacjaGaussowska($D128,$D$52:$D$101,Y$15)*EstymacjaGaussowska($A128,$A$52:$A$101,Y$18)*EstymacjaGaussowska($B128,$B$52:$B$101,Y$19)*VLOOKUP($E128,$W$29:$AA$32,3)/$R128</f>
        <v>6.3484157136069724E-2</v>
      </c>
      <c r="U128" s="42" cm="1">
        <f t="array" ref="U128">Z$8*EstymacjaGaussowska($C128,$C$102:$C$151,Z$14)*EstymacjaGaussowska($D128,$D$102:$D$151,Z$15)*EstymacjaGaussowska($A128,$A$102:$A$151,Z$18)*EstymacjaGaussowska($B128,$B$102:$B$151,Z$19)*VLOOKUP($E128,$W$29:$AA$32,4)/$R128</f>
        <v>0.9365158428639303</v>
      </c>
    </row>
    <row r="129" spans="1:21" x14ac:dyDescent="0.25">
      <c r="A129" s="9">
        <v>6.1</v>
      </c>
      <c r="B129" s="3">
        <v>3</v>
      </c>
      <c r="C129" s="3">
        <v>4.9000000000000004</v>
      </c>
      <c r="D129" s="8">
        <v>1.8</v>
      </c>
      <c r="E129" s="9" t="s">
        <v>11</v>
      </c>
      <c r="F129" s="50" t="s">
        <v>7</v>
      </c>
      <c r="G129" s="43" t="str">
        <f t="shared" si="11"/>
        <v>virginica</v>
      </c>
      <c r="H129" s="3" cm="1">
        <f t="array" ref="H129">X$8*EstymacjaGaussowska($C129,$C$2:$C$51,X$14)*EstymacjaGaussowska($D129,$D$2:$D$51,X$15)+Y$8*EstymacjaGaussowska($C129,$C$52:$C$101,Y$14)*EstymacjaGaussowska($D129,$D$52:$D$101,Y$15)+Z$8*EstymacjaGaussowska($C129,$C$102:$C$151,Z$14)*EstymacjaGaussowska($D129,$D$102:$D$151,Z$15)</f>
        <v>0.19765172027916578</v>
      </c>
      <c r="I129" s="3" cm="1">
        <f t="array" ref="I129">X$8*EstymacjaGaussowska($C129,$C$2:$C$51,X$14)*EstymacjaGaussowska($D129,$D$2:$D$51,X$15)/$H129</f>
        <v>0</v>
      </c>
      <c r="J129" s="3" cm="1">
        <f t="array" ref="J129">Y$8*EstymacjaGaussowska($C129,$C$52:$C$101,Y$14)*EstymacjaGaussowska($D129,$D$52:$D$101,Y$15)/$H129</f>
        <v>0.11809021685474017</v>
      </c>
      <c r="K129" s="42" cm="1">
        <f t="array" ref="K129">Z$8*EstymacjaGaussowska($C129,$C$102:$C$151,Z$14)*EstymacjaGaussowska($D129,$D$102:$D$151,Z$15)/$H129</f>
        <v>0.88190978314525981</v>
      </c>
      <c r="L129" s="43" t="str">
        <f t="shared" si="9"/>
        <v>virginica</v>
      </c>
      <c r="M129" s="3" cm="1">
        <f t="array" ref="M129">X$8*EstymacjaGaussowska($C129,$C$2:$C$51,X$14)*EstymacjaGaussowska($D129,$D$2:$D$51,X$15)*VLOOKUP($E129,$W$29:$AA$32,2)+Y$8*EstymacjaGaussowska($C129,$C$52:$C$101,Y$14)*EstymacjaGaussowska($D129,$D$52:$D$101,Y$15)*VLOOKUP($E129,$W$29:$AA$32,3)+Z$8*EstymacjaGaussowska($C129,$C$102:$C$151,Z$14)*EstymacjaGaussowska($D129,$D$102:$D$151,Z$15)*VLOOKUP($E129,$W$29:$AA$32,4)</f>
        <v>0.10878792367351822</v>
      </c>
      <c r="N129" s="3" cm="1">
        <f t="array" ref="N129">X$8*EstymacjaGaussowska($C129,$C$2:$C$51,X$14)*EstymacjaGaussowska($D129,$D$2:$D$51,X$15)*VLOOKUP($E129,$W$29:$AA$32,2)/$M129</f>
        <v>0</v>
      </c>
      <c r="O129" s="3" cm="1">
        <f t="array" ref="O129">Y$8*EstymacjaGaussowska($C129,$C$52:$C$101,Y$14)*EstymacjaGaussowska($D129,$D$52:$D$101,Y$15)*VLOOKUP($E129,$W$29:$AA$32,3)/$M129</f>
        <v>3.8619472362711849E-2</v>
      </c>
      <c r="P129" s="42" cm="1">
        <f t="array" ref="P129">Z$8*EstymacjaGaussowska($C129,$C$102:$C$151,Z$14)*EstymacjaGaussowska($D129,$D$102:$D$151,Z$15)*VLOOKUP($E129,$W$29:$AA$32,4)/$M129</f>
        <v>0.96138052763728821</v>
      </c>
      <c r="Q129" s="43" t="str">
        <f t="shared" si="10"/>
        <v>virginica</v>
      </c>
      <c r="R129" s="3" cm="1">
        <f t="array" ref="R129">X$8*EstymacjaGaussowska($C129,$C$2:$C$51,X$14)*EstymacjaGaussowska($D129,$D$2:$D$51,X$15)*EstymacjaGaussowska($A129,$A$2:$A$51,X$18)*EstymacjaGaussowska($B129,$B$2:$B$51,X$19)*VLOOKUP($E129,$W$29:$AA$32,2)+Y$8*EstymacjaGaussowska($C129,$C$52:$C$101,Y$14)*EstymacjaGaussowska($D129,$D$52:$D$101,Y$15)*EstymacjaGaussowska($A129,$A$52:$A$101,Y$18)*EstymacjaGaussowska($B129,$B$52:$B$101,Y$19)*VLOOKUP($E129,$W$29:$AA$32,3)+Z$8*EstymacjaGaussowska($C129,$C$102:$C$151,Z$14)*EstymacjaGaussowska($D129,$D$102:$D$151,Z$15)*EstymacjaGaussowska($A129,$A$102:$A$151,Z$18)*EstymacjaGaussowska($B129,$B$102:$B$151,Z$19)*VLOOKUP($E129,$W$29:$AA$32,4)</f>
        <v>6.8457601046357452E-2</v>
      </c>
      <c r="S129" s="3" cm="1">
        <f t="array" ref="S129">X$8*EstymacjaGaussowska($C129,$C$2:$C$51,X$14)*EstymacjaGaussowska($D129,$D$2:$D$51,X$15)*EstymacjaGaussowska($A129,$A$2:$A$51,X$18)*EstymacjaGaussowska($B129,$B$2:$B$51,X$19)*VLOOKUP($E129,$W$29:$AA$32,2)/$R129</f>
        <v>0</v>
      </c>
      <c r="T129" s="3" cm="1">
        <f t="array" ref="T129">Y$8*EstymacjaGaussowska($C129,$C$52:$C$101,Y$14)*EstymacjaGaussowska($D129,$D$52:$D$101,Y$15)*EstymacjaGaussowska($A129,$A$52:$A$101,Y$18)*EstymacjaGaussowska($B129,$B$52:$B$101,Y$19)*VLOOKUP($E129,$W$29:$AA$32,3)/$R129</f>
        <v>4.0096483604506683E-2</v>
      </c>
      <c r="U129" s="42" cm="1">
        <f t="array" ref="U129">Z$8*EstymacjaGaussowska($C129,$C$102:$C$151,Z$14)*EstymacjaGaussowska($D129,$D$102:$D$151,Z$15)*EstymacjaGaussowska($A129,$A$102:$A$151,Z$18)*EstymacjaGaussowska($B129,$B$102:$B$151,Z$19)*VLOOKUP($E129,$W$29:$AA$32,4)/$R129</f>
        <v>0.95990351639549332</v>
      </c>
    </row>
    <row r="130" spans="1:21" x14ac:dyDescent="0.25">
      <c r="A130" s="9">
        <v>6.4</v>
      </c>
      <c r="B130" s="3">
        <v>2.8</v>
      </c>
      <c r="C130" s="3">
        <v>5.6</v>
      </c>
      <c r="D130" s="8">
        <v>2.1</v>
      </c>
      <c r="E130" s="9" t="s">
        <v>11</v>
      </c>
      <c r="F130" s="50" t="s">
        <v>7</v>
      </c>
      <c r="G130" s="43" t="str">
        <f t="shared" ref="G130:G151" si="12">IF(I130&gt;MAX(J130:K130),$F$2,IF(J130&gt;K130,$F$52,$F$102))</f>
        <v>virginica</v>
      </c>
      <c r="H130" s="3" cm="1">
        <f t="array" ref="H130">X$8*EstymacjaGaussowska($C130,$C$2:$C$51,X$14)*EstymacjaGaussowska($D130,$D$2:$D$51,X$15)+Y$8*EstymacjaGaussowska($C130,$C$52:$C$101,Y$14)*EstymacjaGaussowska($D130,$D$52:$D$101,Y$15)+Z$8*EstymacjaGaussowska($C130,$C$102:$C$151,Z$14)*EstymacjaGaussowska($D130,$D$102:$D$151,Z$15)</f>
        <v>0.22669473517391048</v>
      </c>
      <c r="I130" s="3" cm="1">
        <f t="array" ref="I130">X$8*EstymacjaGaussowska($C130,$C$2:$C$51,X$14)*EstymacjaGaussowska($D130,$D$2:$D$51,X$15)/$H130</f>
        <v>0</v>
      </c>
      <c r="J130" s="3" cm="1">
        <f t="array" ref="J130">Y$8*EstymacjaGaussowska($C130,$C$52:$C$101,Y$14)*EstymacjaGaussowska($D130,$D$52:$D$101,Y$15)/$H130</f>
        <v>4.7581683235089397E-6</v>
      </c>
      <c r="K130" s="42" cm="1">
        <f t="array" ref="K130">Z$8*EstymacjaGaussowska($C130,$C$102:$C$151,Z$14)*EstymacjaGaussowska($D130,$D$102:$D$151,Z$15)/$H130</f>
        <v>0.99999524183167654</v>
      </c>
      <c r="L130" s="43" t="str">
        <f t="shared" ref="L130:L151" si="13">IF(N130&gt;MAX(O130:P130),$F$2,IF(O130&gt;P130,$F$52,$F$102))</f>
        <v>virginica</v>
      </c>
      <c r="M130" s="3" cm="1">
        <f t="array" ref="M130">X$8*EstymacjaGaussowska($C130,$C$2:$C$51,X$14)*EstymacjaGaussowska($D130,$D$2:$D$51,X$15)*VLOOKUP($E130,$W$29:$AA$32,2)+Y$8*EstymacjaGaussowska($C130,$C$52:$C$101,Y$14)*EstymacjaGaussowska($D130,$D$52:$D$101,Y$15)*VLOOKUP($E130,$W$29:$AA$32,3)+Z$8*EstymacjaGaussowska($C130,$C$102:$C$151,Z$14)*EstymacjaGaussowska($D130,$D$102:$D$151,Z$15)*VLOOKUP($E130,$W$29:$AA$32,4)</f>
        <v>0.13601638807062894</v>
      </c>
      <c r="N130" s="3" cm="1">
        <f t="array" ref="N130">X$8*EstymacjaGaussowska($C130,$C$2:$C$51,X$14)*EstymacjaGaussowska($D130,$D$2:$D$51,X$15)*VLOOKUP($E130,$W$29:$AA$32,2)/$M130</f>
        <v>0</v>
      </c>
      <c r="O130" s="3" cm="1">
        <f t="array" ref="O130">Y$8*EstymacjaGaussowska($C130,$C$52:$C$101,Y$14)*EstymacjaGaussowska($D130,$D$52:$D$101,Y$15)*VLOOKUP($E130,$W$29:$AA$32,3)/$M130</f>
        <v>1.4274552515033344E-6</v>
      </c>
      <c r="P130" s="42" cm="1">
        <f t="array" ref="P130">Z$8*EstymacjaGaussowska($C130,$C$102:$C$151,Z$14)*EstymacjaGaussowska($D130,$D$102:$D$151,Z$15)*VLOOKUP($E130,$W$29:$AA$32,4)/$M130</f>
        <v>0.99999857254474844</v>
      </c>
      <c r="Q130" s="43" t="str">
        <f t="shared" si="10"/>
        <v>virginica</v>
      </c>
      <c r="R130" s="3" cm="1">
        <f t="array" ref="R130">X$8*EstymacjaGaussowska($C130,$C$2:$C$51,X$14)*EstymacjaGaussowska($D130,$D$2:$D$51,X$15)*EstymacjaGaussowska($A130,$A$2:$A$51,X$18)*EstymacjaGaussowska($B130,$B$2:$B$51,X$19)*VLOOKUP($E130,$W$29:$AA$32,2)+Y$8*EstymacjaGaussowska($C130,$C$52:$C$101,Y$14)*EstymacjaGaussowska($D130,$D$52:$D$101,Y$15)*EstymacjaGaussowska($A130,$A$52:$A$101,Y$18)*EstymacjaGaussowska($B130,$B$52:$B$101,Y$19)*VLOOKUP($E130,$W$29:$AA$32,3)+Z$8*EstymacjaGaussowska($C130,$C$102:$C$151,Z$14)*EstymacjaGaussowska($D130,$D$102:$D$151,Z$15)*EstymacjaGaussowska($A130,$A$102:$A$151,Z$18)*EstymacjaGaussowska($B130,$B$102:$B$151,Z$19)*VLOOKUP($E130,$W$29:$AA$32,4)</f>
        <v>8.8692637699865629E-2</v>
      </c>
      <c r="S130" s="3" cm="1">
        <f t="array" ref="S130">X$8*EstymacjaGaussowska($C130,$C$2:$C$51,X$14)*EstymacjaGaussowska($D130,$D$2:$D$51,X$15)*EstymacjaGaussowska($A130,$A$2:$A$51,X$18)*EstymacjaGaussowska($B130,$B$2:$B$51,X$19)*VLOOKUP($E130,$W$29:$AA$32,2)/$R130</f>
        <v>0</v>
      </c>
      <c r="T130" s="3" cm="1">
        <f t="array" ref="T130">Y$8*EstymacjaGaussowska($C130,$C$52:$C$101,Y$14)*EstymacjaGaussowska($D130,$D$52:$D$101,Y$15)*EstymacjaGaussowska($A130,$A$52:$A$101,Y$18)*EstymacjaGaussowska($B130,$B$52:$B$101,Y$19)*VLOOKUP($E130,$W$29:$AA$32,3)/$R130</f>
        <v>1.1165304677739513E-6</v>
      </c>
      <c r="U130" s="42" cm="1">
        <f t="array" ref="U130">Z$8*EstymacjaGaussowska($C130,$C$102:$C$151,Z$14)*EstymacjaGaussowska($D130,$D$102:$D$151,Z$15)*EstymacjaGaussowska($A130,$A$102:$A$151,Z$18)*EstymacjaGaussowska($B130,$B$102:$B$151,Z$19)*VLOOKUP($E130,$W$29:$AA$32,4)/$R130</f>
        <v>0.99999888346953225</v>
      </c>
    </row>
    <row r="131" spans="1:21" x14ac:dyDescent="0.25">
      <c r="A131" s="9">
        <v>7.2</v>
      </c>
      <c r="B131" s="3">
        <v>3</v>
      </c>
      <c r="C131" s="3">
        <v>5.8</v>
      </c>
      <c r="D131" s="8">
        <v>1.6</v>
      </c>
      <c r="E131" s="9" t="s">
        <v>11</v>
      </c>
      <c r="F131" s="50" t="s">
        <v>7</v>
      </c>
      <c r="G131" s="43" t="str">
        <f t="shared" si="12"/>
        <v>virginica</v>
      </c>
      <c r="H131" s="3" cm="1">
        <f t="array" ref="H131">X$8*EstymacjaGaussowska($C131,$C$2:$C$51,X$14)*EstymacjaGaussowska($D131,$D$2:$D$51,X$15)+Y$8*EstymacjaGaussowska($C131,$C$52:$C$101,Y$14)*EstymacjaGaussowska($D131,$D$52:$D$101,Y$15)+Z$8*EstymacjaGaussowska($C131,$C$102:$C$151,Z$14)*EstymacjaGaussowska($D131,$D$102:$D$151,Z$15)</f>
        <v>8.4581641647274358E-2</v>
      </c>
      <c r="I131" s="3" cm="1">
        <f t="array" ref="I131">X$8*EstymacjaGaussowska($C131,$C$2:$C$51,X$14)*EstymacjaGaussowska($D131,$D$2:$D$51,X$15)/$H131</f>
        <v>0</v>
      </c>
      <c r="J131" s="3" cm="1">
        <f t="array" ref="J131">Y$8*EstymacjaGaussowska($C131,$C$52:$C$101,Y$14)*EstymacjaGaussowska($D131,$D$52:$D$101,Y$15)/$H131</f>
        <v>1.4310236181122662E-3</v>
      </c>
      <c r="K131" s="42" cm="1">
        <f t="array" ref="K131">Z$8*EstymacjaGaussowska($C131,$C$102:$C$151,Z$14)*EstymacjaGaussowska($D131,$D$102:$D$151,Z$15)/$H131</f>
        <v>0.99856897638188769</v>
      </c>
      <c r="L131" s="43" t="str">
        <f t="shared" si="13"/>
        <v>virginica</v>
      </c>
      <c r="M131" s="3" cm="1">
        <f t="array" ref="M131">X$8*EstymacjaGaussowska($C131,$C$2:$C$51,X$14)*EstymacjaGaussowska($D131,$D$2:$D$51,X$15)*VLOOKUP($E131,$W$29:$AA$32,2)+Y$8*EstymacjaGaussowska($C131,$C$52:$C$101,Y$14)*EstymacjaGaussowska($D131,$D$52:$D$101,Y$15)*VLOOKUP($E131,$W$29:$AA$32,3)+Z$8*EstymacjaGaussowska($C131,$C$102:$C$151,Z$14)*EstymacjaGaussowska($D131,$D$102:$D$151,Z$15)*VLOOKUP($E131,$W$29:$AA$32,4)</f>
        <v>5.0698148891085107E-2</v>
      </c>
      <c r="N131" s="3" cm="1">
        <f t="array" ref="N131">X$8*EstymacjaGaussowska($C131,$C$2:$C$51,X$14)*EstymacjaGaussowska($D131,$D$2:$D$51,X$15)*VLOOKUP($E131,$W$29:$AA$32,2)/$M131</f>
        <v>0</v>
      </c>
      <c r="O131" s="3" cm="1">
        <f t="array" ref="O131">Y$8*EstymacjaGaussowska($C131,$C$52:$C$101,Y$14)*EstymacjaGaussowska($D131,$D$52:$D$101,Y$15)*VLOOKUP($E131,$W$29:$AA$32,3)/$M131</f>
        <v>4.2973756065289891E-4</v>
      </c>
      <c r="P131" s="42" cm="1">
        <f t="array" ref="P131">Z$8*EstymacjaGaussowska($C131,$C$102:$C$151,Z$14)*EstymacjaGaussowska($D131,$D$102:$D$151,Z$15)*VLOOKUP($E131,$W$29:$AA$32,4)/$M131</f>
        <v>0.9995702624393471</v>
      </c>
      <c r="Q131" s="43" t="str">
        <f t="shared" ref="Q131:Q151" si="14">IF(S131&gt;MAX(T131:U131),$F$2,IF(T131&gt;U131,$F$52,$F$102))</f>
        <v>virginica</v>
      </c>
      <c r="R131" s="3" cm="1">
        <f t="array" ref="R131">X$8*EstymacjaGaussowska($C131,$C$2:$C$51,X$14)*EstymacjaGaussowska($D131,$D$2:$D$51,X$15)*EstymacjaGaussowska($A131,$A$2:$A$51,X$18)*EstymacjaGaussowska($B131,$B$2:$B$51,X$19)*VLOOKUP($E131,$W$29:$AA$32,2)+Y$8*EstymacjaGaussowska($C131,$C$52:$C$101,Y$14)*EstymacjaGaussowska($D131,$D$52:$D$101,Y$15)*EstymacjaGaussowska($A131,$A$52:$A$101,Y$18)*EstymacjaGaussowska($B131,$B$52:$B$101,Y$19)*VLOOKUP($E131,$W$29:$AA$32,3)+Z$8*EstymacjaGaussowska($C131,$C$102:$C$151,Z$14)*EstymacjaGaussowska($D131,$D$102:$D$151,Z$15)*EstymacjaGaussowska($A131,$A$102:$A$151,Z$18)*EstymacjaGaussowska($B131,$B$102:$B$151,Z$19)*VLOOKUP($E131,$W$29:$AA$32,4)</f>
        <v>1.9107162464901933E-2</v>
      </c>
      <c r="S131" s="3" cm="1">
        <f t="array" ref="S131">X$8*EstymacjaGaussowska($C131,$C$2:$C$51,X$14)*EstymacjaGaussowska($D131,$D$2:$D$51,X$15)*EstymacjaGaussowska($A131,$A$2:$A$51,X$18)*EstymacjaGaussowska($B131,$B$2:$B$51,X$19)*VLOOKUP($E131,$W$29:$AA$32,2)/$R131</f>
        <v>0</v>
      </c>
      <c r="T131" s="3" cm="1">
        <f t="array" ref="T131">Y$8*EstymacjaGaussowska($C131,$C$52:$C$101,Y$14)*EstymacjaGaussowska($D131,$D$52:$D$101,Y$15)*EstymacjaGaussowska($A131,$A$52:$A$101,Y$18)*EstymacjaGaussowska($B131,$B$52:$B$101,Y$19)*VLOOKUP($E131,$W$29:$AA$32,3)/$R131</f>
        <v>8.1543003141438364E-5</v>
      </c>
      <c r="U131" s="42" cm="1">
        <f t="array" ref="U131">Z$8*EstymacjaGaussowska($C131,$C$102:$C$151,Z$14)*EstymacjaGaussowska($D131,$D$102:$D$151,Z$15)*EstymacjaGaussowska($A131,$A$102:$A$151,Z$18)*EstymacjaGaussowska($B131,$B$102:$B$151,Z$19)*VLOOKUP($E131,$W$29:$AA$32,4)/$R131</f>
        <v>0.99991845699685866</v>
      </c>
    </row>
    <row r="132" spans="1:21" x14ac:dyDescent="0.25">
      <c r="A132" s="9">
        <v>7.4</v>
      </c>
      <c r="B132" s="3">
        <v>2.8</v>
      </c>
      <c r="C132" s="3">
        <v>6.1</v>
      </c>
      <c r="D132" s="8">
        <v>1.9</v>
      </c>
      <c r="E132" s="9" t="s">
        <v>12</v>
      </c>
      <c r="F132" s="50" t="s">
        <v>7</v>
      </c>
      <c r="G132" s="43" t="str">
        <f t="shared" si="12"/>
        <v>virginica</v>
      </c>
      <c r="H132" s="3" cm="1">
        <f t="array" ref="H132">X$8*EstymacjaGaussowska($C132,$C$2:$C$51,X$14)*EstymacjaGaussowska($D132,$D$2:$D$51,X$15)+Y$8*EstymacjaGaussowska($C132,$C$52:$C$101,Y$14)*EstymacjaGaussowska($D132,$D$52:$D$101,Y$15)+Z$8*EstymacjaGaussowska($C132,$C$102:$C$151,Z$14)*EstymacjaGaussowska($D132,$D$102:$D$151,Z$15)</f>
        <v>0.1465114377570236</v>
      </c>
      <c r="I132" s="3" cm="1">
        <f t="array" ref="I132">X$8*EstymacjaGaussowska($C132,$C$2:$C$51,X$14)*EstymacjaGaussowska($D132,$D$2:$D$51,X$15)/$H132</f>
        <v>0</v>
      </c>
      <c r="J132" s="3" cm="1">
        <f t="array" ref="J132">Y$8*EstymacjaGaussowska($C132,$C$52:$C$101,Y$14)*EstymacjaGaussowska($D132,$D$52:$D$101,Y$15)/$H132</f>
        <v>3.6199628749028275E-7</v>
      </c>
      <c r="K132" s="42" cm="1">
        <f t="array" ref="K132">Z$8*EstymacjaGaussowska($C132,$C$102:$C$151,Z$14)*EstymacjaGaussowska($D132,$D$102:$D$151,Z$15)/$H132</f>
        <v>0.99999963800371261</v>
      </c>
      <c r="L132" s="43" t="str">
        <f t="shared" si="13"/>
        <v>virginica</v>
      </c>
      <c r="M132" s="3" cm="1">
        <f t="array" ref="M132">X$8*EstymacjaGaussowska($C132,$C$2:$C$51,X$14)*EstymacjaGaussowska($D132,$D$2:$D$51,X$15)*VLOOKUP($E132,$W$29:$AA$32,2)+Y$8*EstymacjaGaussowska($C132,$C$52:$C$101,Y$14)*EstymacjaGaussowska($D132,$D$52:$D$101,Y$15)*VLOOKUP($E132,$W$29:$AA$32,3)+Z$8*EstymacjaGaussowska($C132,$C$102:$C$151,Z$14)*EstymacjaGaussowska($D132,$D$102:$D$151,Z$15)*VLOOKUP($E132,$W$29:$AA$32,4)</f>
        <v>5.5674346347668976E-2</v>
      </c>
      <c r="N132" s="3" cm="1">
        <f t="array" ref="N132">X$8*EstymacjaGaussowska($C132,$C$2:$C$51,X$14)*EstymacjaGaussowska($D132,$D$2:$D$51,X$15)*VLOOKUP($E132,$W$29:$AA$32,2)/$M132</f>
        <v>0</v>
      </c>
      <c r="O132" s="3" cm="1">
        <f t="array" ref="O132">Y$8*EstymacjaGaussowska($C132,$C$52:$C$101,Y$14)*EstymacjaGaussowska($D132,$D$52:$D$101,Y$15)*VLOOKUP($E132,$W$29:$AA$32,3)/$M132</f>
        <v>3.619962874902827E-7</v>
      </c>
      <c r="P132" s="42" cm="1">
        <f t="array" ref="P132">Z$8*EstymacjaGaussowska($C132,$C$102:$C$151,Z$14)*EstymacjaGaussowska($D132,$D$102:$D$151,Z$15)*VLOOKUP($E132,$W$29:$AA$32,4)/$M132</f>
        <v>0.9999996380037125</v>
      </c>
      <c r="Q132" s="43" t="str">
        <f t="shared" si="14"/>
        <v>virginica</v>
      </c>
      <c r="R132" s="3" cm="1">
        <f t="array" ref="R132">X$8*EstymacjaGaussowska($C132,$C$2:$C$51,X$14)*EstymacjaGaussowska($D132,$D$2:$D$51,X$15)*EstymacjaGaussowska($A132,$A$2:$A$51,X$18)*EstymacjaGaussowska($B132,$B$2:$B$51,X$19)*VLOOKUP($E132,$W$29:$AA$32,2)+Y$8*EstymacjaGaussowska($C132,$C$52:$C$101,Y$14)*EstymacjaGaussowska($D132,$D$52:$D$101,Y$15)*EstymacjaGaussowska($A132,$A$52:$A$101,Y$18)*EstymacjaGaussowska($B132,$B$52:$B$101,Y$19)*VLOOKUP($E132,$W$29:$AA$32,3)+Z$8*EstymacjaGaussowska($C132,$C$102:$C$151,Z$14)*EstymacjaGaussowska($D132,$D$102:$D$151,Z$15)*EstymacjaGaussowska($A132,$A$102:$A$151,Z$18)*EstymacjaGaussowska($B132,$B$102:$B$151,Z$19)*VLOOKUP($E132,$W$29:$AA$32,4)</f>
        <v>1.5338415421616744E-2</v>
      </c>
      <c r="S132" s="3" cm="1">
        <f t="array" ref="S132">X$8*EstymacjaGaussowska($C132,$C$2:$C$51,X$14)*EstymacjaGaussowska($D132,$D$2:$D$51,X$15)*EstymacjaGaussowska($A132,$A$2:$A$51,X$18)*EstymacjaGaussowska($B132,$B$2:$B$51,X$19)*VLOOKUP($E132,$W$29:$AA$32,2)/$R132</f>
        <v>0</v>
      </c>
      <c r="T132" s="3" cm="1">
        <f t="array" ref="T132">Y$8*EstymacjaGaussowska($C132,$C$52:$C$101,Y$14)*EstymacjaGaussowska($D132,$D$52:$D$101,Y$15)*EstymacjaGaussowska($A132,$A$52:$A$101,Y$18)*EstymacjaGaussowska($B132,$B$52:$B$101,Y$19)*VLOOKUP($E132,$W$29:$AA$32,3)/$R132</f>
        <v>2.5778996915260069E-8</v>
      </c>
      <c r="U132" s="42" cm="1">
        <f t="array" ref="U132">Z$8*EstymacjaGaussowska($C132,$C$102:$C$151,Z$14)*EstymacjaGaussowska($D132,$D$102:$D$151,Z$15)*EstymacjaGaussowska($A132,$A$102:$A$151,Z$18)*EstymacjaGaussowska($B132,$B$102:$B$151,Z$19)*VLOOKUP($E132,$W$29:$AA$32,4)/$R132</f>
        <v>0.99999997422100306</v>
      </c>
    </row>
    <row r="133" spans="1:21" x14ac:dyDescent="0.25">
      <c r="A133" s="9">
        <v>7.9</v>
      </c>
      <c r="B133" s="3">
        <v>3.8</v>
      </c>
      <c r="C133" s="3">
        <v>6.4</v>
      </c>
      <c r="D133" s="8">
        <v>2</v>
      </c>
      <c r="E133" s="9" t="s">
        <v>12</v>
      </c>
      <c r="F133" s="50" t="s">
        <v>7</v>
      </c>
      <c r="G133" s="43" t="str">
        <f t="shared" si="12"/>
        <v>virginica</v>
      </c>
      <c r="H133" s="3" cm="1">
        <f t="array" ref="H133">X$8*EstymacjaGaussowska($C133,$C$2:$C$51,X$14)*EstymacjaGaussowska($D133,$D$2:$D$51,X$15)+Y$8*EstymacjaGaussowska($C133,$C$52:$C$101,Y$14)*EstymacjaGaussowska($D133,$D$52:$D$101,Y$15)+Z$8*EstymacjaGaussowska($C133,$C$102:$C$151,Z$14)*EstymacjaGaussowska($D133,$D$102:$D$151,Z$15)</f>
        <v>8.1145231200629039E-2</v>
      </c>
      <c r="I133" s="3" cm="1">
        <f t="array" ref="I133">X$8*EstymacjaGaussowska($C133,$C$2:$C$51,X$14)*EstymacjaGaussowska($D133,$D$2:$D$51,X$15)/$H133</f>
        <v>0</v>
      </c>
      <c r="J133" s="3" cm="1">
        <f t="array" ref="J133">Y$8*EstymacjaGaussowska($C133,$C$52:$C$101,Y$14)*EstymacjaGaussowska($D133,$D$52:$D$101,Y$15)/$H133</f>
        <v>1.3329030183437078E-10</v>
      </c>
      <c r="K133" s="42" cm="1">
        <f t="array" ref="K133">Z$8*EstymacjaGaussowska($C133,$C$102:$C$151,Z$14)*EstymacjaGaussowska($D133,$D$102:$D$151,Z$15)/$H133</f>
        <v>0.99999999986670962</v>
      </c>
      <c r="L133" s="43" t="str">
        <f t="shared" si="13"/>
        <v>virginica</v>
      </c>
      <c r="M133" s="3" cm="1">
        <f t="array" ref="M133">X$8*EstymacjaGaussowska($C133,$C$2:$C$51,X$14)*EstymacjaGaussowska($D133,$D$2:$D$51,X$15)*VLOOKUP($E133,$W$29:$AA$32,2)+Y$8*EstymacjaGaussowska($C133,$C$52:$C$101,Y$14)*EstymacjaGaussowska($D133,$D$52:$D$101,Y$15)*VLOOKUP($E133,$W$29:$AA$32,3)+Z$8*EstymacjaGaussowska($C133,$C$102:$C$151,Z$14)*EstymacjaGaussowska($D133,$D$102:$D$151,Z$15)*VLOOKUP($E133,$W$29:$AA$32,4)</f>
        <v>3.0835187856239035E-2</v>
      </c>
      <c r="N133" s="3" cm="1">
        <f t="array" ref="N133">X$8*EstymacjaGaussowska($C133,$C$2:$C$51,X$14)*EstymacjaGaussowska($D133,$D$2:$D$51,X$15)*VLOOKUP($E133,$W$29:$AA$32,2)/$M133</f>
        <v>0</v>
      </c>
      <c r="O133" s="3" cm="1">
        <f t="array" ref="O133">Y$8*EstymacjaGaussowska($C133,$C$52:$C$101,Y$14)*EstymacjaGaussowska($D133,$D$52:$D$101,Y$15)*VLOOKUP($E133,$W$29:$AA$32,3)/$M133</f>
        <v>1.3329030183437078E-10</v>
      </c>
      <c r="P133" s="42" cm="1">
        <f t="array" ref="P133">Z$8*EstymacjaGaussowska($C133,$C$102:$C$151,Z$14)*EstymacjaGaussowska($D133,$D$102:$D$151,Z$15)*VLOOKUP($E133,$W$29:$AA$32,4)/$M133</f>
        <v>0.99999999986670973</v>
      </c>
      <c r="Q133" s="43" t="str">
        <f t="shared" si="14"/>
        <v>virginica</v>
      </c>
      <c r="R133" s="3" cm="1">
        <f t="array" ref="R133">X$8*EstymacjaGaussowska($C133,$C$2:$C$51,X$14)*EstymacjaGaussowska($D133,$D$2:$D$51,X$15)*EstymacjaGaussowska($A133,$A$2:$A$51,X$18)*EstymacjaGaussowska($B133,$B$2:$B$51,X$19)*VLOOKUP($E133,$W$29:$AA$32,2)+Y$8*EstymacjaGaussowska($C133,$C$52:$C$101,Y$14)*EstymacjaGaussowska($D133,$D$52:$D$101,Y$15)*EstymacjaGaussowska($A133,$A$52:$A$101,Y$18)*EstymacjaGaussowska($B133,$B$52:$B$101,Y$19)*VLOOKUP($E133,$W$29:$AA$32,3)+Z$8*EstymacjaGaussowska($C133,$C$102:$C$151,Z$14)*EstymacjaGaussowska($D133,$D$102:$D$151,Z$15)*EstymacjaGaussowska($A133,$A$102:$A$151,Z$18)*EstymacjaGaussowska($B133,$B$102:$B$151,Z$19)*VLOOKUP($E133,$W$29:$AA$32,4)</f>
        <v>5.7554636682120559E-4</v>
      </c>
      <c r="S133" s="3" cm="1">
        <f t="array" ref="S133">X$8*EstymacjaGaussowska($C133,$C$2:$C$51,X$14)*EstymacjaGaussowska($D133,$D$2:$D$51,X$15)*EstymacjaGaussowska($A133,$A$2:$A$51,X$18)*EstymacjaGaussowska($B133,$B$2:$B$51,X$19)*VLOOKUP($E133,$W$29:$AA$32,2)/$R133</f>
        <v>0</v>
      </c>
      <c r="T133" s="3" cm="1">
        <f t="array" ref="T133">Y$8*EstymacjaGaussowska($C133,$C$52:$C$101,Y$14)*EstymacjaGaussowska($D133,$D$52:$D$101,Y$15)*EstymacjaGaussowska($A133,$A$52:$A$101,Y$18)*EstymacjaGaussowska($B133,$B$52:$B$101,Y$19)*VLOOKUP($E133,$W$29:$AA$32,3)/$R133</f>
        <v>8.8673949609740933E-16</v>
      </c>
      <c r="U133" s="42" cm="1">
        <f t="array" ref="U133">Z$8*EstymacjaGaussowska($C133,$C$102:$C$151,Z$14)*EstymacjaGaussowska($D133,$D$102:$D$151,Z$15)*EstymacjaGaussowska($A133,$A$102:$A$151,Z$18)*EstymacjaGaussowska($B133,$B$102:$B$151,Z$19)*VLOOKUP($E133,$W$29:$AA$32,4)/$R133</f>
        <v>0.99999999999999911</v>
      </c>
    </row>
    <row r="134" spans="1:21" x14ac:dyDescent="0.25">
      <c r="A134" s="9">
        <v>6.4</v>
      </c>
      <c r="B134" s="3">
        <v>2.8</v>
      </c>
      <c r="C134" s="3">
        <v>5.6</v>
      </c>
      <c r="D134" s="8">
        <v>2.2000000000000002</v>
      </c>
      <c r="E134" s="9" t="s">
        <v>12</v>
      </c>
      <c r="F134" s="50" t="s">
        <v>7</v>
      </c>
      <c r="G134" s="43" t="str">
        <f t="shared" si="12"/>
        <v>virginica</v>
      </c>
      <c r="H134" s="3" cm="1">
        <f t="array" ref="H134">X$8*EstymacjaGaussowska($C134,$C$2:$C$51,X$14)*EstymacjaGaussowska($D134,$D$2:$D$51,X$15)+Y$8*EstymacjaGaussowska($C134,$C$52:$C$101,Y$14)*EstymacjaGaussowska($D134,$D$52:$D$101,Y$15)+Z$8*EstymacjaGaussowska($C134,$C$102:$C$151,Z$14)*EstymacjaGaussowska($D134,$D$102:$D$151,Z$15)</f>
        <v>0.21519556893187547</v>
      </c>
      <c r="I134" s="3" cm="1">
        <f t="array" ref="I134">X$8*EstymacjaGaussowska($C134,$C$2:$C$51,X$14)*EstymacjaGaussowska($D134,$D$2:$D$51,X$15)/$H134</f>
        <v>0</v>
      </c>
      <c r="J134" s="3" cm="1">
        <f t="array" ref="J134">Y$8*EstymacjaGaussowska($C134,$C$52:$C$101,Y$14)*EstymacjaGaussowska($D134,$D$52:$D$101,Y$15)/$H134</f>
        <v>1.0949196223888187E-7</v>
      </c>
      <c r="K134" s="42" cm="1">
        <f t="array" ref="K134">Z$8*EstymacjaGaussowska($C134,$C$102:$C$151,Z$14)*EstymacjaGaussowska($D134,$D$102:$D$151,Z$15)/$H134</f>
        <v>0.99999989050803773</v>
      </c>
      <c r="L134" s="43" t="str">
        <f t="shared" si="13"/>
        <v>virginica</v>
      </c>
      <c r="M134" s="3" cm="1">
        <f t="array" ref="M134">X$8*EstymacjaGaussowska($C134,$C$2:$C$51,X$14)*EstymacjaGaussowska($D134,$D$2:$D$51,X$15)*VLOOKUP($E134,$W$29:$AA$32,2)+Y$8*EstymacjaGaussowska($C134,$C$52:$C$101,Y$14)*EstymacjaGaussowska($D134,$D$52:$D$101,Y$15)*VLOOKUP($E134,$W$29:$AA$32,3)+Z$8*EstymacjaGaussowska($C134,$C$102:$C$151,Z$14)*EstymacjaGaussowska($D134,$D$102:$D$151,Z$15)*VLOOKUP($E134,$W$29:$AA$32,4)</f>
        <v>8.177431619411267E-2</v>
      </c>
      <c r="N134" s="3" cm="1">
        <f t="array" ref="N134">X$8*EstymacjaGaussowska($C134,$C$2:$C$51,X$14)*EstymacjaGaussowska($D134,$D$2:$D$51,X$15)*VLOOKUP($E134,$W$29:$AA$32,2)/$M134</f>
        <v>0</v>
      </c>
      <c r="O134" s="3" cm="1">
        <f t="array" ref="O134">Y$8*EstymacjaGaussowska($C134,$C$52:$C$101,Y$14)*EstymacjaGaussowska($D134,$D$52:$D$101,Y$15)*VLOOKUP($E134,$W$29:$AA$32,3)/$M134</f>
        <v>1.0949196223888188E-7</v>
      </c>
      <c r="P134" s="42" cm="1">
        <f t="array" ref="P134">Z$8*EstymacjaGaussowska($C134,$C$102:$C$151,Z$14)*EstymacjaGaussowska($D134,$D$102:$D$151,Z$15)*VLOOKUP($E134,$W$29:$AA$32,4)/$M134</f>
        <v>0.99999989050803784</v>
      </c>
      <c r="Q134" s="43" t="str">
        <f t="shared" si="14"/>
        <v>virginica</v>
      </c>
      <c r="R134" s="3" cm="1">
        <f t="array" ref="R134">X$8*EstymacjaGaussowska($C134,$C$2:$C$51,X$14)*EstymacjaGaussowska($D134,$D$2:$D$51,X$15)*EstymacjaGaussowska($A134,$A$2:$A$51,X$18)*EstymacjaGaussowska($B134,$B$2:$B$51,X$19)*VLOOKUP($E134,$W$29:$AA$32,2)+Y$8*EstymacjaGaussowska($C134,$C$52:$C$101,Y$14)*EstymacjaGaussowska($D134,$D$52:$D$101,Y$15)*EstymacjaGaussowska($A134,$A$52:$A$101,Y$18)*EstymacjaGaussowska($B134,$B$52:$B$101,Y$19)*VLOOKUP($E134,$W$29:$AA$32,3)+Z$8*EstymacjaGaussowska($C134,$C$102:$C$151,Z$14)*EstymacjaGaussowska($D134,$D$102:$D$151,Z$15)*EstymacjaGaussowska($A134,$A$102:$A$151,Z$18)*EstymacjaGaussowska($B134,$B$102:$B$151,Z$19)*VLOOKUP($E134,$W$29:$AA$32,4)</f>
        <v>5.3322853108634376E-2</v>
      </c>
      <c r="S134" s="3" cm="1">
        <f t="array" ref="S134">X$8*EstymacjaGaussowska($C134,$C$2:$C$51,X$14)*EstymacjaGaussowska($D134,$D$2:$D$51,X$15)*EstymacjaGaussowska($A134,$A$2:$A$51,X$18)*EstymacjaGaussowska($B134,$B$2:$B$51,X$19)*VLOOKUP($E134,$W$29:$AA$32,2)/$R134</f>
        <v>0</v>
      </c>
      <c r="T134" s="3" cm="1">
        <f t="array" ref="T134">Y$8*EstymacjaGaussowska($C134,$C$52:$C$101,Y$14)*EstymacjaGaussowska($D134,$D$52:$D$101,Y$15)*EstymacjaGaussowska($A134,$A$52:$A$101,Y$18)*EstymacjaGaussowska($B134,$B$52:$B$101,Y$19)*VLOOKUP($E134,$W$29:$AA$32,3)/$R134</f>
        <v>8.5642668372249243E-8</v>
      </c>
      <c r="U134" s="42" cm="1">
        <f t="array" ref="U134">Z$8*EstymacjaGaussowska($C134,$C$102:$C$151,Z$14)*EstymacjaGaussowska($D134,$D$102:$D$151,Z$15)*EstymacjaGaussowska($A134,$A$102:$A$151,Z$18)*EstymacjaGaussowska($B134,$B$102:$B$151,Z$19)*VLOOKUP($E134,$W$29:$AA$32,4)/$R134</f>
        <v>0.9999999143573316</v>
      </c>
    </row>
    <row r="135" spans="1:21" x14ac:dyDescent="0.25">
      <c r="A135" s="9">
        <v>6.3</v>
      </c>
      <c r="B135" s="3">
        <v>2.8</v>
      </c>
      <c r="C135" s="3">
        <v>5.0999999999999996</v>
      </c>
      <c r="D135" s="8">
        <v>1.5</v>
      </c>
      <c r="E135" s="9" t="s">
        <v>12</v>
      </c>
      <c r="F135" s="50" t="s">
        <v>7</v>
      </c>
      <c r="G135" s="43" t="str">
        <f t="shared" si="12"/>
        <v>versicolor</v>
      </c>
      <c r="H135" s="3" cm="1">
        <f t="array" ref="H135">X$8*EstymacjaGaussowska($C135,$C$2:$C$51,X$14)*EstymacjaGaussowska($D135,$D$2:$D$51,X$15)+Y$8*EstymacjaGaussowska($C135,$C$52:$C$101,Y$14)*EstymacjaGaussowska($D135,$D$52:$D$101,Y$15)+Z$8*EstymacjaGaussowska($C135,$C$102:$C$151,Z$14)*EstymacjaGaussowska($D135,$D$102:$D$151,Z$15)</f>
        <v>0.15361969080032034</v>
      </c>
      <c r="I135" s="3" cm="1">
        <f t="array" ref="I135">X$8*EstymacjaGaussowska($C135,$C$2:$C$51,X$14)*EstymacjaGaussowska($D135,$D$2:$D$51,X$15)/$H135</f>
        <v>0</v>
      </c>
      <c r="J135" s="3" cm="1">
        <f t="array" ref="J135">Y$8*EstymacjaGaussowska($C135,$C$52:$C$101,Y$14)*EstymacjaGaussowska($D135,$D$52:$D$101,Y$15)/$H135</f>
        <v>0.62964674570026757</v>
      </c>
      <c r="K135" s="42" cm="1">
        <f t="array" ref="K135">Z$8*EstymacjaGaussowska($C135,$C$102:$C$151,Z$14)*EstymacjaGaussowska($D135,$D$102:$D$151,Z$15)/$H135</f>
        <v>0.37035325429973243</v>
      </c>
      <c r="L135" s="43" t="str">
        <f t="shared" si="13"/>
        <v>versicolor</v>
      </c>
      <c r="M135" s="3" cm="1">
        <f t="array" ref="M135">X$8*EstymacjaGaussowska($C135,$C$2:$C$51,X$14)*EstymacjaGaussowska($D135,$D$2:$D$51,X$15)*VLOOKUP($E135,$W$29:$AA$32,2)+Y$8*EstymacjaGaussowska($C135,$C$52:$C$101,Y$14)*EstymacjaGaussowska($D135,$D$52:$D$101,Y$15)*VLOOKUP($E135,$W$29:$AA$32,3)+Z$8*EstymacjaGaussowska($C135,$C$102:$C$151,Z$14)*EstymacjaGaussowska($D135,$D$102:$D$151,Z$15)*VLOOKUP($E135,$W$29:$AA$32,4)</f>
        <v>5.837548250412173E-2</v>
      </c>
      <c r="N135" s="3" cm="1">
        <f t="array" ref="N135">X$8*EstymacjaGaussowska($C135,$C$2:$C$51,X$14)*EstymacjaGaussowska($D135,$D$2:$D$51,X$15)*VLOOKUP($E135,$W$29:$AA$32,2)/$M135</f>
        <v>0</v>
      </c>
      <c r="O135" s="3" cm="1">
        <f t="array" ref="O135">Y$8*EstymacjaGaussowska($C135,$C$52:$C$101,Y$14)*EstymacjaGaussowska($D135,$D$52:$D$101,Y$15)*VLOOKUP($E135,$W$29:$AA$32,3)/$M135</f>
        <v>0.62964674570026757</v>
      </c>
      <c r="P135" s="42" cm="1">
        <f t="array" ref="P135">Z$8*EstymacjaGaussowska($C135,$C$102:$C$151,Z$14)*EstymacjaGaussowska($D135,$D$102:$D$151,Z$15)*VLOOKUP($E135,$W$29:$AA$32,4)/$M135</f>
        <v>0.37035325429973248</v>
      </c>
      <c r="Q135" s="43" t="str">
        <f t="shared" si="14"/>
        <v>versicolor</v>
      </c>
      <c r="R135" s="3" cm="1">
        <f t="array" ref="R135">X$8*EstymacjaGaussowska($C135,$C$2:$C$51,X$14)*EstymacjaGaussowska($D135,$D$2:$D$51,X$15)*EstymacjaGaussowska($A135,$A$2:$A$51,X$18)*EstymacjaGaussowska($B135,$B$2:$B$51,X$19)*VLOOKUP($E135,$W$29:$AA$32,2)+Y$8*EstymacjaGaussowska($C135,$C$52:$C$101,Y$14)*EstymacjaGaussowska($D135,$D$52:$D$101,Y$15)*EstymacjaGaussowska($A135,$A$52:$A$101,Y$18)*EstymacjaGaussowska($B135,$B$52:$B$101,Y$19)*VLOOKUP($E135,$W$29:$AA$32,3)+Z$8*EstymacjaGaussowska($C135,$C$102:$C$151,Z$14)*EstymacjaGaussowska($D135,$D$102:$D$151,Z$15)*EstymacjaGaussowska($A135,$A$102:$A$151,Z$18)*EstymacjaGaussowska($B135,$B$102:$B$151,Z$19)*VLOOKUP($E135,$W$29:$AA$32,4)</f>
        <v>3.4484504314450749E-2</v>
      </c>
      <c r="S135" s="3" cm="1">
        <f t="array" ref="S135">X$8*EstymacjaGaussowska($C135,$C$2:$C$51,X$14)*EstymacjaGaussowska($D135,$D$2:$D$51,X$15)*EstymacjaGaussowska($A135,$A$2:$A$51,X$18)*EstymacjaGaussowska($B135,$B$2:$B$51,X$19)*VLOOKUP($E135,$W$29:$AA$32,2)/$R135</f>
        <v>0</v>
      </c>
      <c r="T135" s="3" cm="1">
        <f t="array" ref="T135">Y$8*EstymacjaGaussowska($C135,$C$52:$C$101,Y$14)*EstymacjaGaussowska($D135,$D$52:$D$101,Y$15)*EstymacjaGaussowska($A135,$A$52:$A$101,Y$18)*EstymacjaGaussowska($B135,$B$52:$B$101,Y$19)*VLOOKUP($E135,$W$29:$AA$32,3)/$R135</f>
        <v>0.60121372532173989</v>
      </c>
      <c r="U135" s="42" cm="1">
        <f t="array" ref="U135">Z$8*EstymacjaGaussowska($C135,$C$102:$C$151,Z$14)*EstymacjaGaussowska($D135,$D$102:$D$151,Z$15)*EstymacjaGaussowska($A135,$A$102:$A$151,Z$18)*EstymacjaGaussowska($B135,$B$102:$B$151,Z$19)*VLOOKUP($E135,$W$29:$AA$32,4)/$R135</f>
        <v>0.39878627467826022</v>
      </c>
    </row>
    <row r="136" spans="1:21" x14ac:dyDescent="0.25">
      <c r="A136" s="9">
        <v>6.1</v>
      </c>
      <c r="B136" s="3">
        <v>2.6</v>
      </c>
      <c r="C136" s="3">
        <v>5.6</v>
      </c>
      <c r="D136" s="8">
        <v>1.4</v>
      </c>
      <c r="E136" s="9" t="s">
        <v>12</v>
      </c>
      <c r="F136" s="50" t="s">
        <v>7</v>
      </c>
      <c r="G136" s="43" t="str">
        <f t="shared" si="12"/>
        <v>virginica</v>
      </c>
      <c r="H136" s="3" cm="1">
        <f t="array" ref="H136">X$8*EstymacjaGaussowska($C136,$C$2:$C$51,X$14)*EstymacjaGaussowska($D136,$D$2:$D$51,X$15)+Y$8*EstymacjaGaussowska($C136,$C$52:$C$101,Y$14)*EstymacjaGaussowska($D136,$D$52:$D$101,Y$15)+Z$8*EstymacjaGaussowska($C136,$C$102:$C$151,Z$14)*EstymacjaGaussowska($D136,$D$102:$D$151,Z$15)</f>
        <v>4.0938712794154855E-2</v>
      </c>
      <c r="I136" s="3" cm="1">
        <f t="array" ref="I136">X$8*EstymacjaGaussowska($C136,$C$2:$C$51,X$14)*EstymacjaGaussowska($D136,$D$2:$D$51,X$15)/$H136</f>
        <v>0</v>
      </c>
      <c r="J136" s="3" cm="1">
        <f t="array" ref="J136">Y$8*EstymacjaGaussowska($C136,$C$52:$C$101,Y$14)*EstymacjaGaussowska($D136,$D$52:$D$101,Y$15)/$H136</f>
        <v>7.3438896028039227E-2</v>
      </c>
      <c r="K136" s="42" cm="1">
        <f t="array" ref="K136">Z$8*EstymacjaGaussowska($C136,$C$102:$C$151,Z$14)*EstymacjaGaussowska($D136,$D$102:$D$151,Z$15)/$H136</f>
        <v>0.92656110397196079</v>
      </c>
      <c r="L136" s="43" t="str">
        <f t="shared" si="13"/>
        <v>virginica</v>
      </c>
      <c r="M136" s="3" cm="1">
        <f t="array" ref="M136">X$8*EstymacjaGaussowska($C136,$C$2:$C$51,X$14)*EstymacjaGaussowska($D136,$D$2:$D$51,X$15)*VLOOKUP($E136,$W$29:$AA$32,2)+Y$8*EstymacjaGaussowska($C136,$C$52:$C$101,Y$14)*EstymacjaGaussowska($D136,$D$52:$D$101,Y$15)*VLOOKUP($E136,$W$29:$AA$32,3)+Z$8*EstymacjaGaussowska($C136,$C$102:$C$151,Z$14)*EstymacjaGaussowska($D136,$D$102:$D$151,Z$15)*VLOOKUP($E136,$W$29:$AA$32,4)</f>
        <v>1.5556710861778844E-2</v>
      </c>
      <c r="N136" s="3" cm="1">
        <f t="array" ref="N136">X$8*EstymacjaGaussowska($C136,$C$2:$C$51,X$14)*EstymacjaGaussowska($D136,$D$2:$D$51,X$15)*VLOOKUP($E136,$W$29:$AA$32,2)/$M136</f>
        <v>0</v>
      </c>
      <c r="O136" s="3" cm="1">
        <f t="array" ref="O136">Y$8*EstymacjaGaussowska($C136,$C$52:$C$101,Y$14)*EstymacjaGaussowska($D136,$D$52:$D$101,Y$15)*VLOOKUP($E136,$W$29:$AA$32,3)/$M136</f>
        <v>7.3438896028039227E-2</v>
      </c>
      <c r="P136" s="42" cm="1">
        <f t="array" ref="P136">Z$8*EstymacjaGaussowska($C136,$C$102:$C$151,Z$14)*EstymacjaGaussowska($D136,$D$102:$D$151,Z$15)*VLOOKUP($E136,$W$29:$AA$32,4)/$M136</f>
        <v>0.92656110397196079</v>
      </c>
      <c r="Q136" s="43" t="str">
        <f t="shared" si="14"/>
        <v>virginica</v>
      </c>
      <c r="R136" s="3" cm="1">
        <f t="array" ref="R136">X$8*EstymacjaGaussowska($C136,$C$2:$C$51,X$14)*EstymacjaGaussowska($D136,$D$2:$D$51,X$15)*EstymacjaGaussowska($A136,$A$2:$A$51,X$18)*EstymacjaGaussowska($B136,$B$2:$B$51,X$19)*VLOOKUP($E136,$W$29:$AA$32,2)+Y$8*EstymacjaGaussowska($C136,$C$52:$C$101,Y$14)*EstymacjaGaussowska($D136,$D$52:$D$101,Y$15)*EstymacjaGaussowska($A136,$A$52:$A$101,Y$18)*EstymacjaGaussowska($B136,$B$52:$B$101,Y$19)*VLOOKUP($E136,$W$29:$AA$32,3)+Z$8*EstymacjaGaussowska($C136,$C$102:$C$151,Z$14)*EstymacjaGaussowska($D136,$D$102:$D$151,Z$15)*EstymacjaGaussowska($A136,$A$102:$A$151,Z$18)*EstymacjaGaussowska($B136,$B$102:$B$151,Z$19)*VLOOKUP($E136,$W$29:$AA$32,4)</f>
        <v>5.4463540039846057E-3</v>
      </c>
      <c r="S136" s="3" cm="1">
        <f t="array" ref="S136">X$8*EstymacjaGaussowska($C136,$C$2:$C$51,X$14)*EstymacjaGaussowska($D136,$D$2:$D$51,X$15)*EstymacjaGaussowska($A136,$A$2:$A$51,X$18)*EstymacjaGaussowska($B136,$B$2:$B$51,X$19)*VLOOKUP($E136,$W$29:$AA$32,2)/$R136</f>
        <v>0</v>
      </c>
      <c r="T136" s="3" cm="1">
        <f t="array" ref="T136">Y$8*EstymacjaGaussowska($C136,$C$52:$C$101,Y$14)*EstymacjaGaussowska($D136,$D$52:$D$101,Y$15)*EstymacjaGaussowska($A136,$A$52:$A$101,Y$18)*EstymacjaGaussowska($B136,$B$52:$B$101,Y$19)*VLOOKUP($E136,$W$29:$AA$32,3)/$R136</f>
        <v>0.10386695063474018</v>
      </c>
      <c r="U136" s="42" cm="1">
        <f t="array" ref="U136">Z$8*EstymacjaGaussowska($C136,$C$102:$C$151,Z$14)*EstymacjaGaussowska($D136,$D$102:$D$151,Z$15)*EstymacjaGaussowska($A136,$A$102:$A$151,Z$18)*EstymacjaGaussowska($B136,$B$102:$B$151,Z$19)*VLOOKUP($E136,$W$29:$AA$32,4)/$R136</f>
        <v>0.89613304936525984</v>
      </c>
    </row>
    <row r="137" spans="1:21" x14ac:dyDescent="0.25">
      <c r="A137" s="9">
        <v>7.7</v>
      </c>
      <c r="B137" s="3">
        <v>3</v>
      </c>
      <c r="C137" s="3">
        <v>6.1</v>
      </c>
      <c r="D137" s="8">
        <v>2.2999999999999998</v>
      </c>
      <c r="E137" s="9" t="s">
        <v>12</v>
      </c>
      <c r="F137" s="50" t="s">
        <v>7</v>
      </c>
      <c r="G137" s="43" t="str">
        <f t="shared" si="12"/>
        <v>virginica</v>
      </c>
      <c r="H137" s="3" cm="1">
        <f t="array" ref="H137">X$8*EstymacjaGaussowska($C137,$C$2:$C$51,X$14)*EstymacjaGaussowska($D137,$D$2:$D$51,X$15)+Y$8*EstymacjaGaussowska($C137,$C$52:$C$101,Y$14)*EstymacjaGaussowska($D137,$D$52:$D$101,Y$15)+Z$8*EstymacjaGaussowska($C137,$C$102:$C$151,Z$14)*EstymacjaGaussowska($D137,$D$102:$D$151,Z$15)</f>
        <v>0.11408866953280374</v>
      </c>
      <c r="I137" s="3" cm="1">
        <f t="array" ref="I137">X$8*EstymacjaGaussowska($C137,$C$2:$C$51,X$14)*EstymacjaGaussowska($D137,$D$2:$D$51,X$15)/$H137</f>
        <v>0</v>
      </c>
      <c r="J137" s="3" cm="1">
        <f t="array" ref="J137">Y$8*EstymacjaGaussowska($C137,$C$52:$C$101,Y$14)*EstymacjaGaussowska($D137,$D$52:$D$101,Y$15)/$H137</f>
        <v>8.0277077213596696E-13</v>
      </c>
      <c r="K137" s="42" cm="1">
        <f t="array" ref="K137">Z$8*EstymacjaGaussowska($C137,$C$102:$C$151,Z$14)*EstymacjaGaussowska($D137,$D$102:$D$151,Z$15)/$H137</f>
        <v>0.9999999999991972</v>
      </c>
      <c r="L137" s="43" t="str">
        <f t="shared" si="13"/>
        <v>virginica</v>
      </c>
      <c r="M137" s="3" cm="1">
        <f t="array" ref="M137">X$8*EstymacjaGaussowska($C137,$C$2:$C$51,X$14)*EstymacjaGaussowska($D137,$D$2:$D$51,X$15)*VLOOKUP($E137,$W$29:$AA$32,2)+Y$8*EstymacjaGaussowska($C137,$C$52:$C$101,Y$14)*EstymacjaGaussowska($D137,$D$52:$D$101,Y$15)*VLOOKUP($E137,$W$29:$AA$32,3)+Z$8*EstymacjaGaussowska($C137,$C$102:$C$151,Z$14)*EstymacjaGaussowska($D137,$D$102:$D$151,Z$15)*VLOOKUP($E137,$W$29:$AA$32,4)</f>
        <v>4.3353694422465422E-2</v>
      </c>
      <c r="N137" s="3" cm="1">
        <f t="array" ref="N137">X$8*EstymacjaGaussowska($C137,$C$2:$C$51,X$14)*EstymacjaGaussowska($D137,$D$2:$D$51,X$15)*VLOOKUP($E137,$W$29:$AA$32,2)/$M137</f>
        <v>0</v>
      </c>
      <c r="O137" s="3" cm="1">
        <f t="array" ref="O137">Y$8*EstymacjaGaussowska($C137,$C$52:$C$101,Y$14)*EstymacjaGaussowska($D137,$D$52:$D$101,Y$15)*VLOOKUP($E137,$W$29:$AA$32,3)/$M137</f>
        <v>8.0277077213596696E-13</v>
      </c>
      <c r="P137" s="42" cm="1">
        <f t="array" ref="P137">Z$8*EstymacjaGaussowska($C137,$C$102:$C$151,Z$14)*EstymacjaGaussowska($D137,$D$102:$D$151,Z$15)*VLOOKUP($E137,$W$29:$AA$32,4)/$M137</f>
        <v>0.9999999999991972</v>
      </c>
      <c r="Q137" s="43" t="str">
        <f t="shared" si="14"/>
        <v>virginica</v>
      </c>
      <c r="R137" s="3" cm="1">
        <f t="array" ref="R137">X$8*EstymacjaGaussowska($C137,$C$2:$C$51,X$14)*EstymacjaGaussowska($D137,$D$2:$D$51,X$15)*EstymacjaGaussowska($A137,$A$2:$A$51,X$18)*EstymacjaGaussowska($B137,$B$2:$B$51,X$19)*VLOOKUP($E137,$W$29:$AA$32,2)+Y$8*EstymacjaGaussowska($C137,$C$52:$C$101,Y$14)*EstymacjaGaussowska($D137,$D$52:$D$101,Y$15)*EstymacjaGaussowska($A137,$A$52:$A$101,Y$18)*EstymacjaGaussowska($B137,$B$52:$B$101,Y$19)*VLOOKUP($E137,$W$29:$AA$32,3)+Z$8*EstymacjaGaussowska($C137,$C$102:$C$151,Z$14)*EstymacjaGaussowska($D137,$D$102:$D$151,Z$15)*EstymacjaGaussowska($A137,$A$102:$A$151,Z$18)*EstymacjaGaussowska($B137,$B$102:$B$151,Z$19)*VLOOKUP($E137,$W$29:$AA$32,4)</f>
        <v>1.085816864747881E-2</v>
      </c>
      <c r="S137" s="3" cm="1">
        <f t="array" ref="S137">X$8*EstymacjaGaussowska($C137,$C$2:$C$51,X$14)*EstymacjaGaussowska($D137,$D$2:$D$51,X$15)*EstymacjaGaussowska($A137,$A$2:$A$51,X$18)*EstymacjaGaussowska($B137,$B$2:$B$51,X$19)*VLOOKUP($E137,$W$29:$AA$32,2)/$R137</f>
        <v>0</v>
      </c>
      <c r="T137" s="3" cm="1">
        <f t="array" ref="T137">Y$8*EstymacjaGaussowska($C137,$C$52:$C$101,Y$14)*EstymacjaGaussowska($D137,$D$52:$D$101,Y$15)*EstymacjaGaussowska($A137,$A$52:$A$101,Y$18)*EstymacjaGaussowska($B137,$B$52:$B$101,Y$19)*VLOOKUP($E137,$W$29:$AA$32,3)/$R137</f>
        <v>3.2097313567340196E-15</v>
      </c>
      <c r="U137" s="42" cm="1">
        <f t="array" ref="U137">Z$8*EstymacjaGaussowska($C137,$C$102:$C$151,Z$14)*EstymacjaGaussowska($D137,$D$102:$D$151,Z$15)*EstymacjaGaussowska($A137,$A$102:$A$151,Z$18)*EstymacjaGaussowska($B137,$B$102:$B$151,Z$19)*VLOOKUP($E137,$W$29:$AA$32,4)/$R137</f>
        <v>0.99999999999999678</v>
      </c>
    </row>
    <row r="138" spans="1:21" x14ac:dyDescent="0.25">
      <c r="A138" s="9">
        <v>6.3</v>
      </c>
      <c r="B138" s="3">
        <v>3.4</v>
      </c>
      <c r="C138" s="3">
        <v>5.6</v>
      </c>
      <c r="D138" s="8">
        <v>2.4</v>
      </c>
      <c r="E138" s="9" t="s">
        <v>12</v>
      </c>
      <c r="F138" s="50" t="s">
        <v>7</v>
      </c>
      <c r="G138" s="43" t="str">
        <f t="shared" si="12"/>
        <v>virginica</v>
      </c>
      <c r="H138" s="3" cm="1">
        <f t="array" ref="H138">X$8*EstymacjaGaussowska($C138,$C$2:$C$51,X$14)*EstymacjaGaussowska($D138,$D$2:$D$51,X$15)+Y$8*EstymacjaGaussowska($C138,$C$52:$C$101,Y$14)*EstymacjaGaussowska($D138,$D$52:$D$101,Y$15)+Z$8*EstymacjaGaussowska($C138,$C$102:$C$151,Z$14)*EstymacjaGaussowska($D138,$D$102:$D$151,Z$15)</f>
        <v>0.16006171699959559</v>
      </c>
      <c r="I138" s="3" cm="1">
        <f t="array" ref="I138">X$8*EstymacjaGaussowska($C138,$C$2:$C$51,X$14)*EstymacjaGaussowska($D138,$D$2:$D$51,X$15)/$H138</f>
        <v>0</v>
      </c>
      <c r="J138" s="3" cm="1">
        <f t="array" ref="J138">Y$8*EstymacjaGaussowska($C138,$C$52:$C$101,Y$14)*EstymacjaGaussowska($D138,$D$52:$D$101,Y$15)/$H138</f>
        <v>2.7466291373423675E-12</v>
      </c>
      <c r="K138" s="42" cm="1">
        <f t="array" ref="K138">Z$8*EstymacjaGaussowska($C138,$C$102:$C$151,Z$14)*EstymacjaGaussowska($D138,$D$102:$D$151,Z$15)/$H138</f>
        <v>0.99999999999725342</v>
      </c>
      <c r="L138" s="43" t="str">
        <f t="shared" si="13"/>
        <v>virginica</v>
      </c>
      <c r="M138" s="3" cm="1">
        <f t="array" ref="M138">X$8*EstymacjaGaussowska($C138,$C$2:$C$51,X$14)*EstymacjaGaussowska($D138,$D$2:$D$51,X$15)*VLOOKUP($E138,$W$29:$AA$32,2)+Y$8*EstymacjaGaussowska($C138,$C$52:$C$101,Y$14)*EstymacjaGaussowska($D138,$D$52:$D$101,Y$15)*VLOOKUP($E138,$W$29:$AA$32,3)+Z$8*EstymacjaGaussowska($C138,$C$102:$C$151,Z$14)*EstymacjaGaussowska($D138,$D$102:$D$151,Z$15)*VLOOKUP($E138,$W$29:$AA$32,4)</f>
        <v>6.0823452459846335E-2</v>
      </c>
      <c r="N138" s="3" cm="1">
        <f t="array" ref="N138">X$8*EstymacjaGaussowska($C138,$C$2:$C$51,X$14)*EstymacjaGaussowska($D138,$D$2:$D$51,X$15)*VLOOKUP($E138,$W$29:$AA$32,2)/$M138</f>
        <v>0</v>
      </c>
      <c r="O138" s="3" cm="1">
        <f t="array" ref="O138">Y$8*EstymacjaGaussowska($C138,$C$52:$C$101,Y$14)*EstymacjaGaussowska($D138,$D$52:$D$101,Y$15)*VLOOKUP($E138,$W$29:$AA$32,3)/$M138</f>
        <v>2.746629137342367E-12</v>
      </c>
      <c r="P138" s="42" cm="1">
        <f t="array" ref="P138">Z$8*EstymacjaGaussowska($C138,$C$102:$C$151,Z$14)*EstymacjaGaussowska($D138,$D$102:$D$151,Z$15)*VLOOKUP($E138,$W$29:$AA$32,4)/$M138</f>
        <v>0.99999999999725331</v>
      </c>
      <c r="Q138" s="43" t="str">
        <f t="shared" si="14"/>
        <v>virginica</v>
      </c>
      <c r="R138" s="3" cm="1">
        <f t="array" ref="R138">X$8*EstymacjaGaussowska($C138,$C$2:$C$51,X$14)*EstymacjaGaussowska($D138,$D$2:$D$51,X$15)*EstymacjaGaussowska($A138,$A$2:$A$51,X$18)*EstymacjaGaussowska($B138,$B$2:$B$51,X$19)*VLOOKUP($E138,$W$29:$AA$32,2)+Y$8*EstymacjaGaussowska($C138,$C$52:$C$101,Y$14)*EstymacjaGaussowska($D138,$D$52:$D$101,Y$15)*EstymacjaGaussowska($A138,$A$52:$A$101,Y$18)*EstymacjaGaussowska($B138,$B$52:$B$101,Y$19)*VLOOKUP($E138,$W$29:$AA$32,3)+Z$8*EstymacjaGaussowska($C138,$C$102:$C$151,Z$14)*EstymacjaGaussowska($D138,$D$102:$D$151,Z$15)*EstymacjaGaussowska($A138,$A$102:$A$151,Z$18)*EstymacjaGaussowska($B138,$B$102:$B$151,Z$19)*VLOOKUP($E138,$W$29:$AA$32,4)</f>
        <v>1.5581262019963918E-2</v>
      </c>
      <c r="S138" s="3" cm="1">
        <f t="array" ref="S138">X$8*EstymacjaGaussowska($C138,$C$2:$C$51,X$14)*EstymacjaGaussowska($D138,$D$2:$D$51,X$15)*EstymacjaGaussowska($A138,$A$2:$A$51,X$18)*EstymacjaGaussowska($B138,$B$2:$B$51,X$19)*VLOOKUP($E138,$W$29:$AA$32,2)/$R138</f>
        <v>0</v>
      </c>
      <c r="T138" s="3" cm="1">
        <f t="array" ref="T138">Y$8*EstymacjaGaussowska($C138,$C$52:$C$101,Y$14)*EstymacjaGaussowska($D138,$D$52:$D$101,Y$15)*EstymacjaGaussowska($A138,$A$52:$A$101,Y$18)*EstymacjaGaussowska($B138,$B$52:$B$101,Y$19)*VLOOKUP($E138,$W$29:$AA$32,3)/$R138</f>
        <v>1.0640661430559603E-12</v>
      </c>
      <c r="U138" s="42" cm="1">
        <f t="array" ref="U138">Z$8*EstymacjaGaussowska($C138,$C$102:$C$151,Z$14)*EstymacjaGaussowska($D138,$D$102:$D$151,Z$15)*EstymacjaGaussowska($A138,$A$102:$A$151,Z$18)*EstymacjaGaussowska($B138,$B$102:$B$151,Z$19)*VLOOKUP($E138,$W$29:$AA$32,4)/$R138</f>
        <v>0.99999999999893596</v>
      </c>
    </row>
    <row r="139" spans="1:21" x14ac:dyDescent="0.25">
      <c r="A139" s="9">
        <v>6.4</v>
      </c>
      <c r="B139" s="3">
        <v>3.1</v>
      </c>
      <c r="C139" s="3">
        <v>5.5</v>
      </c>
      <c r="D139" s="8">
        <v>1.8</v>
      </c>
      <c r="E139" s="9" t="s">
        <v>12</v>
      </c>
      <c r="F139" s="50" t="s">
        <v>7</v>
      </c>
      <c r="G139" s="43" t="str">
        <f t="shared" si="12"/>
        <v>virginica</v>
      </c>
      <c r="H139" s="3" cm="1">
        <f t="array" ref="H139">X$8*EstymacjaGaussowska($C139,$C$2:$C$51,X$14)*EstymacjaGaussowska($D139,$D$2:$D$51,X$15)+Y$8*EstymacjaGaussowska($C139,$C$52:$C$101,Y$14)*EstymacjaGaussowska($D139,$D$52:$D$101,Y$15)+Z$8*EstymacjaGaussowska($C139,$C$102:$C$151,Z$14)*EstymacjaGaussowska($D139,$D$102:$D$151,Z$15)</f>
        <v>0.23507637397058076</v>
      </c>
      <c r="I139" s="3" cm="1">
        <f t="array" ref="I139">X$8*EstymacjaGaussowska($C139,$C$2:$C$51,X$14)*EstymacjaGaussowska($D139,$D$2:$D$51,X$15)/$H139</f>
        <v>0</v>
      </c>
      <c r="J139" s="3" cm="1">
        <f t="array" ref="J139">Y$8*EstymacjaGaussowska($C139,$C$52:$C$101,Y$14)*EstymacjaGaussowska($D139,$D$52:$D$101,Y$15)/$H139</f>
        <v>3.2699858978227285E-3</v>
      </c>
      <c r="K139" s="42" cm="1">
        <f t="array" ref="K139">Z$8*EstymacjaGaussowska($C139,$C$102:$C$151,Z$14)*EstymacjaGaussowska($D139,$D$102:$D$151,Z$15)/$H139</f>
        <v>0.99673001410217732</v>
      </c>
      <c r="L139" s="43" t="str">
        <f t="shared" si="13"/>
        <v>virginica</v>
      </c>
      <c r="M139" s="3" cm="1">
        <f t="array" ref="M139">X$8*EstymacjaGaussowska($C139,$C$2:$C$51,X$14)*EstymacjaGaussowska($D139,$D$2:$D$51,X$15)*VLOOKUP($E139,$W$29:$AA$32,2)+Y$8*EstymacjaGaussowska($C139,$C$52:$C$101,Y$14)*EstymacjaGaussowska($D139,$D$52:$D$101,Y$15)*VLOOKUP($E139,$W$29:$AA$32,3)+Z$8*EstymacjaGaussowska($C139,$C$102:$C$151,Z$14)*EstymacjaGaussowska($D139,$D$102:$D$151,Z$15)*VLOOKUP($E139,$W$29:$AA$32,4)</f>
        <v>8.9329022108820696E-2</v>
      </c>
      <c r="N139" s="3" cm="1">
        <f t="array" ref="N139">X$8*EstymacjaGaussowska($C139,$C$2:$C$51,X$14)*EstymacjaGaussowska($D139,$D$2:$D$51,X$15)*VLOOKUP($E139,$W$29:$AA$32,2)/$M139</f>
        <v>0</v>
      </c>
      <c r="O139" s="3" cm="1">
        <f t="array" ref="O139">Y$8*EstymacjaGaussowska($C139,$C$52:$C$101,Y$14)*EstymacjaGaussowska($D139,$D$52:$D$101,Y$15)*VLOOKUP($E139,$W$29:$AA$32,3)/$M139</f>
        <v>3.269985897822728E-3</v>
      </c>
      <c r="P139" s="42" cm="1">
        <f t="array" ref="P139">Z$8*EstymacjaGaussowska($C139,$C$102:$C$151,Z$14)*EstymacjaGaussowska($D139,$D$102:$D$151,Z$15)*VLOOKUP($E139,$W$29:$AA$32,4)/$M139</f>
        <v>0.99673001410217721</v>
      </c>
      <c r="Q139" s="43" t="str">
        <f t="shared" si="14"/>
        <v>virginica</v>
      </c>
      <c r="R139" s="3" cm="1">
        <f t="array" ref="R139">X$8*EstymacjaGaussowska($C139,$C$2:$C$51,X$14)*EstymacjaGaussowska($D139,$D$2:$D$51,X$15)*EstymacjaGaussowska($A139,$A$2:$A$51,X$18)*EstymacjaGaussowska($B139,$B$2:$B$51,X$19)*VLOOKUP($E139,$W$29:$AA$32,2)+Y$8*EstymacjaGaussowska($C139,$C$52:$C$101,Y$14)*EstymacjaGaussowska($D139,$D$52:$D$101,Y$15)*EstymacjaGaussowska($A139,$A$52:$A$101,Y$18)*EstymacjaGaussowska($B139,$B$52:$B$101,Y$19)*VLOOKUP($E139,$W$29:$AA$32,3)+Z$8*EstymacjaGaussowska($C139,$C$102:$C$151,Z$14)*EstymacjaGaussowska($D139,$D$102:$D$151,Z$15)*EstymacjaGaussowska($A139,$A$102:$A$151,Z$18)*EstymacjaGaussowska($B139,$B$102:$B$151,Z$19)*VLOOKUP($E139,$W$29:$AA$32,4)</f>
        <v>6.1774025851063737E-2</v>
      </c>
      <c r="S139" s="3" cm="1">
        <f t="array" ref="S139">X$8*EstymacjaGaussowska($C139,$C$2:$C$51,X$14)*EstymacjaGaussowska($D139,$D$2:$D$51,X$15)*EstymacjaGaussowska($A139,$A$2:$A$51,X$18)*EstymacjaGaussowska($B139,$B$2:$B$51,X$19)*VLOOKUP($E139,$W$29:$AA$32,2)/$R139</f>
        <v>0</v>
      </c>
      <c r="T139" s="3" cm="1">
        <f t="array" ref="T139">Y$8*EstymacjaGaussowska($C139,$C$52:$C$101,Y$14)*EstymacjaGaussowska($D139,$D$52:$D$101,Y$15)*EstymacjaGaussowska($A139,$A$52:$A$101,Y$18)*EstymacjaGaussowska($B139,$B$52:$B$101,Y$19)*VLOOKUP($E139,$W$29:$AA$32,3)/$R139</f>
        <v>1.8394186513186368E-3</v>
      </c>
      <c r="U139" s="42" cm="1">
        <f t="array" ref="U139">Z$8*EstymacjaGaussowska($C139,$C$102:$C$151,Z$14)*EstymacjaGaussowska($D139,$D$102:$D$151,Z$15)*EstymacjaGaussowska($A139,$A$102:$A$151,Z$18)*EstymacjaGaussowska($B139,$B$102:$B$151,Z$19)*VLOOKUP($E139,$W$29:$AA$32,4)/$R139</f>
        <v>0.99816058134868146</v>
      </c>
    </row>
    <row r="140" spans="1:21" x14ac:dyDescent="0.25">
      <c r="A140" s="9">
        <v>6</v>
      </c>
      <c r="B140" s="3">
        <v>3</v>
      </c>
      <c r="C140" s="3">
        <v>4.8</v>
      </c>
      <c r="D140" s="8">
        <v>1.8</v>
      </c>
      <c r="E140" s="9" t="s">
        <v>12</v>
      </c>
      <c r="F140" s="50" t="s">
        <v>7</v>
      </c>
      <c r="G140" s="43" t="str">
        <f t="shared" si="12"/>
        <v>virginica</v>
      </c>
      <c r="H140" s="3" cm="1">
        <f t="array" ref="H140">X$8*EstymacjaGaussowska($C140,$C$2:$C$51,X$14)*EstymacjaGaussowska($D140,$D$2:$D$51,X$15)+Y$8*EstymacjaGaussowska($C140,$C$52:$C$101,Y$14)*EstymacjaGaussowska($D140,$D$52:$D$101,Y$15)+Z$8*EstymacjaGaussowska($C140,$C$102:$C$151,Z$14)*EstymacjaGaussowska($D140,$D$102:$D$151,Z$15)</f>
        <v>0.16986367174339903</v>
      </c>
      <c r="I140" s="3" cm="1">
        <f t="array" ref="I140">X$8*EstymacjaGaussowska($C140,$C$2:$C$51,X$14)*EstymacjaGaussowska($D140,$D$2:$D$51,X$15)/$H140</f>
        <v>0</v>
      </c>
      <c r="J140" s="3" cm="1">
        <f t="array" ref="J140">Y$8*EstymacjaGaussowska($C140,$C$52:$C$101,Y$14)*EstymacjaGaussowska($D140,$D$52:$D$101,Y$15)/$H140</f>
        <v>0.17861708260727199</v>
      </c>
      <c r="K140" s="42" cm="1">
        <f t="array" ref="K140">Z$8*EstymacjaGaussowska($C140,$C$102:$C$151,Z$14)*EstymacjaGaussowska($D140,$D$102:$D$151,Z$15)/$H140</f>
        <v>0.82138291739272806</v>
      </c>
      <c r="L140" s="43" t="str">
        <f t="shared" si="13"/>
        <v>virginica</v>
      </c>
      <c r="M140" s="3" cm="1">
        <f t="array" ref="M140">X$8*EstymacjaGaussowska($C140,$C$2:$C$51,X$14)*EstymacjaGaussowska($D140,$D$2:$D$51,X$15)*VLOOKUP($E140,$W$29:$AA$32,2)+Y$8*EstymacjaGaussowska($C140,$C$52:$C$101,Y$14)*EstymacjaGaussowska($D140,$D$52:$D$101,Y$15)*VLOOKUP($E140,$W$29:$AA$32,3)+Z$8*EstymacjaGaussowska($C140,$C$102:$C$151,Z$14)*EstymacjaGaussowska($D140,$D$102:$D$151,Z$15)*VLOOKUP($E140,$W$29:$AA$32,4)</f>
        <v>6.4548195262491628E-2</v>
      </c>
      <c r="N140" s="3" cm="1">
        <f t="array" ref="N140">X$8*EstymacjaGaussowska($C140,$C$2:$C$51,X$14)*EstymacjaGaussowska($D140,$D$2:$D$51,X$15)*VLOOKUP($E140,$W$29:$AA$32,2)/$M140</f>
        <v>0</v>
      </c>
      <c r="O140" s="3" cm="1">
        <f t="array" ref="O140">Y$8*EstymacjaGaussowska($C140,$C$52:$C$101,Y$14)*EstymacjaGaussowska($D140,$D$52:$D$101,Y$15)*VLOOKUP($E140,$W$29:$AA$32,3)/$M140</f>
        <v>0.17861708260727199</v>
      </c>
      <c r="P140" s="42" cm="1">
        <f t="array" ref="P140">Z$8*EstymacjaGaussowska($C140,$C$102:$C$151,Z$14)*EstymacjaGaussowska($D140,$D$102:$D$151,Z$15)*VLOOKUP($E140,$W$29:$AA$32,4)/$M140</f>
        <v>0.82138291739272806</v>
      </c>
      <c r="Q140" s="43" t="str">
        <f t="shared" si="14"/>
        <v>virginica</v>
      </c>
      <c r="R140" s="3" cm="1">
        <f t="array" ref="R140">X$8*EstymacjaGaussowska($C140,$C$2:$C$51,X$14)*EstymacjaGaussowska($D140,$D$2:$D$51,X$15)*EstymacjaGaussowska($A140,$A$2:$A$51,X$18)*EstymacjaGaussowska($B140,$B$2:$B$51,X$19)*VLOOKUP($E140,$W$29:$AA$32,2)+Y$8*EstymacjaGaussowska($C140,$C$52:$C$101,Y$14)*EstymacjaGaussowska($D140,$D$52:$D$101,Y$15)*EstymacjaGaussowska($A140,$A$52:$A$101,Y$18)*EstymacjaGaussowska($B140,$B$52:$B$101,Y$19)*VLOOKUP($E140,$W$29:$AA$32,3)+Z$8*EstymacjaGaussowska($C140,$C$102:$C$151,Z$14)*EstymacjaGaussowska($D140,$D$102:$D$151,Z$15)*EstymacjaGaussowska($A140,$A$102:$A$151,Z$18)*EstymacjaGaussowska($B140,$B$102:$B$151,Z$19)*VLOOKUP($E140,$W$29:$AA$32,4)</f>
        <v>3.7235486894726562E-2</v>
      </c>
      <c r="S140" s="3" cm="1">
        <f t="array" ref="S140">X$8*EstymacjaGaussowska($C140,$C$2:$C$51,X$14)*EstymacjaGaussowska($D140,$D$2:$D$51,X$15)*EstymacjaGaussowska($A140,$A$2:$A$51,X$18)*EstymacjaGaussowska($B140,$B$2:$B$51,X$19)*VLOOKUP($E140,$W$29:$AA$32,2)/$R140</f>
        <v>0</v>
      </c>
      <c r="T140" s="3" cm="1">
        <f t="array" ref="T140">Y$8*EstymacjaGaussowska($C140,$C$52:$C$101,Y$14)*EstymacjaGaussowska($D140,$D$52:$D$101,Y$15)*EstymacjaGaussowska($A140,$A$52:$A$101,Y$18)*EstymacjaGaussowska($B140,$B$52:$B$101,Y$19)*VLOOKUP($E140,$W$29:$AA$32,3)/$R140</f>
        <v>0.21687110456195327</v>
      </c>
      <c r="U140" s="42" cm="1">
        <f t="array" ref="U140">Z$8*EstymacjaGaussowska($C140,$C$102:$C$151,Z$14)*EstymacjaGaussowska($D140,$D$102:$D$151,Z$15)*EstymacjaGaussowska($A140,$A$102:$A$151,Z$18)*EstymacjaGaussowska($B140,$B$102:$B$151,Z$19)*VLOOKUP($E140,$W$29:$AA$32,4)/$R140</f>
        <v>0.78312889543804665</v>
      </c>
    </row>
    <row r="141" spans="1:21" x14ac:dyDescent="0.25">
      <c r="A141" s="9">
        <v>6.9</v>
      </c>
      <c r="B141" s="3">
        <v>3.1</v>
      </c>
      <c r="C141" s="3">
        <v>5.4</v>
      </c>
      <c r="D141" s="8">
        <v>2.1</v>
      </c>
      <c r="E141" s="9" t="s">
        <v>12</v>
      </c>
      <c r="F141" s="50" t="s">
        <v>7</v>
      </c>
      <c r="G141" s="43" t="str">
        <f t="shared" si="12"/>
        <v>virginica</v>
      </c>
      <c r="H141" s="3" cm="1">
        <f t="array" ref="H141">X$8*EstymacjaGaussowska($C141,$C$2:$C$51,X$14)*EstymacjaGaussowska($D141,$D$2:$D$51,X$15)+Y$8*EstymacjaGaussowska($C141,$C$52:$C$101,Y$14)*EstymacjaGaussowska($D141,$D$52:$D$101,Y$15)+Z$8*EstymacjaGaussowska($C141,$C$102:$C$151,Z$14)*EstymacjaGaussowska($D141,$D$102:$D$151,Z$15)</f>
        <v>0.2303555321188698</v>
      </c>
      <c r="I141" s="3" cm="1">
        <f t="array" ref="I141">X$8*EstymacjaGaussowska($C141,$C$2:$C$51,X$14)*EstymacjaGaussowska($D141,$D$2:$D$51,X$15)/$H141</f>
        <v>0</v>
      </c>
      <c r="J141" s="3" cm="1">
        <f t="array" ref="J141">Y$8*EstymacjaGaussowska($C141,$C$52:$C$101,Y$14)*EstymacjaGaussowska($D141,$D$52:$D$101,Y$15)/$H141</f>
        <v>2.9967479927741519E-5</v>
      </c>
      <c r="K141" s="42" cm="1">
        <f t="array" ref="K141">Z$8*EstymacjaGaussowska($C141,$C$102:$C$151,Z$14)*EstymacjaGaussowska($D141,$D$102:$D$151,Z$15)/$H141</f>
        <v>0.99997003252007222</v>
      </c>
      <c r="L141" s="43" t="str">
        <f t="shared" si="13"/>
        <v>virginica</v>
      </c>
      <c r="M141" s="3" cm="1">
        <f t="array" ref="M141">X$8*EstymacjaGaussowska($C141,$C$2:$C$51,X$14)*EstymacjaGaussowska($D141,$D$2:$D$51,X$15)*VLOOKUP($E141,$W$29:$AA$32,2)+Y$8*EstymacjaGaussowska($C141,$C$52:$C$101,Y$14)*EstymacjaGaussowska($D141,$D$52:$D$101,Y$15)*VLOOKUP($E141,$W$29:$AA$32,3)+Z$8*EstymacjaGaussowska($C141,$C$102:$C$151,Z$14)*EstymacjaGaussowska($D141,$D$102:$D$151,Z$15)*VLOOKUP($E141,$W$29:$AA$32,4)</f>
        <v>8.7535102205170523E-2</v>
      </c>
      <c r="N141" s="3" cm="1">
        <f t="array" ref="N141">X$8*EstymacjaGaussowska($C141,$C$2:$C$51,X$14)*EstymacjaGaussowska($D141,$D$2:$D$51,X$15)*VLOOKUP($E141,$W$29:$AA$32,2)/$M141</f>
        <v>0</v>
      </c>
      <c r="O141" s="3" cm="1">
        <f t="array" ref="O141">Y$8*EstymacjaGaussowska($C141,$C$52:$C$101,Y$14)*EstymacjaGaussowska($D141,$D$52:$D$101,Y$15)*VLOOKUP($E141,$W$29:$AA$32,3)/$M141</f>
        <v>2.9967479927741519E-5</v>
      </c>
      <c r="P141" s="42" cm="1">
        <f t="array" ref="P141">Z$8*EstymacjaGaussowska($C141,$C$102:$C$151,Z$14)*EstymacjaGaussowska($D141,$D$102:$D$151,Z$15)*VLOOKUP($E141,$W$29:$AA$32,4)/$M141</f>
        <v>0.99997003252007222</v>
      </c>
      <c r="Q141" s="43" t="str">
        <f t="shared" si="14"/>
        <v>virginica</v>
      </c>
      <c r="R141" s="3" cm="1">
        <f t="array" ref="R141">X$8*EstymacjaGaussowska($C141,$C$2:$C$51,X$14)*EstymacjaGaussowska($D141,$D$2:$D$51,X$15)*EstymacjaGaussowska($A141,$A$2:$A$51,X$18)*EstymacjaGaussowska($B141,$B$2:$B$51,X$19)*VLOOKUP($E141,$W$29:$AA$32,2)+Y$8*EstymacjaGaussowska($C141,$C$52:$C$101,Y$14)*EstymacjaGaussowska($D141,$D$52:$D$101,Y$15)*EstymacjaGaussowska($A141,$A$52:$A$101,Y$18)*EstymacjaGaussowska($B141,$B$52:$B$101,Y$19)*VLOOKUP($E141,$W$29:$AA$32,3)+Z$8*EstymacjaGaussowska($C141,$C$102:$C$151,Z$14)*EstymacjaGaussowska($D141,$D$102:$D$151,Z$15)*EstymacjaGaussowska($A141,$A$102:$A$151,Z$18)*EstymacjaGaussowska($B141,$B$102:$B$151,Z$19)*VLOOKUP($E141,$W$29:$AA$32,4)</f>
        <v>4.2319024633842441E-2</v>
      </c>
      <c r="S141" s="3" cm="1">
        <f t="array" ref="S141">X$8*EstymacjaGaussowska($C141,$C$2:$C$51,X$14)*EstymacjaGaussowska($D141,$D$2:$D$51,X$15)*EstymacjaGaussowska($A141,$A$2:$A$51,X$18)*EstymacjaGaussowska($B141,$B$2:$B$51,X$19)*VLOOKUP($E141,$W$29:$AA$32,2)/$R141</f>
        <v>0</v>
      </c>
      <c r="T141" s="3" cm="1">
        <f t="array" ref="T141">Y$8*EstymacjaGaussowska($C141,$C$52:$C$101,Y$14)*EstymacjaGaussowska($D141,$D$52:$D$101,Y$15)*EstymacjaGaussowska($A141,$A$52:$A$101,Y$18)*EstymacjaGaussowska($B141,$B$52:$B$101,Y$19)*VLOOKUP($E141,$W$29:$AA$32,3)/$R141</f>
        <v>1.1552815231836504E-5</v>
      </c>
      <c r="U141" s="42" cm="1">
        <f t="array" ref="U141">Z$8*EstymacjaGaussowska($C141,$C$102:$C$151,Z$14)*EstymacjaGaussowska($D141,$D$102:$D$151,Z$15)*EstymacjaGaussowska($A141,$A$102:$A$151,Z$18)*EstymacjaGaussowska($B141,$B$102:$B$151,Z$19)*VLOOKUP($E141,$W$29:$AA$32,4)/$R141</f>
        <v>0.9999884471847682</v>
      </c>
    </row>
    <row r="142" spans="1:21" x14ac:dyDescent="0.25">
      <c r="A142" s="9">
        <v>6.7</v>
      </c>
      <c r="B142" s="3">
        <v>3.1</v>
      </c>
      <c r="C142" s="3">
        <v>5.6</v>
      </c>
      <c r="D142" s="8">
        <v>2.4</v>
      </c>
      <c r="E142" s="9" t="s">
        <v>12</v>
      </c>
      <c r="F142" s="50" t="s">
        <v>7</v>
      </c>
      <c r="G142" s="43" t="str">
        <f t="shared" si="12"/>
        <v>virginica</v>
      </c>
      <c r="H142" s="3" cm="1">
        <f t="array" ref="H142">X$8*EstymacjaGaussowska($C142,$C$2:$C$51,X$14)*EstymacjaGaussowska($D142,$D$2:$D$51,X$15)+Y$8*EstymacjaGaussowska($C142,$C$52:$C$101,Y$14)*EstymacjaGaussowska($D142,$D$52:$D$101,Y$15)+Z$8*EstymacjaGaussowska($C142,$C$102:$C$151,Z$14)*EstymacjaGaussowska($D142,$D$102:$D$151,Z$15)</f>
        <v>0.16006171699959559</v>
      </c>
      <c r="I142" s="3" cm="1">
        <f t="array" ref="I142">X$8*EstymacjaGaussowska($C142,$C$2:$C$51,X$14)*EstymacjaGaussowska($D142,$D$2:$D$51,X$15)/$H142</f>
        <v>0</v>
      </c>
      <c r="J142" s="3" cm="1">
        <f t="array" ref="J142">Y$8*EstymacjaGaussowska($C142,$C$52:$C$101,Y$14)*EstymacjaGaussowska($D142,$D$52:$D$101,Y$15)/$H142</f>
        <v>2.7466291373423675E-12</v>
      </c>
      <c r="K142" s="42" cm="1">
        <f t="array" ref="K142">Z$8*EstymacjaGaussowska($C142,$C$102:$C$151,Z$14)*EstymacjaGaussowska($D142,$D$102:$D$151,Z$15)/$H142</f>
        <v>0.99999999999725342</v>
      </c>
      <c r="L142" s="43" t="str">
        <f t="shared" si="13"/>
        <v>virginica</v>
      </c>
      <c r="M142" s="3" cm="1">
        <f t="array" ref="M142">X$8*EstymacjaGaussowska($C142,$C$2:$C$51,X$14)*EstymacjaGaussowska($D142,$D$2:$D$51,X$15)*VLOOKUP($E142,$W$29:$AA$32,2)+Y$8*EstymacjaGaussowska($C142,$C$52:$C$101,Y$14)*EstymacjaGaussowska($D142,$D$52:$D$101,Y$15)*VLOOKUP($E142,$W$29:$AA$32,3)+Z$8*EstymacjaGaussowska($C142,$C$102:$C$151,Z$14)*EstymacjaGaussowska($D142,$D$102:$D$151,Z$15)*VLOOKUP($E142,$W$29:$AA$32,4)</f>
        <v>6.0823452459846335E-2</v>
      </c>
      <c r="N142" s="3" cm="1">
        <f t="array" ref="N142">X$8*EstymacjaGaussowska($C142,$C$2:$C$51,X$14)*EstymacjaGaussowska($D142,$D$2:$D$51,X$15)*VLOOKUP($E142,$W$29:$AA$32,2)/$M142</f>
        <v>0</v>
      </c>
      <c r="O142" s="3" cm="1">
        <f t="array" ref="O142">Y$8*EstymacjaGaussowska($C142,$C$52:$C$101,Y$14)*EstymacjaGaussowska($D142,$D$52:$D$101,Y$15)*VLOOKUP($E142,$W$29:$AA$32,3)/$M142</f>
        <v>2.746629137342367E-12</v>
      </c>
      <c r="P142" s="42" cm="1">
        <f t="array" ref="P142">Z$8*EstymacjaGaussowska($C142,$C$102:$C$151,Z$14)*EstymacjaGaussowska($D142,$D$102:$D$151,Z$15)*VLOOKUP($E142,$W$29:$AA$32,4)/$M142</f>
        <v>0.99999999999725331</v>
      </c>
      <c r="Q142" s="43" t="str">
        <f t="shared" si="14"/>
        <v>virginica</v>
      </c>
      <c r="R142" s="3" cm="1">
        <f t="array" ref="R142">X$8*EstymacjaGaussowska($C142,$C$2:$C$51,X$14)*EstymacjaGaussowska($D142,$D$2:$D$51,X$15)*EstymacjaGaussowska($A142,$A$2:$A$51,X$18)*EstymacjaGaussowska($B142,$B$2:$B$51,X$19)*VLOOKUP($E142,$W$29:$AA$32,2)+Y$8*EstymacjaGaussowska($C142,$C$52:$C$101,Y$14)*EstymacjaGaussowska($D142,$D$52:$D$101,Y$15)*EstymacjaGaussowska($A142,$A$52:$A$101,Y$18)*EstymacjaGaussowska($B142,$B$52:$B$101,Y$19)*VLOOKUP($E142,$W$29:$AA$32,3)+Z$8*EstymacjaGaussowska($C142,$C$102:$C$151,Z$14)*EstymacjaGaussowska($D142,$D$102:$D$151,Z$15)*EstymacjaGaussowska($A142,$A$102:$A$151,Z$18)*EstymacjaGaussowska($B142,$B$102:$B$151,Z$19)*VLOOKUP($E142,$W$29:$AA$32,4)</f>
        <v>3.6534130754541656E-2</v>
      </c>
      <c r="S142" s="3" cm="1">
        <f t="array" ref="S142">X$8*EstymacjaGaussowska($C142,$C$2:$C$51,X$14)*EstymacjaGaussowska($D142,$D$2:$D$51,X$15)*EstymacjaGaussowska($A142,$A$2:$A$51,X$18)*EstymacjaGaussowska($B142,$B$2:$B$51,X$19)*VLOOKUP($E142,$W$29:$AA$32,2)/$R142</f>
        <v>0</v>
      </c>
      <c r="T142" s="3" cm="1">
        <f t="array" ref="T142">Y$8*EstymacjaGaussowska($C142,$C$52:$C$101,Y$14)*EstymacjaGaussowska($D142,$D$52:$D$101,Y$15)*EstymacjaGaussowska($A142,$A$52:$A$101,Y$18)*EstymacjaGaussowska($B142,$B$52:$B$101,Y$19)*VLOOKUP($E142,$W$29:$AA$32,3)/$R142</f>
        <v>1.2695166967206891E-12</v>
      </c>
      <c r="U142" s="42" cm="1">
        <f t="array" ref="U142">Z$8*EstymacjaGaussowska($C142,$C$102:$C$151,Z$14)*EstymacjaGaussowska($D142,$D$102:$D$151,Z$15)*EstymacjaGaussowska($A142,$A$102:$A$151,Z$18)*EstymacjaGaussowska($B142,$B$102:$B$151,Z$19)*VLOOKUP($E142,$W$29:$AA$32,4)/$R142</f>
        <v>0.99999999999873046</v>
      </c>
    </row>
    <row r="143" spans="1:21" x14ac:dyDescent="0.25">
      <c r="A143" s="9">
        <v>6.9</v>
      </c>
      <c r="B143" s="3">
        <v>3.1</v>
      </c>
      <c r="C143" s="3">
        <v>5.0999999999999996</v>
      </c>
      <c r="D143" s="8">
        <v>2.2999999999999998</v>
      </c>
      <c r="E143" s="9" t="s">
        <v>12</v>
      </c>
      <c r="F143" s="50" t="s">
        <v>7</v>
      </c>
      <c r="G143" s="43" t="str">
        <f t="shared" si="12"/>
        <v>virginica</v>
      </c>
      <c r="H143" s="3" cm="1">
        <f t="array" ref="H143">X$8*EstymacjaGaussowska($C143,$C$2:$C$51,X$14)*EstymacjaGaussowska($D143,$D$2:$D$51,X$15)+Y$8*EstymacjaGaussowska($C143,$C$52:$C$101,Y$14)*EstymacjaGaussowska($D143,$D$52:$D$101,Y$15)+Z$8*EstymacjaGaussowska($C143,$C$102:$C$151,Z$14)*EstymacjaGaussowska($D143,$D$102:$D$151,Z$15)</f>
        <v>0.19091415147153196</v>
      </c>
      <c r="I143" s="3" cm="1">
        <f t="array" ref="I143">X$8*EstymacjaGaussowska($C143,$C$2:$C$51,X$14)*EstymacjaGaussowska($D143,$D$2:$D$51,X$15)/$H143</f>
        <v>0</v>
      </c>
      <c r="J143" s="3" cm="1">
        <f t="array" ref="J143">Y$8*EstymacjaGaussowska($C143,$C$52:$C$101,Y$14)*EstymacjaGaussowska($D143,$D$52:$D$101,Y$15)/$H143</f>
        <v>3.6018830498804804E-8</v>
      </c>
      <c r="K143" s="42" cm="1">
        <f t="array" ref="K143">Z$8*EstymacjaGaussowska($C143,$C$102:$C$151,Z$14)*EstymacjaGaussowska($D143,$D$102:$D$151,Z$15)/$H143</f>
        <v>0.99999996398116953</v>
      </c>
      <c r="L143" s="43" t="str">
        <f t="shared" si="13"/>
        <v>virginica</v>
      </c>
      <c r="M143" s="3" cm="1">
        <f t="array" ref="M143">X$8*EstymacjaGaussowska($C143,$C$2:$C$51,X$14)*EstymacjaGaussowska($D143,$D$2:$D$51,X$15)*VLOOKUP($E143,$W$29:$AA$32,2)+Y$8*EstymacjaGaussowska($C143,$C$52:$C$101,Y$14)*EstymacjaGaussowska($D143,$D$52:$D$101,Y$15)*VLOOKUP($E143,$W$29:$AA$32,3)+Z$8*EstymacjaGaussowska($C143,$C$102:$C$151,Z$14)*EstymacjaGaussowska($D143,$D$102:$D$151,Z$15)*VLOOKUP($E143,$W$29:$AA$32,4)</f>
        <v>7.2547377559182141E-2</v>
      </c>
      <c r="N143" s="3" cm="1">
        <f t="array" ref="N143">X$8*EstymacjaGaussowska($C143,$C$2:$C$51,X$14)*EstymacjaGaussowska($D143,$D$2:$D$51,X$15)*VLOOKUP($E143,$W$29:$AA$32,2)/$M143</f>
        <v>0</v>
      </c>
      <c r="O143" s="3" cm="1">
        <f t="array" ref="O143">Y$8*EstymacjaGaussowska($C143,$C$52:$C$101,Y$14)*EstymacjaGaussowska($D143,$D$52:$D$101,Y$15)*VLOOKUP($E143,$W$29:$AA$32,3)/$M143</f>
        <v>3.601883049880481E-8</v>
      </c>
      <c r="P143" s="42" cm="1">
        <f t="array" ref="P143">Z$8*EstymacjaGaussowska($C143,$C$102:$C$151,Z$14)*EstymacjaGaussowska($D143,$D$102:$D$151,Z$15)*VLOOKUP($E143,$W$29:$AA$32,4)/$M143</f>
        <v>0.99999996398116964</v>
      </c>
      <c r="Q143" s="43" t="str">
        <f t="shared" si="14"/>
        <v>virginica</v>
      </c>
      <c r="R143" s="3" cm="1">
        <f t="array" ref="R143">X$8*EstymacjaGaussowska($C143,$C$2:$C$51,X$14)*EstymacjaGaussowska($D143,$D$2:$D$51,X$15)*EstymacjaGaussowska($A143,$A$2:$A$51,X$18)*EstymacjaGaussowska($B143,$B$2:$B$51,X$19)*VLOOKUP($E143,$W$29:$AA$32,2)+Y$8*EstymacjaGaussowska($C143,$C$52:$C$101,Y$14)*EstymacjaGaussowska($D143,$D$52:$D$101,Y$15)*EstymacjaGaussowska($A143,$A$52:$A$101,Y$18)*EstymacjaGaussowska($B143,$B$52:$B$101,Y$19)*VLOOKUP($E143,$W$29:$AA$32,3)+Z$8*EstymacjaGaussowska($C143,$C$102:$C$151,Z$14)*EstymacjaGaussowska($D143,$D$102:$D$151,Z$15)*EstymacjaGaussowska($A143,$A$102:$A$151,Z$18)*EstymacjaGaussowska($B143,$B$102:$B$151,Z$19)*VLOOKUP($E143,$W$29:$AA$32,4)</f>
        <v>3.5073823528360304E-2</v>
      </c>
      <c r="S143" s="3" cm="1">
        <f t="array" ref="S143">X$8*EstymacjaGaussowska($C143,$C$2:$C$51,X$14)*EstymacjaGaussowska($D143,$D$2:$D$51,X$15)*EstymacjaGaussowska($A143,$A$2:$A$51,X$18)*EstymacjaGaussowska($B143,$B$2:$B$51,X$19)*VLOOKUP($E143,$W$29:$AA$32,2)/$R143</f>
        <v>0</v>
      </c>
      <c r="T143" s="3" cm="1">
        <f t="array" ref="T143">Y$8*EstymacjaGaussowska($C143,$C$52:$C$101,Y$14)*EstymacjaGaussowska($D143,$D$52:$D$101,Y$15)*EstymacjaGaussowska($A143,$A$52:$A$101,Y$18)*EstymacjaGaussowska($B143,$B$52:$B$101,Y$19)*VLOOKUP($E143,$W$29:$AA$32,3)/$R143</f>
        <v>1.3885426504143869E-8</v>
      </c>
      <c r="U143" s="42" cm="1">
        <f t="array" ref="U143">Z$8*EstymacjaGaussowska($C143,$C$102:$C$151,Z$14)*EstymacjaGaussowska($D143,$D$102:$D$151,Z$15)*EstymacjaGaussowska($A143,$A$102:$A$151,Z$18)*EstymacjaGaussowska($B143,$B$102:$B$151,Z$19)*VLOOKUP($E143,$W$29:$AA$32,4)/$R143</f>
        <v>0.99999998611457352</v>
      </c>
    </row>
    <row r="144" spans="1:21" x14ac:dyDescent="0.25">
      <c r="A144" s="9">
        <v>5.8</v>
      </c>
      <c r="B144" s="3">
        <v>2.7</v>
      </c>
      <c r="C144" s="3">
        <v>5.0999999999999996</v>
      </c>
      <c r="D144" s="8">
        <v>1.9</v>
      </c>
      <c r="E144" s="9" t="s">
        <v>12</v>
      </c>
      <c r="F144" s="50" t="s">
        <v>7</v>
      </c>
      <c r="G144" s="43" t="str">
        <f t="shared" si="12"/>
        <v>virginica</v>
      </c>
      <c r="H144" s="3" cm="1">
        <f t="array" ref="H144">X$8*EstymacjaGaussowska($C144,$C$2:$C$51,X$14)*EstymacjaGaussowska($D144,$D$2:$D$51,X$15)+Y$8*EstymacjaGaussowska($C144,$C$52:$C$101,Y$14)*EstymacjaGaussowska($D144,$D$52:$D$101,Y$15)+Z$8*EstymacjaGaussowska($C144,$C$102:$C$151,Z$14)*EstymacjaGaussowska($D144,$D$102:$D$151,Z$15)</f>
        <v>0.24915186853837593</v>
      </c>
      <c r="I144" s="3" cm="1">
        <f t="array" ref="I144">X$8*EstymacjaGaussowska($C144,$C$2:$C$51,X$14)*EstymacjaGaussowska($D144,$D$2:$D$51,X$15)/$H144</f>
        <v>0</v>
      </c>
      <c r="J144" s="3" cm="1">
        <f t="array" ref="J144">Y$8*EstymacjaGaussowska($C144,$C$52:$C$101,Y$14)*EstymacjaGaussowska($D144,$D$52:$D$101,Y$15)/$H144</f>
        <v>1.5982516439517612E-2</v>
      </c>
      <c r="K144" s="42" cm="1">
        <f t="array" ref="K144">Z$8*EstymacjaGaussowska($C144,$C$102:$C$151,Z$14)*EstymacjaGaussowska($D144,$D$102:$D$151,Z$15)/$H144</f>
        <v>0.98401748356048235</v>
      </c>
      <c r="L144" s="43" t="str">
        <f t="shared" si="13"/>
        <v>virginica</v>
      </c>
      <c r="M144" s="3" cm="1">
        <f t="array" ref="M144">X$8*EstymacjaGaussowska($C144,$C$2:$C$51,X$14)*EstymacjaGaussowska($D144,$D$2:$D$51,X$15)*VLOOKUP($E144,$W$29:$AA$32,2)+Y$8*EstymacjaGaussowska($C144,$C$52:$C$101,Y$14)*EstymacjaGaussowska($D144,$D$52:$D$101,Y$15)*VLOOKUP($E144,$W$29:$AA$32,3)+Z$8*EstymacjaGaussowska($C144,$C$102:$C$151,Z$14)*EstymacjaGaussowska($D144,$D$102:$D$151,Z$15)*VLOOKUP($E144,$W$29:$AA$32,4)</f>
        <v>9.467771004458285E-2</v>
      </c>
      <c r="N144" s="3" cm="1">
        <f t="array" ref="N144">X$8*EstymacjaGaussowska($C144,$C$2:$C$51,X$14)*EstymacjaGaussowska($D144,$D$2:$D$51,X$15)*VLOOKUP($E144,$W$29:$AA$32,2)/$M144</f>
        <v>0</v>
      </c>
      <c r="O144" s="3" cm="1">
        <f t="array" ref="O144">Y$8*EstymacjaGaussowska($C144,$C$52:$C$101,Y$14)*EstymacjaGaussowska($D144,$D$52:$D$101,Y$15)*VLOOKUP($E144,$W$29:$AA$32,3)/$M144</f>
        <v>1.5982516439517612E-2</v>
      </c>
      <c r="P144" s="42" cm="1">
        <f t="array" ref="P144">Z$8*EstymacjaGaussowska($C144,$C$102:$C$151,Z$14)*EstymacjaGaussowska($D144,$D$102:$D$151,Z$15)*VLOOKUP($E144,$W$29:$AA$32,4)/$M144</f>
        <v>0.98401748356048235</v>
      </c>
      <c r="Q144" s="43" t="str">
        <f t="shared" si="14"/>
        <v>virginica</v>
      </c>
      <c r="R144" s="3" cm="1">
        <f t="array" ref="R144">X$8*EstymacjaGaussowska($C144,$C$2:$C$51,X$14)*EstymacjaGaussowska($D144,$D$2:$D$51,X$15)*EstymacjaGaussowska($A144,$A$2:$A$51,X$18)*EstymacjaGaussowska($B144,$B$2:$B$51,X$19)*VLOOKUP($E144,$W$29:$AA$32,2)+Y$8*EstymacjaGaussowska($C144,$C$52:$C$101,Y$14)*EstymacjaGaussowska($D144,$D$52:$D$101,Y$15)*EstymacjaGaussowska($A144,$A$52:$A$101,Y$18)*EstymacjaGaussowska($B144,$B$52:$B$101,Y$19)*VLOOKUP($E144,$W$29:$AA$32,3)+Z$8*EstymacjaGaussowska($C144,$C$102:$C$151,Z$14)*EstymacjaGaussowska($D144,$D$102:$D$151,Z$15)*EstymacjaGaussowska($A144,$A$102:$A$151,Z$18)*EstymacjaGaussowska($B144,$B$102:$B$151,Z$19)*VLOOKUP($E144,$W$29:$AA$32,4)</f>
        <v>2.6396826761183875E-2</v>
      </c>
      <c r="S144" s="3" cm="1">
        <f t="array" ref="S144">X$8*EstymacjaGaussowska($C144,$C$2:$C$51,X$14)*EstymacjaGaussowska($D144,$D$2:$D$51,X$15)*EstymacjaGaussowska($A144,$A$2:$A$51,X$18)*EstymacjaGaussowska($B144,$B$2:$B$51,X$19)*VLOOKUP($E144,$W$29:$AA$32,2)/$R144</f>
        <v>0</v>
      </c>
      <c r="T144" s="3" cm="1">
        <f t="array" ref="T144">Y$8*EstymacjaGaussowska($C144,$C$52:$C$101,Y$14)*EstymacjaGaussowska($D144,$D$52:$D$101,Y$15)*EstymacjaGaussowska($A144,$A$52:$A$101,Y$18)*EstymacjaGaussowska($B144,$B$52:$B$101,Y$19)*VLOOKUP($E144,$W$29:$AA$32,3)/$R144</f>
        <v>3.9153783155393182E-2</v>
      </c>
      <c r="U144" s="42" cm="1">
        <f t="array" ref="U144">Z$8*EstymacjaGaussowska($C144,$C$102:$C$151,Z$14)*EstymacjaGaussowska($D144,$D$102:$D$151,Z$15)*EstymacjaGaussowska($A144,$A$102:$A$151,Z$18)*EstymacjaGaussowska($B144,$B$102:$B$151,Z$19)*VLOOKUP($E144,$W$29:$AA$32,4)/$R144</f>
        <v>0.9608462168446068</v>
      </c>
    </row>
    <row r="145" spans="1:21" x14ac:dyDescent="0.25">
      <c r="A145" s="9">
        <v>6.8</v>
      </c>
      <c r="B145" s="3">
        <v>3.2</v>
      </c>
      <c r="C145" s="3">
        <v>5.9</v>
      </c>
      <c r="D145" s="8">
        <v>2.2999999999999998</v>
      </c>
      <c r="E145" s="9" t="s">
        <v>12</v>
      </c>
      <c r="F145" s="50" t="s">
        <v>7</v>
      </c>
      <c r="G145" s="43" t="str">
        <f t="shared" si="12"/>
        <v>virginica</v>
      </c>
      <c r="H145" s="3" cm="1">
        <f t="array" ref="H145">X$8*EstymacjaGaussowska($C145,$C$2:$C$51,X$14)*EstymacjaGaussowska($D145,$D$2:$D$51,X$15)+Y$8*EstymacjaGaussowska($C145,$C$52:$C$101,Y$14)*EstymacjaGaussowska($D145,$D$52:$D$101,Y$15)+Z$8*EstymacjaGaussowska($C145,$C$102:$C$151,Z$14)*EstymacjaGaussowska($D145,$D$102:$D$151,Z$15)</f>
        <v>0.15807367003424244</v>
      </c>
      <c r="I145" s="3" cm="1">
        <f t="array" ref="I145">X$8*EstymacjaGaussowska($C145,$C$2:$C$51,X$14)*EstymacjaGaussowska($D145,$D$2:$D$51,X$15)/$H145</f>
        <v>0</v>
      </c>
      <c r="J145" s="3" cm="1">
        <f t="array" ref="J145">Y$8*EstymacjaGaussowska($C145,$C$52:$C$101,Y$14)*EstymacjaGaussowska($D145,$D$52:$D$101,Y$15)/$H145</f>
        <v>2.0251881447461573E-11</v>
      </c>
      <c r="K145" s="42" cm="1">
        <f t="array" ref="K145">Z$8*EstymacjaGaussowska($C145,$C$102:$C$151,Z$14)*EstymacjaGaussowska($D145,$D$102:$D$151,Z$15)/$H145</f>
        <v>0.99999999997974809</v>
      </c>
      <c r="L145" s="43" t="str">
        <f t="shared" si="13"/>
        <v>virginica</v>
      </c>
      <c r="M145" s="3" cm="1">
        <f t="array" ref="M145">X$8*EstymacjaGaussowska($C145,$C$2:$C$51,X$14)*EstymacjaGaussowska($D145,$D$2:$D$51,X$15)*VLOOKUP($E145,$W$29:$AA$32,2)+Y$8*EstymacjaGaussowska($C145,$C$52:$C$101,Y$14)*EstymacjaGaussowska($D145,$D$52:$D$101,Y$15)*VLOOKUP($E145,$W$29:$AA$32,3)+Z$8*EstymacjaGaussowska($C145,$C$102:$C$151,Z$14)*EstymacjaGaussowska($D145,$D$102:$D$151,Z$15)*VLOOKUP($E145,$W$29:$AA$32,4)</f>
        <v>6.0067994613012127E-2</v>
      </c>
      <c r="N145" s="3" cm="1">
        <f t="array" ref="N145">X$8*EstymacjaGaussowska($C145,$C$2:$C$51,X$14)*EstymacjaGaussowska($D145,$D$2:$D$51,X$15)*VLOOKUP($E145,$W$29:$AA$32,2)/$M145</f>
        <v>0</v>
      </c>
      <c r="O145" s="3" cm="1">
        <f t="array" ref="O145">Y$8*EstymacjaGaussowska($C145,$C$52:$C$101,Y$14)*EstymacjaGaussowska($D145,$D$52:$D$101,Y$15)*VLOOKUP($E145,$W$29:$AA$32,3)/$M145</f>
        <v>2.0251881447461573E-11</v>
      </c>
      <c r="P145" s="42" cm="1">
        <f t="array" ref="P145">Z$8*EstymacjaGaussowska($C145,$C$102:$C$151,Z$14)*EstymacjaGaussowska($D145,$D$102:$D$151,Z$15)*VLOOKUP($E145,$W$29:$AA$32,4)/$M145</f>
        <v>0.99999999997974809</v>
      </c>
      <c r="Q145" s="43" t="str">
        <f t="shared" si="14"/>
        <v>virginica</v>
      </c>
      <c r="R145" s="3" cm="1">
        <f t="array" ref="R145">X$8*EstymacjaGaussowska($C145,$C$2:$C$51,X$14)*EstymacjaGaussowska($D145,$D$2:$D$51,X$15)*EstymacjaGaussowska($A145,$A$2:$A$51,X$18)*EstymacjaGaussowska($B145,$B$2:$B$51,X$19)*VLOOKUP($E145,$W$29:$AA$32,2)+Y$8*EstymacjaGaussowska($C145,$C$52:$C$101,Y$14)*EstymacjaGaussowska($D145,$D$52:$D$101,Y$15)*EstymacjaGaussowska($A145,$A$52:$A$101,Y$18)*EstymacjaGaussowska($B145,$B$52:$B$101,Y$19)*VLOOKUP($E145,$W$29:$AA$32,3)+Z$8*EstymacjaGaussowska($C145,$C$102:$C$151,Z$14)*EstymacjaGaussowska($D145,$D$102:$D$151,Z$15)*EstymacjaGaussowska($A145,$A$102:$A$151,Z$18)*EstymacjaGaussowska($B145,$B$102:$B$151,Z$19)*VLOOKUP($E145,$W$29:$AA$32,4)</f>
        <v>2.6241640631618494E-2</v>
      </c>
      <c r="S145" s="3" cm="1">
        <f t="array" ref="S145">X$8*EstymacjaGaussowska($C145,$C$2:$C$51,X$14)*EstymacjaGaussowska($D145,$D$2:$D$51,X$15)*EstymacjaGaussowska($A145,$A$2:$A$51,X$18)*EstymacjaGaussowska($B145,$B$2:$B$51,X$19)*VLOOKUP($E145,$W$29:$AA$32,2)/$R145</f>
        <v>0</v>
      </c>
      <c r="T145" s="3" cm="1">
        <f t="array" ref="T145">Y$8*EstymacjaGaussowska($C145,$C$52:$C$101,Y$14)*EstymacjaGaussowska($D145,$D$52:$D$101,Y$15)*EstymacjaGaussowska($A145,$A$52:$A$101,Y$18)*EstymacjaGaussowska($B145,$B$52:$B$101,Y$19)*VLOOKUP($E145,$W$29:$AA$32,3)/$R145</f>
        <v>7.4405623914373596E-12</v>
      </c>
      <c r="U145" s="42" cm="1">
        <f t="array" ref="U145">Z$8*EstymacjaGaussowska($C145,$C$102:$C$151,Z$14)*EstymacjaGaussowska($D145,$D$102:$D$151,Z$15)*EstymacjaGaussowska($A145,$A$102:$A$151,Z$18)*EstymacjaGaussowska($B145,$B$102:$B$151,Z$19)*VLOOKUP($E145,$W$29:$AA$32,4)/$R145</f>
        <v>0.9999999999925594</v>
      </c>
    </row>
    <row r="146" spans="1:21" x14ac:dyDescent="0.25">
      <c r="A146" s="9">
        <v>6.7</v>
      </c>
      <c r="B146" s="3">
        <v>3.3</v>
      </c>
      <c r="C146" s="3">
        <v>5.7</v>
      </c>
      <c r="D146" s="8">
        <v>2.5</v>
      </c>
      <c r="E146" s="9" t="s">
        <v>12</v>
      </c>
      <c r="F146" s="50" t="s">
        <v>7</v>
      </c>
      <c r="G146" s="43" t="str">
        <f t="shared" si="12"/>
        <v>virginica</v>
      </c>
      <c r="H146" s="3" cm="1">
        <f t="array" ref="H146">X$8*EstymacjaGaussowska($C146,$C$2:$C$51,X$14)*EstymacjaGaussowska($D146,$D$2:$D$51,X$15)+Y$8*EstymacjaGaussowska($C146,$C$52:$C$101,Y$14)*EstymacjaGaussowska($D146,$D$52:$D$101,Y$15)+Z$8*EstymacjaGaussowska($C146,$C$102:$C$151,Z$14)*EstymacjaGaussowska($D146,$D$102:$D$151,Z$15)</f>
        <v>9.7781606968221302E-2</v>
      </c>
      <c r="I146" s="3" cm="1">
        <f t="array" ref="I146">X$8*EstymacjaGaussowska($C146,$C$2:$C$51,X$14)*EstymacjaGaussowska($D146,$D$2:$D$51,X$15)/$H146</f>
        <v>0</v>
      </c>
      <c r="J146" s="3" cm="1">
        <f t="array" ref="J146">Y$8*EstymacjaGaussowska($C146,$C$52:$C$101,Y$14)*EstymacjaGaussowska($D146,$D$52:$D$101,Y$15)/$H146</f>
        <v>1.1894414597932762E-15</v>
      </c>
      <c r="K146" s="42" cm="1">
        <f t="array" ref="K146">Z$8*EstymacjaGaussowska($C146,$C$102:$C$151,Z$14)*EstymacjaGaussowska($D146,$D$102:$D$151,Z$15)/$H146</f>
        <v>0.99999999999999889</v>
      </c>
      <c r="L146" s="43" t="str">
        <f t="shared" si="13"/>
        <v>virginica</v>
      </c>
      <c r="M146" s="3" cm="1">
        <f t="array" ref="M146">X$8*EstymacjaGaussowska($C146,$C$2:$C$51,X$14)*EstymacjaGaussowska($D146,$D$2:$D$51,X$15)*VLOOKUP($E146,$W$29:$AA$32,2)+Y$8*EstymacjaGaussowska($C146,$C$52:$C$101,Y$14)*EstymacjaGaussowska($D146,$D$52:$D$101,Y$15)*VLOOKUP($E146,$W$29:$AA$32,3)+Z$8*EstymacjaGaussowska($C146,$C$102:$C$151,Z$14)*EstymacjaGaussowska($D146,$D$102:$D$151,Z$15)*VLOOKUP($E146,$W$29:$AA$32,4)</f>
        <v>3.7157010647924094E-2</v>
      </c>
      <c r="N146" s="3" cm="1">
        <f t="array" ref="N146">X$8*EstymacjaGaussowska($C146,$C$2:$C$51,X$14)*EstymacjaGaussowska($D146,$D$2:$D$51,X$15)*VLOOKUP($E146,$W$29:$AA$32,2)/$M146</f>
        <v>0</v>
      </c>
      <c r="O146" s="3" cm="1">
        <f t="array" ref="O146">Y$8*EstymacjaGaussowska($C146,$C$52:$C$101,Y$14)*EstymacjaGaussowska($D146,$D$52:$D$101,Y$15)*VLOOKUP($E146,$W$29:$AA$32,3)/$M146</f>
        <v>1.1894414597932762E-15</v>
      </c>
      <c r="P146" s="42" cm="1">
        <f t="array" ref="P146">Z$8*EstymacjaGaussowska($C146,$C$102:$C$151,Z$14)*EstymacjaGaussowska($D146,$D$102:$D$151,Z$15)*VLOOKUP($E146,$W$29:$AA$32,4)/$M146</f>
        <v>0.99999999999999889</v>
      </c>
      <c r="Q146" s="43" t="str">
        <f t="shared" si="14"/>
        <v>virginica</v>
      </c>
      <c r="R146" s="3" cm="1">
        <f t="array" ref="R146">X$8*EstymacjaGaussowska($C146,$C$2:$C$51,X$14)*EstymacjaGaussowska($D146,$D$2:$D$51,X$15)*EstymacjaGaussowska($A146,$A$2:$A$51,X$18)*EstymacjaGaussowska($B146,$B$2:$B$51,X$19)*VLOOKUP($E146,$W$29:$AA$32,2)+Y$8*EstymacjaGaussowska($C146,$C$52:$C$101,Y$14)*EstymacjaGaussowska($D146,$D$52:$D$101,Y$15)*EstymacjaGaussowska($A146,$A$52:$A$101,Y$18)*EstymacjaGaussowska($B146,$B$52:$B$101,Y$19)*VLOOKUP($E146,$W$29:$AA$32,3)+Z$8*EstymacjaGaussowska($C146,$C$102:$C$151,Z$14)*EstymacjaGaussowska($D146,$D$102:$D$151,Z$15)*EstymacjaGaussowska($A146,$A$102:$A$151,Z$18)*EstymacjaGaussowska($B146,$B$102:$B$151,Z$19)*VLOOKUP($E146,$W$29:$AA$32,4)</f>
        <v>1.2960139017112602E-2</v>
      </c>
      <c r="S146" s="3" cm="1">
        <f t="array" ref="S146">X$8*EstymacjaGaussowska($C146,$C$2:$C$51,X$14)*EstymacjaGaussowska($D146,$D$2:$D$51,X$15)*EstymacjaGaussowska($A146,$A$2:$A$51,X$18)*EstymacjaGaussowska($B146,$B$2:$B$51,X$19)*VLOOKUP($E146,$W$29:$AA$32,2)/$R146</f>
        <v>0</v>
      </c>
      <c r="T146" s="3" cm="1">
        <f t="array" ref="T146">Y$8*EstymacjaGaussowska($C146,$C$52:$C$101,Y$14)*EstymacjaGaussowska($D146,$D$52:$D$101,Y$15)*EstymacjaGaussowska($A146,$A$52:$A$101,Y$18)*EstymacjaGaussowska($B146,$B$52:$B$101,Y$19)*VLOOKUP($E146,$W$29:$AA$32,3)/$R146</f>
        <v>3.970405148629893E-16</v>
      </c>
      <c r="U146" s="42" cm="1">
        <f t="array" ref="U146">Z$8*EstymacjaGaussowska($C146,$C$102:$C$151,Z$14)*EstymacjaGaussowska($D146,$D$102:$D$151,Z$15)*EstymacjaGaussowska($A146,$A$102:$A$151,Z$18)*EstymacjaGaussowska($B146,$B$102:$B$151,Z$19)*VLOOKUP($E146,$W$29:$AA$32,4)/$R146</f>
        <v>0.99999999999999956</v>
      </c>
    </row>
    <row r="147" spans="1:21" x14ac:dyDescent="0.25">
      <c r="A147" s="9">
        <v>6.7</v>
      </c>
      <c r="B147" s="3">
        <v>3</v>
      </c>
      <c r="C147" s="3">
        <v>5.2</v>
      </c>
      <c r="D147" s="8">
        <v>2.2999999999999998</v>
      </c>
      <c r="E147" s="9" t="s">
        <v>12</v>
      </c>
      <c r="F147" s="50" t="s">
        <v>7</v>
      </c>
      <c r="G147" s="43" t="str">
        <f t="shared" si="12"/>
        <v>virginica</v>
      </c>
      <c r="H147" s="3" cm="1">
        <f t="array" ref="H147">X$8*EstymacjaGaussowska($C147,$C$2:$C$51,X$14)*EstymacjaGaussowska($D147,$D$2:$D$51,X$15)+Y$8*EstymacjaGaussowska($C147,$C$52:$C$101,Y$14)*EstymacjaGaussowska($D147,$D$52:$D$101,Y$15)+Z$8*EstymacjaGaussowska($C147,$C$102:$C$151,Z$14)*EstymacjaGaussowska($D147,$D$102:$D$151,Z$15)</f>
        <v>0.19880055430239552</v>
      </c>
      <c r="I147" s="3" cm="1">
        <f t="array" ref="I147">X$8*EstymacjaGaussowska($C147,$C$2:$C$51,X$14)*EstymacjaGaussowska($D147,$D$2:$D$51,X$15)/$H147</f>
        <v>0</v>
      </c>
      <c r="J147" s="3" cm="1">
        <f t="array" ref="J147">Y$8*EstymacjaGaussowska($C147,$C$52:$C$101,Y$14)*EstymacjaGaussowska($D147,$D$52:$D$101,Y$15)/$H147</f>
        <v>2.1035124115594685E-8</v>
      </c>
      <c r="K147" s="42" cm="1">
        <f t="array" ref="K147">Z$8*EstymacjaGaussowska($C147,$C$102:$C$151,Z$14)*EstymacjaGaussowska($D147,$D$102:$D$151,Z$15)/$H147</f>
        <v>0.99999997896487591</v>
      </c>
      <c r="L147" s="43" t="str">
        <f t="shared" si="13"/>
        <v>virginica</v>
      </c>
      <c r="M147" s="3" cm="1">
        <f t="array" ref="M147">X$8*EstymacjaGaussowska($C147,$C$2:$C$51,X$14)*EstymacjaGaussowska($D147,$D$2:$D$51,X$15)*VLOOKUP($E147,$W$29:$AA$32,2)+Y$8*EstymacjaGaussowska($C147,$C$52:$C$101,Y$14)*EstymacjaGaussowska($D147,$D$52:$D$101,Y$15)*VLOOKUP($E147,$W$29:$AA$32,3)+Z$8*EstymacjaGaussowska($C147,$C$102:$C$151,Z$14)*EstymacjaGaussowska($D147,$D$102:$D$151,Z$15)*VLOOKUP($E147,$W$29:$AA$32,4)</f>
        <v>7.5544210634910305E-2</v>
      </c>
      <c r="N147" s="3" cm="1">
        <f t="array" ref="N147">X$8*EstymacjaGaussowska($C147,$C$2:$C$51,X$14)*EstymacjaGaussowska($D147,$D$2:$D$51,X$15)*VLOOKUP($E147,$W$29:$AA$32,2)/$M147</f>
        <v>0</v>
      </c>
      <c r="O147" s="3" cm="1">
        <f t="array" ref="O147">Y$8*EstymacjaGaussowska($C147,$C$52:$C$101,Y$14)*EstymacjaGaussowska($D147,$D$52:$D$101,Y$15)*VLOOKUP($E147,$W$29:$AA$32,3)/$M147</f>
        <v>2.1035124115594682E-8</v>
      </c>
      <c r="P147" s="42" cm="1">
        <f t="array" ref="P147">Z$8*EstymacjaGaussowska($C147,$C$102:$C$151,Z$14)*EstymacjaGaussowska($D147,$D$102:$D$151,Z$15)*VLOOKUP($E147,$W$29:$AA$32,4)/$M147</f>
        <v>0.9999999789648758</v>
      </c>
      <c r="Q147" s="43" t="str">
        <f t="shared" si="14"/>
        <v>virginica</v>
      </c>
      <c r="R147" s="3" cm="1">
        <f t="array" ref="R147">X$8*EstymacjaGaussowska($C147,$C$2:$C$51,X$14)*EstymacjaGaussowska($D147,$D$2:$D$51,X$15)*EstymacjaGaussowska($A147,$A$2:$A$51,X$18)*EstymacjaGaussowska($B147,$B$2:$B$51,X$19)*VLOOKUP($E147,$W$29:$AA$32,2)+Y$8*EstymacjaGaussowska($C147,$C$52:$C$101,Y$14)*EstymacjaGaussowska($D147,$D$52:$D$101,Y$15)*EstymacjaGaussowska($A147,$A$52:$A$101,Y$18)*EstymacjaGaussowska($B147,$B$52:$B$101,Y$19)*VLOOKUP($E147,$W$29:$AA$32,3)+Z$8*EstymacjaGaussowska($C147,$C$102:$C$151,Z$14)*EstymacjaGaussowska($D147,$D$102:$D$151,Z$15)*EstymacjaGaussowska($A147,$A$102:$A$151,Z$18)*EstymacjaGaussowska($B147,$B$102:$B$151,Z$19)*VLOOKUP($E147,$W$29:$AA$32,4)</f>
        <v>4.972836809054626E-2</v>
      </c>
      <c r="S147" s="3" cm="1">
        <f t="array" ref="S147">X$8*EstymacjaGaussowska($C147,$C$2:$C$51,X$14)*EstymacjaGaussowska($D147,$D$2:$D$51,X$15)*EstymacjaGaussowska($A147,$A$2:$A$51,X$18)*EstymacjaGaussowska($B147,$B$2:$B$51,X$19)*VLOOKUP($E147,$W$29:$AA$32,2)/$R147</f>
        <v>0</v>
      </c>
      <c r="T147" s="3" cm="1">
        <f t="array" ref="T147">Y$8*EstymacjaGaussowska($C147,$C$52:$C$101,Y$14)*EstymacjaGaussowska($D147,$D$52:$D$101,Y$15)*EstymacjaGaussowska($A147,$A$52:$A$101,Y$18)*EstymacjaGaussowska($B147,$B$52:$B$101,Y$19)*VLOOKUP($E147,$W$29:$AA$32,3)/$R147</f>
        <v>1.1275442820444843E-8</v>
      </c>
      <c r="U147" s="42" cm="1">
        <f t="array" ref="U147">Z$8*EstymacjaGaussowska($C147,$C$102:$C$151,Z$14)*EstymacjaGaussowska($D147,$D$102:$D$151,Z$15)*EstymacjaGaussowska($A147,$A$102:$A$151,Z$18)*EstymacjaGaussowska($B147,$B$102:$B$151,Z$19)*VLOOKUP($E147,$W$29:$AA$32,4)/$R147</f>
        <v>0.9999999887245572</v>
      </c>
    </row>
    <row r="148" spans="1:21" x14ac:dyDescent="0.25">
      <c r="A148" s="9">
        <v>6.3</v>
      </c>
      <c r="B148" s="3">
        <v>2.5</v>
      </c>
      <c r="C148" s="3">
        <v>5</v>
      </c>
      <c r="D148" s="8">
        <v>1.9</v>
      </c>
      <c r="E148" s="9" t="s">
        <v>12</v>
      </c>
      <c r="F148" s="50" t="s">
        <v>7</v>
      </c>
      <c r="G148" s="43" t="str">
        <f t="shared" si="12"/>
        <v>virginica</v>
      </c>
      <c r="H148" s="3" cm="1">
        <f t="array" ref="H148">X$8*EstymacjaGaussowska($C148,$C$2:$C$51,X$14)*EstymacjaGaussowska($D148,$D$2:$D$51,X$15)+Y$8*EstymacjaGaussowska($C148,$C$52:$C$101,Y$14)*EstymacjaGaussowska($D148,$D$52:$D$101,Y$15)+Z$8*EstymacjaGaussowska($C148,$C$102:$C$151,Z$14)*EstymacjaGaussowska($D148,$D$102:$D$151,Z$15)</f>
        <v>0.2308481614458085</v>
      </c>
      <c r="I148" s="3" cm="1">
        <f t="array" ref="I148">X$8*EstymacjaGaussowska($C148,$C$2:$C$51,X$14)*EstymacjaGaussowska($D148,$D$2:$D$51,X$15)/$H148</f>
        <v>0</v>
      </c>
      <c r="J148" s="3" cm="1">
        <f t="array" ref="J148">Y$8*EstymacjaGaussowska($C148,$C$52:$C$101,Y$14)*EstymacjaGaussowska($D148,$D$52:$D$101,Y$15)/$H148</f>
        <v>2.6016244926691318E-2</v>
      </c>
      <c r="K148" s="42" cm="1">
        <f t="array" ref="K148">Z$8*EstymacjaGaussowska($C148,$C$102:$C$151,Z$14)*EstymacjaGaussowska($D148,$D$102:$D$151,Z$15)/$H148</f>
        <v>0.9739837550733087</v>
      </c>
      <c r="L148" s="43" t="str">
        <f t="shared" si="13"/>
        <v>virginica</v>
      </c>
      <c r="M148" s="3" cm="1">
        <f t="array" ref="M148">X$8*EstymacjaGaussowska($C148,$C$2:$C$51,X$14)*EstymacjaGaussowska($D148,$D$2:$D$51,X$15)*VLOOKUP($E148,$W$29:$AA$32,2)+Y$8*EstymacjaGaussowska($C148,$C$52:$C$101,Y$14)*EstymacjaGaussowska($D148,$D$52:$D$101,Y$15)*VLOOKUP($E148,$W$29:$AA$32,3)+Z$8*EstymacjaGaussowska($C148,$C$102:$C$151,Z$14)*EstymacjaGaussowska($D148,$D$102:$D$151,Z$15)*VLOOKUP($E148,$W$29:$AA$32,4)</f>
        <v>8.7722301349407228E-2</v>
      </c>
      <c r="N148" s="3" cm="1">
        <f t="array" ref="N148">X$8*EstymacjaGaussowska($C148,$C$2:$C$51,X$14)*EstymacjaGaussowska($D148,$D$2:$D$51,X$15)*VLOOKUP($E148,$W$29:$AA$32,2)/$M148</f>
        <v>0</v>
      </c>
      <c r="O148" s="3" cm="1">
        <f t="array" ref="O148">Y$8*EstymacjaGaussowska($C148,$C$52:$C$101,Y$14)*EstymacjaGaussowska($D148,$D$52:$D$101,Y$15)*VLOOKUP($E148,$W$29:$AA$32,3)/$M148</f>
        <v>2.6016244926691318E-2</v>
      </c>
      <c r="P148" s="42" cm="1">
        <f t="array" ref="P148">Z$8*EstymacjaGaussowska($C148,$C$102:$C$151,Z$14)*EstymacjaGaussowska($D148,$D$102:$D$151,Z$15)*VLOOKUP($E148,$W$29:$AA$32,4)/$M148</f>
        <v>0.9739837550733087</v>
      </c>
      <c r="Q148" s="43" t="str">
        <f t="shared" si="14"/>
        <v>virginica</v>
      </c>
      <c r="R148" s="3" cm="1">
        <f t="array" ref="R148">X$8*EstymacjaGaussowska($C148,$C$2:$C$51,X$14)*EstymacjaGaussowska($D148,$D$2:$D$51,X$15)*EstymacjaGaussowska($A148,$A$2:$A$51,X$18)*EstymacjaGaussowska($B148,$B$2:$B$51,X$19)*VLOOKUP($E148,$W$29:$AA$32,2)+Y$8*EstymacjaGaussowska($C148,$C$52:$C$101,Y$14)*EstymacjaGaussowska($D148,$D$52:$D$101,Y$15)*EstymacjaGaussowska($A148,$A$52:$A$101,Y$18)*EstymacjaGaussowska($B148,$B$52:$B$101,Y$19)*VLOOKUP($E148,$W$29:$AA$32,3)+Z$8*EstymacjaGaussowska($C148,$C$102:$C$151,Z$14)*EstymacjaGaussowska($D148,$D$102:$D$151,Z$15)*EstymacjaGaussowska($A148,$A$102:$A$151,Z$18)*EstymacjaGaussowska($B148,$B$102:$B$151,Z$19)*VLOOKUP($E148,$W$29:$AA$32,4)</f>
        <v>2.4550616982594746E-2</v>
      </c>
      <c r="S148" s="3" cm="1">
        <f t="array" ref="S148">X$8*EstymacjaGaussowska($C148,$C$2:$C$51,X$14)*EstymacjaGaussowska($D148,$D$2:$D$51,X$15)*EstymacjaGaussowska($A148,$A$2:$A$51,X$18)*EstymacjaGaussowska($B148,$B$2:$B$51,X$19)*VLOOKUP($E148,$W$29:$AA$32,2)/$R148</f>
        <v>0</v>
      </c>
      <c r="T148" s="3" cm="1">
        <f t="array" ref="T148">Y$8*EstymacjaGaussowska($C148,$C$52:$C$101,Y$14)*EstymacjaGaussowska($D148,$D$52:$D$101,Y$15)*EstymacjaGaussowska($A148,$A$52:$A$101,Y$18)*EstymacjaGaussowska($B148,$B$52:$B$101,Y$19)*VLOOKUP($E148,$W$29:$AA$32,3)/$R148</f>
        <v>3.3176532221169779E-2</v>
      </c>
      <c r="U148" s="42" cm="1">
        <f t="array" ref="U148">Z$8*EstymacjaGaussowska($C148,$C$102:$C$151,Z$14)*EstymacjaGaussowska($D148,$D$102:$D$151,Z$15)*EstymacjaGaussowska($A148,$A$102:$A$151,Z$18)*EstymacjaGaussowska($B148,$B$102:$B$151,Z$19)*VLOOKUP($E148,$W$29:$AA$32,4)/$R148</f>
        <v>0.96682346777883021</v>
      </c>
    </row>
    <row r="149" spans="1:21" x14ac:dyDescent="0.25">
      <c r="A149" s="9">
        <v>6.5</v>
      </c>
      <c r="B149" s="3">
        <v>3</v>
      </c>
      <c r="C149" s="3">
        <v>5.2</v>
      </c>
      <c r="D149" s="8">
        <v>2</v>
      </c>
      <c r="E149" s="9" t="s">
        <v>12</v>
      </c>
      <c r="F149" s="50" t="s">
        <v>7</v>
      </c>
      <c r="G149" s="43" t="str">
        <f t="shared" si="12"/>
        <v>virginica</v>
      </c>
      <c r="H149" s="3" cm="1">
        <f t="array" ref="H149">X$8*EstymacjaGaussowska($C149,$C$2:$C$51,X$14)*EstymacjaGaussowska($D149,$D$2:$D$51,X$15)+Y$8*EstymacjaGaussowska($C149,$C$52:$C$101,Y$14)*EstymacjaGaussowska($D149,$D$52:$D$101,Y$15)+Z$8*EstymacjaGaussowska($C149,$C$102:$C$151,Z$14)*EstymacjaGaussowska($D149,$D$102:$D$151,Z$15)</f>
        <v>0.2441282132965498</v>
      </c>
      <c r="I149" s="3" cm="1">
        <f t="array" ref="I149">X$8*EstymacjaGaussowska($C149,$C$2:$C$51,X$14)*EstymacjaGaussowska($D149,$D$2:$D$51,X$15)/$H149</f>
        <v>0</v>
      </c>
      <c r="J149" s="3" cm="1">
        <f t="array" ref="J149">Y$8*EstymacjaGaussowska($C149,$C$52:$C$101,Y$14)*EstymacjaGaussowska($D149,$D$52:$D$101,Y$15)/$H149</f>
        <v>1.6777123592350109E-3</v>
      </c>
      <c r="K149" s="42" cm="1">
        <f t="array" ref="K149">Z$8*EstymacjaGaussowska($C149,$C$102:$C$151,Z$14)*EstymacjaGaussowska($D149,$D$102:$D$151,Z$15)/$H149</f>
        <v>0.99832228764076503</v>
      </c>
      <c r="L149" s="43" t="str">
        <f t="shared" si="13"/>
        <v>virginica</v>
      </c>
      <c r="M149" s="3" cm="1">
        <f t="array" ref="M149">X$8*EstymacjaGaussowska($C149,$C$2:$C$51,X$14)*EstymacjaGaussowska($D149,$D$2:$D$51,X$15)*VLOOKUP($E149,$W$29:$AA$32,2)+Y$8*EstymacjaGaussowska($C149,$C$52:$C$101,Y$14)*EstymacjaGaussowska($D149,$D$52:$D$101,Y$15)*VLOOKUP($E149,$W$29:$AA$32,3)+Z$8*EstymacjaGaussowska($C149,$C$102:$C$151,Z$14)*EstymacjaGaussowska($D149,$D$102:$D$151,Z$15)*VLOOKUP($E149,$W$29:$AA$32,4)</f>
        <v>9.2768721052688921E-2</v>
      </c>
      <c r="N149" s="3" cm="1">
        <f t="array" ref="N149">X$8*EstymacjaGaussowska($C149,$C$2:$C$51,X$14)*EstymacjaGaussowska($D149,$D$2:$D$51,X$15)*VLOOKUP($E149,$W$29:$AA$32,2)/$M149</f>
        <v>0</v>
      </c>
      <c r="O149" s="3" cm="1">
        <f t="array" ref="O149">Y$8*EstymacjaGaussowska($C149,$C$52:$C$101,Y$14)*EstymacjaGaussowska($D149,$D$52:$D$101,Y$15)*VLOOKUP($E149,$W$29:$AA$32,3)/$M149</f>
        <v>1.6777123592350109E-3</v>
      </c>
      <c r="P149" s="42" cm="1">
        <f t="array" ref="P149">Z$8*EstymacjaGaussowska($C149,$C$102:$C$151,Z$14)*EstymacjaGaussowska($D149,$D$102:$D$151,Z$15)*VLOOKUP($E149,$W$29:$AA$32,4)/$M149</f>
        <v>0.99832228764076503</v>
      </c>
      <c r="Q149" s="43" t="str">
        <f t="shared" si="14"/>
        <v>virginica</v>
      </c>
      <c r="R149" s="3" cm="1">
        <f t="array" ref="R149">X$8*EstymacjaGaussowska($C149,$C$2:$C$51,X$14)*EstymacjaGaussowska($D149,$D$2:$D$51,X$15)*EstymacjaGaussowska($A149,$A$2:$A$51,X$18)*EstymacjaGaussowska($B149,$B$2:$B$51,X$19)*VLOOKUP($E149,$W$29:$AA$32,2)+Y$8*EstymacjaGaussowska($C149,$C$52:$C$101,Y$14)*EstymacjaGaussowska($D149,$D$52:$D$101,Y$15)*EstymacjaGaussowska($A149,$A$52:$A$101,Y$18)*EstymacjaGaussowska($B149,$B$52:$B$101,Y$19)*VLOOKUP($E149,$W$29:$AA$32,3)+Z$8*EstymacjaGaussowska($C149,$C$102:$C$151,Z$14)*EstymacjaGaussowska($D149,$D$102:$D$151,Z$15)*EstymacjaGaussowska($A149,$A$102:$A$151,Z$18)*EstymacjaGaussowska($B149,$B$102:$B$151,Z$19)*VLOOKUP($E149,$W$29:$AA$32,4)</f>
        <v>6.939175612919736E-2</v>
      </c>
      <c r="S149" s="3" cm="1">
        <f t="array" ref="S149">X$8*EstymacjaGaussowska($C149,$C$2:$C$51,X$14)*EstymacjaGaussowska($D149,$D$2:$D$51,X$15)*EstymacjaGaussowska($A149,$A$2:$A$51,X$18)*EstymacjaGaussowska($B149,$B$2:$B$51,X$19)*VLOOKUP($E149,$W$29:$AA$32,2)/$R149</f>
        <v>0</v>
      </c>
      <c r="T149" s="3" cm="1">
        <f t="array" ref="T149">Y$8*EstymacjaGaussowska($C149,$C$52:$C$101,Y$14)*EstymacjaGaussowska($D149,$D$52:$D$101,Y$15)*EstymacjaGaussowska($A149,$A$52:$A$101,Y$18)*EstymacjaGaussowska($B149,$B$52:$B$101,Y$19)*VLOOKUP($E149,$W$29:$AA$32,3)/$R149</f>
        <v>1.001233217063319E-3</v>
      </c>
      <c r="U149" s="42" cm="1">
        <f t="array" ref="U149">Z$8*EstymacjaGaussowska($C149,$C$102:$C$151,Z$14)*EstymacjaGaussowska($D149,$D$102:$D$151,Z$15)*EstymacjaGaussowska($A149,$A$102:$A$151,Z$18)*EstymacjaGaussowska($B149,$B$102:$B$151,Z$19)*VLOOKUP($E149,$W$29:$AA$32,4)/$R149</f>
        <v>0.99899876678293675</v>
      </c>
    </row>
    <row r="150" spans="1:21" x14ac:dyDescent="0.25">
      <c r="A150" s="9">
        <v>6.2</v>
      </c>
      <c r="B150" s="3">
        <v>3.4</v>
      </c>
      <c r="C150" s="3">
        <v>5.4</v>
      </c>
      <c r="D150" s="8">
        <v>2.2999999999999998</v>
      </c>
      <c r="E150" s="9" t="s">
        <v>12</v>
      </c>
      <c r="F150" s="50" t="s">
        <v>7</v>
      </c>
      <c r="G150" s="43" t="str">
        <f t="shared" si="12"/>
        <v>virginica</v>
      </c>
      <c r="H150" s="3" cm="1">
        <f t="array" ref="H150">X$8*EstymacjaGaussowska($C150,$C$2:$C$51,X$14)*EstymacjaGaussowska($D150,$D$2:$D$51,X$15)+Y$8*EstymacjaGaussowska($C150,$C$52:$C$101,Y$14)*EstymacjaGaussowska($D150,$D$52:$D$101,Y$15)+Z$8*EstymacjaGaussowska($C150,$C$102:$C$151,Z$14)*EstymacjaGaussowska($D150,$D$102:$D$151,Z$15)</f>
        <v>0.20281276559527639</v>
      </c>
      <c r="I150" s="3" cm="1">
        <f t="array" ref="I150">X$8*EstymacjaGaussowska($C150,$C$2:$C$51,X$14)*EstymacjaGaussowska($D150,$D$2:$D$51,X$15)/$H150</f>
        <v>0</v>
      </c>
      <c r="J150" s="3" cm="1">
        <f t="array" ref="J150">Y$8*EstymacjaGaussowska($C150,$C$52:$C$101,Y$14)*EstymacjaGaussowska($D150,$D$52:$D$101,Y$15)/$H150</f>
        <v>5.524816268749119E-9</v>
      </c>
      <c r="K150" s="42" cm="1">
        <f t="array" ref="K150">Z$8*EstymacjaGaussowska($C150,$C$102:$C$151,Z$14)*EstymacjaGaussowska($D150,$D$102:$D$151,Z$15)/$H150</f>
        <v>0.99999999447518373</v>
      </c>
      <c r="L150" s="43" t="str">
        <f t="shared" si="13"/>
        <v>virginica</v>
      </c>
      <c r="M150" s="3" cm="1">
        <f t="array" ref="M150">X$8*EstymacjaGaussowska($C150,$C$2:$C$51,X$14)*EstymacjaGaussowska($D150,$D$2:$D$51,X$15)*VLOOKUP($E150,$W$29:$AA$32,2)+Y$8*EstymacjaGaussowska($C150,$C$52:$C$101,Y$14)*EstymacjaGaussowska($D150,$D$52:$D$101,Y$15)*VLOOKUP($E150,$W$29:$AA$32,3)+Z$8*EstymacjaGaussowska($C150,$C$102:$C$151,Z$14)*EstymacjaGaussowska($D150,$D$102:$D$151,Z$15)*VLOOKUP($E150,$W$29:$AA$32,4)</f>
        <v>7.7068850926205024E-2</v>
      </c>
      <c r="N150" s="3" cm="1">
        <f t="array" ref="N150">X$8*EstymacjaGaussowska($C150,$C$2:$C$51,X$14)*EstymacjaGaussowska($D150,$D$2:$D$51,X$15)*VLOOKUP($E150,$W$29:$AA$32,2)/$M150</f>
        <v>0</v>
      </c>
      <c r="O150" s="3" cm="1">
        <f t="array" ref="O150">Y$8*EstymacjaGaussowska($C150,$C$52:$C$101,Y$14)*EstymacjaGaussowska($D150,$D$52:$D$101,Y$15)*VLOOKUP($E150,$W$29:$AA$32,3)/$M150</f>
        <v>5.524816268749119E-9</v>
      </c>
      <c r="P150" s="42" cm="1">
        <f t="array" ref="P150">Z$8*EstymacjaGaussowska($C150,$C$102:$C$151,Z$14)*EstymacjaGaussowska($D150,$D$102:$D$151,Z$15)*VLOOKUP($E150,$W$29:$AA$32,4)/$M150</f>
        <v>0.99999999447518384</v>
      </c>
      <c r="Q150" s="43" t="str">
        <f t="shared" si="14"/>
        <v>virginica</v>
      </c>
      <c r="R150" s="3" cm="1">
        <f t="array" ref="R150">X$8*EstymacjaGaussowska($C150,$C$2:$C$51,X$14)*EstymacjaGaussowska($D150,$D$2:$D$51,X$15)*EstymacjaGaussowska($A150,$A$2:$A$51,X$18)*EstymacjaGaussowska($B150,$B$2:$B$51,X$19)*VLOOKUP($E150,$W$29:$AA$32,2)+Y$8*EstymacjaGaussowska($C150,$C$52:$C$101,Y$14)*EstymacjaGaussowska($D150,$D$52:$D$101,Y$15)*EstymacjaGaussowska($A150,$A$52:$A$101,Y$18)*EstymacjaGaussowska($B150,$B$52:$B$101,Y$19)*VLOOKUP($E150,$W$29:$AA$32,3)+Z$8*EstymacjaGaussowska($C150,$C$102:$C$151,Z$14)*EstymacjaGaussowska($D150,$D$102:$D$151,Z$15)*EstymacjaGaussowska($A150,$A$102:$A$151,Z$18)*EstymacjaGaussowska($B150,$B$102:$B$151,Z$19)*VLOOKUP($E150,$W$29:$AA$32,4)</f>
        <v>1.8523376717531102E-2</v>
      </c>
      <c r="S150" s="3" cm="1">
        <f t="array" ref="S150">X$8*EstymacjaGaussowska($C150,$C$2:$C$51,X$14)*EstymacjaGaussowska($D150,$D$2:$D$51,X$15)*EstymacjaGaussowska($A150,$A$2:$A$51,X$18)*EstymacjaGaussowska($B150,$B$2:$B$51,X$19)*VLOOKUP($E150,$W$29:$AA$32,2)/$R150</f>
        <v>0</v>
      </c>
      <c r="T150" s="3" cm="1">
        <f t="array" ref="T150">Y$8*EstymacjaGaussowska($C150,$C$52:$C$101,Y$14)*EstymacjaGaussowska($D150,$D$52:$D$101,Y$15)*EstymacjaGaussowska($A150,$A$52:$A$101,Y$18)*EstymacjaGaussowska($B150,$B$52:$B$101,Y$19)*VLOOKUP($E150,$W$29:$AA$32,3)/$R150</f>
        <v>2.5080154417855022E-9</v>
      </c>
      <c r="U150" s="42" cm="1">
        <f t="array" ref="U150">Z$8*EstymacjaGaussowska($C150,$C$102:$C$151,Z$14)*EstymacjaGaussowska($D150,$D$102:$D$151,Z$15)*EstymacjaGaussowska($A150,$A$102:$A$151,Z$18)*EstymacjaGaussowska($B150,$B$102:$B$151,Z$19)*VLOOKUP($E150,$W$29:$AA$32,4)/$R150</f>
        <v>0.99999999749198454</v>
      </c>
    </row>
    <row r="151" spans="1:21" ht="15.75" thickBot="1" x14ac:dyDescent="0.3">
      <c r="A151" s="11">
        <v>5.9</v>
      </c>
      <c r="B151" s="10">
        <v>3</v>
      </c>
      <c r="C151" s="10">
        <v>5.0999999999999996</v>
      </c>
      <c r="D151" s="12">
        <v>1.8</v>
      </c>
      <c r="E151" s="11" t="s">
        <v>14</v>
      </c>
      <c r="F151" s="51" t="s">
        <v>7</v>
      </c>
      <c r="G151" s="44" t="str">
        <f t="shared" si="12"/>
        <v>virginica</v>
      </c>
      <c r="H151" s="10" cm="1">
        <f t="array" ref="H151">X$8*EstymacjaGaussowska($C151,$C$2:$C$51,X$14)*EstymacjaGaussowska($D151,$D$2:$D$51,X$15)+Y$8*EstymacjaGaussowska($C151,$C$52:$C$101,Y$14)*EstymacjaGaussowska($D151,$D$52:$D$101,Y$15)+Z$8*EstymacjaGaussowska($C151,$C$102:$C$151,Z$14)*EstymacjaGaussowska($D151,$D$102:$D$151,Z$15)</f>
        <v>0.23183331384868072</v>
      </c>
      <c r="I151" s="10" cm="1">
        <f t="array" ref="I151">X$8*EstymacjaGaussowska($C151,$C$2:$C$51,X$14)*EstymacjaGaussowska($D151,$D$2:$D$51,X$15)/$H151</f>
        <v>0</v>
      </c>
      <c r="J151" s="10" cm="1">
        <f t="array" ref="J151">Y$8*EstymacjaGaussowska($C151,$C$52:$C$101,Y$14)*EstymacjaGaussowska($D151,$D$52:$D$101,Y$15)/$H151</f>
        <v>4.777164492554057E-2</v>
      </c>
      <c r="K151" s="45" cm="1">
        <f t="array" ref="K151">Z$8*EstymacjaGaussowska($C151,$C$102:$C$151,Z$14)*EstymacjaGaussowska($D151,$D$102:$D$151,Z$15)/$H151</f>
        <v>0.95222835507445946</v>
      </c>
      <c r="L151" s="44" t="str">
        <f t="shared" si="13"/>
        <v>virginica</v>
      </c>
      <c r="M151" s="10" cm="1">
        <f t="array" ref="M151">X$8*EstymacjaGaussowska($C151,$C$2:$C$51,X$14)*EstymacjaGaussowska($D151,$D$2:$D$51,X$15)*VLOOKUP($E151,$W$29:$AA$32,2)+Y$8*EstymacjaGaussowska($C151,$C$52:$C$101,Y$14)*EstymacjaGaussowska($D151,$D$52:$D$101,Y$15)*VLOOKUP($E151,$W$29:$AA$32,3)+Z$8*EstymacjaGaussowska($C151,$C$102:$C$151,Z$14)*EstymacjaGaussowska($D151,$D$102:$D$151,Z$15)*VLOOKUP($E151,$W$29:$AA$32,4)</f>
        <v>7.2946803772353554E-3</v>
      </c>
      <c r="N151" s="10" cm="1">
        <f t="array" ref="N151">X$8*EstymacjaGaussowska($C151,$C$2:$C$51,X$14)*EstymacjaGaussowska($D151,$D$2:$D$51,X$15)*VLOOKUP($E151,$W$29:$AA$32,2)/$M151</f>
        <v>0</v>
      </c>
      <c r="O151" s="10" cm="1">
        <f t="array" ref="O151">Y$8*EstymacjaGaussowska($C151,$C$52:$C$101,Y$14)*EstymacjaGaussowska($D151,$D$52:$D$101,Y$15)*VLOOKUP($E151,$W$29:$AA$32,3)/$M151</f>
        <v>0.39474180174771034</v>
      </c>
      <c r="P151" s="45" cm="1">
        <f t="array" ref="P151">Z$8*EstymacjaGaussowska($C151,$C$102:$C$151,Z$14)*EstymacjaGaussowska($D151,$D$102:$D$151,Z$15)*VLOOKUP($E151,$W$29:$AA$32,4)/$M151</f>
        <v>0.60525819825228955</v>
      </c>
      <c r="Q151" s="44" t="str">
        <f t="shared" si="14"/>
        <v>versicolor</v>
      </c>
      <c r="R151" s="10" cm="1">
        <f t="array" ref="R151">X$8*EstymacjaGaussowska($C151,$C$2:$C$51,X$14)*EstymacjaGaussowska($D151,$D$2:$D$51,X$15)*EstymacjaGaussowska($A151,$A$2:$A$51,X$18)*EstymacjaGaussowska($B151,$B$2:$B$51,X$19)*VLOOKUP($E151,$W$29:$AA$32,2)+Y$8*EstymacjaGaussowska($C151,$C$52:$C$101,Y$14)*EstymacjaGaussowska($D151,$D$52:$D$101,Y$15)*EstymacjaGaussowska($A151,$A$52:$A$101,Y$18)*EstymacjaGaussowska($B151,$B$52:$B$101,Y$19)*VLOOKUP($E151,$W$29:$AA$32,3)+Z$8*EstymacjaGaussowska($C151,$C$102:$C$151,Z$14)*EstymacjaGaussowska($D151,$D$102:$D$151,Z$15)*EstymacjaGaussowska($A151,$A$102:$A$151,Z$18)*EstymacjaGaussowska($B151,$B$102:$B$151,Z$19)*VLOOKUP($E151,$W$29:$AA$32,4)</f>
        <v>4.1919429160476515E-3</v>
      </c>
      <c r="S151" s="10" cm="1">
        <f t="array" ref="S151">X$8*EstymacjaGaussowska($C151,$C$2:$C$51,X$14)*EstymacjaGaussowska($D151,$D$2:$D$51,X$15)*EstymacjaGaussowska($A151,$A$2:$A$51,X$18)*EstymacjaGaussowska($B151,$B$2:$B$51,X$19)*VLOOKUP($E151,$W$29:$AA$32,2)/$R151</f>
        <v>0</v>
      </c>
      <c r="T151" s="10" cm="1">
        <f t="array" ref="T151">Y$8*EstymacjaGaussowska($C151,$C$52:$C$101,Y$14)*EstymacjaGaussowska($D151,$D$52:$D$101,Y$15)*EstymacjaGaussowska($A151,$A$52:$A$101,Y$18)*EstymacjaGaussowska($B151,$B$52:$B$101,Y$19)*VLOOKUP($E151,$W$29:$AA$32,3)/$R151</f>
        <v>0.50780684599955705</v>
      </c>
      <c r="U151" s="45" cm="1">
        <f t="array" ref="U151">Z$8*EstymacjaGaussowska($C151,$C$102:$C$151,Z$14)*EstymacjaGaussowska($D151,$D$102:$D$151,Z$15)*EstymacjaGaussowska($A151,$A$102:$A$151,Z$18)*EstymacjaGaussowska($B151,$B$102:$B$151,Z$19)*VLOOKUP($E151,$W$29:$AA$32,4)/$R151</f>
        <v>0.49219315400044283</v>
      </c>
    </row>
    <row r="153" spans="1:21" ht="15.75" thickBot="1" x14ac:dyDescent="0.3">
      <c r="A153" s="66" t="s">
        <v>48</v>
      </c>
    </row>
    <row r="154" spans="1:21" ht="16.5" thickTop="1" thickBot="1" x14ac:dyDescent="0.3">
      <c r="A154" s="67">
        <v>5.9</v>
      </c>
      <c r="B154" s="59">
        <v>3.3</v>
      </c>
      <c r="C154" s="59">
        <v>4.9000000000000004</v>
      </c>
      <c r="D154" s="59">
        <v>1.7</v>
      </c>
      <c r="E154" s="59" t="s">
        <v>11</v>
      </c>
      <c r="G154" s="47" t="str">
        <f t="shared" ref="G154" si="15">IF(I154&gt;MAX(J154:K154),$F$2,IF(J154&gt;K154,$F$52,$F$102))</f>
        <v>virginica</v>
      </c>
      <c r="H154" s="17" cm="1">
        <f t="array" ref="H154">X$8*EstymacjaGaussowska($C154,$C$2:$C$51,X$14)*EstymacjaGaussowska($D154,$D$2:$D$51,X$15)+Y$8*EstymacjaGaussowska($C154,$C$52:$C$101,Y$14)*EstymacjaGaussowska($D154,$D$52:$D$101,Y$15)+Z$8*EstymacjaGaussowska($C154,$C$102:$C$151,Z$14)*EstymacjaGaussowska($D154,$D$102:$D$151,Z$15)</f>
        <v>0.17480084194226858</v>
      </c>
      <c r="I154" s="17" cm="1">
        <f t="array" ref="I154">X$8*EstymacjaGaussowska($C154,$C$2:$C$51,X$14)*EstymacjaGaussowska($D154,$D$2:$D$51,X$15)/$H154</f>
        <v>0</v>
      </c>
      <c r="J154" s="17" cm="1">
        <f t="array" ref="J154">Y$8*EstymacjaGaussowska($C154,$C$52:$C$101,Y$14)*EstymacjaGaussowska($D154,$D$52:$D$101,Y$15)/$H154</f>
        <v>0.30164356752517341</v>
      </c>
      <c r="K154" s="18" cm="1">
        <f t="array" ref="K154">Z$8*EstymacjaGaussowska($C154,$C$102:$C$151,Z$14)*EstymacjaGaussowska($D154,$D$102:$D$151,Z$15)/$H154</f>
        <v>0.6983564324748267</v>
      </c>
      <c r="L154" s="47" t="str">
        <f t="shared" ref="L154" si="16">IF(N154&gt;MAX(O154:P154),$F$2,IF(O154&gt;P154,$F$52,$F$102))</f>
        <v>virginica</v>
      </c>
      <c r="M154" s="17" cm="1">
        <f t="array" ref="M154">X$8*EstymacjaGaussowska($C154,$C$2:$C$51,X$14)*EstymacjaGaussowska($D154,$D$2:$D$51,X$15)*VLOOKUP($E154,$W$29:$AA$32,2)+Y$8*EstymacjaGaussowska($C154,$C$52:$C$101,Y$14)*EstymacjaGaussowska($D154,$D$52:$D$101,Y$15)*VLOOKUP($E154,$W$29:$AA$32,3)+Z$8*EstymacjaGaussowska($C154,$C$102:$C$151,Z$14)*EstymacjaGaussowska($D154,$D$102:$D$151,Z$15)*VLOOKUP($E154,$W$29:$AA$32,4)</f>
        <v>8.2734934346015823E-2</v>
      </c>
      <c r="N154" s="17" cm="1">
        <f t="array" ref="N154">X$8*EstymacjaGaussowska($C154,$C$2:$C$51,X$14)*EstymacjaGaussowska($D154,$D$2:$D$51,X$15)*VLOOKUP($E154,$W$29:$AA$32,2)/$M154</f>
        <v>0</v>
      </c>
      <c r="O154" s="17" cm="1">
        <f t="array" ref="O154">Y$8*EstymacjaGaussowska($C154,$C$52:$C$101,Y$14)*EstymacjaGaussowska($D154,$D$52:$D$101,Y$15)*VLOOKUP($E154,$W$29:$AA$32,3)/$M154</f>
        <v>0.11471525296537111</v>
      </c>
      <c r="P154" s="18" cm="1">
        <f t="array" ref="P154">Z$8*EstymacjaGaussowska($C154,$C$102:$C$151,Z$14)*EstymacjaGaussowska($D154,$D$102:$D$151,Z$15)*VLOOKUP($E154,$W$29:$AA$32,4)/$M154</f>
        <v>0.88528474703462889</v>
      </c>
      <c r="Q154" s="47" t="str">
        <f t="shared" ref="Q154" si="17">IF(S154&gt;MAX(T154:U154),$F$2,IF(T154&gt;U154,$F$52,$F$102))</f>
        <v>virginica</v>
      </c>
      <c r="R154" s="17" cm="1">
        <f t="array" ref="R154">X$8*EstymacjaGaussowska($C154,$C$2:$C$51,X$14)*EstymacjaGaussowska($D154,$D$2:$D$51,X$15)*EstymacjaGaussowska($A154,$A$2:$A$51,X$18)*EstymacjaGaussowska($B154,$B$2:$B$51,X$19)*VLOOKUP($E154,$W$29:$AA$32,2)+Y$8*EstymacjaGaussowska($C154,$C$52:$C$101,Y$14)*EstymacjaGaussowska($D154,$D$52:$D$101,Y$15)*EstymacjaGaussowska($A154,$A$52:$A$101,Y$18)*EstymacjaGaussowska($B154,$B$52:$B$101,Y$19)*VLOOKUP($E154,$W$29:$AA$32,3)+Z$8*EstymacjaGaussowska($C154,$C$102:$C$151,Z$14)*EstymacjaGaussowska($D154,$D$102:$D$151,Z$15)*EstymacjaGaussowska($A154,$A$102:$A$151,Z$18)*EstymacjaGaussowska($B154,$B$102:$B$151,Z$19)*VLOOKUP($E154,$W$29:$AA$32,4)</f>
        <v>2.0451131579902901E-2</v>
      </c>
      <c r="S154" s="17" cm="1">
        <f t="array" ref="S154">X$8*EstymacjaGaussowska($C154,$C$2:$C$51,X$14)*EstymacjaGaussowska($D154,$D$2:$D$51,X$15)*EstymacjaGaussowska($A154,$A$2:$A$51,X$18)*EstymacjaGaussowska($B154,$B$2:$B$51,X$19)*VLOOKUP($E154,$W$29:$AA$32,2)/$R154</f>
        <v>0</v>
      </c>
      <c r="T154" s="17" cm="1">
        <f t="array" ref="T154">Y$8*EstymacjaGaussowska($C154,$C$52:$C$101,Y$14)*EstymacjaGaussowska($D154,$D$52:$D$101,Y$15)*EstymacjaGaussowska($A154,$A$52:$A$101,Y$18)*EstymacjaGaussowska($B154,$B$52:$B$101,Y$19)*VLOOKUP($E154,$W$29:$AA$32,3)/$R154</f>
        <v>0.11320259271515225</v>
      </c>
      <c r="U154" s="18" cm="1">
        <f t="array" ref="U154">Z$8*EstymacjaGaussowska($C154,$C$102:$C$151,Z$14)*EstymacjaGaussowska($D154,$D$102:$D$151,Z$15)*EstymacjaGaussowska($A154,$A$102:$A$151,Z$18)*EstymacjaGaussowska($B154,$B$102:$B$151,Z$19)*VLOOKUP($E154,$W$29:$AA$32,4)/$R154</f>
        <v>0.88679740728484768</v>
      </c>
    </row>
  </sheetData>
  <mergeCells count="4">
    <mergeCell ref="W2:Y2"/>
    <mergeCell ref="W3:X3"/>
    <mergeCell ref="W4:X4"/>
    <mergeCell ref="W5:X5"/>
  </mergeCells>
  <conditionalFormatting sqref="W62">
    <cfRule type="colorScale" priority="19">
      <colorScale>
        <cfvo type="min"/>
        <cfvo type="max"/>
        <color rgb="FFFF7128"/>
        <color rgb="FFFFEF9C"/>
      </colorScale>
    </cfRule>
  </conditionalFormatting>
  <conditionalFormatting sqref="W30">
    <cfRule type="colorScale" priority="9">
      <colorScale>
        <cfvo type="min"/>
        <cfvo type="max"/>
        <color rgb="FFFF7128"/>
        <color rgb="FFFFEF9C"/>
      </colorScale>
    </cfRule>
  </conditionalFormatting>
  <conditionalFormatting sqref="AB52:AB105">
    <cfRule type="expression" dxfId="26" priority="119">
      <formula>($AB$20*N2Density(AB$1,$AA52,$Z$30:$AA$30,$Z$28:$AA$29)&gt;=MAX(#REF!*N2Density(AB$1,$AA52,$AA$13:$AA$13,$AA$11:$AA$12),AB$33*N2Density(AB$1,$AA52,$Z$39:$AA$39,$Z$37:$AA$38)))</formula>
    </cfRule>
    <cfRule type="expression" dxfId="25" priority="120">
      <formula>(#REF!*N2Density(AB$1,$AA52,$AA$13:$AA$13,$AA$11:$AA$12)&gt;=MAX($AB$20*N2Density(AB$1,$AA52,$Z$30:$AA$30,$Z$28:$AA$29),$AB$33*N2Density(AB$1,$AA52,$Z$39:$AA$39,$Z$37:$AA$38)))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20" operator="notContains" id="{D79FBE09-B171-4A0A-A813-EC2E97F062DA}">
            <xm:f>ISERROR(SEARCH($F$102,G102))</xm:f>
            <xm:f>$F$102</xm:f>
            <x14:dxf>
              <fill>
                <patternFill>
                  <bgColor rgb="FFFF5050"/>
                </patternFill>
              </fill>
            </x14:dxf>
          </x14:cfRule>
          <xm:sqref>G102:G151</xm:sqref>
        </x14:conditionalFormatting>
        <x14:conditionalFormatting xmlns:xm="http://schemas.microsoft.com/office/excel/2006/main">
          <x14:cfRule type="notContainsText" priority="21" operator="notContains" id="{426BDD0B-5689-4ECC-813E-27EB481E27EA}">
            <xm:f>ISERROR(SEARCH($F$2,G2))</xm:f>
            <xm:f>$F$2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G2:G51</xm:sqref>
        </x14:conditionalFormatting>
        <x14:conditionalFormatting xmlns:xm="http://schemas.microsoft.com/office/excel/2006/main">
          <x14:cfRule type="notContainsText" priority="22" operator="notContains" id="{16AA583A-B668-4803-BF75-FD7614E1FDF6}">
            <xm:f>ISERROR(SEARCH($F$52,G52))</xm:f>
            <xm:f>$F$52</xm:f>
            <x14:dxf>
              <fill>
                <patternFill>
                  <bgColor rgb="FFFF5050"/>
                </patternFill>
              </fill>
            </x14:dxf>
          </x14:cfRule>
          <xm:sqref>G52:G101</xm:sqref>
        </x14:conditionalFormatting>
        <x14:conditionalFormatting xmlns:xm="http://schemas.microsoft.com/office/excel/2006/main">
          <x14:cfRule type="notContainsText" priority="13" operator="notContains" id="{5FA2620C-0D8B-4C01-9DA6-C9E811220F98}">
            <xm:f>ISERROR(SEARCH($F$102,L102))</xm:f>
            <xm:f>$F$102</xm:f>
            <x14:dxf>
              <fill>
                <patternFill>
                  <bgColor rgb="FFFF5050"/>
                </patternFill>
              </fill>
            </x14:dxf>
          </x14:cfRule>
          <xm:sqref>L102:L151</xm:sqref>
        </x14:conditionalFormatting>
        <x14:conditionalFormatting xmlns:xm="http://schemas.microsoft.com/office/excel/2006/main">
          <x14:cfRule type="notContainsText" priority="14" operator="notContains" id="{86101005-B0E2-4DE6-91B2-A5B0094B4E3C}">
            <xm:f>ISERROR(SEARCH($F$2,L2))</xm:f>
            <xm:f>$F$2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L2:L51</xm:sqref>
        </x14:conditionalFormatting>
        <x14:conditionalFormatting xmlns:xm="http://schemas.microsoft.com/office/excel/2006/main">
          <x14:cfRule type="notContainsText" priority="15" operator="notContains" id="{04156F45-5EA5-4528-A695-AAC3D28D66DF}">
            <xm:f>ISERROR(SEARCH($F$52,L52))</xm:f>
            <xm:f>$F$52</xm:f>
            <x14:dxf>
              <fill>
                <patternFill>
                  <bgColor rgb="FFFF5050"/>
                </patternFill>
              </fill>
            </x14:dxf>
          </x14:cfRule>
          <xm:sqref>L52:L101</xm:sqref>
        </x14:conditionalFormatting>
        <x14:conditionalFormatting xmlns:xm="http://schemas.microsoft.com/office/excel/2006/main">
          <x14:cfRule type="notContainsText" priority="4" operator="notContains" id="{1C598129-C277-4D4E-9996-B2481C2A3DE9}">
            <xm:f>ISERROR(SEARCH($F$2,Q2))</xm:f>
            <xm:f>$F$2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Q2:Q51</xm:sqref>
        </x14:conditionalFormatting>
        <x14:conditionalFormatting xmlns:xm="http://schemas.microsoft.com/office/excel/2006/main">
          <x14:cfRule type="notContainsText" priority="1" operator="notContains" id="{3C0E09B8-31A7-4636-B838-74D5CEC39E2C}">
            <xm:f>ISERROR(SEARCH($F$102,Q102))</xm:f>
            <xm:f>$F$102</xm:f>
            <x14:dxf>
              <fill>
                <patternFill>
                  <bgColor rgb="FFFF5050"/>
                </patternFill>
              </fill>
            </x14:dxf>
          </x14:cfRule>
          <xm:sqref>Q102:Q151</xm:sqref>
        </x14:conditionalFormatting>
        <x14:conditionalFormatting xmlns:xm="http://schemas.microsoft.com/office/excel/2006/main">
          <x14:cfRule type="notContainsText" priority="2" operator="notContains" id="{A6B4D7DC-7A03-408E-A462-D7C12E4DECF3}">
            <xm:f>ISERROR(SEARCH($F$52,Q52))</xm:f>
            <xm:f>$F$52</xm:f>
            <x14:dxf>
              <fill>
                <patternFill>
                  <bgColor rgb="FFFF5050"/>
                </patternFill>
              </fill>
            </x14:dxf>
          </x14:cfRule>
          <xm:sqref>Q52:Q101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2BE6-6C80-4A14-937C-E179829F7493}">
  <sheetPr codeName="Arkusz2"/>
  <dimension ref="A1:AB154"/>
  <sheetViews>
    <sheetView topLeftCell="H1" workbookViewId="0">
      <selection activeCell="L7" sqref="L7"/>
    </sheetView>
  </sheetViews>
  <sheetFormatPr defaultRowHeight="15" x14ac:dyDescent="0.25"/>
  <cols>
    <col min="1" max="1" width="9.7109375" hidden="1" customWidth="1"/>
    <col min="2" max="2" width="12.42578125" hidden="1" customWidth="1"/>
    <col min="3" max="3" width="12" hidden="1" customWidth="1"/>
    <col min="4" max="4" width="12.140625" hidden="1" customWidth="1"/>
    <col min="5" max="5" width="11.7109375" hidden="1" customWidth="1"/>
    <col min="6" max="6" width="9.140625" hidden="1" customWidth="1"/>
    <col min="7" max="7" width="9.7109375" hidden="1" customWidth="1"/>
    <col min="8" max="9" width="9.7109375" customWidth="1"/>
    <col min="10" max="10" width="10.5703125" bestFit="1" customWidth="1"/>
    <col min="11" max="11" width="12.42578125" style="4" bestFit="1" customWidth="1"/>
    <col min="12" max="12" width="12" style="4" bestFit="1" customWidth="1"/>
    <col min="13" max="13" width="12.140625" style="4" bestFit="1" customWidth="1"/>
    <col min="14" max="14" width="11.7109375" style="4" bestFit="1" customWidth="1"/>
    <col min="15" max="16" width="10.5703125" style="4" customWidth="1"/>
    <col min="17" max="17" width="12.5703125" bestFit="1" customWidth="1"/>
    <col min="18" max="18" width="11.42578125" bestFit="1" customWidth="1"/>
    <col min="19" max="21" width="9.7109375" customWidth="1"/>
    <col min="22" max="22" width="13.28515625" bestFit="1" customWidth="1"/>
    <col min="23" max="24" width="17.7109375" bestFit="1" customWidth="1"/>
    <col min="25" max="25" width="9.7109375" bestFit="1" customWidth="1"/>
    <col min="26" max="26" width="8.42578125" bestFit="1" customWidth="1"/>
    <col min="27" max="27" width="14.28515625" bestFit="1" customWidth="1"/>
    <col min="28" max="30" width="12" bestFit="1" customWidth="1"/>
    <col min="31" max="31" width="9.7109375" customWidth="1"/>
    <col min="32" max="32" width="12" customWidth="1"/>
  </cols>
  <sheetData>
    <row r="1" spans="1:27" ht="15.75" thickBot="1" x14ac:dyDescent="0.3">
      <c r="A1" s="5" t="s">
        <v>58</v>
      </c>
      <c r="B1" s="16" t="s">
        <v>0</v>
      </c>
      <c r="C1" s="17" t="s">
        <v>1</v>
      </c>
      <c r="D1" s="17" t="s">
        <v>2</v>
      </c>
      <c r="E1" s="18" t="s">
        <v>3</v>
      </c>
      <c r="F1" s="16" t="s">
        <v>10</v>
      </c>
      <c r="G1" s="19" t="s">
        <v>4</v>
      </c>
      <c r="H1" s="82" t="s">
        <v>59</v>
      </c>
      <c r="I1" s="5" t="s">
        <v>58</v>
      </c>
      <c r="J1" s="80" t="s">
        <v>60</v>
      </c>
      <c r="K1" s="47" t="s">
        <v>0</v>
      </c>
      <c r="L1" s="5" t="s">
        <v>1</v>
      </c>
      <c r="M1" s="5" t="s">
        <v>2</v>
      </c>
      <c r="N1" s="5" t="s">
        <v>3</v>
      </c>
      <c r="O1" s="5" t="s">
        <v>10</v>
      </c>
      <c r="P1" s="19" t="s">
        <v>4</v>
      </c>
      <c r="Q1" s="47" t="s">
        <v>63</v>
      </c>
      <c r="R1" s="5" t="s">
        <v>64</v>
      </c>
      <c r="S1" s="5" t="s">
        <v>65</v>
      </c>
      <c r="T1" s="5" t="s">
        <v>66</v>
      </c>
      <c r="U1" s="6" t="s">
        <v>67</v>
      </c>
    </row>
    <row r="2" spans="1:27" ht="15.75" thickBot="1" x14ac:dyDescent="0.3">
      <c r="A2" s="78">
        <v>1</v>
      </c>
      <c r="B2" s="9">
        <v>5.0999999999999996</v>
      </c>
      <c r="C2" s="3">
        <v>3.5</v>
      </c>
      <c r="D2" s="3">
        <v>1.4</v>
      </c>
      <c r="E2" s="8">
        <v>0.2</v>
      </c>
      <c r="F2" s="9" t="s">
        <v>11</v>
      </c>
      <c r="G2" s="49" t="s">
        <v>5</v>
      </c>
      <c r="H2" s="83">
        <v>1</v>
      </c>
      <c r="I2" s="78">
        <v>1</v>
      </c>
      <c r="J2" s="79">
        <f>COUNTIF($H$2:$H$151,I2)</f>
        <v>2</v>
      </c>
      <c r="K2" s="43">
        <f t="shared" ref="K2:K33" si="0">VLOOKUP($H2,$A$2:$F$151,2,FALSE)</f>
        <v>5.0999999999999996</v>
      </c>
      <c r="L2" s="77">
        <f t="shared" ref="L2:L33" si="1">VLOOKUP($H2,$A$2:$F$151,3,FALSE)</f>
        <v>3.5</v>
      </c>
      <c r="M2" s="77">
        <f t="shared" ref="M2:M33" si="2">VLOOKUP($H2,$A$2:$F$151,4,FALSE)</f>
        <v>1.4</v>
      </c>
      <c r="N2" s="77">
        <f t="shared" ref="N2:N33" si="3">VLOOKUP($H2,$A$2:$F$151,5,FALSE)</f>
        <v>0.2</v>
      </c>
      <c r="O2" s="77" t="str">
        <f t="shared" ref="O2:O33" si="4">VLOOKUP($H2,$A$2:$F$151,6,FALSE)</f>
        <v>blue</v>
      </c>
      <c r="P2" s="90" t="str">
        <f t="shared" ref="P2:P33" si="5">VLOOKUP($H2,$A$2:$G$151,7,FALSE)</f>
        <v>setosa</v>
      </c>
      <c r="Q2" s="43" t="str">
        <f>IF(S2&gt;MAX(T2:U2),$P$2,IF(T2&gt;U2,$G$52,$G$102))</f>
        <v>setosa</v>
      </c>
      <c r="R2" s="77" cm="1">
        <f t="array" ref="R2">X$6*EstymacjaGaussowska($M2,$M$2:$M$49,X$12)*EstymacjaGaussowska($N2,$N$2:$N$49,X$13)*VLOOKUP($O2,$W$23:$AA$26,2)+Y$6*EstymacjaGaussowska($M2,$M$50:$M$90,Y$12)*EstymacjaGaussowska($N2,$N$50:$N$90,Y$13)*VLOOKUP($O2,$W$23:$AA$26,3)+Z$6*EstymacjaGaussowska($M2,$M$91:$M$151,Z$12)*EstymacjaGaussowska($N2,$N$91:$N$151,Z$13)*VLOOKUP($O2,$W$23:$AA$26,4)</f>
        <v>1.0869576046185734</v>
      </c>
      <c r="S2" s="77" cm="1">
        <f t="array" ref="S2">X$6*EstymacjaGaussowska($M2,$M$2:$M$49,X$12)*EstymacjaGaussowska($N2,$N$2:$N$49,X$13)*VLOOKUP($O2,$W$23:$AA$26,2)/$R2</f>
        <v>1</v>
      </c>
      <c r="T2" s="77" cm="1">
        <f t="array" ref="T2">Y$6*EstymacjaGaussowska($M2,$M$50:$M$90,Y$12)*EstymacjaGaussowska($N2,$N$50:$N$90,Y$13)*VLOOKUP($O2,$W$23:$AA$26,3)/$R2</f>
        <v>7.2578113648671474E-32</v>
      </c>
      <c r="U2" s="87" cm="1">
        <f t="array" ref="U2">Z$6*EstymacjaGaussowska($M2,$M$91:$M$151,Z$12)*EstymacjaGaussowska($N2,$N$91:$N$151,Z$13)*VLOOKUP($O2,$W$23:$AA$26,4)/$R2</f>
        <v>1.3332008091022644E-67</v>
      </c>
      <c r="W2" s="95" t="s">
        <v>61</v>
      </c>
      <c r="X2" s="95"/>
      <c r="Y2" s="95"/>
    </row>
    <row r="3" spans="1:27" ht="15.75" thickTop="1" x14ac:dyDescent="0.25">
      <c r="A3" s="78">
        <v>2</v>
      </c>
      <c r="B3" s="9">
        <v>4.9000000000000004</v>
      </c>
      <c r="C3" s="3">
        <v>3</v>
      </c>
      <c r="D3" s="3">
        <v>1.4</v>
      </c>
      <c r="E3" s="8">
        <v>0.2</v>
      </c>
      <c r="F3" s="9" t="s">
        <v>11</v>
      </c>
      <c r="G3" s="50" t="s">
        <v>5</v>
      </c>
      <c r="H3" s="84">
        <v>1</v>
      </c>
      <c r="I3" s="78">
        <v>2</v>
      </c>
      <c r="J3" s="79">
        <f t="shared" ref="J3:J33" si="6">COUNTIF($H$2:$H$151,I3)</f>
        <v>0</v>
      </c>
      <c r="K3" s="43">
        <f t="shared" si="0"/>
        <v>5.0999999999999996</v>
      </c>
      <c r="L3" s="77">
        <f t="shared" si="1"/>
        <v>3.5</v>
      </c>
      <c r="M3" s="77">
        <f t="shared" si="2"/>
        <v>1.4</v>
      </c>
      <c r="N3" s="77">
        <f t="shared" si="3"/>
        <v>0.2</v>
      </c>
      <c r="O3" s="77" t="str">
        <f t="shared" si="4"/>
        <v>blue</v>
      </c>
      <c r="P3" s="90" t="str">
        <f t="shared" si="5"/>
        <v>setosa</v>
      </c>
      <c r="Q3" s="43" t="str">
        <f t="shared" ref="Q3:Q49" si="7">IF(S3&gt;MAX(T3:U3),$P$2,IF(T3&gt;U3,$G$52,$G$102))</f>
        <v>setosa</v>
      </c>
      <c r="R3" s="77" cm="1">
        <f t="array" ref="R3">X$6*EstymacjaGaussowska($M3,$M$2:$M$49,X$12)*EstymacjaGaussowska($N3,$N$2:$N$49,X$13)*VLOOKUP($O3,$W$23:$AA$26,2)+Y$6*EstymacjaGaussowska($M3,$M$50:$M$90,Y$12)*EstymacjaGaussowska($N3,$N$50:$N$90,Y$13)*VLOOKUP($O3,$W$23:$AA$26,3)+Z$6*EstymacjaGaussowska($M3,$M$91:$M$151,Z$12)*EstymacjaGaussowska($N3,$N$91:$N$151,Z$13)*VLOOKUP($O3,$W$23:$AA$26,4)</f>
        <v>1.0869576046185734</v>
      </c>
      <c r="S3" s="77" cm="1">
        <f t="array" ref="S3">X$6*EstymacjaGaussowska($M3,$M$2:$M$49,X$12)*EstymacjaGaussowska($N3,$N$2:$N$49,X$13)*VLOOKUP($O3,$W$23:$AA$26,2)/$R3</f>
        <v>1</v>
      </c>
      <c r="T3" s="77" cm="1">
        <f t="array" ref="T3">Y$6*EstymacjaGaussowska($M3,$M$50:$M$90,Y$12)*EstymacjaGaussowska($N3,$N$50:$N$90,Y$13)*VLOOKUP($O3,$W$23:$AA$26,3)/$R3</f>
        <v>7.2578113648671474E-32</v>
      </c>
      <c r="U3" s="87" cm="1">
        <f t="array" ref="U3">Z$6*EstymacjaGaussowska($M3,$M$91:$M$151,Z$12)*EstymacjaGaussowska($N3,$N$91:$N$151,Z$13)*VLOOKUP($O3,$W$23:$AA$26,4)/$R3</f>
        <v>1.3332008091022644E-67</v>
      </c>
      <c r="W3" s="100" t="s">
        <v>62</v>
      </c>
      <c r="X3" s="101"/>
      <c r="Y3" s="13">
        <f>COUNTIF(Q2:Q49,P2)/150+COUNTIF(Q50:Q90,P50)/150+COUNTIF(Q91:Q151,P91)/150</f>
        <v>0.95333333333333337</v>
      </c>
    </row>
    <row r="4" spans="1:27" ht="15.75" thickBot="1" x14ac:dyDescent="0.3">
      <c r="A4" s="78">
        <v>3</v>
      </c>
      <c r="B4" s="9">
        <v>4.7</v>
      </c>
      <c r="C4" s="3">
        <v>3.2</v>
      </c>
      <c r="D4" s="3">
        <v>1.3</v>
      </c>
      <c r="E4" s="8">
        <v>0.2</v>
      </c>
      <c r="F4" s="9" t="s">
        <v>11</v>
      </c>
      <c r="G4" s="50" t="s">
        <v>5</v>
      </c>
      <c r="H4" s="84">
        <v>3</v>
      </c>
      <c r="I4" s="78">
        <v>3</v>
      </c>
      <c r="J4" s="79">
        <f t="shared" si="6"/>
        <v>1</v>
      </c>
      <c r="K4" s="43">
        <f t="shared" si="0"/>
        <v>4.7</v>
      </c>
      <c r="L4" s="77">
        <f t="shared" si="1"/>
        <v>3.2</v>
      </c>
      <c r="M4" s="77">
        <f t="shared" si="2"/>
        <v>1.3</v>
      </c>
      <c r="N4" s="77">
        <f t="shared" si="3"/>
        <v>0.2</v>
      </c>
      <c r="O4" s="77" t="str">
        <f t="shared" si="4"/>
        <v>blue</v>
      </c>
      <c r="P4" s="90" t="str">
        <f t="shared" si="5"/>
        <v>setosa</v>
      </c>
      <c r="Q4" s="43" t="str">
        <f t="shared" si="7"/>
        <v>setosa</v>
      </c>
      <c r="R4" s="77" cm="1">
        <f t="array" ref="R4">X$6*EstymacjaGaussowska($M4,$M$2:$M$49,X$12)*EstymacjaGaussowska($N4,$N$2:$N$49,X$13)*VLOOKUP($O4,$W$23:$AA$26,2)+Y$6*EstymacjaGaussowska($M4,$M$50:$M$90,Y$12)*EstymacjaGaussowska($N4,$N$50:$N$90,Y$13)*VLOOKUP($O4,$W$23:$AA$26,3)+Z$6*EstymacjaGaussowska($M4,$M$91:$M$151,Z$12)*EstymacjaGaussowska($N4,$N$91:$N$151,Z$13)*VLOOKUP($O4,$W$23:$AA$26,4)</f>
        <v>0.70286250925243676</v>
      </c>
      <c r="S4" s="77" cm="1">
        <f t="array" ref="S4">X$6*EstymacjaGaussowska($M4,$M$2:$M$49,X$12)*EstymacjaGaussowska($N4,$N$2:$N$49,X$13)*VLOOKUP($O4,$W$23:$AA$26,2)/$R4</f>
        <v>1</v>
      </c>
      <c r="T4" s="77" cm="1">
        <f t="array" ref="T4">Y$6*EstymacjaGaussowska($M4,$M$50:$M$90,Y$12)*EstymacjaGaussowska($N4,$N$50:$N$90,Y$13)*VLOOKUP($O4,$W$23:$AA$26,3)/$R4</f>
        <v>3.9266583018159358E-33</v>
      </c>
      <c r="U4" s="87" cm="1">
        <f t="array" ref="U4">Z$6*EstymacjaGaussowska($M4,$M$91:$M$151,Z$12)*EstymacjaGaussowska($N4,$N$91:$N$151,Z$13)*VLOOKUP($O4,$W$23:$AA$26,4)/$R4</f>
        <v>8.232685433559917E-70</v>
      </c>
    </row>
    <row r="5" spans="1:27" ht="15.75" thickBot="1" x14ac:dyDescent="0.3">
      <c r="A5" s="78">
        <v>4</v>
      </c>
      <c r="B5" s="9">
        <v>4.5999999999999996</v>
      </c>
      <c r="C5" s="3">
        <v>3.1</v>
      </c>
      <c r="D5" s="3">
        <v>1.5</v>
      </c>
      <c r="E5" s="8">
        <v>0.2</v>
      </c>
      <c r="F5" s="9" t="s">
        <v>11</v>
      </c>
      <c r="G5" s="50" t="s">
        <v>5</v>
      </c>
      <c r="H5" s="84">
        <v>5</v>
      </c>
      <c r="I5" s="78">
        <v>4</v>
      </c>
      <c r="J5" s="79">
        <f t="shared" si="6"/>
        <v>0</v>
      </c>
      <c r="K5" s="43">
        <f t="shared" si="0"/>
        <v>5</v>
      </c>
      <c r="L5" s="77">
        <f t="shared" si="1"/>
        <v>3.6</v>
      </c>
      <c r="M5" s="77">
        <f t="shared" si="2"/>
        <v>1.4</v>
      </c>
      <c r="N5" s="77">
        <f t="shared" si="3"/>
        <v>0.2</v>
      </c>
      <c r="O5" s="77" t="str">
        <f t="shared" si="4"/>
        <v>blue</v>
      </c>
      <c r="P5" s="90" t="str">
        <f t="shared" si="5"/>
        <v>setosa</v>
      </c>
      <c r="Q5" s="43" t="str">
        <f t="shared" si="7"/>
        <v>setosa</v>
      </c>
      <c r="R5" s="77" cm="1">
        <f t="array" ref="R5">X$6*EstymacjaGaussowska($M5,$M$2:$M$49,X$12)*EstymacjaGaussowska($N5,$N$2:$N$49,X$13)*VLOOKUP($O5,$W$23:$AA$26,2)+Y$6*EstymacjaGaussowska($M5,$M$50:$M$90,Y$12)*EstymacjaGaussowska($N5,$N$50:$N$90,Y$13)*VLOOKUP($O5,$W$23:$AA$26,3)+Z$6*EstymacjaGaussowska($M5,$M$91:$M$151,Z$12)*EstymacjaGaussowska($N5,$N$91:$N$151,Z$13)*VLOOKUP($O5,$W$23:$AA$26,4)</f>
        <v>1.0869576046185734</v>
      </c>
      <c r="S5" s="77" cm="1">
        <f t="array" ref="S5">X$6*EstymacjaGaussowska($M5,$M$2:$M$49,X$12)*EstymacjaGaussowska($N5,$N$2:$N$49,X$13)*VLOOKUP($O5,$W$23:$AA$26,2)/$R5</f>
        <v>1</v>
      </c>
      <c r="T5" s="77" cm="1">
        <f t="array" ref="T5">Y$6*EstymacjaGaussowska($M5,$M$50:$M$90,Y$12)*EstymacjaGaussowska($N5,$N$50:$N$90,Y$13)*VLOOKUP($O5,$W$23:$AA$26,3)/$R5</f>
        <v>7.2578113648671474E-32</v>
      </c>
      <c r="U5" s="87" cm="1">
        <f t="array" ref="U5">Z$6*EstymacjaGaussowska($M5,$M$91:$M$151,Z$12)*EstymacjaGaussowska($N5,$N$91:$N$151,Z$13)*VLOOKUP($O5,$W$23:$AA$26,4)/$R5</f>
        <v>1.3332008091022644E-67</v>
      </c>
      <c r="W5" s="28"/>
      <c r="X5" s="32" t="s">
        <v>5</v>
      </c>
      <c r="Y5" s="33" t="s">
        <v>6</v>
      </c>
      <c r="Z5" s="34" t="s">
        <v>7</v>
      </c>
    </row>
    <row r="6" spans="1:27" x14ac:dyDescent="0.25">
      <c r="A6" s="78">
        <v>5</v>
      </c>
      <c r="B6" s="9">
        <v>5</v>
      </c>
      <c r="C6" s="3">
        <v>3.6</v>
      </c>
      <c r="D6" s="3">
        <v>1.4</v>
      </c>
      <c r="E6" s="8">
        <v>0.2</v>
      </c>
      <c r="F6" s="9" t="s">
        <v>11</v>
      </c>
      <c r="G6" s="50" t="s">
        <v>5</v>
      </c>
      <c r="H6" s="84">
        <v>5</v>
      </c>
      <c r="I6" s="78">
        <v>5</v>
      </c>
      <c r="J6" s="79">
        <f t="shared" si="6"/>
        <v>2</v>
      </c>
      <c r="K6" s="43">
        <f t="shared" si="0"/>
        <v>5</v>
      </c>
      <c r="L6" s="77">
        <f t="shared" si="1"/>
        <v>3.6</v>
      </c>
      <c r="M6" s="77">
        <f t="shared" si="2"/>
        <v>1.4</v>
      </c>
      <c r="N6" s="77">
        <f t="shared" si="3"/>
        <v>0.2</v>
      </c>
      <c r="O6" s="77" t="str">
        <f t="shared" si="4"/>
        <v>blue</v>
      </c>
      <c r="P6" s="90" t="str">
        <f t="shared" si="5"/>
        <v>setosa</v>
      </c>
      <c r="Q6" s="43" t="str">
        <f t="shared" si="7"/>
        <v>setosa</v>
      </c>
      <c r="R6" s="77" cm="1">
        <f t="array" ref="R6">X$6*EstymacjaGaussowska($M6,$M$2:$M$49,X$12)*EstymacjaGaussowska($N6,$N$2:$N$49,X$13)*VLOOKUP($O6,$W$23:$AA$26,2)+Y$6*EstymacjaGaussowska($M6,$M$50:$M$90,Y$12)*EstymacjaGaussowska($N6,$N$50:$N$90,Y$13)*VLOOKUP($O6,$W$23:$AA$26,3)+Z$6*EstymacjaGaussowska($M6,$M$91:$M$151,Z$12)*EstymacjaGaussowska($N6,$N$91:$N$151,Z$13)*VLOOKUP($O6,$W$23:$AA$26,4)</f>
        <v>1.0869576046185734</v>
      </c>
      <c r="S6" s="77" cm="1">
        <f t="array" ref="S6">X$6*EstymacjaGaussowska($M6,$M$2:$M$49,X$12)*EstymacjaGaussowska($N6,$N$2:$N$49,X$13)*VLOOKUP($O6,$W$23:$AA$26,2)/$R6</f>
        <v>1</v>
      </c>
      <c r="T6" s="77" cm="1">
        <f t="array" ref="T6">Y$6*EstymacjaGaussowska($M6,$M$50:$M$90,Y$12)*EstymacjaGaussowska($N6,$N$50:$N$90,Y$13)*VLOOKUP($O6,$W$23:$AA$26,3)/$R6</f>
        <v>7.2578113648671474E-32</v>
      </c>
      <c r="U6" s="87" cm="1">
        <f t="array" ref="U6">Z$6*EstymacjaGaussowska($M6,$M$91:$M$151,Z$12)*EstymacjaGaussowska($N6,$N$91:$N$151,Z$13)*VLOOKUP($O6,$W$23:$AA$26,4)/$R6</f>
        <v>1.3332008091022644E-67</v>
      </c>
      <c r="W6" s="36" t="s">
        <v>19</v>
      </c>
      <c r="X6" s="35">
        <f>COUNTIF($P$2:$P$151,$P$52)/150</f>
        <v>0.27333333333333332</v>
      </c>
      <c r="Y6" s="35">
        <f>COUNTIF($P$2:$P$151,$P$2)/150</f>
        <v>0.32</v>
      </c>
      <c r="Z6" s="31">
        <f>1-X6-Y6</f>
        <v>0.40666666666666668</v>
      </c>
    </row>
    <row r="7" spans="1:27" x14ac:dyDescent="0.25">
      <c r="A7" s="78">
        <v>6</v>
      </c>
      <c r="B7" s="9">
        <v>5.4</v>
      </c>
      <c r="C7" s="3">
        <v>3.9</v>
      </c>
      <c r="D7" s="3">
        <v>1.7</v>
      </c>
      <c r="E7" s="8">
        <v>0.4</v>
      </c>
      <c r="F7" s="9" t="s">
        <v>11</v>
      </c>
      <c r="G7" s="50" t="s">
        <v>5</v>
      </c>
      <c r="H7" s="84">
        <v>6</v>
      </c>
      <c r="I7" s="78">
        <v>6</v>
      </c>
      <c r="J7" s="79">
        <f t="shared" si="6"/>
        <v>1</v>
      </c>
      <c r="K7" s="43">
        <f t="shared" si="0"/>
        <v>5.4</v>
      </c>
      <c r="L7" s="77">
        <f t="shared" si="1"/>
        <v>3.9</v>
      </c>
      <c r="M7" s="77">
        <f t="shared" si="2"/>
        <v>1.7</v>
      </c>
      <c r="N7" s="77">
        <f t="shared" si="3"/>
        <v>0.4</v>
      </c>
      <c r="O7" s="77" t="str">
        <f t="shared" si="4"/>
        <v>blue</v>
      </c>
      <c r="P7" s="90" t="str">
        <f t="shared" si="5"/>
        <v>setosa</v>
      </c>
      <c r="Q7" s="43" t="str">
        <f t="shared" si="7"/>
        <v>setosa</v>
      </c>
      <c r="R7" s="77" cm="1">
        <f t="array" ref="R7">X$6*EstymacjaGaussowska($M7,$M$2:$M$49,X$12)*EstymacjaGaussowska($N7,$N$2:$N$49,X$13)*VLOOKUP($O7,$W$23:$AA$26,2)+Y$6*EstymacjaGaussowska($M7,$M$50:$M$90,Y$12)*EstymacjaGaussowska($N7,$N$50:$N$90,Y$13)*VLOOKUP($O7,$W$23:$AA$26,3)+Z$6*EstymacjaGaussowska($M7,$M$91:$M$151,Z$12)*EstymacjaGaussowska($N7,$N$91:$N$151,Z$13)*VLOOKUP($O7,$W$23:$AA$26,4)</f>
        <v>0.17785272279181805</v>
      </c>
      <c r="S7" s="77" cm="1">
        <f t="array" ref="S7">X$6*EstymacjaGaussowska($M7,$M$2:$M$49,X$12)*EstymacjaGaussowska($N7,$N$2:$N$49,X$13)*VLOOKUP($O7,$W$23:$AA$26,2)/$R7</f>
        <v>1</v>
      </c>
      <c r="T7" s="77" cm="1">
        <f t="array" ref="T7">Y$6*EstymacjaGaussowska($M7,$M$50:$M$90,Y$12)*EstymacjaGaussowska($N7,$N$50:$N$90,Y$13)*VLOOKUP($O7,$W$23:$AA$26,3)/$R7</f>
        <v>4.7976403849929422E-20</v>
      </c>
      <c r="U7" s="87" cm="1">
        <f t="array" ref="U7">Z$6*EstymacjaGaussowska($M7,$M$91:$M$151,Z$12)*EstymacjaGaussowska($N7,$N$91:$N$151,Z$13)*VLOOKUP($O7,$W$23:$AA$26,4)/$R7</f>
        <v>3.0583395318881471E-52</v>
      </c>
      <c r="W7" s="37" t="s">
        <v>8</v>
      </c>
      <c r="X7" s="29">
        <f>COUNTIF($P:$P,X5)</f>
        <v>48</v>
      </c>
      <c r="Y7" s="29">
        <f>COUNTIF($P:$P,Y5)</f>
        <v>41</v>
      </c>
      <c r="Z7" s="21">
        <f>COUNTIF($P:$P,Z5)</f>
        <v>61</v>
      </c>
    </row>
    <row r="8" spans="1:27" x14ac:dyDescent="0.25">
      <c r="A8" s="78">
        <v>7</v>
      </c>
      <c r="B8" s="9">
        <v>4.5999999999999996</v>
      </c>
      <c r="C8" s="3">
        <v>3.4</v>
      </c>
      <c r="D8" s="3">
        <v>1.4</v>
      </c>
      <c r="E8" s="8">
        <v>0.3</v>
      </c>
      <c r="F8" s="9" t="s">
        <v>11</v>
      </c>
      <c r="G8" s="50" t="s">
        <v>5</v>
      </c>
      <c r="H8" s="84">
        <v>8</v>
      </c>
      <c r="I8" s="78">
        <v>7</v>
      </c>
      <c r="J8" s="79">
        <f t="shared" si="6"/>
        <v>0</v>
      </c>
      <c r="K8" s="43">
        <f t="shared" si="0"/>
        <v>5</v>
      </c>
      <c r="L8" s="77">
        <f t="shared" si="1"/>
        <v>3.4</v>
      </c>
      <c r="M8" s="77">
        <f t="shared" si="2"/>
        <v>1.5</v>
      </c>
      <c r="N8" s="77">
        <f t="shared" si="3"/>
        <v>0.2</v>
      </c>
      <c r="O8" s="77" t="str">
        <f t="shared" si="4"/>
        <v>blue</v>
      </c>
      <c r="P8" s="90" t="str">
        <f t="shared" si="5"/>
        <v>setosa</v>
      </c>
      <c r="Q8" s="43" t="str">
        <f t="shared" si="7"/>
        <v>setosa</v>
      </c>
      <c r="R8" s="77" cm="1">
        <f t="array" ref="R8">X$6*EstymacjaGaussowska($M8,$M$2:$M$49,X$12)*EstymacjaGaussowska($N8,$N$2:$N$49,X$13)*VLOOKUP($O8,$W$23:$AA$26,2)+Y$6*EstymacjaGaussowska($M8,$M$50:$M$90,Y$12)*EstymacjaGaussowska($N8,$N$50:$N$90,Y$13)*VLOOKUP($O8,$W$23:$AA$26,3)+Z$6*EstymacjaGaussowska($M8,$M$91:$M$151,Z$12)*EstymacjaGaussowska($N8,$N$91:$N$151,Z$13)*VLOOKUP($O8,$W$23:$AA$26,4)</f>
        <v>1.0937980910878304</v>
      </c>
      <c r="S8" s="77" cm="1">
        <f t="array" ref="S8">X$6*EstymacjaGaussowska($M8,$M$2:$M$49,X$12)*EstymacjaGaussowska($N8,$N$2:$N$49,X$13)*VLOOKUP($O8,$W$23:$AA$26,2)/$R8</f>
        <v>1</v>
      </c>
      <c r="T8" s="77" cm="1">
        <f t="array" ref="T8">Y$6*EstymacjaGaussowska($M8,$M$50:$M$90,Y$12)*EstymacjaGaussowska($N8,$N$50:$N$90,Y$13)*VLOOKUP($O8,$W$23:$AA$26,3)/$R8</f>
        <v>1.6825033177633603E-30</v>
      </c>
      <c r="U8" s="87" cm="1">
        <f t="array" ref="U8">Z$6*EstymacjaGaussowska($M8,$M$91:$M$151,Z$12)*EstymacjaGaussowska($N8,$N$91:$N$151,Z$13)*VLOOKUP($O8,$W$23:$AA$26,4)/$R8</f>
        <v>2.7843139498132058E-65</v>
      </c>
      <c r="W8" s="37" t="s">
        <v>20</v>
      </c>
      <c r="X8" s="29">
        <f>AVERAGEIF($P$2:$P$152,X5,$M$2:$M$152)</f>
        <v>1.4625000000000001</v>
      </c>
      <c r="Y8" s="29">
        <f>AVERAGEIF($P$2:$P$152,Y5,$M$2:$M$152)</f>
        <v>4.3170731707317067</v>
      </c>
      <c r="Z8" s="21">
        <f>AVERAGEIF($P$2:$P$152,Z5,$M$2:$M$152)</f>
        <v>5.4950819672131122</v>
      </c>
    </row>
    <row r="9" spans="1:27" ht="15.75" thickBot="1" x14ac:dyDescent="0.3">
      <c r="A9" s="78">
        <v>8</v>
      </c>
      <c r="B9" s="9">
        <v>5</v>
      </c>
      <c r="C9" s="3">
        <v>3.4</v>
      </c>
      <c r="D9" s="3">
        <v>1.5</v>
      </c>
      <c r="E9" s="8">
        <v>0.2</v>
      </c>
      <c r="F9" s="9" t="s">
        <v>11</v>
      </c>
      <c r="G9" s="50" t="s">
        <v>5</v>
      </c>
      <c r="H9" s="84">
        <v>8</v>
      </c>
      <c r="I9" s="78">
        <v>8</v>
      </c>
      <c r="J9" s="79">
        <f t="shared" si="6"/>
        <v>2</v>
      </c>
      <c r="K9" s="43">
        <f t="shared" si="0"/>
        <v>5</v>
      </c>
      <c r="L9" s="77">
        <f t="shared" si="1"/>
        <v>3.4</v>
      </c>
      <c r="M9" s="77">
        <f t="shared" si="2"/>
        <v>1.5</v>
      </c>
      <c r="N9" s="77">
        <f t="shared" si="3"/>
        <v>0.2</v>
      </c>
      <c r="O9" s="77" t="str">
        <f t="shared" si="4"/>
        <v>blue</v>
      </c>
      <c r="P9" s="90" t="str">
        <f t="shared" si="5"/>
        <v>setosa</v>
      </c>
      <c r="Q9" s="43" t="str">
        <f t="shared" si="7"/>
        <v>setosa</v>
      </c>
      <c r="R9" s="77" cm="1">
        <f t="array" ref="R9">X$6*EstymacjaGaussowska($M9,$M$2:$M$49,X$12)*EstymacjaGaussowska($N9,$N$2:$N$49,X$13)*VLOOKUP($O9,$W$23:$AA$26,2)+Y$6*EstymacjaGaussowska($M9,$M$50:$M$90,Y$12)*EstymacjaGaussowska($N9,$N$50:$N$90,Y$13)*VLOOKUP($O9,$W$23:$AA$26,3)+Z$6*EstymacjaGaussowska($M9,$M$91:$M$151,Z$12)*EstymacjaGaussowska($N9,$N$91:$N$151,Z$13)*VLOOKUP($O9,$W$23:$AA$26,4)</f>
        <v>1.0937980910878304</v>
      </c>
      <c r="S9" s="77" cm="1">
        <f t="array" ref="S9">X$6*EstymacjaGaussowska($M9,$M$2:$M$49,X$12)*EstymacjaGaussowska($N9,$N$2:$N$49,X$13)*VLOOKUP($O9,$W$23:$AA$26,2)/$R9</f>
        <v>1</v>
      </c>
      <c r="T9" s="77" cm="1">
        <f t="array" ref="T9">Y$6*EstymacjaGaussowska($M9,$M$50:$M$90,Y$12)*EstymacjaGaussowska($N9,$N$50:$N$90,Y$13)*VLOOKUP($O9,$W$23:$AA$26,3)/$R9</f>
        <v>1.6825033177633603E-30</v>
      </c>
      <c r="U9" s="87" cm="1">
        <f t="array" ref="U9">Z$6*EstymacjaGaussowska($M9,$M$91:$M$151,Z$12)*EstymacjaGaussowska($N9,$N$91:$N$151,Z$13)*VLOOKUP($O9,$W$23:$AA$26,4)/$R9</f>
        <v>2.7843139498132058E-65</v>
      </c>
      <c r="W9" s="48" t="s">
        <v>21</v>
      </c>
      <c r="X9" s="29">
        <f>AVERAGEIF($P$2:$P$152,X5,$N$2:$N$152)</f>
        <v>0.2583333333333333</v>
      </c>
      <c r="Y9" s="29">
        <f>AVERAGEIF($P$2:$P$152,Y5,$N$2:$N$152)</f>
        <v>1.3682926829268292</v>
      </c>
      <c r="Z9" s="21">
        <f>AVERAGEIF($P$2:$P$152,Z5,$N$2:$N$152)</f>
        <v>2.0262295081967205</v>
      </c>
    </row>
    <row r="10" spans="1:27" x14ac:dyDescent="0.25">
      <c r="A10" s="78">
        <v>9</v>
      </c>
      <c r="B10" s="9">
        <v>4.4000000000000004</v>
      </c>
      <c r="C10" s="3">
        <v>2.9</v>
      </c>
      <c r="D10" s="3">
        <v>1.4</v>
      </c>
      <c r="E10" s="8">
        <v>0.2</v>
      </c>
      <c r="F10" s="9" t="s">
        <v>11</v>
      </c>
      <c r="G10" s="50" t="s">
        <v>5</v>
      </c>
      <c r="H10" s="84">
        <v>10</v>
      </c>
      <c r="I10" s="78">
        <v>9</v>
      </c>
      <c r="J10" s="79">
        <f t="shared" si="6"/>
        <v>0</v>
      </c>
      <c r="K10" s="43">
        <f t="shared" si="0"/>
        <v>4.9000000000000004</v>
      </c>
      <c r="L10" s="77">
        <f t="shared" si="1"/>
        <v>3.1</v>
      </c>
      <c r="M10" s="77">
        <f t="shared" si="2"/>
        <v>1.5</v>
      </c>
      <c r="N10" s="77">
        <f t="shared" si="3"/>
        <v>0.1</v>
      </c>
      <c r="O10" s="77" t="str">
        <f t="shared" si="4"/>
        <v>blue</v>
      </c>
      <c r="P10" s="90" t="str">
        <f t="shared" si="5"/>
        <v>setosa</v>
      </c>
      <c r="Q10" s="43" t="str">
        <f t="shared" si="7"/>
        <v>setosa</v>
      </c>
      <c r="R10" s="77" cm="1">
        <f t="array" ref="R10">X$6*EstymacjaGaussowska($M10,$M$2:$M$49,X$12)*EstymacjaGaussowska($N10,$N$2:$N$49,X$13)*VLOOKUP($O10,$W$23:$AA$26,2)+Y$6*EstymacjaGaussowska($M10,$M$50:$M$90,Y$12)*EstymacjaGaussowska($N10,$N$50:$N$90,Y$13)*VLOOKUP($O10,$W$23:$AA$26,3)+Z$6*EstymacjaGaussowska($M10,$M$91:$M$151,Z$12)*EstymacjaGaussowska($N10,$N$91:$N$151,Z$13)*VLOOKUP($O10,$W$23:$AA$26,4)</f>
        <v>0.44212438873127474</v>
      </c>
      <c r="S10" s="77" cm="1">
        <f t="array" ref="S10">X$6*EstymacjaGaussowska($M10,$M$2:$M$49,X$12)*EstymacjaGaussowska($N10,$N$2:$N$49,X$13)*VLOOKUP($O10,$W$23:$AA$26,2)/$R10</f>
        <v>1</v>
      </c>
      <c r="T10" s="77" cm="1">
        <f t="array" ref="T10">Y$6*EstymacjaGaussowska($M10,$M$50:$M$90,Y$12)*EstymacjaGaussowska($N10,$N$50:$N$90,Y$13)*VLOOKUP($O10,$W$23:$AA$26,3)/$R10</f>
        <v>1.7824995721642564E-34</v>
      </c>
      <c r="U10" s="87" cm="1">
        <f t="array" ref="U10">Z$6*EstymacjaGaussowska($M10,$M$91:$M$151,Z$12)*EstymacjaGaussowska($N10,$N$91:$N$151,Z$13)*VLOOKUP($O10,$W$23:$AA$26,4)/$R10</f>
        <v>2.6964629806402114E-69</v>
      </c>
      <c r="W10" s="36" t="s">
        <v>68</v>
      </c>
      <c r="X10" s="29">
        <f>_xlfn.STDEV.S($M$2:$M$49)</f>
        <v>0.18637071270237296</v>
      </c>
      <c r="Y10" s="29">
        <f>_xlfn.STDEV.S($M$50:$M$90)</f>
        <v>0.43983089876928638</v>
      </c>
      <c r="Z10" s="21">
        <f>_xlfn.STDEV.S($M$91:$M$151)</f>
        <v>0.51264875223626438</v>
      </c>
    </row>
    <row r="11" spans="1:27" x14ac:dyDescent="0.25">
      <c r="A11" s="78">
        <v>10</v>
      </c>
      <c r="B11" s="9">
        <v>4.9000000000000004</v>
      </c>
      <c r="C11" s="3">
        <v>3.1</v>
      </c>
      <c r="D11" s="3">
        <v>1.5</v>
      </c>
      <c r="E11" s="8">
        <v>0.1</v>
      </c>
      <c r="F11" s="9" t="s">
        <v>11</v>
      </c>
      <c r="G11" s="50" t="s">
        <v>5</v>
      </c>
      <c r="H11" s="84">
        <v>11</v>
      </c>
      <c r="I11" s="78">
        <v>10</v>
      </c>
      <c r="J11" s="79">
        <f t="shared" si="6"/>
        <v>1</v>
      </c>
      <c r="K11" s="43">
        <f t="shared" si="0"/>
        <v>5.4</v>
      </c>
      <c r="L11" s="77">
        <f t="shared" si="1"/>
        <v>3.7</v>
      </c>
      <c r="M11" s="77">
        <f t="shared" si="2"/>
        <v>1.5</v>
      </c>
      <c r="N11" s="77">
        <f t="shared" si="3"/>
        <v>0.2</v>
      </c>
      <c r="O11" s="77" t="str">
        <f t="shared" si="4"/>
        <v>blue</v>
      </c>
      <c r="P11" s="90" t="str">
        <f t="shared" si="5"/>
        <v>setosa</v>
      </c>
      <c r="Q11" s="43" t="str">
        <f t="shared" si="7"/>
        <v>setosa</v>
      </c>
      <c r="R11" s="77" cm="1">
        <f t="array" ref="R11">X$6*EstymacjaGaussowska($M11,$M$2:$M$49,X$12)*EstymacjaGaussowska($N11,$N$2:$N$49,X$13)*VLOOKUP($O11,$W$23:$AA$26,2)+Y$6*EstymacjaGaussowska($M11,$M$50:$M$90,Y$12)*EstymacjaGaussowska($N11,$N$50:$N$90,Y$13)*VLOOKUP($O11,$W$23:$AA$26,3)+Z$6*EstymacjaGaussowska($M11,$M$91:$M$151,Z$12)*EstymacjaGaussowska($N11,$N$91:$N$151,Z$13)*VLOOKUP($O11,$W$23:$AA$26,4)</f>
        <v>1.0937980910878304</v>
      </c>
      <c r="S11" s="77" cm="1">
        <f t="array" ref="S11">X$6*EstymacjaGaussowska($M11,$M$2:$M$49,X$12)*EstymacjaGaussowska($N11,$N$2:$N$49,X$13)*VLOOKUP($O11,$W$23:$AA$26,2)/$R11</f>
        <v>1</v>
      </c>
      <c r="T11" s="77" cm="1">
        <f t="array" ref="T11">Y$6*EstymacjaGaussowska($M11,$M$50:$M$90,Y$12)*EstymacjaGaussowska($N11,$N$50:$N$90,Y$13)*VLOOKUP($O11,$W$23:$AA$26,3)/$R11</f>
        <v>1.6825033177633603E-30</v>
      </c>
      <c r="U11" s="87" cm="1">
        <f t="array" ref="U11">Z$6*EstymacjaGaussowska($M11,$M$91:$M$151,Z$12)*EstymacjaGaussowska($N11,$N$91:$N$151,Z$13)*VLOOKUP($O11,$W$23:$AA$26,4)/$R11</f>
        <v>2.7843139498132058E-65</v>
      </c>
      <c r="W11" s="37" t="s">
        <v>69</v>
      </c>
      <c r="X11" s="29">
        <f>_xlfn.STDEV.S($N$2:$N$49)</f>
        <v>0.11076779110418032</v>
      </c>
      <c r="Y11" s="29">
        <f>_xlfn.STDEV.S($N$50:$N$90)</f>
        <v>0.18226220725954664</v>
      </c>
      <c r="Z11" s="21">
        <f>_xlfn.STDEV.S($N$91:$N$151)</f>
        <v>0.24758947160186293</v>
      </c>
    </row>
    <row r="12" spans="1:27" x14ac:dyDescent="0.25">
      <c r="A12" s="78">
        <v>11</v>
      </c>
      <c r="B12" s="9">
        <v>5.4</v>
      </c>
      <c r="C12" s="3">
        <v>3.7</v>
      </c>
      <c r="D12" s="3">
        <v>1.5</v>
      </c>
      <c r="E12" s="8">
        <v>0.2</v>
      </c>
      <c r="F12" s="9" t="s">
        <v>11</v>
      </c>
      <c r="G12" s="50" t="s">
        <v>5</v>
      </c>
      <c r="H12" s="84">
        <v>12</v>
      </c>
      <c r="I12" s="78">
        <v>11</v>
      </c>
      <c r="J12" s="79">
        <f t="shared" si="6"/>
        <v>1</v>
      </c>
      <c r="K12" s="43">
        <f t="shared" si="0"/>
        <v>4.8</v>
      </c>
      <c r="L12" s="77">
        <f t="shared" si="1"/>
        <v>3.4</v>
      </c>
      <c r="M12" s="77">
        <f t="shared" si="2"/>
        <v>1.6</v>
      </c>
      <c r="N12" s="77">
        <f t="shared" si="3"/>
        <v>0.2</v>
      </c>
      <c r="O12" s="77" t="str">
        <f t="shared" si="4"/>
        <v>blue</v>
      </c>
      <c r="P12" s="90" t="str">
        <f t="shared" si="5"/>
        <v>setosa</v>
      </c>
      <c r="Q12" s="43" t="str">
        <f t="shared" si="7"/>
        <v>setosa</v>
      </c>
      <c r="R12" s="77" cm="1">
        <f t="array" ref="R12">X$6*EstymacjaGaussowska($M12,$M$2:$M$49,X$12)*EstymacjaGaussowska($N12,$N$2:$N$49,X$13)*VLOOKUP($O12,$W$23:$AA$26,2)+Y$6*EstymacjaGaussowska($M12,$M$50:$M$90,Y$12)*EstymacjaGaussowska($N12,$N$50:$N$90,Y$13)*VLOOKUP($O12,$W$23:$AA$26,3)+Z$6*EstymacjaGaussowska($M12,$M$91:$M$151,Z$12)*EstymacjaGaussowska($N12,$N$91:$N$151,Z$13)*VLOOKUP($O12,$W$23:$AA$26,4)</f>
        <v>0.69188584677770359</v>
      </c>
      <c r="S12" s="77" cm="1">
        <f t="array" ref="S12">X$6*EstymacjaGaussowska($M12,$M$2:$M$49,X$12)*EstymacjaGaussowska($N12,$N$2:$N$49,X$13)*VLOOKUP($O12,$W$23:$AA$26,2)/$R12</f>
        <v>1</v>
      </c>
      <c r="T12" s="77" cm="1">
        <f t="array" ref="T12">Y$6*EstymacjaGaussowska($M12,$M$50:$M$90,Y$12)*EstymacjaGaussowska($N12,$N$50:$N$90,Y$13)*VLOOKUP($O12,$W$23:$AA$26,3)/$R12</f>
        <v>5.0638808033971898E-29</v>
      </c>
      <c r="U12" s="87" cm="1">
        <f t="array" ref="U12">Z$6*EstymacjaGaussowska($M12,$M$91:$M$151,Z$12)*EstymacjaGaussowska($N12,$N$91:$N$151,Z$13)*VLOOKUP($O12,$W$23:$AA$26,4)/$R12</f>
        <v>7.7628112787499016E-63</v>
      </c>
      <c r="W12" s="37" t="s">
        <v>70</v>
      </c>
      <c r="X12" s="29">
        <f>1.06*X10/X$7^(1/5)</f>
        <v>9.1082571585213504E-2</v>
      </c>
      <c r="Y12" s="29">
        <f t="shared" ref="X12:Z13" si="8">1.06*Y10/Y$7^(1/5)</f>
        <v>0.22183743233638029</v>
      </c>
      <c r="Z12" s="21">
        <f t="shared" si="8"/>
        <v>0.23881401103039732</v>
      </c>
    </row>
    <row r="13" spans="1:27" ht="15.75" thickBot="1" x14ac:dyDescent="0.3">
      <c r="A13" s="78">
        <v>12</v>
      </c>
      <c r="B13" s="9">
        <v>4.8</v>
      </c>
      <c r="C13" s="3">
        <v>3.4</v>
      </c>
      <c r="D13" s="3">
        <v>1.6</v>
      </c>
      <c r="E13" s="8">
        <v>0.2</v>
      </c>
      <c r="F13" s="9" t="s">
        <v>11</v>
      </c>
      <c r="G13" s="50" t="s">
        <v>5</v>
      </c>
      <c r="H13" s="84">
        <v>14</v>
      </c>
      <c r="I13" s="78">
        <v>12</v>
      </c>
      <c r="J13" s="79">
        <f t="shared" si="6"/>
        <v>1</v>
      </c>
      <c r="K13" s="43">
        <f t="shared" si="0"/>
        <v>4.3</v>
      </c>
      <c r="L13" s="77">
        <f t="shared" si="1"/>
        <v>3</v>
      </c>
      <c r="M13" s="77">
        <f t="shared" si="2"/>
        <v>1.1000000000000001</v>
      </c>
      <c r="N13" s="77">
        <f t="shared" si="3"/>
        <v>0.1</v>
      </c>
      <c r="O13" s="77" t="str">
        <f t="shared" si="4"/>
        <v>blue</v>
      </c>
      <c r="P13" s="90" t="str">
        <f t="shared" si="5"/>
        <v>setosa</v>
      </c>
      <c r="Q13" s="43" t="str">
        <f t="shared" si="7"/>
        <v>setosa</v>
      </c>
      <c r="R13" s="77" cm="1">
        <f t="array" ref="R13">X$6*EstymacjaGaussowska($M13,$M$2:$M$49,X$12)*EstymacjaGaussowska($N13,$N$2:$N$49,X$13)*VLOOKUP($O13,$W$23:$AA$26,2)+Y$6*EstymacjaGaussowska($M13,$M$50:$M$90,Y$12)*EstymacjaGaussowska($N13,$N$50:$N$90,Y$13)*VLOOKUP($O13,$W$23:$AA$26,3)+Z$6*EstymacjaGaussowska($M13,$M$91:$M$151,Z$12)*EstymacjaGaussowska($N13,$N$91:$N$151,Z$13)*VLOOKUP($O13,$W$23:$AA$26,4)</f>
        <v>8.7568143144675717E-2</v>
      </c>
      <c r="S13" s="77" cm="1">
        <f t="array" ref="S13">X$6*EstymacjaGaussowska($M13,$M$2:$M$49,X$12)*EstymacjaGaussowska($N13,$N$2:$N$49,X$13)*VLOOKUP($O13,$W$23:$AA$26,2)/$R13</f>
        <v>1</v>
      </c>
      <c r="T13" s="77" cm="1">
        <f t="array" ref="T13">Y$6*EstymacjaGaussowska($M13,$M$50:$M$90,Y$12)*EstymacjaGaussowska($N13,$N$50:$N$90,Y$13)*VLOOKUP($O13,$W$23:$AA$26,3)/$R13</f>
        <v>8.9790134195057151E-40</v>
      </c>
      <c r="U13" s="87" cm="1">
        <f t="array" ref="U13">Z$6*EstymacjaGaussowska($M13,$M$91:$M$151,Z$12)*EstymacjaGaussowska($N13,$N$91:$N$151,Z$13)*VLOOKUP($O13,$W$23:$AA$26,4)/$R13</f>
        <v>2.437303016780675E-78</v>
      </c>
      <c r="W13" s="38" t="s">
        <v>71</v>
      </c>
      <c r="X13" s="29">
        <f t="shared" si="8"/>
        <v>5.4134123952695602E-2</v>
      </c>
      <c r="Y13" s="29">
        <f t="shared" si="8"/>
        <v>9.1927557121510767E-2</v>
      </c>
      <c r="Z13" s="21">
        <f t="shared" si="8"/>
        <v>0.11533790835189101</v>
      </c>
    </row>
    <row r="14" spans="1:27" x14ac:dyDescent="0.25">
      <c r="A14" s="78">
        <v>13</v>
      </c>
      <c r="B14" s="9">
        <v>4.8</v>
      </c>
      <c r="C14" s="3">
        <v>3</v>
      </c>
      <c r="D14" s="3">
        <v>1.4</v>
      </c>
      <c r="E14" s="8">
        <v>0.1</v>
      </c>
      <c r="F14" s="9" t="s">
        <v>11</v>
      </c>
      <c r="G14" s="50" t="s">
        <v>5</v>
      </c>
      <c r="H14" s="84">
        <v>14</v>
      </c>
      <c r="I14" s="78">
        <v>13</v>
      </c>
      <c r="J14" s="79">
        <f t="shared" si="6"/>
        <v>0</v>
      </c>
      <c r="K14" s="43">
        <f t="shared" si="0"/>
        <v>4.3</v>
      </c>
      <c r="L14" s="77">
        <f t="shared" si="1"/>
        <v>3</v>
      </c>
      <c r="M14" s="77">
        <f t="shared" si="2"/>
        <v>1.1000000000000001</v>
      </c>
      <c r="N14" s="77">
        <f t="shared" si="3"/>
        <v>0.1</v>
      </c>
      <c r="O14" s="77" t="str">
        <f t="shared" si="4"/>
        <v>blue</v>
      </c>
      <c r="P14" s="90" t="str">
        <f t="shared" si="5"/>
        <v>setosa</v>
      </c>
      <c r="Q14" s="43" t="str">
        <f t="shared" si="7"/>
        <v>setosa</v>
      </c>
      <c r="R14" s="77" cm="1">
        <f t="array" ref="R14">X$6*EstymacjaGaussowska($M14,$M$2:$M$49,X$12)*EstymacjaGaussowska($N14,$N$2:$N$49,X$13)*VLOOKUP($O14,$W$23:$AA$26,2)+Y$6*EstymacjaGaussowska($M14,$M$50:$M$90,Y$12)*EstymacjaGaussowska($N14,$N$50:$N$90,Y$13)*VLOOKUP($O14,$W$23:$AA$26,3)+Z$6*EstymacjaGaussowska($M14,$M$91:$M$151,Z$12)*EstymacjaGaussowska($N14,$N$91:$N$151,Z$13)*VLOOKUP($O14,$W$23:$AA$26,4)</f>
        <v>8.7568143144675717E-2</v>
      </c>
      <c r="S14" s="77" cm="1">
        <f t="array" ref="S14">X$6*EstymacjaGaussowska($M14,$M$2:$M$49,X$12)*EstymacjaGaussowska($N14,$N$2:$N$49,X$13)*VLOOKUP($O14,$W$23:$AA$26,2)/$R14</f>
        <v>1</v>
      </c>
      <c r="T14" s="77" cm="1">
        <f t="array" ref="T14">Y$6*EstymacjaGaussowska($M14,$M$50:$M$90,Y$12)*EstymacjaGaussowska($N14,$N$50:$N$90,Y$13)*VLOOKUP($O14,$W$23:$AA$26,3)/$R14</f>
        <v>8.9790134195057151E-40</v>
      </c>
      <c r="U14" s="87" cm="1">
        <f t="array" ref="U14">Z$6*EstymacjaGaussowska($M14,$M$91:$M$151,Z$12)*EstymacjaGaussowska($N14,$N$91:$N$151,Z$13)*VLOOKUP($O14,$W$23:$AA$26,4)/$R14</f>
        <v>2.437303016780675E-78</v>
      </c>
    </row>
    <row r="15" spans="1:27" x14ac:dyDescent="0.25">
      <c r="A15" s="78">
        <v>14</v>
      </c>
      <c r="B15" s="9">
        <v>4.3</v>
      </c>
      <c r="C15" s="3">
        <v>3</v>
      </c>
      <c r="D15" s="3">
        <v>1.1000000000000001</v>
      </c>
      <c r="E15" s="8">
        <v>0.1</v>
      </c>
      <c r="F15" s="9" t="s">
        <v>11</v>
      </c>
      <c r="G15" s="50" t="s">
        <v>5</v>
      </c>
      <c r="H15" s="84">
        <v>14</v>
      </c>
      <c r="I15" s="78">
        <v>14</v>
      </c>
      <c r="J15" s="79">
        <f t="shared" si="6"/>
        <v>3</v>
      </c>
      <c r="K15" s="43">
        <f t="shared" si="0"/>
        <v>4.3</v>
      </c>
      <c r="L15" s="77">
        <f t="shared" si="1"/>
        <v>3</v>
      </c>
      <c r="M15" s="77">
        <f t="shared" si="2"/>
        <v>1.1000000000000001</v>
      </c>
      <c r="N15" s="77">
        <f t="shared" si="3"/>
        <v>0.1</v>
      </c>
      <c r="O15" s="77" t="str">
        <f t="shared" si="4"/>
        <v>blue</v>
      </c>
      <c r="P15" s="90" t="str">
        <f t="shared" si="5"/>
        <v>setosa</v>
      </c>
      <c r="Q15" s="43" t="str">
        <f t="shared" si="7"/>
        <v>setosa</v>
      </c>
      <c r="R15" s="77" cm="1">
        <f t="array" ref="R15">X$6*EstymacjaGaussowska($M15,$M$2:$M$49,X$12)*EstymacjaGaussowska($N15,$N$2:$N$49,X$13)*VLOOKUP($O15,$W$23:$AA$26,2)+Y$6*EstymacjaGaussowska($M15,$M$50:$M$90,Y$12)*EstymacjaGaussowska($N15,$N$50:$N$90,Y$13)*VLOOKUP($O15,$W$23:$AA$26,3)+Z$6*EstymacjaGaussowska($M15,$M$91:$M$151,Z$12)*EstymacjaGaussowska($N15,$N$91:$N$151,Z$13)*VLOOKUP($O15,$W$23:$AA$26,4)</f>
        <v>8.7568143144675717E-2</v>
      </c>
      <c r="S15" s="77" cm="1">
        <f t="array" ref="S15">X$6*EstymacjaGaussowska($M15,$M$2:$M$49,X$12)*EstymacjaGaussowska($N15,$N$2:$N$49,X$13)*VLOOKUP($O15,$W$23:$AA$26,2)/$R15</f>
        <v>1</v>
      </c>
      <c r="T15" s="77" cm="1">
        <f t="array" ref="T15">Y$6*EstymacjaGaussowska($M15,$M$50:$M$90,Y$12)*EstymacjaGaussowska($N15,$N$50:$N$90,Y$13)*VLOOKUP($O15,$W$23:$AA$26,3)/$R15</f>
        <v>8.9790134195057151E-40</v>
      </c>
      <c r="U15" s="87" cm="1">
        <f t="array" ref="U15">Z$6*EstymacjaGaussowska($M15,$M$91:$M$151,Z$12)*EstymacjaGaussowska($N15,$N$91:$N$151,Z$13)*VLOOKUP($O15,$W$23:$AA$26,4)/$R15</f>
        <v>2.437303016780675E-78</v>
      </c>
      <c r="W15" s="23" t="s">
        <v>18</v>
      </c>
      <c r="X15" s="23" t="s">
        <v>17</v>
      </c>
      <c r="Y15" s="4"/>
      <c r="Z15" s="4"/>
      <c r="AA15" s="4"/>
    </row>
    <row r="16" spans="1:27" x14ac:dyDescent="0.25">
      <c r="A16" s="78">
        <v>15</v>
      </c>
      <c r="B16" s="9">
        <v>5.8</v>
      </c>
      <c r="C16" s="3">
        <v>4</v>
      </c>
      <c r="D16" s="3">
        <v>1.2</v>
      </c>
      <c r="E16" s="8">
        <v>0.2</v>
      </c>
      <c r="F16" s="9" t="s">
        <v>11</v>
      </c>
      <c r="G16" s="50" t="s">
        <v>5</v>
      </c>
      <c r="H16" s="84">
        <v>15</v>
      </c>
      <c r="I16" s="78">
        <v>15</v>
      </c>
      <c r="J16" s="79">
        <f t="shared" si="6"/>
        <v>1</v>
      </c>
      <c r="K16" s="43">
        <f t="shared" si="0"/>
        <v>5.8</v>
      </c>
      <c r="L16" s="77">
        <f t="shared" si="1"/>
        <v>4</v>
      </c>
      <c r="M16" s="77">
        <f t="shared" si="2"/>
        <v>1.2</v>
      </c>
      <c r="N16" s="77">
        <f t="shared" si="3"/>
        <v>0.2</v>
      </c>
      <c r="O16" s="77" t="str">
        <f t="shared" si="4"/>
        <v>blue</v>
      </c>
      <c r="P16" s="90" t="str">
        <f t="shared" si="5"/>
        <v>setosa</v>
      </c>
      <c r="Q16" s="43" t="str">
        <f t="shared" si="7"/>
        <v>setosa</v>
      </c>
      <c r="R16" s="77" cm="1">
        <f t="array" ref="R16">X$6*EstymacjaGaussowska($M16,$M$2:$M$49,X$12)*EstymacjaGaussowska($N16,$N$2:$N$49,X$13)*VLOOKUP($O16,$W$23:$AA$26,2)+Y$6*EstymacjaGaussowska($M16,$M$50:$M$90,Y$12)*EstymacjaGaussowska($N16,$N$50:$N$90,Y$13)*VLOOKUP($O16,$W$23:$AA$26,3)+Z$6*EstymacjaGaussowska($M16,$M$91:$M$151,Z$12)*EstymacjaGaussowska($N16,$N$91:$N$151,Z$13)*VLOOKUP($O16,$W$23:$AA$26,4)</f>
        <v>0.3727766707011107</v>
      </c>
      <c r="S16" s="77" cm="1">
        <f t="array" ref="S16">X$6*EstymacjaGaussowska($M16,$M$2:$M$49,X$12)*EstymacjaGaussowska($N16,$N$2:$N$49,X$13)*VLOOKUP($O16,$W$23:$AA$26,2)/$R16</f>
        <v>1</v>
      </c>
      <c r="T16" s="77" cm="1">
        <f t="array" ref="T16">Y$6*EstymacjaGaussowska($M16,$M$50:$M$90,Y$12)*EstymacjaGaussowska($N16,$N$50:$N$90,Y$13)*VLOOKUP($O16,$W$23:$AA$26,3)/$R16</f>
        <v>2.1138296498243185E-34</v>
      </c>
      <c r="U16" s="87" cm="1">
        <f t="array" ref="U16">Z$6*EstymacjaGaussowska($M16,$M$91:$M$151,Z$12)*EstymacjaGaussowska($N16,$N$91:$N$151,Z$13)*VLOOKUP($O16,$W$23:$AA$26,4)/$R16</f>
        <v>5.2013708106755638E-72</v>
      </c>
      <c r="W16" s="23" t="s">
        <v>15</v>
      </c>
      <c r="X16" s="4" t="s">
        <v>5</v>
      </c>
      <c r="Y16" s="4" t="s">
        <v>6</v>
      </c>
      <c r="Z16" s="4" t="s">
        <v>7</v>
      </c>
      <c r="AA16" s="4" t="s">
        <v>16</v>
      </c>
    </row>
    <row r="17" spans="1:28" x14ac:dyDescent="0.25">
      <c r="A17" s="78">
        <v>16</v>
      </c>
      <c r="B17" s="9">
        <v>5.7</v>
      </c>
      <c r="C17" s="3">
        <v>4.4000000000000004</v>
      </c>
      <c r="D17" s="3">
        <v>1.5</v>
      </c>
      <c r="E17" s="8">
        <v>0.4</v>
      </c>
      <c r="F17" s="9" t="s">
        <v>11</v>
      </c>
      <c r="G17" s="50" t="s">
        <v>5</v>
      </c>
      <c r="H17" s="84">
        <v>16</v>
      </c>
      <c r="I17" s="78">
        <v>16</v>
      </c>
      <c r="J17" s="79">
        <f t="shared" si="6"/>
        <v>2</v>
      </c>
      <c r="K17" s="43">
        <f t="shared" si="0"/>
        <v>5.7</v>
      </c>
      <c r="L17" s="77">
        <f t="shared" si="1"/>
        <v>4.4000000000000004</v>
      </c>
      <c r="M17" s="77">
        <f t="shared" si="2"/>
        <v>1.5</v>
      </c>
      <c r="N17" s="77">
        <f t="shared" si="3"/>
        <v>0.4</v>
      </c>
      <c r="O17" s="77" t="str">
        <f t="shared" si="4"/>
        <v>blue</v>
      </c>
      <c r="P17" s="90" t="str">
        <f t="shared" si="5"/>
        <v>setosa</v>
      </c>
      <c r="Q17" s="43" t="str">
        <f t="shared" si="7"/>
        <v>setosa</v>
      </c>
      <c r="R17" s="77" cm="1">
        <f t="array" ref="R17">X$6*EstymacjaGaussowska($M17,$M$2:$M$49,X$12)*EstymacjaGaussowska($N17,$N$2:$N$49,X$13)*VLOOKUP($O17,$W$23:$AA$26,2)+Y$6*EstymacjaGaussowska($M17,$M$50:$M$90,Y$12)*EstymacjaGaussowska($N17,$N$50:$N$90,Y$13)*VLOOKUP($O17,$W$23:$AA$26,3)+Z$6*EstymacjaGaussowska($M17,$M$91:$M$151,Z$12)*EstymacjaGaussowska($N17,$N$91:$N$151,Z$13)*VLOOKUP($O17,$W$23:$AA$26,4)</f>
        <v>0.54178090964928993</v>
      </c>
      <c r="S17" s="77" cm="1">
        <f t="array" ref="S17">X$6*EstymacjaGaussowska($M17,$M$2:$M$49,X$12)*EstymacjaGaussowska($N17,$N$2:$N$49,X$13)*VLOOKUP($O17,$W$23:$AA$26,2)/$R17</f>
        <v>1</v>
      </c>
      <c r="T17" s="77" cm="1">
        <f t="array" ref="T17">Y$6*EstymacjaGaussowska($M17,$M$50:$M$90,Y$12)*EstymacjaGaussowska($N17,$N$50:$N$90,Y$13)*VLOOKUP($O17,$W$23:$AA$26,3)/$R17</f>
        <v>5.3243281139642312E-23</v>
      </c>
      <c r="U17" s="87" cm="1">
        <f t="array" ref="U17">Z$6*EstymacjaGaussowska($M17,$M$91:$M$151,Z$12)*EstymacjaGaussowska($N17,$N$91:$N$151,Z$13)*VLOOKUP($O17,$W$23:$AA$26,4)/$R17</f>
        <v>3.8465853388380333E-57</v>
      </c>
      <c r="W17" s="4" t="s">
        <v>11</v>
      </c>
      <c r="X17" s="92">
        <v>23</v>
      </c>
      <c r="Y17" s="92">
        <v>6</v>
      </c>
      <c r="Z17" s="92">
        <v>35</v>
      </c>
      <c r="AA17" s="92">
        <v>64</v>
      </c>
    </row>
    <row r="18" spans="1:28" x14ac:dyDescent="0.25">
      <c r="A18" s="78">
        <v>17</v>
      </c>
      <c r="B18" s="9">
        <v>5.4</v>
      </c>
      <c r="C18" s="3">
        <v>3.9</v>
      </c>
      <c r="D18" s="3">
        <v>1.3</v>
      </c>
      <c r="E18" s="8">
        <v>0.4</v>
      </c>
      <c r="F18" s="9" t="s">
        <v>11</v>
      </c>
      <c r="G18" s="50" t="s">
        <v>5</v>
      </c>
      <c r="H18" s="84">
        <v>16</v>
      </c>
      <c r="I18" s="78">
        <v>17</v>
      </c>
      <c r="J18" s="79">
        <f t="shared" si="6"/>
        <v>2</v>
      </c>
      <c r="K18" s="43">
        <f t="shared" si="0"/>
        <v>5.7</v>
      </c>
      <c r="L18" s="77">
        <f t="shared" si="1"/>
        <v>4.4000000000000004</v>
      </c>
      <c r="M18" s="77">
        <f t="shared" si="2"/>
        <v>1.5</v>
      </c>
      <c r="N18" s="77">
        <f t="shared" si="3"/>
        <v>0.4</v>
      </c>
      <c r="O18" s="77" t="str">
        <f t="shared" si="4"/>
        <v>blue</v>
      </c>
      <c r="P18" s="90" t="str">
        <f t="shared" si="5"/>
        <v>setosa</v>
      </c>
      <c r="Q18" s="43" t="str">
        <f t="shared" si="7"/>
        <v>setosa</v>
      </c>
      <c r="R18" s="77" cm="1">
        <f t="array" ref="R18">X$6*EstymacjaGaussowska($M18,$M$2:$M$49,X$12)*EstymacjaGaussowska($N18,$N$2:$N$49,X$13)*VLOOKUP($O18,$W$23:$AA$26,2)+Y$6*EstymacjaGaussowska($M18,$M$50:$M$90,Y$12)*EstymacjaGaussowska($N18,$N$50:$N$90,Y$13)*VLOOKUP($O18,$W$23:$AA$26,3)+Z$6*EstymacjaGaussowska($M18,$M$91:$M$151,Z$12)*EstymacjaGaussowska($N18,$N$91:$N$151,Z$13)*VLOOKUP($O18,$W$23:$AA$26,4)</f>
        <v>0.54178090964928993</v>
      </c>
      <c r="S18" s="77" cm="1">
        <f t="array" ref="S18">X$6*EstymacjaGaussowska($M18,$M$2:$M$49,X$12)*EstymacjaGaussowska($N18,$N$2:$N$49,X$13)*VLOOKUP($O18,$W$23:$AA$26,2)/$R18</f>
        <v>1</v>
      </c>
      <c r="T18" s="77" cm="1">
        <f t="array" ref="T18">Y$6*EstymacjaGaussowska($M18,$M$50:$M$90,Y$12)*EstymacjaGaussowska($N18,$N$50:$N$90,Y$13)*VLOOKUP($O18,$W$23:$AA$26,3)/$R18</f>
        <v>5.3243281139642312E-23</v>
      </c>
      <c r="U18" s="87" cm="1">
        <f t="array" ref="U18">Z$6*EstymacjaGaussowska($M18,$M$91:$M$151,Z$12)*EstymacjaGaussowska($N18,$N$91:$N$151,Z$13)*VLOOKUP($O18,$W$23:$AA$26,4)/$R18</f>
        <v>3.8465853388380333E-57</v>
      </c>
      <c r="W18" s="4" t="s">
        <v>12</v>
      </c>
      <c r="X18" s="92">
        <v>7</v>
      </c>
      <c r="Y18" s="92">
        <v>16</v>
      </c>
      <c r="Z18" s="92">
        <v>25</v>
      </c>
      <c r="AA18" s="92">
        <v>48</v>
      </c>
    </row>
    <row r="19" spans="1:28" x14ac:dyDescent="0.25">
      <c r="A19" s="78">
        <v>18</v>
      </c>
      <c r="B19" s="9">
        <v>5.0999999999999996</v>
      </c>
      <c r="C19" s="3">
        <v>3.5</v>
      </c>
      <c r="D19" s="3">
        <v>1.4</v>
      </c>
      <c r="E19" s="8">
        <v>0.3</v>
      </c>
      <c r="F19" s="9" t="s">
        <v>11</v>
      </c>
      <c r="G19" s="50" t="s">
        <v>5</v>
      </c>
      <c r="H19" s="84">
        <v>17</v>
      </c>
      <c r="I19" s="78">
        <v>18</v>
      </c>
      <c r="J19" s="79">
        <f t="shared" si="6"/>
        <v>1</v>
      </c>
      <c r="K19" s="43">
        <f t="shared" si="0"/>
        <v>5.4</v>
      </c>
      <c r="L19" s="77">
        <f t="shared" si="1"/>
        <v>3.9</v>
      </c>
      <c r="M19" s="77">
        <f t="shared" si="2"/>
        <v>1.3</v>
      </c>
      <c r="N19" s="77">
        <f t="shared" si="3"/>
        <v>0.4</v>
      </c>
      <c r="O19" s="77" t="str">
        <f t="shared" si="4"/>
        <v>blue</v>
      </c>
      <c r="P19" s="90" t="str">
        <f t="shared" si="5"/>
        <v>setosa</v>
      </c>
      <c r="Q19" s="43" t="str">
        <f t="shared" si="7"/>
        <v>setosa</v>
      </c>
      <c r="R19" s="77" cm="1">
        <f t="array" ref="R19">X$6*EstymacjaGaussowska($M19,$M$2:$M$49,X$12)*EstymacjaGaussowska($N19,$N$2:$N$49,X$13)*VLOOKUP($O19,$W$23:$AA$26,2)+Y$6*EstymacjaGaussowska($M19,$M$50:$M$90,Y$12)*EstymacjaGaussowska($N19,$N$50:$N$90,Y$13)*VLOOKUP($O19,$W$23:$AA$26,3)+Z$6*EstymacjaGaussowska($M19,$M$91:$M$151,Z$12)*EstymacjaGaussowska($N19,$N$91:$N$151,Z$13)*VLOOKUP($O19,$W$23:$AA$26,4)</f>
        <v>0.34814239732531244</v>
      </c>
      <c r="S19" s="77" cm="1">
        <f t="array" ref="S19">X$6*EstymacjaGaussowska($M19,$M$2:$M$49,X$12)*EstymacjaGaussowska($N19,$N$2:$N$49,X$13)*VLOOKUP($O19,$W$23:$AA$26,2)/$R19</f>
        <v>1</v>
      </c>
      <c r="T19" s="77" cm="1">
        <f t="array" ref="T19">Y$6*EstymacjaGaussowska($M19,$M$50:$M$90,Y$12)*EstymacjaGaussowska($N19,$N$50:$N$90,Y$13)*VLOOKUP($O19,$W$23:$AA$26,3)/$R19</f>
        <v>1.2426018403388443E-25</v>
      </c>
      <c r="U19" s="87" cm="1">
        <f t="array" ref="U19">Z$6*EstymacjaGaussowska($M19,$M$91:$M$151,Z$12)*EstymacjaGaussowska($N19,$N$91:$N$151,Z$13)*VLOOKUP($O19,$W$23:$AA$26,4)/$R19</f>
        <v>1.137361937583279E-61</v>
      </c>
      <c r="W19" s="4" t="s">
        <v>13</v>
      </c>
      <c r="X19" s="92">
        <v>9</v>
      </c>
      <c r="Y19" s="92">
        <v>8</v>
      </c>
      <c r="Z19" s="92"/>
      <c r="AA19" s="92">
        <v>17</v>
      </c>
      <c r="AB19" s="1"/>
    </row>
    <row r="20" spans="1:28" x14ac:dyDescent="0.25">
      <c r="A20" s="78">
        <v>19</v>
      </c>
      <c r="B20" s="9">
        <v>5.7</v>
      </c>
      <c r="C20" s="3">
        <v>3.8</v>
      </c>
      <c r="D20" s="3">
        <v>1.7</v>
      </c>
      <c r="E20" s="8">
        <v>0.3</v>
      </c>
      <c r="F20" s="9" t="s">
        <v>11</v>
      </c>
      <c r="G20" s="50" t="s">
        <v>5</v>
      </c>
      <c r="H20" s="84">
        <v>17</v>
      </c>
      <c r="I20" s="78">
        <v>19</v>
      </c>
      <c r="J20" s="79">
        <f t="shared" si="6"/>
        <v>1</v>
      </c>
      <c r="K20" s="43">
        <f t="shared" si="0"/>
        <v>5.4</v>
      </c>
      <c r="L20" s="77">
        <f t="shared" si="1"/>
        <v>3.9</v>
      </c>
      <c r="M20" s="77">
        <f t="shared" si="2"/>
        <v>1.3</v>
      </c>
      <c r="N20" s="77">
        <f t="shared" si="3"/>
        <v>0.4</v>
      </c>
      <c r="O20" s="77" t="str">
        <f t="shared" si="4"/>
        <v>blue</v>
      </c>
      <c r="P20" s="90" t="str">
        <f t="shared" si="5"/>
        <v>setosa</v>
      </c>
      <c r="Q20" s="43" t="str">
        <f t="shared" si="7"/>
        <v>setosa</v>
      </c>
      <c r="R20" s="77" cm="1">
        <f t="array" ref="R20">X$6*EstymacjaGaussowska($M20,$M$2:$M$49,X$12)*EstymacjaGaussowska($N20,$N$2:$N$49,X$13)*VLOOKUP($O20,$W$23:$AA$26,2)+Y$6*EstymacjaGaussowska($M20,$M$50:$M$90,Y$12)*EstymacjaGaussowska($N20,$N$50:$N$90,Y$13)*VLOOKUP($O20,$W$23:$AA$26,3)+Z$6*EstymacjaGaussowska($M20,$M$91:$M$151,Z$12)*EstymacjaGaussowska($N20,$N$91:$N$151,Z$13)*VLOOKUP($O20,$W$23:$AA$26,4)</f>
        <v>0.34814239732531244</v>
      </c>
      <c r="S20" s="77" cm="1">
        <f t="array" ref="S20">X$6*EstymacjaGaussowska($M20,$M$2:$M$49,X$12)*EstymacjaGaussowska($N20,$N$2:$N$49,X$13)*VLOOKUP($O20,$W$23:$AA$26,2)/$R20</f>
        <v>1</v>
      </c>
      <c r="T20" s="77" cm="1">
        <f t="array" ref="T20">Y$6*EstymacjaGaussowska($M20,$M$50:$M$90,Y$12)*EstymacjaGaussowska($N20,$N$50:$N$90,Y$13)*VLOOKUP($O20,$W$23:$AA$26,3)/$R20</f>
        <v>1.2426018403388443E-25</v>
      </c>
      <c r="U20" s="87" cm="1">
        <f t="array" ref="U20">Z$6*EstymacjaGaussowska($M20,$M$91:$M$151,Z$12)*EstymacjaGaussowska($N20,$N$91:$N$151,Z$13)*VLOOKUP($O20,$W$23:$AA$26,4)/$R20</f>
        <v>1.137361937583279E-61</v>
      </c>
      <c r="W20" s="4" t="s">
        <v>14</v>
      </c>
      <c r="X20" s="92">
        <v>9</v>
      </c>
      <c r="Y20" s="92">
        <v>11</v>
      </c>
      <c r="Z20" s="92">
        <v>1</v>
      </c>
      <c r="AA20" s="92">
        <v>21</v>
      </c>
    </row>
    <row r="21" spans="1:28" x14ac:dyDescent="0.25">
      <c r="A21" s="78">
        <v>20</v>
      </c>
      <c r="B21" s="9">
        <v>5.0999999999999996</v>
      </c>
      <c r="C21" s="3">
        <v>3.8</v>
      </c>
      <c r="D21" s="3">
        <v>1.5</v>
      </c>
      <c r="E21" s="8">
        <v>0.3</v>
      </c>
      <c r="F21" s="9" t="s">
        <v>11</v>
      </c>
      <c r="G21" s="50" t="s">
        <v>5</v>
      </c>
      <c r="H21" s="84">
        <v>18</v>
      </c>
      <c r="I21" s="78">
        <v>20</v>
      </c>
      <c r="J21" s="79">
        <f t="shared" si="6"/>
        <v>1</v>
      </c>
      <c r="K21" s="43">
        <f t="shared" si="0"/>
        <v>5.0999999999999996</v>
      </c>
      <c r="L21" s="77">
        <f t="shared" si="1"/>
        <v>3.5</v>
      </c>
      <c r="M21" s="77">
        <f t="shared" si="2"/>
        <v>1.4</v>
      </c>
      <c r="N21" s="77">
        <f t="shared" si="3"/>
        <v>0.3</v>
      </c>
      <c r="O21" s="77" t="str">
        <f t="shared" si="4"/>
        <v>blue</v>
      </c>
      <c r="P21" s="90" t="str">
        <f t="shared" si="5"/>
        <v>setosa</v>
      </c>
      <c r="Q21" s="43" t="str">
        <f t="shared" si="7"/>
        <v>setosa</v>
      </c>
      <c r="R21" s="77" cm="1">
        <f t="array" ref="R21">X$6*EstymacjaGaussowska($M21,$M$2:$M$49,X$12)*EstymacjaGaussowska($N21,$N$2:$N$49,X$13)*VLOOKUP($O21,$W$23:$AA$26,2)+Y$6*EstymacjaGaussowska($M21,$M$50:$M$90,Y$12)*EstymacjaGaussowska($N21,$N$50:$N$90,Y$13)*VLOOKUP($O21,$W$23:$AA$26,3)+Z$6*EstymacjaGaussowska($M21,$M$91:$M$151,Z$12)*EstymacjaGaussowska($N21,$N$91:$N$151,Z$13)*VLOOKUP($O21,$W$23:$AA$26,4)</f>
        <v>0.52562716978425073</v>
      </c>
      <c r="S21" s="77" cm="1">
        <f t="array" ref="S21">X$6*EstymacjaGaussowska($M21,$M$2:$M$49,X$12)*EstymacjaGaussowska($N21,$N$2:$N$49,X$13)*VLOOKUP($O21,$W$23:$AA$26,2)/$R21</f>
        <v>1</v>
      </c>
      <c r="T21" s="77" cm="1">
        <f t="array" ref="T21">Y$6*EstymacjaGaussowska($M21,$M$50:$M$90,Y$12)*EstymacjaGaussowska($N21,$N$50:$N$90,Y$13)*VLOOKUP($O21,$W$23:$AA$26,3)/$R21</f>
        <v>1.0734979955744853E-27</v>
      </c>
      <c r="U21" s="87" cm="1">
        <f t="array" ref="U21">Z$6*EstymacjaGaussowska($M21,$M$91:$M$151,Z$12)*EstymacjaGaussowska($N21,$N$91:$N$151,Z$13)*VLOOKUP($O21,$W$23:$AA$26,4)/$R21</f>
        <v>3.3211041266164475E-63</v>
      </c>
      <c r="W21" s="4" t="s">
        <v>16</v>
      </c>
      <c r="X21" s="92">
        <v>48</v>
      </c>
      <c r="Y21" s="92">
        <v>41</v>
      </c>
      <c r="Z21" s="92">
        <v>61</v>
      </c>
      <c r="AA21" s="92">
        <v>150</v>
      </c>
    </row>
    <row r="22" spans="1:28" ht="15.75" thickBot="1" x14ac:dyDescent="0.3">
      <c r="A22" s="78">
        <v>21</v>
      </c>
      <c r="B22" s="9">
        <v>5.4</v>
      </c>
      <c r="C22" s="3">
        <v>3.4</v>
      </c>
      <c r="D22" s="3">
        <v>1.7</v>
      </c>
      <c r="E22" s="8">
        <v>0.2</v>
      </c>
      <c r="F22" s="9" t="s">
        <v>11</v>
      </c>
      <c r="G22" s="50" t="s">
        <v>5</v>
      </c>
      <c r="H22" s="84">
        <v>19</v>
      </c>
      <c r="I22" s="78">
        <v>21</v>
      </c>
      <c r="J22" s="79">
        <f t="shared" si="6"/>
        <v>0</v>
      </c>
      <c r="K22" s="43">
        <f t="shared" si="0"/>
        <v>5.7</v>
      </c>
      <c r="L22" s="77">
        <f t="shared" si="1"/>
        <v>3.8</v>
      </c>
      <c r="M22" s="77">
        <f t="shared" si="2"/>
        <v>1.7</v>
      </c>
      <c r="N22" s="77">
        <f t="shared" si="3"/>
        <v>0.3</v>
      </c>
      <c r="O22" s="77" t="str">
        <f t="shared" si="4"/>
        <v>blue</v>
      </c>
      <c r="P22" s="90" t="str">
        <f t="shared" si="5"/>
        <v>setosa</v>
      </c>
      <c r="Q22" s="43" t="str">
        <f t="shared" si="7"/>
        <v>setosa</v>
      </c>
      <c r="R22" s="77" cm="1">
        <f t="array" ref="R22">X$6*EstymacjaGaussowska($M22,$M$2:$M$49,X$12)*EstymacjaGaussowska($N22,$N$2:$N$49,X$13)*VLOOKUP($O22,$W$23:$AA$26,2)+Y$6*EstymacjaGaussowska($M22,$M$50:$M$90,Y$12)*EstymacjaGaussowska($N22,$N$50:$N$90,Y$13)*VLOOKUP($O22,$W$23:$AA$26,3)+Z$6*EstymacjaGaussowska($M22,$M$91:$M$151,Z$12)*EstymacjaGaussowska($N22,$N$91:$N$151,Z$13)*VLOOKUP($O22,$W$23:$AA$26,4)</f>
        <v>0.17363576386218452</v>
      </c>
      <c r="S22" s="77" cm="1">
        <f t="array" ref="S22">X$6*EstymacjaGaussowska($M22,$M$2:$M$49,X$12)*EstymacjaGaussowska($N22,$N$2:$N$49,X$13)*VLOOKUP($O22,$W$23:$AA$26,2)/$R22</f>
        <v>1</v>
      </c>
      <c r="T22" s="77" cm="1">
        <f t="array" ref="T22">Y$6*EstymacjaGaussowska($M22,$M$50:$M$90,Y$12)*EstymacjaGaussowska($N22,$N$50:$N$90,Y$13)*VLOOKUP($O22,$W$23:$AA$26,3)/$R22</f>
        <v>2.2424066419373271E-23</v>
      </c>
      <c r="U22" s="87" cm="1">
        <f t="array" ref="U22">Z$6*EstymacjaGaussowska($M22,$M$91:$M$151,Z$12)*EstymacjaGaussowska($N22,$N$91:$N$151,Z$13)*VLOOKUP($O22,$W$23:$AA$26,4)/$R22</f>
        <v>5.514618246004202E-56</v>
      </c>
    </row>
    <row r="23" spans="1:28" x14ac:dyDescent="0.25">
      <c r="A23" s="78">
        <v>22</v>
      </c>
      <c r="B23" s="9">
        <v>5.0999999999999996</v>
      </c>
      <c r="C23" s="3">
        <v>3.7</v>
      </c>
      <c r="D23" s="3">
        <v>1.5</v>
      </c>
      <c r="E23" s="8">
        <v>0.4</v>
      </c>
      <c r="F23" s="9" t="s">
        <v>11</v>
      </c>
      <c r="G23" s="50" t="s">
        <v>5</v>
      </c>
      <c r="H23" s="84">
        <v>20</v>
      </c>
      <c r="I23" s="78">
        <v>22</v>
      </c>
      <c r="J23" s="79">
        <f t="shared" si="6"/>
        <v>1</v>
      </c>
      <c r="K23" s="43">
        <f t="shared" si="0"/>
        <v>5.0999999999999996</v>
      </c>
      <c r="L23" s="77">
        <f t="shared" si="1"/>
        <v>3.8</v>
      </c>
      <c r="M23" s="77">
        <f t="shared" si="2"/>
        <v>1.5</v>
      </c>
      <c r="N23" s="77">
        <f t="shared" si="3"/>
        <v>0.3</v>
      </c>
      <c r="O23" s="77" t="str">
        <f t="shared" si="4"/>
        <v>blue</v>
      </c>
      <c r="P23" s="90" t="str">
        <f t="shared" si="5"/>
        <v>setosa</v>
      </c>
      <c r="Q23" s="43" t="str">
        <f t="shared" si="7"/>
        <v>setosa</v>
      </c>
      <c r="R23" s="77" cm="1">
        <f t="array" ref="R23">X$6*EstymacjaGaussowska($M23,$M$2:$M$49,X$12)*EstymacjaGaussowska($N23,$N$2:$N$49,X$13)*VLOOKUP($O23,$W$23:$AA$26,2)+Y$6*EstymacjaGaussowska($M23,$M$50:$M$90,Y$12)*EstymacjaGaussowska($N23,$N$50:$N$90,Y$13)*VLOOKUP($O23,$W$23:$AA$26,3)+Z$6*EstymacjaGaussowska($M23,$M$91:$M$151,Z$12)*EstymacjaGaussowska($N23,$N$91:$N$151,Z$13)*VLOOKUP($O23,$W$23:$AA$26,4)</f>
        <v>0.5289350683881201</v>
      </c>
      <c r="S23" s="77" cm="1">
        <f t="array" ref="S23">X$6*EstymacjaGaussowska($M23,$M$2:$M$49,X$12)*EstymacjaGaussowska($N23,$N$2:$N$49,X$13)*VLOOKUP($O23,$W$23:$AA$26,2)/$R23</f>
        <v>1</v>
      </c>
      <c r="T23" s="77" cm="1">
        <f t="array" ref="T23">Y$6*EstymacjaGaussowska($M23,$M$50:$M$90,Y$12)*EstymacjaGaussowska($N23,$N$50:$N$90,Y$13)*VLOOKUP($O23,$W$23:$AA$26,3)/$R23</f>
        <v>2.4885793366158261E-26</v>
      </c>
      <c r="U23" s="87" cm="1">
        <f t="array" ref="U23">Z$6*EstymacjaGaussowska($M23,$M$91:$M$151,Z$12)*EstymacjaGaussowska($N23,$N$91:$N$151,Z$13)*VLOOKUP($O23,$W$23:$AA$26,4)/$R23</f>
        <v>6.9359367961582753E-61</v>
      </c>
      <c r="W23" s="25" t="str">
        <f>W17</f>
        <v>blue</v>
      </c>
      <c r="X23" s="21">
        <f>X17/$X$21</f>
        <v>0.47916666666666669</v>
      </c>
      <c r="Y23" s="21">
        <f>Y17/$Y$21</f>
        <v>0.14634146341463414</v>
      </c>
      <c r="Z23" s="21">
        <f>Z17/$Z$21</f>
        <v>0.57377049180327866</v>
      </c>
      <c r="AA23" s="22">
        <f>X23*$X$6+Y23*$Y$6+Z23*$Z$6</f>
        <v>0.41113482384823846</v>
      </c>
    </row>
    <row r="24" spans="1:28" x14ac:dyDescent="0.25">
      <c r="A24" s="78">
        <v>23</v>
      </c>
      <c r="B24" s="9">
        <v>4.5999999999999996</v>
      </c>
      <c r="C24" s="3">
        <v>3.6</v>
      </c>
      <c r="D24" s="3">
        <v>1</v>
      </c>
      <c r="E24" s="8">
        <v>0.2</v>
      </c>
      <c r="F24" s="9" t="s">
        <v>12</v>
      </c>
      <c r="G24" s="50" t="s">
        <v>5</v>
      </c>
      <c r="H24" s="84">
        <v>22</v>
      </c>
      <c r="I24" s="78">
        <v>23</v>
      </c>
      <c r="J24" s="79">
        <f t="shared" si="6"/>
        <v>0</v>
      </c>
      <c r="K24" s="43">
        <f t="shared" si="0"/>
        <v>5.0999999999999996</v>
      </c>
      <c r="L24" s="77">
        <f t="shared" si="1"/>
        <v>3.7</v>
      </c>
      <c r="M24" s="77">
        <f t="shared" si="2"/>
        <v>1.5</v>
      </c>
      <c r="N24" s="77">
        <f t="shared" si="3"/>
        <v>0.4</v>
      </c>
      <c r="O24" s="77" t="str">
        <f t="shared" si="4"/>
        <v>blue</v>
      </c>
      <c r="P24" s="90" t="str">
        <f t="shared" si="5"/>
        <v>setosa</v>
      </c>
      <c r="Q24" s="43" t="str">
        <f t="shared" si="7"/>
        <v>setosa</v>
      </c>
      <c r="R24" s="77" cm="1">
        <f t="array" ref="R24">X$6*EstymacjaGaussowska($M24,$M$2:$M$49,X$12)*EstymacjaGaussowska($N24,$N$2:$N$49,X$13)*VLOOKUP($O24,$W$23:$AA$26,2)+Y$6*EstymacjaGaussowska($M24,$M$50:$M$90,Y$12)*EstymacjaGaussowska($N24,$N$50:$N$90,Y$13)*VLOOKUP($O24,$W$23:$AA$26,3)+Z$6*EstymacjaGaussowska($M24,$M$91:$M$151,Z$12)*EstymacjaGaussowska($N24,$N$91:$N$151,Z$13)*VLOOKUP($O24,$W$23:$AA$26,4)</f>
        <v>0.54178090964928993</v>
      </c>
      <c r="S24" s="77" cm="1">
        <f t="array" ref="S24">X$6*EstymacjaGaussowska($M24,$M$2:$M$49,X$12)*EstymacjaGaussowska($N24,$N$2:$N$49,X$13)*VLOOKUP($O24,$W$23:$AA$26,2)/$R24</f>
        <v>1</v>
      </c>
      <c r="T24" s="77" cm="1">
        <f t="array" ref="T24">Y$6*EstymacjaGaussowska($M24,$M$50:$M$90,Y$12)*EstymacjaGaussowska($N24,$N$50:$N$90,Y$13)*VLOOKUP($O24,$W$23:$AA$26,3)/$R24</f>
        <v>5.3243281139642312E-23</v>
      </c>
      <c r="U24" s="87" cm="1">
        <f t="array" ref="U24">Z$6*EstymacjaGaussowska($M24,$M$91:$M$151,Z$12)*EstymacjaGaussowska($N24,$N$91:$N$151,Z$13)*VLOOKUP($O24,$W$23:$AA$26,4)/$R24</f>
        <v>3.8465853388380333E-57</v>
      </c>
      <c r="W24" s="24" t="str">
        <f>W18</f>
        <v>violet</v>
      </c>
      <c r="X24" s="21">
        <f>X18/$X$21</f>
        <v>0.14583333333333334</v>
      </c>
      <c r="Y24" s="21">
        <f>Y18/$Y$21</f>
        <v>0.3902439024390244</v>
      </c>
      <c r="Z24" s="21">
        <f>Z18/$Z$21</f>
        <v>0.4098360655737705</v>
      </c>
      <c r="AA24" s="22">
        <f>X24*$X$6+Y24*$Y$6+Z24*$Z$6</f>
        <v>0.33140582655826561</v>
      </c>
    </row>
    <row r="25" spans="1:28" x14ac:dyDescent="0.25">
      <c r="A25" s="78">
        <v>24</v>
      </c>
      <c r="B25" s="9">
        <v>5.0999999999999996</v>
      </c>
      <c r="C25" s="3">
        <v>3.3</v>
      </c>
      <c r="D25" s="3">
        <v>1.7</v>
      </c>
      <c r="E25" s="8">
        <v>0.5</v>
      </c>
      <c r="F25" s="9" t="s">
        <v>12</v>
      </c>
      <c r="G25" s="50" t="s">
        <v>5</v>
      </c>
      <c r="H25" s="84">
        <v>24</v>
      </c>
      <c r="I25" s="78">
        <v>24</v>
      </c>
      <c r="J25" s="79">
        <f t="shared" si="6"/>
        <v>2</v>
      </c>
      <c r="K25" s="43">
        <f t="shared" si="0"/>
        <v>5.0999999999999996</v>
      </c>
      <c r="L25" s="77">
        <f t="shared" si="1"/>
        <v>3.3</v>
      </c>
      <c r="M25" s="77">
        <f t="shared" si="2"/>
        <v>1.7</v>
      </c>
      <c r="N25" s="77">
        <f t="shared" si="3"/>
        <v>0.5</v>
      </c>
      <c r="O25" s="77" t="str">
        <f t="shared" si="4"/>
        <v>violet</v>
      </c>
      <c r="P25" s="90" t="str">
        <f t="shared" si="5"/>
        <v>setosa</v>
      </c>
      <c r="Q25" s="43" t="str">
        <f t="shared" si="7"/>
        <v>setosa</v>
      </c>
      <c r="R25" s="77" cm="1">
        <f t="array" ref="R25">X$6*EstymacjaGaussowska($M25,$M$2:$M$49,X$12)*EstymacjaGaussowska($N25,$N$2:$N$49,X$13)*VLOOKUP($O25,$W$23:$AA$26,2)+Y$6*EstymacjaGaussowska($M25,$M$50:$M$90,Y$12)*EstymacjaGaussowska($N25,$N$50:$N$90,Y$13)*VLOOKUP($O25,$W$23:$AA$26,3)+Z$6*EstymacjaGaussowska($M25,$M$91:$M$151,Z$12)*EstymacjaGaussowska($N25,$N$91:$N$151,Z$13)*VLOOKUP($O25,$W$23:$AA$26,4)</f>
        <v>1.7368416221211283E-2</v>
      </c>
      <c r="S25" s="77" cm="1">
        <f t="array" ref="S25">X$6*EstymacjaGaussowska($M25,$M$2:$M$49,X$12)*EstymacjaGaussowska($N25,$N$2:$N$49,X$13)*VLOOKUP($O25,$W$23:$AA$26,2)/$R25</f>
        <v>0.99999999999999922</v>
      </c>
      <c r="T25" s="77" cm="1">
        <f t="array" ref="T25">Y$6*EstymacjaGaussowska($M25,$M$50:$M$90,Y$12)*EstymacjaGaussowska($N25,$N$50:$N$90,Y$13)*VLOOKUP($O25,$W$23:$AA$26,3)/$R25</f>
        <v>8.805145907580159E-16</v>
      </c>
      <c r="U25" s="87" cm="1">
        <f t="array" ref="U25">Z$6*EstymacjaGaussowska($M25,$M$91:$M$151,Z$12)*EstymacjaGaussowska($N25,$N$91:$N$151,Z$13)*VLOOKUP($O25,$W$23:$AA$26,4)/$R25</f>
        <v>5.9923474124941082E-48</v>
      </c>
      <c r="W25" s="20" t="str">
        <f>W19</f>
        <v>white</v>
      </c>
      <c r="X25" s="21">
        <f>X19/$X$21</f>
        <v>0.1875</v>
      </c>
      <c r="Y25" s="21">
        <f>Y19/$Y$21</f>
        <v>0.1951219512195122</v>
      </c>
      <c r="Z25" s="21">
        <f>Z19/$Z$21</f>
        <v>0</v>
      </c>
      <c r="AA25" s="22">
        <f>X25*$X$6+Y25*$Y$6+Z25*$Z$6</f>
        <v>0.11368902439024391</v>
      </c>
    </row>
    <row r="26" spans="1:28" ht="15.75" thickBot="1" x14ac:dyDescent="0.3">
      <c r="A26" s="78">
        <v>25</v>
      </c>
      <c r="B26" s="9">
        <v>4.8</v>
      </c>
      <c r="C26" s="3">
        <v>3.4</v>
      </c>
      <c r="D26" s="3">
        <v>1.9</v>
      </c>
      <c r="E26" s="8">
        <v>0.2</v>
      </c>
      <c r="F26" s="9" t="s">
        <v>12</v>
      </c>
      <c r="G26" s="50" t="s">
        <v>5</v>
      </c>
      <c r="H26" s="84">
        <v>24</v>
      </c>
      <c r="I26" s="78">
        <v>25</v>
      </c>
      <c r="J26" s="79">
        <f t="shared" si="6"/>
        <v>0</v>
      </c>
      <c r="K26" s="43">
        <f t="shared" si="0"/>
        <v>5.0999999999999996</v>
      </c>
      <c r="L26" s="77">
        <f t="shared" si="1"/>
        <v>3.3</v>
      </c>
      <c r="M26" s="77">
        <f t="shared" si="2"/>
        <v>1.7</v>
      </c>
      <c r="N26" s="77">
        <f t="shared" si="3"/>
        <v>0.5</v>
      </c>
      <c r="O26" s="77" t="str">
        <f t="shared" si="4"/>
        <v>violet</v>
      </c>
      <c r="P26" s="90" t="str">
        <f t="shared" si="5"/>
        <v>setosa</v>
      </c>
      <c r="Q26" s="43" t="str">
        <f t="shared" si="7"/>
        <v>setosa</v>
      </c>
      <c r="R26" s="77" cm="1">
        <f t="array" ref="R26">X$6*EstymacjaGaussowska($M26,$M$2:$M$49,X$12)*EstymacjaGaussowska($N26,$N$2:$N$49,X$13)*VLOOKUP($O26,$W$23:$AA$26,2)+Y$6*EstymacjaGaussowska($M26,$M$50:$M$90,Y$12)*EstymacjaGaussowska($N26,$N$50:$N$90,Y$13)*VLOOKUP($O26,$W$23:$AA$26,3)+Z$6*EstymacjaGaussowska($M26,$M$91:$M$151,Z$12)*EstymacjaGaussowska($N26,$N$91:$N$151,Z$13)*VLOOKUP($O26,$W$23:$AA$26,4)</f>
        <v>1.7368416221211283E-2</v>
      </c>
      <c r="S26" s="77" cm="1">
        <f t="array" ref="S26">X$6*EstymacjaGaussowska($M26,$M$2:$M$49,X$12)*EstymacjaGaussowska($N26,$N$2:$N$49,X$13)*VLOOKUP($O26,$W$23:$AA$26,2)/$R26</f>
        <v>0.99999999999999922</v>
      </c>
      <c r="T26" s="77" cm="1">
        <f t="array" ref="T26">Y$6*EstymacjaGaussowska($M26,$M$50:$M$90,Y$12)*EstymacjaGaussowska($N26,$N$50:$N$90,Y$13)*VLOOKUP($O26,$W$23:$AA$26,3)/$R26</f>
        <v>8.805145907580159E-16</v>
      </c>
      <c r="U26" s="87" cm="1">
        <f t="array" ref="U26">Z$6*EstymacjaGaussowska($M26,$M$91:$M$151,Z$12)*EstymacjaGaussowska($N26,$N$91:$N$151,Z$13)*VLOOKUP($O26,$W$23:$AA$26,4)/$R26</f>
        <v>5.9923474124941082E-48</v>
      </c>
      <c r="W26" s="26" t="str">
        <f>W20</f>
        <v>yellow</v>
      </c>
      <c r="X26" s="21">
        <f>X20/$X$21</f>
        <v>0.1875</v>
      </c>
      <c r="Y26" s="21">
        <f>Y20/$Y$21</f>
        <v>0.26829268292682928</v>
      </c>
      <c r="Z26" s="21">
        <f>Z20/$Z$21</f>
        <v>1.6393442622950821E-2</v>
      </c>
      <c r="AA26" s="22">
        <f>X26*$X$6+Y26*$Y$6+Z26*$Z$6</f>
        <v>0.14377032520325203</v>
      </c>
    </row>
    <row r="27" spans="1:28" x14ac:dyDescent="0.25">
      <c r="A27" s="78">
        <v>26</v>
      </c>
      <c r="B27" s="9">
        <v>5</v>
      </c>
      <c r="C27" s="3">
        <v>3</v>
      </c>
      <c r="D27" s="3">
        <v>1.6</v>
      </c>
      <c r="E27" s="8">
        <v>0.2</v>
      </c>
      <c r="F27" s="9" t="s">
        <v>12</v>
      </c>
      <c r="G27" s="50" t="s">
        <v>5</v>
      </c>
      <c r="H27" s="84">
        <v>26</v>
      </c>
      <c r="I27" s="78">
        <v>26</v>
      </c>
      <c r="J27" s="79">
        <f t="shared" si="6"/>
        <v>1</v>
      </c>
      <c r="K27" s="43">
        <f t="shared" si="0"/>
        <v>5</v>
      </c>
      <c r="L27" s="77">
        <f t="shared" si="1"/>
        <v>3</v>
      </c>
      <c r="M27" s="77">
        <f t="shared" si="2"/>
        <v>1.6</v>
      </c>
      <c r="N27" s="77">
        <f t="shared" si="3"/>
        <v>0.2</v>
      </c>
      <c r="O27" s="77" t="str">
        <f t="shared" si="4"/>
        <v>violet</v>
      </c>
      <c r="P27" s="90" t="str">
        <f t="shared" si="5"/>
        <v>setosa</v>
      </c>
      <c r="Q27" s="43" t="str">
        <f t="shared" si="7"/>
        <v>setosa</v>
      </c>
      <c r="R27" s="77" cm="1">
        <f t="array" ref="R27">X$6*EstymacjaGaussowska($M27,$M$2:$M$49,X$12)*EstymacjaGaussowska($N27,$N$2:$N$49,X$13)*VLOOKUP($O27,$W$23:$AA$26,2)+Y$6*EstymacjaGaussowska($M27,$M$50:$M$90,Y$12)*EstymacjaGaussowska($N27,$N$50:$N$90,Y$13)*VLOOKUP($O27,$W$23:$AA$26,3)+Z$6*EstymacjaGaussowska($M27,$M$91:$M$151,Z$12)*EstymacjaGaussowska($N27,$N$91:$N$151,Z$13)*VLOOKUP($O27,$W$23:$AA$26,4)</f>
        <v>0.21057395336712717</v>
      </c>
      <c r="S27" s="77" cm="1">
        <f t="array" ref="S27">X$6*EstymacjaGaussowska($M27,$M$2:$M$49,X$12)*EstymacjaGaussowska($N27,$N$2:$N$49,X$13)*VLOOKUP($O27,$W$23:$AA$26,2)/$R27</f>
        <v>1</v>
      </c>
      <c r="T27" s="77" cm="1">
        <f t="array" ref="T27">Y$6*EstymacjaGaussowska($M27,$M$50:$M$90,Y$12)*EstymacjaGaussowska($N27,$N$50:$N$90,Y$13)*VLOOKUP($O27,$W$23:$AA$26,3)/$R27</f>
        <v>4.4369241325003953E-28</v>
      </c>
      <c r="U27" s="87" cm="1">
        <f t="array" ref="U27">Z$6*EstymacjaGaussowska($M27,$M$91:$M$151,Z$12)*EstymacjaGaussowska($N27,$N$91:$N$151,Z$13)*VLOOKUP($O27,$W$23:$AA$26,4)/$R27</f>
        <v>1.82188427970661E-62</v>
      </c>
    </row>
    <row r="28" spans="1:28" x14ac:dyDescent="0.25">
      <c r="A28" s="78">
        <v>27</v>
      </c>
      <c r="B28" s="9">
        <v>5</v>
      </c>
      <c r="C28" s="3">
        <v>3.4</v>
      </c>
      <c r="D28" s="3">
        <v>1.6</v>
      </c>
      <c r="E28" s="8">
        <v>0.4</v>
      </c>
      <c r="F28" s="9" t="s">
        <v>12</v>
      </c>
      <c r="G28" s="50" t="s">
        <v>5</v>
      </c>
      <c r="H28" s="84">
        <v>27</v>
      </c>
      <c r="I28" s="78">
        <v>27</v>
      </c>
      <c r="J28" s="79">
        <f t="shared" si="6"/>
        <v>1</v>
      </c>
      <c r="K28" s="43">
        <f t="shared" si="0"/>
        <v>5</v>
      </c>
      <c r="L28" s="77">
        <f t="shared" si="1"/>
        <v>3.4</v>
      </c>
      <c r="M28" s="77">
        <f t="shared" si="2"/>
        <v>1.6</v>
      </c>
      <c r="N28" s="77">
        <f t="shared" si="3"/>
        <v>0.4</v>
      </c>
      <c r="O28" s="77" t="str">
        <f t="shared" si="4"/>
        <v>violet</v>
      </c>
      <c r="P28" s="90" t="str">
        <f t="shared" si="5"/>
        <v>setosa</v>
      </c>
      <c r="Q28" s="43" t="str">
        <f t="shared" si="7"/>
        <v>setosa</v>
      </c>
      <c r="R28" s="77" cm="1">
        <f t="array" ref="R28">X$6*EstymacjaGaussowska($M28,$M$2:$M$49,X$12)*EstymacjaGaussowska($N28,$N$2:$N$49,X$13)*VLOOKUP($O28,$W$23:$AA$26,2)+Y$6*EstymacjaGaussowska($M28,$M$50:$M$90,Y$12)*EstymacjaGaussowska($N28,$N$50:$N$90,Y$13)*VLOOKUP($O28,$W$23:$AA$26,3)+Z$6*EstymacjaGaussowska($M28,$M$91:$M$151,Z$12)*EstymacjaGaussowska($N28,$N$91:$N$151,Z$13)*VLOOKUP($O28,$W$23:$AA$26,4)</f>
        <v>0.10430165213602341</v>
      </c>
      <c r="S28" s="77" cm="1">
        <f t="array" ref="S28">X$6*EstymacjaGaussowska($M28,$M$2:$M$49,X$12)*EstymacjaGaussowska($N28,$N$2:$N$49,X$13)*VLOOKUP($O28,$W$23:$AA$26,2)/$R28</f>
        <v>1</v>
      </c>
      <c r="T28" s="77" cm="1">
        <f t="array" ref="T28">Y$6*EstymacjaGaussowska($M28,$M$50:$M$90,Y$12)*EstymacjaGaussowska($N28,$N$50:$N$90,Y$13)*VLOOKUP($O28,$W$23:$AA$26,3)/$R28</f>
        <v>1.4040768686032874E-20</v>
      </c>
      <c r="U28" s="87" cm="1">
        <f t="array" ref="U28">Z$6*EstymacjaGaussowska($M28,$M$91:$M$151,Z$12)*EstymacjaGaussowska($N28,$N$91:$N$151,Z$13)*VLOOKUP($O28,$W$23:$AA$26,4)/$R28</f>
        <v>2.5169695248802998E-54</v>
      </c>
    </row>
    <row r="29" spans="1:28" x14ac:dyDescent="0.25">
      <c r="A29" s="78">
        <v>28</v>
      </c>
      <c r="B29" s="9">
        <v>5.2</v>
      </c>
      <c r="C29" s="3">
        <v>3.5</v>
      </c>
      <c r="D29" s="3">
        <v>1.5</v>
      </c>
      <c r="E29" s="8">
        <v>0.2</v>
      </c>
      <c r="F29" s="9" t="s">
        <v>12</v>
      </c>
      <c r="G29" s="50" t="s">
        <v>5</v>
      </c>
      <c r="H29" s="84">
        <v>28</v>
      </c>
      <c r="I29" s="78">
        <v>28</v>
      </c>
      <c r="J29" s="79">
        <f t="shared" si="6"/>
        <v>2</v>
      </c>
      <c r="K29" s="43">
        <f t="shared" si="0"/>
        <v>5.2</v>
      </c>
      <c r="L29" s="77">
        <f t="shared" si="1"/>
        <v>3.5</v>
      </c>
      <c r="M29" s="77">
        <f t="shared" si="2"/>
        <v>1.5</v>
      </c>
      <c r="N29" s="77">
        <f t="shared" si="3"/>
        <v>0.2</v>
      </c>
      <c r="O29" s="77" t="str">
        <f t="shared" si="4"/>
        <v>violet</v>
      </c>
      <c r="P29" s="90" t="str">
        <f t="shared" si="5"/>
        <v>setosa</v>
      </c>
      <c r="Q29" s="43" t="str">
        <f t="shared" si="7"/>
        <v>setosa</v>
      </c>
      <c r="R29" s="77" cm="1">
        <f t="array" ref="R29">X$6*EstymacjaGaussowska($M29,$M$2:$M$49,X$12)*EstymacjaGaussowska($N29,$N$2:$N$49,X$13)*VLOOKUP($O29,$W$23:$AA$26,2)+Y$6*EstymacjaGaussowska($M29,$M$50:$M$90,Y$12)*EstymacjaGaussowska($N29,$N$50:$N$90,Y$13)*VLOOKUP($O29,$W$23:$AA$26,3)+Z$6*EstymacjaGaussowska($M29,$M$91:$M$151,Z$12)*EstymacjaGaussowska($N29,$N$91:$N$151,Z$13)*VLOOKUP($O29,$W$23:$AA$26,4)</f>
        <v>0.33289507120064404</v>
      </c>
      <c r="S29" s="77" cm="1">
        <f t="array" ref="S29">X$6*EstymacjaGaussowska($M29,$M$2:$M$49,X$12)*EstymacjaGaussowska($N29,$N$2:$N$49,X$13)*VLOOKUP($O29,$W$23:$AA$26,2)/$R29</f>
        <v>1</v>
      </c>
      <c r="T29" s="77" cm="1">
        <f t="array" ref="T29">Y$6*EstymacjaGaussowska($M29,$M$50:$M$90,Y$12)*EstymacjaGaussowska($N29,$N$50:$N$90,Y$13)*VLOOKUP($O29,$W$23:$AA$26,3)/$R29</f>
        <v>1.474193383183135E-29</v>
      </c>
      <c r="U29" s="87" cm="1">
        <f t="array" ref="U29">Z$6*EstymacjaGaussowska($M29,$M$91:$M$151,Z$12)*EstymacjaGaussowska($N29,$N$91:$N$151,Z$13)*VLOOKUP($O29,$W$23:$AA$26,4)/$R29</f>
        <v>6.5346143720105862E-65</v>
      </c>
    </row>
    <row r="30" spans="1:28" x14ac:dyDescent="0.25">
      <c r="A30" s="78">
        <v>29</v>
      </c>
      <c r="B30" s="9">
        <v>5.2</v>
      </c>
      <c r="C30" s="3">
        <v>3.4</v>
      </c>
      <c r="D30" s="3">
        <v>1.4</v>
      </c>
      <c r="E30" s="8">
        <v>0.2</v>
      </c>
      <c r="F30" s="9" t="s">
        <v>12</v>
      </c>
      <c r="G30" s="50" t="s">
        <v>5</v>
      </c>
      <c r="H30" s="84">
        <v>28</v>
      </c>
      <c r="I30" s="78">
        <v>29</v>
      </c>
      <c r="J30" s="79">
        <f t="shared" si="6"/>
        <v>1</v>
      </c>
      <c r="K30" s="43">
        <f t="shared" si="0"/>
        <v>5.2</v>
      </c>
      <c r="L30" s="77">
        <f t="shared" si="1"/>
        <v>3.5</v>
      </c>
      <c r="M30" s="77">
        <f t="shared" si="2"/>
        <v>1.5</v>
      </c>
      <c r="N30" s="77">
        <f t="shared" si="3"/>
        <v>0.2</v>
      </c>
      <c r="O30" s="77" t="str">
        <f t="shared" si="4"/>
        <v>violet</v>
      </c>
      <c r="P30" s="90" t="str">
        <f t="shared" si="5"/>
        <v>setosa</v>
      </c>
      <c r="Q30" s="43" t="str">
        <f t="shared" si="7"/>
        <v>setosa</v>
      </c>
      <c r="R30" s="77" cm="1">
        <f t="array" ref="R30">X$6*EstymacjaGaussowska($M30,$M$2:$M$49,X$12)*EstymacjaGaussowska($N30,$N$2:$N$49,X$13)*VLOOKUP($O30,$W$23:$AA$26,2)+Y$6*EstymacjaGaussowska($M30,$M$50:$M$90,Y$12)*EstymacjaGaussowska($N30,$N$50:$N$90,Y$13)*VLOOKUP($O30,$W$23:$AA$26,3)+Z$6*EstymacjaGaussowska($M30,$M$91:$M$151,Z$12)*EstymacjaGaussowska($N30,$N$91:$N$151,Z$13)*VLOOKUP($O30,$W$23:$AA$26,4)</f>
        <v>0.33289507120064404</v>
      </c>
      <c r="S30" s="77" cm="1">
        <f t="array" ref="S30">X$6*EstymacjaGaussowska($M30,$M$2:$M$49,X$12)*EstymacjaGaussowska($N30,$N$2:$N$49,X$13)*VLOOKUP($O30,$W$23:$AA$26,2)/$R30</f>
        <v>1</v>
      </c>
      <c r="T30" s="77" cm="1">
        <f t="array" ref="T30">Y$6*EstymacjaGaussowska($M30,$M$50:$M$90,Y$12)*EstymacjaGaussowska($N30,$N$50:$N$90,Y$13)*VLOOKUP($O30,$W$23:$AA$26,3)/$R30</f>
        <v>1.474193383183135E-29</v>
      </c>
      <c r="U30" s="87" cm="1">
        <f t="array" ref="U30">Z$6*EstymacjaGaussowska($M30,$M$91:$M$151,Z$12)*EstymacjaGaussowska($N30,$N$91:$N$151,Z$13)*VLOOKUP($O30,$W$23:$AA$26,4)/$R30</f>
        <v>6.5346143720105862E-65</v>
      </c>
    </row>
    <row r="31" spans="1:28" x14ac:dyDescent="0.25">
      <c r="A31" s="78">
        <v>30</v>
      </c>
      <c r="B31" s="9">
        <v>4.7</v>
      </c>
      <c r="C31" s="3">
        <v>3.2</v>
      </c>
      <c r="D31" s="3">
        <v>1.6</v>
      </c>
      <c r="E31" s="8">
        <v>0.2</v>
      </c>
      <c r="F31" s="9" t="s">
        <v>12</v>
      </c>
      <c r="G31" s="50" t="s">
        <v>5</v>
      </c>
      <c r="H31" s="84">
        <v>29</v>
      </c>
      <c r="I31" s="78">
        <v>30</v>
      </c>
      <c r="J31" s="79">
        <f t="shared" si="6"/>
        <v>0</v>
      </c>
      <c r="K31" s="43">
        <f t="shared" si="0"/>
        <v>5.2</v>
      </c>
      <c r="L31" s="77">
        <f t="shared" si="1"/>
        <v>3.4</v>
      </c>
      <c r="M31" s="77">
        <f t="shared" si="2"/>
        <v>1.4</v>
      </c>
      <c r="N31" s="77">
        <f t="shared" si="3"/>
        <v>0.2</v>
      </c>
      <c r="O31" s="77" t="str">
        <f t="shared" si="4"/>
        <v>violet</v>
      </c>
      <c r="P31" s="90" t="str">
        <f t="shared" si="5"/>
        <v>setosa</v>
      </c>
      <c r="Q31" s="43" t="str">
        <f t="shared" si="7"/>
        <v>setosa</v>
      </c>
      <c r="R31" s="77" cm="1">
        <f t="array" ref="R31">X$6*EstymacjaGaussowska($M31,$M$2:$M$49,X$12)*EstymacjaGaussowska($N31,$N$2:$N$49,X$13)*VLOOKUP($O31,$W$23:$AA$26,2)+Y$6*EstymacjaGaussowska($M31,$M$50:$M$90,Y$12)*EstymacjaGaussowska($N31,$N$50:$N$90,Y$13)*VLOOKUP($O31,$W$23:$AA$26,3)+Z$6*EstymacjaGaussowska($M31,$M$91:$M$151,Z$12)*EstymacjaGaussowska($N31,$N$91:$N$151,Z$13)*VLOOKUP($O31,$W$23:$AA$26,4)</f>
        <v>0.33081318401434845</v>
      </c>
      <c r="S31" s="77" cm="1">
        <f t="array" ref="S31">X$6*EstymacjaGaussowska($M31,$M$2:$M$49,X$12)*EstymacjaGaussowska($N31,$N$2:$N$49,X$13)*VLOOKUP($O31,$W$23:$AA$26,2)/$R31</f>
        <v>1</v>
      </c>
      <c r="T31" s="77" cm="1">
        <f t="array" ref="T31">Y$6*EstymacjaGaussowska($M31,$M$50:$M$90,Y$12)*EstymacjaGaussowska($N31,$N$50:$N$90,Y$13)*VLOOKUP($O31,$W$23:$AA$26,3)/$R31</f>
        <v>6.3592251958835955E-31</v>
      </c>
      <c r="U31" s="87" cm="1">
        <f t="array" ref="U31">Z$6*EstymacjaGaussowska($M31,$M$91:$M$151,Z$12)*EstymacjaGaussowska($N31,$N$91:$N$151,Z$13)*VLOOKUP($O31,$W$23:$AA$26,4)/$R31</f>
        <v>3.1289406744236822E-67</v>
      </c>
    </row>
    <row r="32" spans="1:28" x14ac:dyDescent="0.25">
      <c r="A32" s="78">
        <v>31</v>
      </c>
      <c r="B32" s="9">
        <v>4.8</v>
      </c>
      <c r="C32" s="3">
        <v>3.1</v>
      </c>
      <c r="D32" s="3">
        <v>1.6</v>
      </c>
      <c r="E32" s="8">
        <v>0.2</v>
      </c>
      <c r="F32" s="9" t="s">
        <v>12</v>
      </c>
      <c r="G32" s="50" t="s">
        <v>5</v>
      </c>
      <c r="H32" s="84">
        <v>32</v>
      </c>
      <c r="I32" s="78">
        <v>31</v>
      </c>
      <c r="J32" s="79">
        <f t="shared" si="6"/>
        <v>0</v>
      </c>
      <c r="K32" s="43">
        <f t="shared" si="0"/>
        <v>5.4</v>
      </c>
      <c r="L32" s="77">
        <f t="shared" si="1"/>
        <v>3.4</v>
      </c>
      <c r="M32" s="77">
        <f t="shared" si="2"/>
        <v>1.5</v>
      </c>
      <c r="N32" s="77">
        <f t="shared" si="3"/>
        <v>0.4</v>
      </c>
      <c r="O32" s="77" t="str">
        <f t="shared" si="4"/>
        <v>white</v>
      </c>
      <c r="P32" s="90" t="str">
        <f t="shared" si="5"/>
        <v>setosa</v>
      </c>
      <c r="Q32" s="43" t="str">
        <f t="shared" si="7"/>
        <v>setosa</v>
      </c>
      <c r="R32" s="77" cm="1">
        <f t="array" ref="R32">X$6*EstymacjaGaussowska($M32,$M$2:$M$49,X$12)*EstymacjaGaussowska($N32,$N$2:$N$49,X$13)*VLOOKUP($O32,$W$23:$AA$26,2)+Y$6*EstymacjaGaussowska($M32,$M$50:$M$90,Y$12)*EstymacjaGaussowska($N32,$N$50:$N$90,Y$13)*VLOOKUP($O32,$W$23:$AA$26,3)+Z$6*EstymacjaGaussowska($M32,$M$91:$M$151,Z$12)*EstymacjaGaussowska($N32,$N$91:$N$151,Z$13)*VLOOKUP($O32,$W$23:$AA$26,4)</f>
        <v>0.21200122551493955</v>
      </c>
      <c r="S32" s="77" cm="1">
        <f t="array" ref="S32">X$6*EstymacjaGaussowska($M32,$M$2:$M$49,X$12)*EstymacjaGaussowska($N32,$N$2:$N$49,X$13)*VLOOKUP($O32,$W$23:$AA$26,2)/$R32</f>
        <v>1</v>
      </c>
      <c r="T32" s="77" cm="1">
        <f t="array" ref="T32">Y$6*EstymacjaGaussowska($M32,$M$50:$M$90,Y$12)*EstymacjaGaussowska($N32,$N$50:$N$90,Y$13)*VLOOKUP($O32,$W$23:$AA$26,3)/$R32</f>
        <v>1.8142155054989236E-22</v>
      </c>
      <c r="U32" s="87" cm="1">
        <f t="array" ref="U32">Z$6*EstymacjaGaussowska($M32,$M$91:$M$151,Z$12)*EstymacjaGaussowska($N32,$N$91:$N$151,Z$13)*VLOOKUP($O32,$W$23:$AA$26,4)/$R32</f>
        <v>0</v>
      </c>
    </row>
    <row r="33" spans="1:28" x14ac:dyDescent="0.25">
      <c r="A33" s="78">
        <v>32</v>
      </c>
      <c r="B33" s="9">
        <v>5.4</v>
      </c>
      <c r="C33" s="3">
        <v>3.4</v>
      </c>
      <c r="D33" s="3">
        <v>1.5</v>
      </c>
      <c r="E33" s="8">
        <v>0.4</v>
      </c>
      <c r="F33" s="9" t="s">
        <v>13</v>
      </c>
      <c r="G33" s="50" t="s">
        <v>5</v>
      </c>
      <c r="H33" s="84">
        <v>33</v>
      </c>
      <c r="I33" s="78">
        <v>32</v>
      </c>
      <c r="J33" s="79">
        <f t="shared" si="6"/>
        <v>1</v>
      </c>
      <c r="K33" s="43">
        <f t="shared" si="0"/>
        <v>5.2</v>
      </c>
      <c r="L33" s="77">
        <f t="shared" si="1"/>
        <v>4.0999999999999996</v>
      </c>
      <c r="M33" s="77">
        <f t="shared" si="2"/>
        <v>1.5</v>
      </c>
      <c r="N33" s="77">
        <f t="shared" si="3"/>
        <v>0.1</v>
      </c>
      <c r="O33" s="77" t="str">
        <f t="shared" si="4"/>
        <v>white</v>
      </c>
      <c r="P33" s="90" t="str">
        <f t="shared" si="5"/>
        <v>setosa</v>
      </c>
      <c r="Q33" s="43" t="str">
        <f t="shared" si="7"/>
        <v>setosa</v>
      </c>
      <c r="R33" s="77" cm="1">
        <f t="array" ref="R33">X$6*EstymacjaGaussowska($M33,$M$2:$M$49,X$12)*EstymacjaGaussowska($N33,$N$2:$N$49,X$13)*VLOOKUP($O33,$W$23:$AA$26,2)+Y$6*EstymacjaGaussowska($M33,$M$50:$M$90,Y$12)*EstymacjaGaussowska($N33,$N$50:$N$90,Y$13)*VLOOKUP($O33,$W$23:$AA$26,3)+Z$6*EstymacjaGaussowska($M33,$M$91:$M$151,Z$12)*EstymacjaGaussowska($N33,$N$91:$N$151,Z$13)*VLOOKUP($O33,$W$23:$AA$26,4)</f>
        <v>0.17300519559049882</v>
      </c>
      <c r="S33" s="77" cm="1">
        <f t="array" ref="S33">X$6*EstymacjaGaussowska($M33,$M$2:$M$49,X$12)*EstymacjaGaussowska($N33,$N$2:$N$49,X$13)*VLOOKUP($O33,$W$23:$AA$26,2)/$R33</f>
        <v>1</v>
      </c>
      <c r="T33" s="77" cm="1">
        <f t="array" ref="T33">Y$6*EstymacjaGaussowska($M33,$M$50:$M$90,Y$12)*EstymacjaGaussowska($N33,$N$50:$N$90,Y$13)*VLOOKUP($O33,$W$23:$AA$26,3)/$R33</f>
        <v>6.0737022458930227E-34</v>
      </c>
      <c r="U33" s="87" cm="1">
        <f t="array" ref="U33">Z$6*EstymacjaGaussowska($M33,$M$91:$M$151,Z$12)*EstymacjaGaussowska($N33,$N$91:$N$151,Z$13)*VLOOKUP($O33,$W$23:$AA$26,4)/$R33</f>
        <v>0</v>
      </c>
    </row>
    <row r="34" spans="1:28" x14ac:dyDescent="0.25">
      <c r="A34" s="78">
        <v>33</v>
      </c>
      <c r="B34" s="9">
        <v>5.2</v>
      </c>
      <c r="C34" s="3">
        <v>4.0999999999999996</v>
      </c>
      <c r="D34" s="3">
        <v>1.5</v>
      </c>
      <c r="E34" s="8">
        <v>0.1</v>
      </c>
      <c r="F34" s="9" t="s">
        <v>13</v>
      </c>
      <c r="G34" s="50" t="s">
        <v>5</v>
      </c>
      <c r="H34" s="84">
        <v>34</v>
      </c>
      <c r="I34" s="78">
        <v>33</v>
      </c>
      <c r="J34" s="79">
        <f t="shared" ref="J34:J65" si="9">COUNTIF($H$2:$H$151,I34)</f>
        <v>1</v>
      </c>
      <c r="K34" s="43">
        <f t="shared" ref="K34:K65" si="10">VLOOKUP($H34,$A$2:$F$151,2,FALSE)</f>
        <v>5.5</v>
      </c>
      <c r="L34" s="77">
        <f t="shared" ref="L34:L65" si="11">VLOOKUP($H34,$A$2:$F$151,3,FALSE)</f>
        <v>4.2</v>
      </c>
      <c r="M34" s="77">
        <f t="shared" ref="M34:M65" si="12">VLOOKUP($H34,$A$2:$F$151,4,FALSE)</f>
        <v>1.4</v>
      </c>
      <c r="N34" s="77">
        <f t="shared" ref="N34:N65" si="13">VLOOKUP($H34,$A$2:$F$151,5,FALSE)</f>
        <v>0.2</v>
      </c>
      <c r="O34" s="77" t="str">
        <f t="shared" ref="O34:O65" si="14">VLOOKUP($H34,$A$2:$F$151,6,FALSE)</f>
        <v>white</v>
      </c>
      <c r="P34" s="90" t="str">
        <f t="shared" ref="P34:P65" si="15">VLOOKUP($H34,$A$2:$G$151,7,FALSE)</f>
        <v>setosa</v>
      </c>
      <c r="Q34" s="43" t="str">
        <f t="shared" si="7"/>
        <v>setosa</v>
      </c>
      <c r="R34" s="77" cm="1">
        <f t="array" ref="R34">X$6*EstymacjaGaussowska($M34,$M$2:$M$49,X$12)*EstymacjaGaussowska($N34,$N$2:$N$49,X$13)*VLOOKUP($O34,$W$23:$AA$26,2)+Y$6*EstymacjaGaussowska($M34,$M$50:$M$90,Y$12)*EstymacjaGaussowska($N34,$N$50:$N$90,Y$13)*VLOOKUP($O34,$W$23:$AA$26,3)+Z$6*EstymacjaGaussowska($M34,$M$91:$M$151,Z$12)*EstymacjaGaussowska($N34,$N$91:$N$151,Z$13)*VLOOKUP($O34,$W$23:$AA$26,4)</f>
        <v>0.42533123658987659</v>
      </c>
      <c r="S34" s="77" cm="1">
        <f t="array" ref="S34">X$6*EstymacjaGaussowska($M34,$M$2:$M$49,X$12)*EstymacjaGaussowska($N34,$N$2:$N$49,X$13)*VLOOKUP($O34,$W$23:$AA$26,2)/$R34</f>
        <v>1</v>
      </c>
      <c r="T34" s="77" cm="1">
        <f t="array" ref="T34">Y$6*EstymacjaGaussowska($M34,$M$50:$M$90,Y$12)*EstymacjaGaussowska($N34,$N$50:$N$90,Y$13)*VLOOKUP($O34,$W$23:$AA$26,3)/$R34</f>
        <v>2.4730320206213985E-31</v>
      </c>
      <c r="U34" s="87" cm="1">
        <f t="array" ref="U34">Z$6*EstymacjaGaussowska($M34,$M$91:$M$151,Z$12)*EstymacjaGaussowska($N34,$N$91:$N$151,Z$13)*VLOOKUP($O34,$W$23:$AA$26,4)/$R34</f>
        <v>0</v>
      </c>
    </row>
    <row r="35" spans="1:28" x14ac:dyDescent="0.25">
      <c r="A35" s="78">
        <v>34</v>
      </c>
      <c r="B35" s="9">
        <v>5.5</v>
      </c>
      <c r="C35" s="3">
        <v>4.2</v>
      </c>
      <c r="D35" s="3">
        <v>1.4</v>
      </c>
      <c r="E35" s="8">
        <v>0.2</v>
      </c>
      <c r="F35" s="9" t="s">
        <v>13</v>
      </c>
      <c r="G35" s="50" t="s">
        <v>5</v>
      </c>
      <c r="H35" s="84">
        <v>34</v>
      </c>
      <c r="I35" s="78">
        <v>34</v>
      </c>
      <c r="J35" s="79">
        <f t="shared" si="9"/>
        <v>4</v>
      </c>
      <c r="K35" s="43">
        <f t="shared" si="10"/>
        <v>5.5</v>
      </c>
      <c r="L35" s="77">
        <f t="shared" si="11"/>
        <v>4.2</v>
      </c>
      <c r="M35" s="77">
        <f t="shared" si="12"/>
        <v>1.4</v>
      </c>
      <c r="N35" s="77">
        <f t="shared" si="13"/>
        <v>0.2</v>
      </c>
      <c r="O35" s="77" t="str">
        <f t="shared" si="14"/>
        <v>white</v>
      </c>
      <c r="P35" s="90" t="str">
        <f t="shared" si="15"/>
        <v>setosa</v>
      </c>
      <c r="Q35" s="43" t="str">
        <f t="shared" si="7"/>
        <v>setosa</v>
      </c>
      <c r="R35" s="77" cm="1">
        <f t="array" ref="R35">X$6*EstymacjaGaussowska($M35,$M$2:$M$49,X$12)*EstymacjaGaussowska($N35,$N$2:$N$49,X$13)*VLOOKUP($O35,$W$23:$AA$26,2)+Y$6*EstymacjaGaussowska($M35,$M$50:$M$90,Y$12)*EstymacjaGaussowska($N35,$N$50:$N$90,Y$13)*VLOOKUP($O35,$W$23:$AA$26,3)+Z$6*EstymacjaGaussowska($M35,$M$91:$M$151,Z$12)*EstymacjaGaussowska($N35,$N$91:$N$151,Z$13)*VLOOKUP($O35,$W$23:$AA$26,4)</f>
        <v>0.42533123658987659</v>
      </c>
      <c r="S35" s="77" cm="1">
        <f t="array" ref="S35">X$6*EstymacjaGaussowska($M35,$M$2:$M$49,X$12)*EstymacjaGaussowska($N35,$N$2:$N$49,X$13)*VLOOKUP($O35,$W$23:$AA$26,2)/$R35</f>
        <v>1</v>
      </c>
      <c r="T35" s="77" cm="1">
        <f t="array" ref="T35">Y$6*EstymacjaGaussowska($M35,$M$50:$M$90,Y$12)*EstymacjaGaussowska($N35,$N$50:$N$90,Y$13)*VLOOKUP($O35,$W$23:$AA$26,3)/$R35</f>
        <v>2.4730320206213985E-31</v>
      </c>
      <c r="U35" s="87" cm="1">
        <f t="array" ref="U35">Z$6*EstymacjaGaussowska($M35,$M$91:$M$151,Z$12)*EstymacjaGaussowska($N35,$N$91:$N$151,Z$13)*VLOOKUP($O35,$W$23:$AA$26,4)/$R35</f>
        <v>0</v>
      </c>
    </row>
    <row r="36" spans="1:28" x14ac:dyDescent="0.25">
      <c r="A36" s="78">
        <v>35</v>
      </c>
      <c r="B36" s="9">
        <v>4.9000000000000004</v>
      </c>
      <c r="C36" s="3">
        <v>3.1</v>
      </c>
      <c r="D36" s="3">
        <v>1.5</v>
      </c>
      <c r="E36" s="8">
        <v>0.2</v>
      </c>
      <c r="F36" s="9" t="s">
        <v>13</v>
      </c>
      <c r="G36" s="50" t="s">
        <v>5</v>
      </c>
      <c r="H36" s="84">
        <v>34</v>
      </c>
      <c r="I36" s="78">
        <v>35</v>
      </c>
      <c r="J36" s="79">
        <f t="shared" si="9"/>
        <v>1</v>
      </c>
      <c r="K36" s="43">
        <f t="shared" si="10"/>
        <v>5.5</v>
      </c>
      <c r="L36" s="77">
        <f t="shared" si="11"/>
        <v>4.2</v>
      </c>
      <c r="M36" s="77">
        <f t="shared" si="12"/>
        <v>1.4</v>
      </c>
      <c r="N36" s="77">
        <f t="shared" si="13"/>
        <v>0.2</v>
      </c>
      <c r="O36" s="77" t="str">
        <f t="shared" si="14"/>
        <v>white</v>
      </c>
      <c r="P36" s="90" t="str">
        <f t="shared" si="15"/>
        <v>setosa</v>
      </c>
      <c r="Q36" s="43" t="str">
        <f t="shared" si="7"/>
        <v>setosa</v>
      </c>
      <c r="R36" s="77" cm="1">
        <f t="array" ref="R36">X$6*EstymacjaGaussowska($M36,$M$2:$M$49,X$12)*EstymacjaGaussowska($N36,$N$2:$N$49,X$13)*VLOOKUP($O36,$W$23:$AA$26,2)+Y$6*EstymacjaGaussowska($M36,$M$50:$M$90,Y$12)*EstymacjaGaussowska($N36,$N$50:$N$90,Y$13)*VLOOKUP($O36,$W$23:$AA$26,3)+Z$6*EstymacjaGaussowska($M36,$M$91:$M$151,Z$12)*EstymacjaGaussowska($N36,$N$91:$N$151,Z$13)*VLOOKUP($O36,$W$23:$AA$26,4)</f>
        <v>0.42533123658987659</v>
      </c>
      <c r="S36" s="77" cm="1">
        <f t="array" ref="S36">X$6*EstymacjaGaussowska($M36,$M$2:$M$49,X$12)*EstymacjaGaussowska($N36,$N$2:$N$49,X$13)*VLOOKUP($O36,$W$23:$AA$26,2)/$R36</f>
        <v>1</v>
      </c>
      <c r="T36" s="77" cm="1">
        <f t="array" ref="T36">Y$6*EstymacjaGaussowska($M36,$M$50:$M$90,Y$12)*EstymacjaGaussowska($N36,$N$50:$N$90,Y$13)*VLOOKUP($O36,$W$23:$AA$26,3)/$R36</f>
        <v>2.4730320206213985E-31</v>
      </c>
      <c r="U36" s="87" cm="1">
        <f t="array" ref="U36">Z$6*EstymacjaGaussowska($M36,$M$91:$M$151,Z$12)*EstymacjaGaussowska($N36,$N$91:$N$151,Z$13)*VLOOKUP($O36,$W$23:$AA$26,4)/$R36</f>
        <v>0</v>
      </c>
    </row>
    <row r="37" spans="1:28" x14ac:dyDescent="0.25">
      <c r="A37" s="78">
        <v>36</v>
      </c>
      <c r="B37" s="9">
        <v>5</v>
      </c>
      <c r="C37" s="3">
        <v>3.2</v>
      </c>
      <c r="D37" s="3">
        <v>1.2</v>
      </c>
      <c r="E37" s="8">
        <v>0.2</v>
      </c>
      <c r="F37" s="9" t="s">
        <v>13</v>
      </c>
      <c r="G37" s="50" t="s">
        <v>5</v>
      </c>
      <c r="H37" s="84">
        <v>34</v>
      </c>
      <c r="I37" s="78">
        <v>36</v>
      </c>
      <c r="J37" s="79">
        <f t="shared" si="9"/>
        <v>1</v>
      </c>
      <c r="K37" s="43">
        <f t="shared" si="10"/>
        <v>5.5</v>
      </c>
      <c r="L37" s="77">
        <f t="shared" si="11"/>
        <v>4.2</v>
      </c>
      <c r="M37" s="77">
        <f t="shared" si="12"/>
        <v>1.4</v>
      </c>
      <c r="N37" s="77">
        <f t="shared" si="13"/>
        <v>0.2</v>
      </c>
      <c r="O37" s="77" t="str">
        <f t="shared" si="14"/>
        <v>white</v>
      </c>
      <c r="P37" s="90" t="str">
        <f t="shared" si="15"/>
        <v>setosa</v>
      </c>
      <c r="Q37" s="43" t="str">
        <f t="shared" si="7"/>
        <v>setosa</v>
      </c>
      <c r="R37" s="77" cm="1">
        <f t="array" ref="R37">X$6*EstymacjaGaussowska($M37,$M$2:$M$49,X$12)*EstymacjaGaussowska($N37,$N$2:$N$49,X$13)*VLOOKUP($O37,$W$23:$AA$26,2)+Y$6*EstymacjaGaussowska($M37,$M$50:$M$90,Y$12)*EstymacjaGaussowska($N37,$N$50:$N$90,Y$13)*VLOOKUP($O37,$W$23:$AA$26,3)+Z$6*EstymacjaGaussowska($M37,$M$91:$M$151,Z$12)*EstymacjaGaussowska($N37,$N$91:$N$151,Z$13)*VLOOKUP($O37,$W$23:$AA$26,4)</f>
        <v>0.42533123658987659</v>
      </c>
      <c r="S37" s="77" cm="1">
        <f t="array" ref="S37">X$6*EstymacjaGaussowska($M37,$M$2:$M$49,X$12)*EstymacjaGaussowska($N37,$N$2:$N$49,X$13)*VLOOKUP($O37,$W$23:$AA$26,2)/$R37</f>
        <v>1</v>
      </c>
      <c r="T37" s="77" cm="1">
        <f t="array" ref="T37">Y$6*EstymacjaGaussowska($M37,$M$50:$M$90,Y$12)*EstymacjaGaussowska($N37,$N$50:$N$90,Y$13)*VLOOKUP($O37,$W$23:$AA$26,3)/$R37</f>
        <v>2.4730320206213985E-31</v>
      </c>
      <c r="U37" s="87" cm="1">
        <f t="array" ref="U37">Z$6*EstymacjaGaussowska($M37,$M$91:$M$151,Z$12)*EstymacjaGaussowska($N37,$N$91:$N$151,Z$13)*VLOOKUP($O37,$W$23:$AA$26,4)/$R37</f>
        <v>0</v>
      </c>
    </row>
    <row r="38" spans="1:28" x14ac:dyDescent="0.25">
      <c r="A38" s="78">
        <v>37</v>
      </c>
      <c r="B38" s="9">
        <v>5.5</v>
      </c>
      <c r="C38" s="3">
        <v>3.5</v>
      </c>
      <c r="D38" s="3">
        <v>1.3</v>
      </c>
      <c r="E38" s="8">
        <v>0.2</v>
      </c>
      <c r="F38" s="9" t="s">
        <v>13</v>
      </c>
      <c r="G38" s="50" t="s">
        <v>5</v>
      </c>
      <c r="H38" s="84">
        <v>35</v>
      </c>
      <c r="I38" s="78">
        <v>37</v>
      </c>
      <c r="J38" s="79">
        <f t="shared" si="9"/>
        <v>0</v>
      </c>
      <c r="K38" s="43">
        <f t="shared" si="10"/>
        <v>4.9000000000000004</v>
      </c>
      <c r="L38" s="77">
        <f t="shared" si="11"/>
        <v>3.1</v>
      </c>
      <c r="M38" s="77">
        <f t="shared" si="12"/>
        <v>1.5</v>
      </c>
      <c r="N38" s="77">
        <f t="shared" si="13"/>
        <v>0.2</v>
      </c>
      <c r="O38" s="77" t="str">
        <f t="shared" si="14"/>
        <v>white</v>
      </c>
      <c r="P38" s="90" t="str">
        <f t="shared" si="15"/>
        <v>setosa</v>
      </c>
      <c r="Q38" s="43" t="str">
        <f t="shared" si="7"/>
        <v>setosa</v>
      </c>
      <c r="R38" s="77" cm="1">
        <f t="array" ref="R38">X$6*EstymacjaGaussowska($M38,$M$2:$M$49,X$12)*EstymacjaGaussowska($N38,$N$2:$N$49,X$13)*VLOOKUP($O38,$W$23:$AA$26,2)+Y$6*EstymacjaGaussowska($M38,$M$50:$M$90,Y$12)*EstymacjaGaussowska($N38,$N$50:$N$90,Y$13)*VLOOKUP($O38,$W$23:$AA$26,3)+Z$6*EstymacjaGaussowska($M38,$M$91:$M$151,Z$12)*EstymacjaGaussowska($N38,$N$91:$N$151,Z$13)*VLOOKUP($O38,$W$23:$AA$26,4)</f>
        <v>0.42800794868654229</v>
      </c>
      <c r="S38" s="77" cm="1">
        <f t="array" ref="S38">X$6*EstymacjaGaussowska($M38,$M$2:$M$49,X$12)*EstymacjaGaussowska($N38,$N$2:$N$49,X$13)*VLOOKUP($O38,$W$23:$AA$26,2)/$R38</f>
        <v>1</v>
      </c>
      <c r="T38" s="77" cm="1">
        <f t="array" ref="T38">Y$6*EstymacjaGaussowska($M38,$M$50:$M$90,Y$12)*EstymacjaGaussowska($N38,$N$50:$N$90,Y$13)*VLOOKUP($O38,$W$23:$AA$26,3)/$R38</f>
        <v>5.7329742679344141E-30</v>
      </c>
      <c r="U38" s="87" cm="1">
        <f t="array" ref="U38">Z$6*EstymacjaGaussowska($M38,$M$91:$M$151,Z$12)*EstymacjaGaussowska($N38,$N$91:$N$151,Z$13)*VLOOKUP($O38,$W$23:$AA$26,4)/$R38</f>
        <v>0</v>
      </c>
    </row>
    <row r="39" spans="1:28" x14ac:dyDescent="0.25">
      <c r="A39" s="78">
        <v>38</v>
      </c>
      <c r="B39" s="9">
        <v>4.9000000000000004</v>
      </c>
      <c r="C39" s="3">
        <v>3.6</v>
      </c>
      <c r="D39" s="3">
        <v>1.4</v>
      </c>
      <c r="E39" s="8">
        <v>0.1</v>
      </c>
      <c r="F39" s="9" t="s">
        <v>13</v>
      </c>
      <c r="G39" s="50" t="s">
        <v>5</v>
      </c>
      <c r="H39" s="84">
        <v>36</v>
      </c>
      <c r="I39" s="78">
        <v>38</v>
      </c>
      <c r="J39" s="79">
        <f t="shared" si="9"/>
        <v>1</v>
      </c>
      <c r="K39" s="43">
        <f t="shared" si="10"/>
        <v>5</v>
      </c>
      <c r="L39" s="77">
        <f t="shared" si="11"/>
        <v>3.2</v>
      </c>
      <c r="M39" s="77">
        <f t="shared" si="12"/>
        <v>1.2</v>
      </c>
      <c r="N39" s="77">
        <f t="shared" si="13"/>
        <v>0.2</v>
      </c>
      <c r="O39" s="77" t="str">
        <f t="shared" si="14"/>
        <v>white</v>
      </c>
      <c r="P39" s="90" t="str">
        <f t="shared" si="15"/>
        <v>setosa</v>
      </c>
      <c r="Q39" s="43" t="str">
        <f t="shared" si="7"/>
        <v>setosa</v>
      </c>
      <c r="R39" s="77" cm="1">
        <f t="array" ref="R39">X$6*EstymacjaGaussowska($M39,$M$2:$M$49,X$12)*EstymacjaGaussowska($N39,$N$2:$N$49,X$13)*VLOOKUP($O39,$W$23:$AA$26,2)+Y$6*EstymacjaGaussowska($M39,$M$50:$M$90,Y$12)*EstymacjaGaussowska($N39,$N$50:$N$90,Y$13)*VLOOKUP($O39,$W$23:$AA$26,3)+Z$6*EstymacjaGaussowska($M39,$M$91:$M$151,Z$12)*EstymacjaGaussowska($N39,$N$91:$N$151,Z$13)*VLOOKUP($O39,$W$23:$AA$26,4)</f>
        <v>0.14586913201347809</v>
      </c>
      <c r="S39" s="77" cm="1">
        <f t="array" ref="S39">X$6*EstymacjaGaussowska($M39,$M$2:$M$49,X$12)*EstymacjaGaussowska($N39,$N$2:$N$49,X$13)*VLOOKUP($O39,$W$23:$AA$26,2)/$R39</f>
        <v>1</v>
      </c>
      <c r="T39" s="77" cm="1">
        <f t="array" ref="T39">Y$6*EstymacjaGaussowska($M39,$M$50:$M$90,Y$12)*EstymacjaGaussowska($N39,$N$50:$N$90,Y$13)*VLOOKUP($O39,$W$23:$AA$26,3)/$R39</f>
        <v>7.2026788068087903E-34</v>
      </c>
      <c r="U39" s="87" cm="1">
        <f t="array" ref="U39">Z$6*EstymacjaGaussowska($M39,$M$91:$M$151,Z$12)*EstymacjaGaussowska($N39,$N$91:$N$151,Z$13)*VLOOKUP($O39,$W$23:$AA$26,4)/$R39</f>
        <v>0</v>
      </c>
      <c r="AB39" s="4"/>
    </row>
    <row r="40" spans="1:28" x14ac:dyDescent="0.25">
      <c r="A40" s="78">
        <v>39</v>
      </c>
      <c r="B40" s="9">
        <v>4.4000000000000004</v>
      </c>
      <c r="C40" s="3">
        <v>3</v>
      </c>
      <c r="D40" s="3">
        <v>1.3</v>
      </c>
      <c r="E40" s="8">
        <v>0.2</v>
      </c>
      <c r="F40" s="9" t="s">
        <v>13</v>
      </c>
      <c r="G40" s="50" t="s">
        <v>5</v>
      </c>
      <c r="H40" s="84">
        <v>38</v>
      </c>
      <c r="I40" s="78">
        <v>39</v>
      </c>
      <c r="J40" s="79">
        <f t="shared" si="9"/>
        <v>0</v>
      </c>
      <c r="K40" s="43">
        <f t="shared" si="10"/>
        <v>4.9000000000000004</v>
      </c>
      <c r="L40" s="77">
        <f t="shared" si="11"/>
        <v>3.6</v>
      </c>
      <c r="M40" s="77">
        <f t="shared" si="12"/>
        <v>1.4</v>
      </c>
      <c r="N40" s="77">
        <f t="shared" si="13"/>
        <v>0.1</v>
      </c>
      <c r="O40" s="77" t="str">
        <f t="shared" si="14"/>
        <v>white</v>
      </c>
      <c r="P40" s="90" t="str">
        <f t="shared" si="15"/>
        <v>setosa</v>
      </c>
      <c r="Q40" s="43" t="str">
        <f t="shared" si="7"/>
        <v>setosa</v>
      </c>
      <c r="R40" s="77" cm="1">
        <f t="array" ref="R40">X$6*EstymacjaGaussowska($M40,$M$2:$M$49,X$12)*EstymacjaGaussowska($N40,$N$2:$N$49,X$13)*VLOOKUP($O40,$W$23:$AA$26,2)+Y$6*EstymacjaGaussowska($M40,$M$50:$M$90,Y$12)*EstymacjaGaussowska($N40,$N$50:$N$90,Y$13)*VLOOKUP($O40,$W$23:$AA$26,3)+Z$6*EstymacjaGaussowska($M40,$M$91:$M$151,Z$12)*EstymacjaGaussowska($N40,$N$91:$N$151,Z$13)*VLOOKUP($O40,$W$23:$AA$26,4)</f>
        <v>0.17192324115193239</v>
      </c>
      <c r="S40" s="77" cm="1">
        <f t="array" ref="S40">X$6*EstymacjaGaussowska($M40,$M$2:$M$49,X$12)*EstymacjaGaussowska($N40,$N$2:$N$49,X$13)*VLOOKUP($O40,$W$23:$AA$26,2)/$R40</f>
        <v>1</v>
      </c>
      <c r="T40" s="77" cm="1">
        <f t="array" ref="T40">Y$6*EstymacjaGaussowska($M40,$M$50:$M$90,Y$12)*EstymacjaGaussowska($N40,$N$50:$N$90,Y$13)*VLOOKUP($O40,$W$23:$AA$26,3)/$R40</f>
        <v>2.620011783730787E-35</v>
      </c>
      <c r="U40" s="87" cm="1">
        <f t="array" ref="U40">Z$6*EstymacjaGaussowska($M40,$M$91:$M$151,Z$12)*EstymacjaGaussowska($N40,$N$91:$N$151,Z$13)*VLOOKUP($O40,$W$23:$AA$26,4)/$R40</f>
        <v>0</v>
      </c>
      <c r="AB40" s="4"/>
    </row>
    <row r="41" spans="1:28" x14ac:dyDescent="0.25">
      <c r="A41" s="78">
        <v>40</v>
      </c>
      <c r="B41" s="9">
        <v>5.0999999999999996</v>
      </c>
      <c r="C41" s="3">
        <v>3.4</v>
      </c>
      <c r="D41" s="3">
        <v>1.5</v>
      </c>
      <c r="E41" s="8">
        <v>0.2</v>
      </c>
      <c r="F41" s="9" t="s">
        <v>13</v>
      </c>
      <c r="G41" s="50" t="s">
        <v>5</v>
      </c>
      <c r="H41" s="84">
        <v>41</v>
      </c>
      <c r="I41" s="78">
        <v>40</v>
      </c>
      <c r="J41" s="79">
        <f t="shared" si="9"/>
        <v>0</v>
      </c>
      <c r="K41" s="43">
        <f t="shared" si="10"/>
        <v>5</v>
      </c>
      <c r="L41" s="77">
        <f t="shared" si="11"/>
        <v>3.5</v>
      </c>
      <c r="M41" s="77">
        <f t="shared" si="12"/>
        <v>1.3</v>
      </c>
      <c r="N41" s="77">
        <f t="shared" si="13"/>
        <v>0.3</v>
      </c>
      <c r="O41" s="77" t="str">
        <f t="shared" si="14"/>
        <v>yellow</v>
      </c>
      <c r="P41" s="90" t="str">
        <f t="shared" si="15"/>
        <v>setosa</v>
      </c>
      <c r="Q41" s="43" t="str">
        <f t="shared" si="7"/>
        <v>setosa</v>
      </c>
      <c r="R41" s="77" cm="1">
        <f t="array" ref="R41">X$6*EstymacjaGaussowska($M41,$M$2:$M$49,X$12)*EstymacjaGaussowska($N41,$N$2:$N$49,X$13)*VLOOKUP($O41,$W$23:$AA$26,2)+Y$6*EstymacjaGaussowska($M41,$M$50:$M$90,Y$12)*EstymacjaGaussowska($N41,$N$50:$N$90,Y$13)*VLOOKUP($O41,$W$23:$AA$26,3)+Z$6*EstymacjaGaussowska($M41,$M$91:$M$151,Z$12)*EstymacjaGaussowska($N41,$N$91:$N$151,Z$13)*VLOOKUP($O41,$W$23:$AA$26,4)</f>
        <v>0.13299957483418837</v>
      </c>
      <c r="S41" s="77" cm="1">
        <f t="array" ref="S41">X$6*EstymacjaGaussowska($M41,$M$2:$M$49,X$12)*EstymacjaGaussowska($N41,$N$2:$N$49,X$13)*VLOOKUP($O41,$W$23:$AA$26,2)/$R41</f>
        <v>1</v>
      </c>
      <c r="T41" s="77" cm="1">
        <f t="array" ref="T41">Y$6*EstymacjaGaussowska($M41,$M$50:$M$90,Y$12)*EstymacjaGaussowska($N41,$N$50:$N$90,Y$13)*VLOOKUP($O41,$W$23:$AA$26,3)/$R41</f>
        <v>2.7211058334555668E-28</v>
      </c>
      <c r="U41" s="87" cm="1">
        <f t="array" ref="U41">Z$6*EstymacjaGaussowska($M41,$M$91:$M$151,Z$12)*EstymacjaGaussowska($N41,$N$91:$N$151,Z$13)*VLOOKUP($O41,$W$23:$AA$26,4)/$R41</f>
        <v>1.4974272341165207E-66</v>
      </c>
      <c r="AB41" s="4"/>
    </row>
    <row r="42" spans="1:28" x14ac:dyDescent="0.25">
      <c r="A42" s="78">
        <v>41</v>
      </c>
      <c r="B42" s="9">
        <v>5</v>
      </c>
      <c r="C42" s="3">
        <v>3.5</v>
      </c>
      <c r="D42" s="3">
        <v>1.3</v>
      </c>
      <c r="E42" s="8">
        <v>0.3</v>
      </c>
      <c r="F42" s="9" t="s">
        <v>14</v>
      </c>
      <c r="G42" s="50" t="s">
        <v>5</v>
      </c>
      <c r="H42" s="84">
        <v>41</v>
      </c>
      <c r="I42" s="78">
        <v>41</v>
      </c>
      <c r="J42" s="79">
        <f t="shared" si="9"/>
        <v>2</v>
      </c>
      <c r="K42" s="43">
        <f t="shared" si="10"/>
        <v>5</v>
      </c>
      <c r="L42" s="77">
        <f t="shared" si="11"/>
        <v>3.5</v>
      </c>
      <c r="M42" s="77">
        <f t="shared" si="12"/>
        <v>1.3</v>
      </c>
      <c r="N42" s="77">
        <f t="shared" si="13"/>
        <v>0.3</v>
      </c>
      <c r="O42" s="77" t="str">
        <f t="shared" si="14"/>
        <v>yellow</v>
      </c>
      <c r="P42" s="90" t="str">
        <f t="shared" si="15"/>
        <v>setosa</v>
      </c>
      <c r="Q42" s="43" t="str">
        <f t="shared" si="7"/>
        <v>setosa</v>
      </c>
      <c r="R42" s="77" cm="1">
        <f t="array" ref="R42">X$6*EstymacjaGaussowska($M42,$M$2:$M$49,X$12)*EstymacjaGaussowska($N42,$N$2:$N$49,X$13)*VLOOKUP($O42,$W$23:$AA$26,2)+Y$6*EstymacjaGaussowska($M42,$M$50:$M$90,Y$12)*EstymacjaGaussowska($N42,$N$50:$N$90,Y$13)*VLOOKUP($O42,$W$23:$AA$26,3)+Z$6*EstymacjaGaussowska($M42,$M$91:$M$151,Z$12)*EstymacjaGaussowska($N42,$N$91:$N$151,Z$13)*VLOOKUP($O42,$W$23:$AA$26,4)</f>
        <v>0.13299957483418837</v>
      </c>
      <c r="S42" s="77" cm="1">
        <f t="array" ref="S42">X$6*EstymacjaGaussowska($M42,$M$2:$M$49,X$12)*EstymacjaGaussowska($N42,$N$2:$N$49,X$13)*VLOOKUP($O42,$W$23:$AA$26,2)/$R42</f>
        <v>1</v>
      </c>
      <c r="T42" s="77" cm="1">
        <f t="array" ref="T42">Y$6*EstymacjaGaussowska($M42,$M$50:$M$90,Y$12)*EstymacjaGaussowska($N42,$N$50:$N$90,Y$13)*VLOOKUP($O42,$W$23:$AA$26,3)/$R42</f>
        <v>2.7211058334555668E-28</v>
      </c>
      <c r="U42" s="87" cm="1">
        <f t="array" ref="U42">Z$6*EstymacjaGaussowska($M42,$M$91:$M$151,Z$12)*EstymacjaGaussowska($N42,$N$91:$N$151,Z$13)*VLOOKUP($O42,$W$23:$AA$26,4)/$R42</f>
        <v>1.4974272341165207E-66</v>
      </c>
    </row>
    <row r="43" spans="1:28" x14ac:dyDescent="0.25">
      <c r="A43" s="78">
        <v>42</v>
      </c>
      <c r="B43" s="9">
        <v>4.5</v>
      </c>
      <c r="C43" s="3">
        <v>2.2999999999999998</v>
      </c>
      <c r="D43" s="3">
        <v>1.3</v>
      </c>
      <c r="E43" s="8">
        <v>0.3</v>
      </c>
      <c r="F43" s="9" t="s">
        <v>14</v>
      </c>
      <c r="G43" s="50" t="s">
        <v>5</v>
      </c>
      <c r="H43" s="84">
        <v>42</v>
      </c>
      <c r="I43" s="78">
        <v>42</v>
      </c>
      <c r="J43" s="79">
        <f t="shared" si="9"/>
        <v>1</v>
      </c>
      <c r="K43" s="43">
        <f t="shared" si="10"/>
        <v>4.5</v>
      </c>
      <c r="L43" s="77">
        <f t="shared" si="11"/>
        <v>2.2999999999999998</v>
      </c>
      <c r="M43" s="77">
        <f t="shared" si="12"/>
        <v>1.3</v>
      </c>
      <c r="N43" s="77">
        <f t="shared" si="13"/>
        <v>0.3</v>
      </c>
      <c r="O43" s="77" t="str">
        <f t="shared" si="14"/>
        <v>yellow</v>
      </c>
      <c r="P43" s="90" t="str">
        <f t="shared" si="15"/>
        <v>setosa</v>
      </c>
      <c r="Q43" s="43" t="str">
        <f t="shared" si="7"/>
        <v>setosa</v>
      </c>
      <c r="R43" s="77" cm="1">
        <f t="array" ref="R43">X$6*EstymacjaGaussowska($M43,$M$2:$M$49,X$12)*EstymacjaGaussowska($N43,$N$2:$N$49,X$13)*VLOOKUP($O43,$W$23:$AA$26,2)+Y$6*EstymacjaGaussowska($M43,$M$50:$M$90,Y$12)*EstymacjaGaussowska($N43,$N$50:$N$90,Y$13)*VLOOKUP($O43,$W$23:$AA$26,3)+Z$6*EstymacjaGaussowska($M43,$M$91:$M$151,Z$12)*EstymacjaGaussowska($N43,$N$91:$N$151,Z$13)*VLOOKUP($O43,$W$23:$AA$26,4)</f>
        <v>0.13299957483418837</v>
      </c>
      <c r="S43" s="77" cm="1">
        <f t="array" ref="S43">X$6*EstymacjaGaussowska($M43,$M$2:$M$49,X$12)*EstymacjaGaussowska($N43,$N$2:$N$49,X$13)*VLOOKUP($O43,$W$23:$AA$26,2)/$R43</f>
        <v>1</v>
      </c>
      <c r="T43" s="77" cm="1">
        <f t="array" ref="T43">Y$6*EstymacjaGaussowska($M43,$M$50:$M$90,Y$12)*EstymacjaGaussowska($N43,$N$50:$N$90,Y$13)*VLOOKUP($O43,$W$23:$AA$26,3)/$R43</f>
        <v>2.7211058334555668E-28</v>
      </c>
      <c r="U43" s="87" cm="1">
        <f t="array" ref="U43">Z$6*EstymacjaGaussowska($M43,$M$91:$M$151,Z$12)*EstymacjaGaussowska($N43,$N$91:$N$151,Z$13)*VLOOKUP($O43,$W$23:$AA$26,4)/$R43</f>
        <v>1.4974272341165207E-66</v>
      </c>
    </row>
    <row r="44" spans="1:28" x14ac:dyDescent="0.25">
      <c r="A44" s="78">
        <v>43</v>
      </c>
      <c r="B44" s="9">
        <v>4.4000000000000004</v>
      </c>
      <c r="C44" s="3">
        <v>3.2</v>
      </c>
      <c r="D44" s="3">
        <v>1.3</v>
      </c>
      <c r="E44" s="8">
        <v>0.2</v>
      </c>
      <c r="F44" s="9" t="s">
        <v>14</v>
      </c>
      <c r="G44" s="50" t="s">
        <v>5</v>
      </c>
      <c r="H44" s="84">
        <v>45</v>
      </c>
      <c r="I44" s="78">
        <v>43</v>
      </c>
      <c r="J44" s="79">
        <f t="shared" si="9"/>
        <v>0</v>
      </c>
      <c r="K44" s="43">
        <f t="shared" si="10"/>
        <v>5.0999999999999996</v>
      </c>
      <c r="L44" s="77">
        <f t="shared" si="11"/>
        <v>3.8</v>
      </c>
      <c r="M44" s="77">
        <f t="shared" si="12"/>
        <v>1.9</v>
      </c>
      <c r="N44" s="77">
        <f t="shared" si="13"/>
        <v>0.4</v>
      </c>
      <c r="O44" s="77" t="str">
        <f t="shared" si="14"/>
        <v>yellow</v>
      </c>
      <c r="P44" s="90" t="str">
        <f t="shared" si="15"/>
        <v>setosa</v>
      </c>
      <c r="Q44" s="43" t="str">
        <f t="shared" si="7"/>
        <v>setosa</v>
      </c>
      <c r="R44" s="77" cm="1">
        <f t="array" ref="R44">X$6*EstymacjaGaussowska($M44,$M$2:$M$49,X$12)*EstymacjaGaussowska($N44,$N$2:$N$49,X$13)*VLOOKUP($O44,$W$23:$AA$26,2)+Y$6*EstymacjaGaussowska($M44,$M$50:$M$90,Y$12)*EstymacjaGaussowska($N44,$N$50:$N$90,Y$13)*VLOOKUP($O44,$W$23:$AA$26,3)+Z$6*EstymacjaGaussowska($M44,$M$91:$M$151,Z$12)*EstymacjaGaussowska($N44,$N$91:$N$151,Z$13)*VLOOKUP($O44,$W$23:$AA$26,4)</f>
        <v>3.0258595293067372E-2</v>
      </c>
      <c r="S44" s="77" cm="1">
        <f t="array" ref="S44">X$6*EstymacjaGaussowska($M44,$M$2:$M$49,X$12)*EstymacjaGaussowska($N44,$N$2:$N$49,X$13)*VLOOKUP($O44,$W$23:$AA$26,2)/$R44</f>
        <v>0.99999999999999989</v>
      </c>
      <c r="T44" s="77" cm="1">
        <f t="array" ref="T44">Y$6*EstymacjaGaussowska($M44,$M$50:$M$90,Y$12)*EstymacjaGaussowska($N44,$N$50:$N$90,Y$13)*VLOOKUP($O44,$W$23:$AA$26,3)/$R44</f>
        <v>6.7839245561155733E-17</v>
      </c>
      <c r="U44" s="87" cm="1">
        <f t="array" ref="U44">Z$6*EstymacjaGaussowska($M44,$M$91:$M$151,Z$12)*EstymacjaGaussowska($N44,$N$91:$N$151,Z$13)*VLOOKUP($O44,$W$23:$AA$26,4)/$R44</f>
        <v>6.6478360837581206E-49</v>
      </c>
    </row>
    <row r="45" spans="1:28" x14ac:dyDescent="0.25">
      <c r="A45" s="78">
        <v>44</v>
      </c>
      <c r="B45" s="9">
        <v>5</v>
      </c>
      <c r="C45" s="3">
        <v>3.5</v>
      </c>
      <c r="D45" s="3">
        <v>1.6</v>
      </c>
      <c r="E45" s="8">
        <v>0.6</v>
      </c>
      <c r="F45" s="9" t="s">
        <v>14</v>
      </c>
      <c r="G45" s="50" t="s">
        <v>5</v>
      </c>
      <c r="H45" s="84">
        <v>45</v>
      </c>
      <c r="I45" s="78">
        <v>44</v>
      </c>
      <c r="J45" s="79">
        <f t="shared" si="9"/>
        <v>0</v>
      </c>
      <c r="K45" s="43">
        <f t="shared" si="10"/>
        <v>5.0999999999999996</v>
      </c>
      <c r="L45" s="77">
        <f t="shared" si="11"/>
        <v>3.8</v>
      </c>
      <c r="M45" s="77">
        <f t="shared" si="12"/>
        <v>1.9</v>
      </c>
      <c r="N45" s="77">
        <f t="shared" si="13"/>
        <v>0.4</v>
      </c>
      <c r="O45" s="77" t="str">
        <f t="shared" si="14"/>
        <v>yellow</v>
      </c>
      <c r="P45" s="90" t="str">
        <f t="shared" si="15"/>
        <v>setosa</v>
      </c>
      <c r="Q45" s="43" t="str">
        <f t="shared" si="7"/>
        <v>setosa</v>
      </c>
      <c r="R45" s="77" cm="1">
        <f t="array" ref="R45">X$6*EstymacjaGaussowska($M45,$M$2:$M$49,X$12)*EstymacjaGaussowska($N45,$N$2:$N$49,X$13)*VLOOKUP($O45,$W$23:$AA$26,2)+Y$6*EstymacjaGaussowska($M45,$M$50:$M$90,Y$12)*EstymacjaGaussowska($N45,$N$50:$N$90,Y$13)*VLOOKUP($O45,$W$23:$AA$26,3)+Z$6*EstymacjaGaussowska($M45,$M$91:$M$151,Z$12)*EstymacjaGaussowska($N45,$N$91:$N$151,Z$13)*VLOOKUP($O45,$W$23:$AA$26,4)</f>
        <v>3.0258595293067372E-2</v>
      </c>
      <c r="S45" s="77" cm="1">
        <f t="array" ref="S45">X$6*EstymacjaGaussowska($M45,$M$2:$M$49,X$12)*EstymacjaGaussowska($N45,$N$2:$N$49,X$13)*VLOOKUP($O45,$W$23:$AA$26,2)/$R45</f>
        <v>0.99999999999999989</v>
      </c>
      <c r="T45" s="77" cm="1">
        <f t="array" ref="T45">Y$6*EstymacjaGaussowska($M45,$M$50:$M$90,Y$12)*EstymacjaGaussowska($N45,$N$50:$N$90,Y$13)*VLOOKUP($O45,$W$23:$AA$26,3)/$R45</f>
        <v>6.7839245561155733E-17</v>
      </c>
      <c r="U45" s="87" cm="1">
        <f t="array" ref="U45">Z$6*EstymacjaGaussowska($M45,$M$91:$M$151,Z$12)*EstymacjaGaussowska($N45,$N$91:$N$151,Z$13)*VLOOKUP($O45,$W$23:$AA$26,4)/$R45</f>
        <v>6.6478360837581206E-49</v>
      </c>
    </row>
    <row r="46" spans="1:28" x14ac:dyDescent="0.25">
      <c r="A46" s="78">
        <v>45</v>
      </c>
      <c r="B46" s="9">
        <v>5.0999999999999996</v>
      </c>
      <c r="C46" s="3">
        <v>3.8</v>
      </c>
      <c r="D46" s="3">
        <v>1.9</v>
      </c>
      <c r="E46" s="8">
        <v>0.4</v>
      </c>
      <c r="F46" s="9" t="s">
        <v>14</v>
      </c>
      <c r="G46" s="50" t="s">
        <v>5</v>
      </c>
      <c r="H46" s="84">
        <v>45</v>
      </c>
      <c r="I46" s="78">
        <v>45</v>
      </c>
      <c r="J46" s="79">
        <f t="shared" si="9"/>
        <v>3</v>
      </c>
      <c r="K46" s="43">
        <f t="shared" si="10"/>
        <v>5.0999999999999996</v>
      </c>
      <c r="L46" s="77">
        <f t="shared" si="11"/>
        <v>3.8</v>
      </c>
      <c r="M46" s="77">
        <f t="shared" si="12"/>
        <v>1.9</v>
      </c>
      <c r="N46" s="77">
        <f t="shared" si="13"/>
        <v>0.4</v>
      </c>
      <c r="O46" s="77" t="str">
        <f t="shared" si="14"/>
        <v>yellow</v>
      </c>
      <c r="P46" s="90" t="str">
        <f t="shared" si="15"/>
        <v>setosa</v>
      </c>
      <c r="Q46" s="43" t="str">
        <f t="shared" si="7"/>
        <v>setosa</v>
      </c>
      <c r="R46" s="77" cm="1">
        <f t="array" ref="R46">X$6*EstymacjaGaussowska($M46,$M$2:$M$49,X$12)*EstymacjaGaussowska($N46,$N$2:$N$49,X$13)*VLOOKUP($O46,$W$23:$AA$26,2)+Y$6*EstymacjaGaussowska($M46,$M$50:$M$90,Y$12)*EstymacjaGaussowska($N46,$N$50:$N$90,Y$13)*VLOOKUP($O46,$W$23:$AA$26,3)+Z$6*EstymacjaGaussowska($M46,$M$91:$M$151,Z$12)*EstymacjaGaussowska($N46,$N$91:$N$151,Z$13)*VLOOKUP($O46,$W$23:$AA$26,4)</f>
        <v>3.0258595293067372E-2</v>
      </c>
      <c r="S46" s="77" cm="1">
        <f t="array" ref="S46">X$6*EstymacjaGaussowska($M46,$M$2:$M$49,X$12)*EstymacjaGaussowska($N46,$N$2:$N$49,X$13)*VLOOKUP($O46,$W$23:$AA$26,2)/$R46</f>
        <v>0.99999999999999989</v>
      </c>
      <c r="T46" s="77" cm="1">
        <f t="array" ref="T46">Y$6*EstymacjaGaussowska($M46,$M$50:$M$90,Y$12)*EstymacjaGaussowska($N46,$N$50:$N$90,Y$13)*VLOOKUP($O46,$W$23:$AA$26,3)/$R46</f>
        <v>6.7839245561155733E-17</v>
      </c>
      <c r="U46" s="87" cm="1">
        <f t="array" ref="U46">Z$6*EstymacjaGaussowska($M46,$M$91:$M$151,Z$12)*EstymacjaGaussowska($N46,$N$91:$N$151,Z$13)*VLOOKUP($O46,$W$23:$AA$26,4)/$R46</f>
        <v>6.6478360837581206E-49</v>
      </c>
    </row>
    <row r="47" spans="1:28" x14ac:dyDescent="0.25">
      <c r="A47" s="78">
        <v>46</v>
      </c>
      <c r="B47" s="9">
        <v>4.8</v>
      </c>
      <c r="C47" s="3">
        <v>3</v>
      </c>
      <c r="D47" s="3">
        <v>1.4</v>
      </c>
      <c r="E47" s="8">
        <v>0.3</v>
      </c>
      <c r="F47" s="9" t="s">
        <v>14</v>
      </c>
      <c r="G47" s="50" t="s">
        <v>5</v>
      </c>
      <c r="H47" s="84">
        <v>47</v>
      </c>
      <c r="I47" s="78">
        <v>46</v>
      </c>
      <c r="J47" s="79">
        <f t="shared" si="9"/>
        <v>0</v>
      </c>
      <c r="K47" s="43">
        <f t="shared" si="10"/>
        <v>5.0999999999999996</v>
      </c>
      <c r="L47" s="77">
        <f t="shared" si="11"/>
        <v>3.8</v>
      </c>
      <c r="M47" s="77">
        <f t="shared" si="12"/>
        <v>1.6</v>
      </c>
      <c r="N47" s="77">
        <f t="shared" si="13"/>
        <v>0.2</v>
      </c>
      <c r="O47" s="77" t="str">
        <f t="shared" si="14"/>
        <v>yellow</v>
      </c>
      <c r="P47" s="90" t="str">
        <f t="shared" si="15"/>
        <v>setosa</v>
      </c>
      <c r="Q47" s="43" t="str">
        <f t="shared" si="7"/>
        <v>setosa</v>
      </c>
      <c r="R47" s="77" cm="1">
        <f t="array" ref="R47">X$6*EstymacjaGaussowska($M47,$M$2:$M$49,X$12)*EstymacjaGaussowska($N47,$N$2:$N$49,X$13)*VLOOKUP($O47,$W$23:$AA$26,2)+Y$6*EstymacjaGaussowska($M47,$M$50:$M$90,Y$12)*EstymacjaGaussowska($N47,$N$50:$N$90,Y$13)*VLOOKUP($O47,$W$23:$AA$26,3)+Z$6*EstymacjaGaussowska($M47,$M$91:$M$151,Z$12)*EstymacjaGaussowska($N47,$N$91:$N$151,Z$13)*VLOOKUP($O47,$W$23:$AA$26,4)</f>
        <v>0.2707379400434492</v>
      </c>
      <c r="S47" s="77" cm="1">
        <f t="array" ref="S47">X$6*EstymacjaGaussowska($M47,$M$2:$M$49,X$12)*EstymacjaGaussowska($N47,$N$2:$N$49,X$13)*VLOOKUP($O47,$W$23:$AA$26,2)/$R47</f>
        <v>1</v>
      </c>
      <c r="T47" s="77" cm="1">
        <f t="array" ref="T47">Y$6*EstymacjaGaussowska($M47,$M$50:$M$90,Y$12)*EstymacjaGaussowska($N47,$N$50:$N$90,Y$13)*VLOOKUP($O47,$W$23:$AA$26,3)/$R47</f>
        <v>2.3725219319620171E-28</v>
      </c>
      <c r="U47" s="87" cm="1">
        <f t="array" ref="U47">Z$6*EstymacjaGaussowska($M47,$M$91:$M$151,Z$12)*EstymacjaGaussowska($N47,$N$91:$N$151,Z$13)*VLOOKUP($O47,$W$23:$AA$26,4)/$R47</f>
        <v>5.6680844257538975E-64</v>
      </c>
    </row>
    <row r="48" spans="1:28" x14ac:dyDescent="0.25">
      <c r="A48" s="78">
        <v>47</v>
      </c>
      <c r="B48" s="9">
        <v>5.0999999999999996</v>
      </c>
      <c r="C48" s="3">
        <v>3.8</v>
      </c>
      <c r="D48" s="3">
        <v>1.6</v>
      </c>
      <c r="E48" s="8">
        <v>0.2</v>
      </c>
      <c r="F48" s="9" t="s">
        <v>14</v>
      </c>
      <c r="G48" s="50" t="s">
        <v>5</v>
      </c>
      <c r="H48" s="84">
        <v>49</v>
      </c>
      <c r="I48" s="78">
        <v>47</v>
      </c>
      <c r="J48" s="79">
        <f t="shared" si="9"/>
        <v>1</v>
      </c>
      <c r="K48" s="43">
        <f t="shared" si="10"/>
        <v>5.3</v>
      </c>
      <c r="L48" s="77">
        <f t="shared" si="11"/>
        <v>3.7</v>
      </c>
      <c r="M48" s="77">
        <f t="shared" si="12"/>
        <v>1.5</v>
      </c>
      <c r="N48" s="77">
        <f t="shared" si="13"/>
        <v>0.2</v>
      </c>
      <c r="O48" s="77" t="str">
        <f t="shared" si="14"/>
        <v>yellow</v>
      </c>
      <c r="P48" s="90" t="str">
        <f t="shared" si="15"/>
        <v>setosa</v>
      </c>
      <c r="Q48" s="43" t="str">
        <f t="shared" si="7"/>
        <v>setosa</v>
      </c>
      <c r="R48" s="77" cm="1">
        <f t="array" ref="R48">X$6*EstymacjaGaussowska($M48,$M$2:$M$49,X$12)*EstymacjaGaussowska($N48,$N$2:$N$49,X$13)*VLOOKUP($O48,$W$23:$AA$26,2)+Y$6*EstymacjaGaussowska($M48,$M$50:$M$90,Y$12)*EstymacjaGaussowska($N48,$N$50:$N$90,Y$13)*VLOOKUP($O48,$W$23:$AA$26,3)+Z$6*EstymacjaGaussowska($M48,$M$91:$M$151,Z$12)*EstymacjaGaussowska($N48,$N$91:$N$151,Z$13)*VLOOKUP($O48,$W$23:$AA$26,4)</f>
        <v>0.42800794868654229</v>
      </c>
      <c r="S48" s="77" cm="1">
        <f t="array" ref="S48">X$6*EstymacjaGaussowska($M48,$M$2:$M$49,X$12)*EstymacjaGaussowska($N48,$N$2:$N$49,X$13)*VLOOKUP($O48,$W$23:$AA$26,2)/$R48</f>
        <v>1</v>
      </c>
      <c r="T48" s="77" cm="1">
        <f t="array" ref="T48">Y$6*EstymacjaGaussowska($M48,$M$50:$M$90,Y$12)*EstymacjaGaussowska($N48,$N$50:$N$90,Y$13)*VLOOKUP($O48,$W$23:$AA$26,3)/$R48</f>
        <v>7.8828396184098208E-30</v>
      </c>
      <c r="U48" s="87" cm="1">
        <f t="array" ref="U48">Z$6*EstymacjaGaussowska($M48,$M$91:$M$151,Z$12)*EstymacjaGaussowska($N48,$N$91:$N$151,Z$13)*VLOOKUP($O48,$W$23:$AA$26,4)/$R48</f>
        <v>2.0329911379588492E-66</v>
      </c>
    </row>
    <row r="49" spans="1:21" x14ac:dyDescent="0.25">
      <c r="A49" s="78">
        <v>48</v>
      </c>
      <c r="B49" s="9">
        <v>4.5999999999999996</v>
      </c>
      <c r="C49" s="3">
        <v>3.2</v>
      </c>
      <c r="D49" s="3">
        <v>1.4</v>
      </c>
      <c r="E49" s="8">
        <v>0.2</v>
      </c>
      <c r="F49" s="9" t="s">
        <v>14</v>
      </c>
      <c r="G49" s="50" t="s">
        <v>5</v>
      </c>
      <c r="H49" s="84">
        <v>50</v>
      </c>
      <c r="I49" s="78">
        <v>48</v>
      </c>
      <c r="J49" s="79">
        <f t="shared" si="9"/>
        <v>0</v>
      </c>
      <c r="K49" s="43">
        <f t="shared" si="10"/>
        <v>5</v>
      </c>
      <c r="L49" s="77">
        <f t="shared" si="11"/>
        <v>3.3</v>
      </c>
      <c r="M49" s="77">
        <f t="shared" si="12"/>
        <v>1.4</v>
      </c>
      <c r="N49" s="77">
        <f t="shared" si="13"/>
        <v>0.2</v>
      </c>
      <c r="O49" s="77" t="str">
        <f t="shared" si="14"/>
        <v>yellow</v>
      </c>
      <c r="P49" s="90" t="str">
        <f t="shared" si="15"/>
        <v>setosa</v>
      </c>
      <c r="Q49" s="43" t="str">
        <f t="shared" si="7"/>
        <v>setosa</v>
      </c>
      <c r="R49" s="77" cm="1">
        <f t="array" ref="R49">X$6*EstymacjaGaussowska($M49,$M$2:$M$49,X$12)*EstymacjaGaussowska($N49,$N$2:$N$49,X$13)*VLOOKUP($O49,$W$23:$AA$26,2)+Y$6*EstymacjaGaussowska($M49,$M$50:$M$90,Y$12)*EstymacjaGaussowska($N49,$N$50:$N$90,Y$13)*VLOOKUP($O49,$W$23:$AA$26,3)+Z$6*EstymacjaGaussowska($M49,$M$91:$M$151,Z$12)*EstymacjaGaussowska($N49,$N$91:$N$151,Z$13)*VLOOKUP($O49,$W$23:$AA$26,4)</f>
        <v>0.42533123658987659</v>
      </c>
      <c r="S49" s="77" cm="1">
        <f t="array" ref="S49">X$6*EstymacjaGaussowska($M49,$M$2:$M$49,X$12)*EstymacjaGaussowska($N49,$N$2:$N$49,X$13)*VLOOKUP($O49,$W$23:$AA$26,2)/$R49</f>
        <v>1</v>
      </c>
      <c r="T49" s="77" cm="1">
        <f t="array" ref="T49">Y$6*EstymacjaGaussowska($M49,$M$50:$M$90,Y$12)*EstymacjaGaussowska($N49,$N$50:$N$90,Y$13)*VLOOKUP($O49,$W$23:$AA$26,3)/$R49</f>
        <v>3.4004190283544228E-31</v>
      </c>
      <c r="U49" s="87" cm="1">
        <f t="array" ref="U49">Z$6*EstymacjaGaussowska($M49,$M$91:$M$151,Z$12)*EstymacjaGaussowska($N49,$N$91:$N$151,Z$13)*VLOOKUP($O49,$W$23:$AA$26,4)/$R49</f>
        <v>9.7344820982070106E-69</v>
      </c>
    </row>
    <row r="50" spans="1:21" x14ac:dyDescent="0.25">
      <c r="A50" s="78">
        <v>49</v>
      </c>
      <c r="B50" s="9">
        <v>5.3</v>
      </c>
      <c r="C50" s="3">
        <v>3.7</v>
      </c>
      <c r="D50" s="3">
        <v>1.5</v>
      </c>
      <c r="E50" s="8">
        <v>0.2</v>
      </c>
      <c r="F50" s="9" t="s">
        <v>14</v>
      </c>
      <c r="G50" s="50" t="s">
        <v>5</v>
      </c>
      <c r="H50" s="84">
        <v>51</v>
      </c>
      <c r="I50" s="78">
        <v>49</v>
      </c>
      <c r="J50" s="79">
        <f t="shared" si="9"/>
        <v>1</v>
      </c>
      <c r="K50" s="43">
        <f t="shared" si="10"/>
        <v>7</v>
      </c>
      <c r="L50" s="77">
        <f t="shared" si="11"/>
        <v>3.2</v>
      </c>
      <c r="M50" s="77">
        <f t="shared" si="12"/>
        <v>4.7</v>
      </c>
      <c r="N50" s="77">
        <f t="shared" si="13"/>
        <v>1.4</v>
      </c>
      <c r="O50" s="77" t="str">
        <f t="shared" si="14"/>
        <v>blue</v>
      </c>
      <c r="P50" s="90" t="str">
        <f t="shared" si="15"/>
        <v>versicolor</v>
      </c>
      <c r="Q50" s="43" t="str">
        <f>IF(S50&gt;MAX(T50:U50),$P$2,IF(T50&gt;U50,$P$50,$G$102))</f>
        <v>versicolor</v>
      </c>
      <c r="R50" s="77" cm="1">
        <f t="array" ref="R50">X$6*EstymacjaGaussowska($M50,$M$2:$M$49,X$12)*EstymacjaGaussowska($N50,$N$2:$N$49,X$13)*VLOOKUP($O50,$W$23:$AA$26,2)+Y$6*EstymacjaGaussowska($M50,$M$50:$M$90,Y$12)*EstymacjaGaussowska($N50,$N$50:$N$90,Y$13)*VLOOKUP($O50,$W$23:$AA$26,3)+Z$6*EstymacjaGaussowska($M50,$M$91:$M$151,Z$12)*EstymacjaGaussowska($N50,$N$91:$N$151,Z$13)*VLOOKUP($O50,$W$23:$AA$26,4)</f>
        <v>6.8056886554889548E-2</v>
      </c>
      <c r="S50" s="77" cm="1">
        <f t="array" ref="S50">X$6*EstymacjaGaussowska($M50,$M$2:$M$49,X$12)*EstymacjaGaussowska($N50,$N$2:$N$49,X$13)*VLOOKUP($O50,$W$23:$AA$26,2)/$R50</f>
        <v>9.508795220550353E-267</v>
      </c>
      <c r="T50" s="77" cm="1">
        <f t="array" ref="T50">Y$6*EstymacjaGaussowska($M50,$M$50:$M$90,Y$12)*EstymacjaGaussowska($N50,$N$50:$N$90,Y$13)*VLOOKUP($O50,$W$23:$AA$26,3)/$R50</f>
        <v>0.87277218868620199</v>
      </c>
      <c r="U50" s="87" cm="1">
        <f t="array" ref="U50">Z$6*EstymacjaGaussowska($M50,$M$91:$M$151,Z$12)*EstymacjaGaussowska($N50,$N$91:$N$151,Z$13)*VLOOKUP($O50,$W$23:$AA$26,4)/$R50</f>
        <v>0.12722781131379812</v>
      </c>
    </row>
    <row r="51" spans="1:21" x14ac:dyDescent="0.25">
      <c r="A51" s="78">
        <v>50</v>
      </c>
      <c r="B51" s="9">
        <v>5</v>
      </c>
      <c r="C51" s="3">
        <v>3.3</v>
      </c>
      <c r="D51" s="3">
        <v>1.4</v>
      </c>
      <c r="E51" s="8">
        <v>0.2</v>
      </c>
      <c r="F51" s="9" t="s">
        <v>14</v>
      </c>
      <c r="G51" s="50" t="s">
        <v>5</v>
      </c>
      <c r="H51" s="84">
        <v>55</v>
      </c>
      <c r="I51" s="78">
        <v>50</v>
      </c>
      <c r="J51" s="79">
        <f t="shared" si="9"/>
        <v>1</v>
      </c>
      <c r="K51" s="43">
        <f t="shared" si="10"/>
        <v>6.5</v>
      </c>
      <c r="L51" s="77">
        <f t="shared" si="11"/>
        <v>2.8</v>
      </c>
      <c r="M51" s="77">
        <f t="shared" si="12"/>
        <v>4.5999999999999996</v>
      </c>
      <c r="N51" s="77">
        <f t="shared" si="13"/>
        <v>1.5</v>
      </c>
      <c r="O51" s="77" t="str">
        <f t="shared" si="14"/>
        <v>blue</v>
      </c>
      <c r="P51" s="90" t="str">
        <f t="shared" si="15"/>
        <v>versicolor</v>
      </c>
      <c r="Q51" s="43" t="str">
        <f t="shared" ref="Q51:Q90" si="16">IF(S51&gt;MAX(T51:U51),$P$2,IF(T51&gt;U51,$P$50,$G$102))</f>
        <v>versicolor</v>
      </c>
      <c r="R51" s="77" cm="1">
        <f t="array" ref="R51">X$6*EstymacjaGaussowska($M51,$M$2:$M$49,X$12)*EstymacjaGaussowska($N51,$N$2:$N$49,X$13)*VLOOKUP($O51,$W$23:$AA$26,2)+Y$6*EstymacjaGaussowska($M51,$M$50:$M$90,Y$12)*EstymacjaGaussowska($N51,$N$50:$N$90,Y$13)*VLOOKUP($O51,$W$23:$AA$26,3)+Z$6*EstymacjaGaussowska($M51,$M$91:$M$151,Z$12)*EstymacjaGaussowska($N51,$N$91:$N$151,Z$13)*VLOOKUP($O51,$W$23:$AA$26,4)</f>
        <v>7.1046083545338701E-2</v>
      </c>
      <c r="S51" s="77" cm="1">
        <f t="array" ref="S51">X$6*EstymacjaGaussowska($M51,$M$2:$M$49,X$12)*EstymacjaGaussowska($N51,$N$2:$N$49,X$13)*VLOOKUP($O51,$W$23:$AA$26,2)/$R51</f>
        <v>1.8915082596550257E-266</v>
      </c>
      <c r="T51" s="77" cm="1">
        <f t="array" ref="T51">Y$6*EstymacjaGaussowska($M51,$M$50:$M$90,Y$12)*EstymacjaGaussowska($N51,$N$50:$N$90,Y$13)*VLOOKUP($O51,$W$23:$AA$26,3)/$R51</f>
        <v>0.84139389471985426</v>
      </c>
      <c r="U51" s="87" cm="1">
        <f t="array" ref="U51">Z$6*EstymacjaGaussowska($M51,$M$91:$M$151,Z$12)*EstymacjaGaussowska($N51,$N$91:$N$151,Z$13)*VLOOKUP($O51,$W$23:$AA$26,4)/$R51</f>
        <v>0.15860610528014574</v>
      </c>
    </row>
    <row r="52" spans="1:21" x14ac:dyDescent="0.25">
      <c r="A52" s="78">
        <v>51</v>
      </c>
      <c r="B52" s="9">
        <v>7</v>
      </c>
      <c r="C52" s="3">
        <v>3.2</v>
      </c>
      <c r="D52" s="3">
        <v>4.7</v>
      </c>
      <c r="E52" s="8">
        <v>1.4</v>
      </c>
      <c r="F52" s="9" t="s">
        <v>11</v>
      </c>
      <c r="G52" s="50" t="s">
        <v>6</v>
      </c>
      <c r="H52" s="84">
        <v>56</v>
      </c>
      <c r="I52" s="78">
        <v>51</v>
      </c>
      <c r="J52" s="79">
        <f t="shared" si="9"/>
        <v>1</v>
      </c>
      <c r="K52" s="43">
        <f t="shared" si="10"/>
        <v>5.7</v>
      </c>
      <c r="L52" s="77">
        <f t="shared" si="11"/>
        <v>2.8</v>
      </c>
      <c r="M52" s="77">
        <f t="shared" si="12"/>
        <v>4.5</v>
      </c>
      <c r="N52" s="77">
        <f t="shared" si="13"/>
        <v>1.3</v>
      </c>
      <c r="O52" s="77" t="str">
        <f t="shared" si="14"/>
        <v>blue</v>
      </c>
      <c r="P52" s="90" t="str">
        <f t="shared" si="15"/>
        <v>versicolor</v>
      </c>
      <c r="Q52" s="43" t="str">
        <f t="shared" si="16"/>
        <v>versicolor</v>
      </c>
      <c r="R52" s="77" cm="1">
        <f t="array" ref="R52">X$6*EstymacjaGaussowska($M52,$M$2:$M$49,X$12)*EstymacjaGaussowska($N52,$N$2:$N$49,X$13)*VLOOKUP($O52,$W$23:$AA$26,2)+Y$6*EstymacjaGaussowska($M52,$M$50:$M$90,Y$12)*EstymacjaGaussowska($N52,$N$50:$N$90,Y$13)*VLOOKUP($O52,$W$23:$AA$26,3)+Z$6*EstymacjaGaussowska($M52,$M$91:$M$151,Z$12)*EstymacjaGaussowska($N52,$N$91:$N$151,Z$13)*VLOOKUP($O52,$W$23:$AA$26,4)</f>
        <v>7.1957977457440023E-2</v>
      </c>
      <c r="S52" s="77" cm="1">
        <f t="array" ref="S52">X$6*EstymacjaGaussowska($M52,$M$2:$M$49,X$12)*EstymacjaGaussowska($N52,$N$2:$N$49,X$13)*VLOOKUP($O52,$W$23:$AA$26,2)/$R52</f>
        <v>6.6000866576255126E-226</v>
      </c>
      <c r="T52" s="77" cm="1">
        <f t="array" ref="T52">Y$6*EstymacjaGaussowska($M52,$M$50:$M$90,Y$12)*EstymacjaGaussowska($N52,$N$50:$N$90,Y$13)*VLOOKUP($O52,$W$23:$AA$26,3)/$R52</f>
        <v>0.98348592823682179</v>
      </c>
      <c r="U52" s="87" cm="1">
        <f t="array" ref="U52">Z$6*EstymacjaGaussowska($M52,$M$91:$M$151,Z$12)*EstymacjaGaussowska($N52,$N$91:$N$151,Z$13)*VLOOKUP($O52,$W$23:$AA$26,4)/$R52</f>
        <v>1.6514071763178324E-2</v>
      </c>
    </row>
    <row r="53" spans="1:21" x14ac:dyDescent="0.25">
      <c r="A53" s="78">
        <v>52</v>
      </c>
      <c r="B53" s="9">
        <v>6.4</v>
      </c>
      <c r="C53" s="3">
        <v>3.2</v>
      </c>
      <c r="D53" s="3">
        <v>4.5</v>
      </c>
      <c r="E53" s="8">
        <v>1.5</v>
      </c>
      <c r="F53" s="9" t="s">
        <v>11</v>
      </c>
      <c r="G53" s="50" t="s">
        <v>6</v>
      </c>
      <c r="H53" s="84">
        <v>57</v>
      </c>
      <c r="I53" s="78">
        <v>52</v>
      </c>
      <c r="J53" s="79">
        <f t="shared" si="9"/>
        <v>0</v>
      </c>
      <c r="K53" s="43">
        <f t="shared" si="10"/>
        <v>6.3</v>
      </c>
      <c r="L53" s="77">
        <f t="shared" si="11"/>
        <v>3.3</v>
      </c>
      <c r="M53" s="77">
        <f t="shared" si="12"/>
        <v>4.7</v>
      </c>
      <c r="N53" s="77">
        <f t="shared" si="13"/>
        <v>1.6</v>
      </c>
      <c r="O53" s="77" t="str">
        <f t="shared" si="14"/>
        <v>blue</v>
      </c>
      <c r="P53" s="90" t="str">
        <f t="shared" si="15"/>
        <v>versicolor</v>
      </c>
      <c r="Q53" s="43" t="str">
        <f t="shared" si="16"/>
        <v>versicolor</v>
      </c>
      <c r="R53" s="77" cm="1">
        <f t="array" ref="R53">X$6*EstymacjaGaussowska($M53,$M$2:$M$49,X$12)*EstymacjaGaussowska($N53,$N$2:$N$49,X$13)*VLOOKUP($O53,$W$23:$AA$26,2)+Y$6*EstymacjaGaussowska($M53,$M$50:$M$90,Y$12)*EstymacjaGaussowska($N53,$N$50:$N$90,Y$13)*VLOOKUP($O53,$W$23:$AA$26,3)+Z$6*EstymacjaGaussowska($M53,$M$91:$M$151,Z$12)*EstymacjaGaussowska($N53,$N$91:$N$151,Z$13)*VLOOKUP($O53,$W$23:$AA$26,4)</f>
        <v>6.3522147579823496E-2</v>
      </c>
      <c r="S53" s="77" cm="1">
        <f t="array" ref="S53">X$6*EstymacjaGaussowska($M53,$M$2:$M$49,X$12)*EstymacjaGaussowska($N53,$N$2:$N$49,X$13)*VLOOKUP($O53,$W$23:$AA$26,2)/$R53</f>
        <v>2.3360921418470461E-296</v>
      </c>
      <c r="T53" s="77" cm="1">
        <f t="array" ref="T53">Y$6*EstymacjaGaussowska($M53,$M$50:$M$90,Y$12)*EstymacjaGaussowska($N53,$N$50:$N$90,Y$13)*VLOOKUP($O53,$W$23:$AA$26,3)/$R53</f>
        <v>0.60289309059022322</v>
      </c>
      <c r="U53" s="87" cm="1">
        <f t="array" ref="U53">Z$6*EstymacjaGaussowska($M53,$M$91:$M$151,Z$12)*EstymacjaGaussowska($N53,$N$91:$N$151,Z$13)*VLOOKUP($O53,$W$23:$AA$26,4)/$R53</f>
        <v>0.39710690940977689</v>
      </c>
    </row>
    <row r="54" spans="1:21" x14ac:dyDescent="0.25">
      <c r="A54" s="78">
        <v>53</v>
      </c>
      <c r="B54" s="9">
        <v>6.9</v>
      </c>
      <c r="C54" s="3">
        <v>3.1</v>
      </c>
      <c r="D54" s="3">
        <v>4.9000000000000004</v>
      </c>
      <c r="E54" s="8">
        <v>1.5</v>
      </c>
      <c r="F54" s="9" t="s">
        <v>11</v>
      </c>
      <c r="G54" s="50" t="s">
        <v>6</v>
      </c>
      <c r="H54" s="84">
        <v>57</v>
      </c>
      <c r="I54" s="78">
        <v>53</v>
      </c>
      <c r="J54" s="79">
        <f t="shared" si="9"/>
        <v>0</v>
      </c>
      <c r="K54" s="43">
        <f t="shared" si="10"/>
        <v>6.3</v>
      </c>
      <c r="L54" s="77">
        <f t="shared" si="11"/>
        <v>3.3</v>
      </c>
      <c r="M54" s="77">
        <f t="shared" si="12"/>
        <v>4.7</v>
      </c>
      <c r="N54" s="77">
        <f t="shared" si="13"/>
        <v>1.6</v>
      </c>
      <c r="O54" s="77" t="str">
        <f t="shared" si="14"/>
        <v>blue</v>
      </c>
      <c r="P54" s="90" t="str">
        <f t="shared" si="15"/>
        <v>versicolor</v>
      </c>
      <c r="Q54" s="43" t="str">
        <f t="shared" si="16"/>
        <v>versicolor</v>
      </c>
      <c r="R54" s="77" cm="1">
        <f t="array" ref="R54">X$6*EstymacjaGaussowska($M54,$M$2:$M$49,X$12)*EstymacjaGaussowska($N54,$N$2:$N$49,X$13)*VLOOKUP($O54,$W$23:$AA$26,2)+Y$6*EstymacjaGaussowska($M54,$M$50:$M$90,Y$12)*EstymacjaGaussowska($N54,$N$50:$N$90,Y$13)*VLOOKUP($O54,$W$23:$AA$26,3)+Z$6*EstymacjaGaussowska($M54,$M$91:$M$151,Z$12)*EstymacjaGaussowska($N54,$N$91:$N$151,Z$13)*VLOOKUP($O54,$W$23:$AA$26,4)</f>
        <v>6.3522147579823496E-2</v>
      </c>
      <c r="S54" s="77" cm="1">
        <f t="array" ref="S54">X$6*EstymacjaGaussowska($M54,$M$2:$M$49,X$12)*EstymacjaGaussowska($N54,$N$2:$N$49,X$13)*VLOOKUP($O54,$W$23:$AA$26,2)/$R54</f>
        <v>2.3360921418470461E-296</v>
      </c>
      <c r="T54" s="77" cm="1">
        <f t="array" ref="T54">Y$6*EstymacjaGaussowska($M54,$M$50:$M$90,Y$12)*EstymacjaGaussowska($N54,$N$50:$N$90,Y$13)*VLOOKUP($O54,$W$23:$AA$26,3)/$R54</f>
        <v>0.60289309059022322</v>
      </c>
      <c r="U54" s="87" cm="1">
        <f t="array" ref="U54">Z$6*EstymacjaGaussowska($M54,$M$91:$M$151,Z$12)*EstymacjaGaussowska($N54,$N$91:$N$151,Z$13)*VLOOKUP($O54,$W$23:$AA$26,4)/$R54</f>
        <v>0.39710690940977689</v>
      </c>
    </row>
    <row r="55" spans="1:21" x14ac:dyDescent="0.25">
      <c r="A55" s="78">
        <v>54</v>
      </c>
      <c r="B55" s="9">
        <v>5.5</v>
      </c>
      <c r="C55" s="3">
        <v>2.2999999999999998</v>
      </c>
      <c r="D55" s="3">
        <v>4</v>
      </c>
      <c r="E55" s="8">
        <v>1.3</v>
      </c>
      <c r="F55" s="9" t="s">
        <v>11</v>
      </c>
      <c r="G55" s="50" t="s">
        <v>6</v>
      </c>
      <c r="H55" s="84">
        <v>59</v>
      </c>
      <c r="I55" s="78">
        <v>54</v>
      </c>
      <c r="J55" s="79">
        <f t="shared" si="9"/>
        <v>0</v>
      </c>
      <c r="K55" s="43">
        <f t="shared" si="10"/>
        <v>6.6</v>
      </c>
      <c r="L55" s="77">
        <f t="shared" si="11"/>
        <v>2.9</v>
      </c>
      <c r="M55" s="77">
        <f t="shared" si="12"/>
        <v>4.5999999999999996</v>
      </c>
      <c r="N55" s="77">
        <f t="shared" si="13"/>
        <v>1.3</v>
      </c>
      <c r="O55" s="77" t="str">
        <f t="shared" si="14"/>
        <v>blue</v>
      </c>
      <c r="P55" s="90" t="str">
        <f t="shared" si="15"/>
        <v>versicolor</v>
      </c>
      <c r="Q55" s="43" t="str">
        <f t="shared" si="16"/>
        <v>versicolor</v>
      </c>
      <c r="R55" s="77" cm="1">
        <f t="array" ref="R55">X$6*EstymacjaGaussowska($M55,$M$2:$M$49,X$12)*EstymacjaGaussowska($N55,$N$2:$N$49,X$13)*VLOOKUP($O55,$W$23:$AA$26,2)+Y$6*EstymacjaGaussowska($M55,$M$50:$M$90,Y$12)*EstymacjaGaussowska($N55,$N$50:$N$90,Y$13)*VLOOKUP($O55,$W$23:$AA$26,3)+Z$6*EstymacjaGaussowska($M55,$M$91:$M$151,Z$12)*EstymacjaGaussowska($N55,$N$91:$N$151,Z$13)*VLOOKUP($O55,$W$23:$AA$26,4)</f>
        <v>6.8647699991707778E-2</v>
      </c>
      <c r="S55" s="77" cm="1">
        <f t="array" ref="S55">X$6*EstymacjaGaussowska($M55,$M$2:$M$49,X$12)*EstymacjaGaussowska($N55,$N$2:$N$49,X$13)*VLOOKUP($O55,$W$23:$AA$26,2)/$R55</f>
        <v>9.27569758822675E-240</v>
      </c>
      <c r="T55" s="77" cm="1">
        <f t="array" ref="T55">Y$6*EstymacjaGaussowska($M55,$M$50:$M$90,Y$12)*EstymacjaGaussowska($N55,$N$50:$N$90,Y$13)*VLOOKUP($O55,$W$23:$AA$26,3)/$R55</f>
        <v>0.9741552067259166</v>
      </c>
      <c r="U55" s="87" cm="1">
        <f t="array" ref="U55">Z$6*EstymacjaGaussowska($M55,$M$91:$M$151,Z$12)*EstymacjaGaussowska($N55,$N$91:$N$151,Z$13)*VLOOKUP($O55,$W$23:$AA$26,4)/$R55</f>
        <v>2.5844793274083427E-2</v>
      </c>
    </row>
    <row r="56" spans="1:21" x14ac:dyDescent="0.25">
      <c r="A56" s="78">
        <v>55</v>
      </c>
      <c r="B56" s="9">
        <v>6.5</v>
      </c>
      <c r="C56" s="3">
        <v>2.8</v>
      </c>
      <c r="D56" s="3">
        <v>4.5999999999999996</v>
      </c>
      <c r="E56" s="8">
        <v>1.5</v>
      </c>
      <c r="F56" s="9" t="s">
        <v>11</v>
      </c>
      <c r="G56" s="50" t="s">
        <v>6</v>
      </c>
      <c r="H56" s="84">
        <v>60</v>
      </c>
      <c r="I56" s="78">
        <v>55</v>
      </c>
      <c r="J56" s="79">
        <f t="shared" si="9"/>
        <v>1</v>
      </c>
      <c r="K56" s="43">
        <f t="shared" si="10"/>
        <v>5.2</v>
      </c>
      <c r="L56" s="77">
        <f t="shared" si="11"/>
        <v>2.7</v>
      </c>
      <c r="M56" s="77">
        <f t="shared" si="12"/>
        <v>3.9</v>
      </c>
      <c r="N56" s="77">
        <f t="shared" si="13"/>
        <v>1.4</v>
      </c>
      <c r="O56" s="77" t="str">
        <f t="shared" si="14"/>
        <v>violet</v>
      </c>
      <c r="P56" s="90" t="str">
        <f t="shared" si="15"/>
        <v>versicolor</v>
      </c>
      <c r="Q56" s="43" t="str">
        <f t="shared" si="16"/>
        <v>versicolor</v>
      </c>
      <c r="R56" s="77" cm="1">
        <f t="array" ref="R56">X$6*EstymacjaGaussowska($M56,$M$2:$M$49,X$12)*EstymacjaGaussowska($N56,$N$2:$N$49,X$13)*VLOOKUP($O56,$W$23:$AA$26,2)+Y$6*EstymacjaGaussowska($M56,$M$50:$M$90,Y$12)*EstymacjaGaussowska($N56,$N$50:$N$90,Y$13)*VLOOKUP($O56,$W$23:$AA$26,3)+Z$6*EstymacjaGaussowska($M56,$M$91:$M$151,Z$12)*EstymacjaGaussowska($N56,$N$91:$N$151,Z$13)*VLOOKUP($O56,$W$23:$AA$26,4)</f>
        <v>0.12131109230836265</v>
      </c>
      <c r="S56" s="77" cm="1">
        <f t="array" ref="S56">X$6*EstymacjaGaussowska($M56,$M$2:$M$49,X$12)*EstymacjaGaussowska($N56,$N$2:$N$49,X$13)*VLOOKUP($O56,$W$23:$AA$26,2)/$R56</f>
        <v>5.2697050182901409E-167</v>
      </c>
      <c r="T56" s="77" cm="1">
        <f t="array" ref="T56">Y$6*EstymacjaGaussowska($M56,$M$50:$M$90,Y$12)*EstymacjaGaussowska($N56,$N$50:$N$90,Y$13)*VLOOKUP($O56,$W$23:$AA$26,3)/$R56</f>
        <v>0.99955629197805074</v>
      </c>
      <c r="U56" s="87" cm="1">
        <f t="array" ref="U56">Z$6*EstymacjaGaussowska($M56,$M$91:$M$151,Z$12)*EstymacjaGaussowska($N56,$N$91:$N$151,Z$13)*VLOOKUP($O56,$W$23:$AA$26,4)/$R56</f>
        <v>4.4370802194929499E-4</v>
      </c>
    </row>
    <row r="57" spans="1:21" x14ac:dyDescent="0.25">
      <c r="A57" s="78">
        <v>56</v>
      </c>
      <c r="B57" s="9">
        <v>5.7</v>
      </c>
      <c r="C57" s="3">
        <v>2.8</v>
      </c>
      <c r="D57" s="3">
        <v>4.5</v>
      </c>
      <c r="E57" s="8">
        <v>1.3</v>
      </c>
      <c r="F57" s="9" t="s">
        <v>11</v>
      </c>
      <c r="G57" s="50" t="s">
        <v>6</v>
      </c>
      <c r="H57" s="84">
        <v>62</v>
      </c>
      <c r="I57" s="78">
        <v>56</v>
      </c>
      <c r="J57" s="79">
        <f t="shared" si="9"/>
        <v>1</v>
      </c>
      <c r="K57" s="43">
        <f t="shared" si="10"/>
        <v>5.9</v>
      </c>
      <c r="L57" s="77">
        <f t="shared" si="11"/>
        <v>3</v>
      </c>
      <c r="M57" s="77">
        <f t="shared" si="12"/>
        <v>4.2</v>
      </c>
      <c r="N57" s="77">
        <f t="shared" si="13"/>
        <v>1.5</v>
      </c>
      <c r="O57" s="77" t="str">
        <f t="shared" si="14"/>
        <v>violet</v>
      </c>
      <c r="P57" s="90" t="str">
        <f t="shared" si="15"/>
        <v>versicolor</v>
      </c>
      <c r="Q57" s="43" t="str">
        <f t="shared" si="16"/>
        <v>versicolor</v>
      </c>
      <c r="R57" s="77" cm="1">
        <f t="array" ref="R57">X$6*EstymacjaGaussowska($M57,$M$2:$M$49,X$12)*EstymacjaGaussowska($N57,$N$2:$N$49,X$13)*VLOOKUP($O57,$W$23:$AA$26,2)+Y$6*EstymacjaGaussowska($M57,$M$50:$M$90,Y$12)*EstymacjaGaussowska($N57,$N$50:$N$90,Y$13)*VLOOKUP($O57,$W$23:$AA$26,3)+Z$6*EstymacjaGaussowska($M57,$M$91:$M$151,Z$12)*EstymacjaGaussowska($N57,$N$91:$N$151,Z$13)*VLOOKUP($O57,$W$23:$AA$26,4)</f>
        <v>0.15186644772650545</v>
      </c>
      <c r="S57" s="77" cm="1">
        <f t="array" ref="S57">X$6*EstymacjaGaussowska($M57,$M$2:$M$49,X$12)*EstymacjaGaussowska($N57,$N$2:$N$49,X$13)*VLOOKUP($O57,$W$23:$AA$26,2)/$R57</f>
        <v>6.0242375454849285E-215</v>
      </c>
      <c r="T57" s="77" cm="1">
        <f t="array" ref="T57">Y$6*EstymacjaGaussowska($M57,$M$50:$M$90,Y$12)*EstymacjaGaussowska($N57,$N$50:$N$90,Y$13)*VLOOKUP($O57,$W$23:$AA$26,3)/$R57</f>
        <v>0.99184092392869727</v>
      </c>
      <c r="U57" s="87" cm="1">
        <f t="array" ref="U57">Z$6*EstymacjaGaussowska($M57,$M$91:$M$151,Z$12)*EstymacjaGaussowska($N57,$N$91:$N$151,Z$13)*VLOOKUP($O57,$W$23:$AA$26,4)/$R57</f>
        <v>8.1590760713027913E-3</v>
      </c>
    </row>
    <row r="58" spans="1:21" x14ac:dyDescent="0.25">
      <c r="A58" s="78">
        <v>57</v>
      </c>
      <c r="B58" s="9">
        <v>6.3</v>
      </c>
      <c r="C58" s="3">
        <v>3.3</v>
      </c>
      <c r="D58" s="3">
        <v>4.7</v>
      </c>
      <c r="E58" s="8">
        <v>1.6</v>
      </c>
      <c r="F58" s="9" t="s">
        <v>11</v>
      </c>
      <c r="G58" s="50" t="s">
        <v>6</v>
      </c>
      <c r="H58" s="84">
        <v>62</v>
      </c>
      <c r="I58" s="78">
        <v>57</v>
      </c>
      <c r="J58" s="79">
        <f t="shared" si="9"/>
        <v>2</v>
      </c>
      <c r="K58" s="43">
        <f t="shared" si="10"/>
        <v>5.9</v>
      </c>
      <c r="L58" s="77">
        <f t="shared" si="11"/>
        <v>3</v>
      </c>
      <c r="M58" s="77">
        <f t="shared" si="12"/>
        <v>4.2</v>
      </c>
      <c r="N58" s="77">
        <f t="shared" si="13"/>
        <v>1.5</v>
      </c>
      <c r="O58" s="77" t="str">
        <f t="shared" si="14"/>
        <v>violet</v>
      </c>
      <c r="P58" s="90" t="str">
        <f t="shared" si="15"/>
        <v>versicolor</v>
      </c>
      <c r="Q58" s="43" t="str">
        <f t="shared" si="16"/>
        <v>versicolor</v>
      </c>
      <c r="R58" s="77" cm="1">
        <f t="array" ref="R58">X$6*EstymacjaGaussowska($M58,$M$2:$M$49,X$12)*EstymacjaGaussowska($N58,$N$2:$N$49,X$13)*VLOOKUP($O58,$W$23:$AA$26,2)+Y$6*EstymacjaGaussowska($M58,$M$50:$M$90,Y$12)*EstymacjaGaussowska($N58,$N$50:$N$90,Y$13)*VLOOKUP($O58,$W$23:$AA$26,3)+Z$6*EstymacjaGaussowska($M58,$M$91:$M$151,Z$12)*EstymacjaGaussowska($N58,$N$91:$N$151,Z$13)*VLOOKUP($O58,$W$23:$AA$26,4)</f>
        <v>0.15186644772650545</v>
      </c>
      <c r="S58" s="77" cm="1">
        <f t="array" ref="S58">X$6*EstymacjaGaussowska($M58,$M$2:$M$49,X$12)*EstymacjaGaussowska($N58,$N$2:$N$49,X$13)*VLOOKUP($O58,$W$23:$AA$26,2)/$R58</f>
        <v>6.0242375454849285E-215</v>
      </c>
      <c r="T58" s="77" cm="1">
        <f t="array" ref="T58">Y$6*EstymacjaGaussowska($M58,$M$50:$M$90,Y$12)*EstymacjaGaussowska($N58,$N$50:$N$90,Y$13)*VLOOKUP($O58,$W$23:$AA$26,3)/$R58</f>
        <v>0.99184092392869727</v>
      </c>
      <c r="U58" s="87" cm="1">
        <f t="array" ref="U58">Z$6*EstymacjaGaussowska($M58,$M$91:$M$151,Z$12)*EstymacjaGaussowska($N58,$N$91:$N$151,Z$13)*VLOOKUP($O58,$W$23:$AA$26,4)/$R58</f>
        <v>8.1590760713027913E-3</v>
      </c>
    </row>
    <row r="59" spans="1:21" x14ac:dyDescent="0.25">
      <c r="A59" s="78">
        <v>58</v>
      </c>
      <c r="B59" s="9">
        <v>4.9000000000000004</v>
      </c>
      <c r="C59" s="3">
        <v>2.4</v>
      </c>
      <c r="D59" s="3">
        <v>3.3</v>
      </c>
      <c r="E59" s="8">
        <v>1</v>
      </c>
      <c r="F59" s="9" t="s">
        <v>11</v>
      </c>
      <c r="G59" s="50" t="s">
        <v>6</v>
      </c>
      <c r="H59" s="84">
        <v>63</v>
      </c>
      <c r="I59" s="78">
        <v>58</v>
      </c>
      <c r="J59" s="79">
        <f t="shared" si="9"/>
        <v>0</v>
      </c>
      <c r="K59" s="43">
        <f t="shared" si="10"/>
        <v>6</v>
      </c>
      <c r="L59" s="77">
        <f t="shared" si="11"/>
        <v>2.2000000000000002</v>
      </c>
      <c r="M59" s="77">
        <f t="shared" si="12"/>
        <v>4</v>
      </c>
      <c r="N59" s="77">
        <f t="shared" si="13"/>
        <v>1</v>
      </c>
      <c r="O59" s="77" t="str">
        <f t="shared" si="14"/>
        <v>violet</v>
      </c>
      <c r="P59" s="90" t="str">
        <f t="shared" si="15"/>
        <v>versicolor</v>
      </c>
      <c r="Q59" s="43" t="str">
        <f t="shared" si="16"/>
        <v>versicolor</v>
      </c>
      <c r="R59" s="77" cm="1">
        <f t="array" ref="R59">X$6*EstymacjaGaussowska($M59,$M$2:$M$49,X$12)*EstymacjaGaussowska($N59,$N$2:$N$49,X$13)*VLOOKUP($O59,$W$23:$AA$26,2)+Y$6*EstymacjaGaussowska($M59,$M$50:$M$90,Y$12)*EstymacjaGaussowska($N59,$N$50:$N$90,Y$13)*VLOOKUP($O59,$W$23:$AA$26,3)+Z$6*EstymacjaGaussowska($M59,$M$91:$M$151,Z$12)*EstymacjaGaussowska($N59,$N$91:$N$151,Z$13)*VLOOKUP($O59,$W$23:$AA$26,4)</f>
        <v>3.7178015638346697E-2</v>
      </c>
      <c r="S59" s="77" cm="1">
        <f t="array" ref="S59">X$6*EstymacjaGaussowska($M59,$M$2:$M$49,X$12)*EstymacjaGaussowska($N59,$N$2:$N$49,X$13)*VLOOKUP($O59,$W$23:$AA$26,2)/$R59</f>
        <v>9.9801883920379351E-136</v>
      </c>
      <c r="T59" s="77" cm="1">
        <f t="array" ref="T59">Y$6*EstymacjaGaussowska($M59,$M$50:$M$90,Y$12)*EstymacjaGaussowska($N59,$N$50:$N$90,Y$13)*VLOOKUP($O59,$W$23:$AA$26,3)/$R59</f>
        <v>0.99999959084201695</v>
      </c>
      <c r="U59" s="87" cm="1">
        <f t="array" ref="U59">Z$6*EstymacjaGaussowska($M59,$M$91:$M$151,Z$12)*EstymacjaGaussowska($N59,$N$91:$N$151,Z$13)*VLOOKUP($O59,$W$23:$AA$26,4)/$R59</f>
        <v>4.0915798304542054E-7</v>
      </c>
    </row>
    <row r="60" spans="1:21" x14ac:dyDescent="0.25">
      <c r="A60" s="78">
        <v>59</v>
      </c>
      <c r="B60" s="9">
        <v>6.6</v>
      </c>
      <c r="C60" s="3">
        <v>2.9</v>
      </c>
      <c r="D60" s="3">
        <v>4.5999999999999996</v>
      </c>
      <c r="E60" s="8">
        <v>1.3</v>
      </c>
      <c r="F60" s="9" t="s">
        <v>11</v>
      </c>
      <c r="G60" s="50" t="s">
        <v>6</v>
      </c>
      <c r="H60" s="84">
        <v>64</v>
      </c>
      <c r="I60" s="78">
        <v>59</v>
      </c>
      <c r="J60" s="79">
        <f t="shared" si="9"/>
        <v>1</v>
      </c>
      <c r="K60" s="43">
        <f t="shared" si="10"/>
        <v>6.1</v>
      </c>
      <c r="L60" s="77">
        <f t="shared" si="11"/>
        <v>2.9</v>
      </c>
      <c r="M60" s="77">
        <f t="shared" si="12"/>
        <v>4.7</v>
      </c>
      <c r="N60" s="77">
        <f t="shared" si="13"/>
        <v>1.4</v>
      </c>
      <c r="O60" s="77" t="str">
        <f t="shared" si="14"/>
        <v>violet</v>
      </c>
      <c r="P60" s="90" t="str">
        <f t="shared" si="15"/>
        <v>versicolor</v>
      </c>
      <c r="Q60" s="43" t="str">
        <f t="shared" si="16"/>
        <v>versicolor</v>
      </c>
      <c r="R60" s="77" cm="1">
        <f t="array" ref="R60">X$6*EstymacjaGaussowska($M60,$M$2:$M$49,X$12)*EstymacjaGaussowska($N60,$N$2:$N$49,X$13)*VLOOKUP($O60,$W$23:$AA$26,2)+Y$6*EstymacjaGaussowska($M60,$M$50:$M$90,Y$12)*EstymacjaGaussowska($N60,$N$50:$N$90,Y$13)*VLOOKUP($O60,$W$23:$AA$26,3)+Z$6*EstymacjaGaussowska($M60,$M$91:$M$151,Z$12)*EstymacjaGaussowska($N60,$N$91:$N$151,Z$13)*VLOOKUP($O60,$W$23:$AA$26,4)</f>
        <v>0.16457989378591445</v>
      </c>
      <c r="S60" s="77" cm="1">
        <f t="array" ref="S60">X$6*EstymacjaGaussowska($M60,$M$2:$M$49,X$12)*EstymacjaGaussowska($N60,$N$2:$N$49,X$13)*VLOOKUP($O60,$W$23:$AA$26,2)/$R60</f>
        <v>1.1967157261107931E-267</v>
      </c>
      <c r="T60" s="77" cm="1">
        <f t="array" ref="T60">Y$6*EstymacjaGaussowska($M60,$M$50:$M$90,Y$12)*EstymacjaGaussowska($N60,$N$50:$N$90,Y$13)*VLOOKUP($O60,$W$23:$AA$26,3)/$R60</f>
        <v>0.96242064515194692</v>
      </c>
      <c r="U60" s="87" cm="1">
        <f t="array" ref="U60">Z$6*EstymacjaGaussowska($M60,$M$91:$M$151,Z$12)*EstymacjaGaussowska($N60,$N$91:$N$151,Z$13)*VLOOKUP($O60,$W$23:$AA$26,4)/$R60</f>
        <v>3.7579354848052991E-2</v>
      </c>
    </row>
    <row r="61" spans="1:21" x14ac:dyDescent="0.25">
      <c r="A61" s="78">
        <v>60</v>
      </c>
      <c r="B61" s="9">
        <v>5.2</v>
      </c>
      <c r="C61" s="3">
        <v>2.7</v>
      </c>
      <c r="D61" s="3">
        <v>3.9</v>
      </c>
      <c r="E61" s="8">
        <v>1.4</v>
      </c>
      <c r="F61" s="9" t="s">
        <v>12</v>
      </c>
      <c r="G61" s="50" t="s">
        <v>6</v>
      </c>
      <c r="H61" s="84">
        <v>65</v>
      </c>
      <c r="I61" s="78">
        <v>60</v>
      </c>
      <c r="J61" s="79">
        <f t="shared" si="9"/>
        <v>1</v>
      </c>
      <c r="K61" s="43">
        <f t="shared" si="10"/>
        <v>5.6</v>
      </c>
      <c r="L61" s="77">
        <f t="shared" si="11"/>
        <v>2.9</v>
      </c>
      <c r="M61" s="77">
        <f t="shared" si="12"/>
        <v>3.6</v>
      </c>
      <c r="N61" s="77">
        <f t="shared" si="13"/>
        <v>1.3</v>
      </c>
      <c r="O61" s="77" t="str">
        <f t="shared" si="14"/>
        <v>violet</v>
      </c>
      <c r="P61" s="90" t="str">
        <f t="shared" si="15"/>
        <v>versicolor</v>
      </c>
      <c r="Q61" s="43" t="str">
        <f t="shared" si="16"/>
        <v>versicolor</v>
      </c>
      <c r="R61" s="77" cm="1">
        <f t="array" ref="R61">X$6*EstymacjaGaussowska($M61,$M$2:$M$49,X$12)*EstymacjaGaussowska($N61,$N$2:$N$49,X$13)*VLOOKUP($O61,$W$23:$AA$26,2)+Y$6*EstymacjaGaussowska($M61,$M$50:$M$90,Y$12)*EstymacjaGaussowska($N61,$N$50:$N$90,Y$13)*VLOOKUP($O61,$W$23:$AA$26,3)+Z$6*EstymacjaGaussowska($M61,$M$91:$M$151,Z$12)*EstymacjaGaussowska($N61,$N$91:$N$151,Z$13)*VLOOKUP($O61,$W$23:$AA$26,4)</f>
        <v>5.4300582100290117E-2</v>
      </c>
      <c r="S61" s="77" cm="1">
        <f t="array" ref="S61">X$6*EstymacjaGaussowska($M61,$M$2:$M$49,X$12)*EstymacjaGaussowska($N61,$N$2:$N$49,X$13)*VLOOKUP($O61,$W$23:$AA$26,2)/$R61</f>
        <v>5.2693619047154094E-125</v>
      </c>
      <c r="T61" s="77" cm="1">
        <f t="array" ref="T61">Y$6*EstymacjaGaussowska($M61,$M$50:$M$90,Y$12)*EstymacjaGaussowska($N61,$N$50:$N$90,Y$13)*VLOOKUP($O61,$W$23:$AA$26,3)/$R61</f>
        <v>0.99999442049014187</v>
      </c>
      <c r="U61" s="87" cm="1">
        <f t="array" ref="U61">Z$6*EstymacjaGaussowska($M61,$M$91:$M$151,Z$12)*EstymacjaGaussowska($N61,$N$91:$N$151,Z$13)*VLOOKUP($O61,$W$23:$AA$26,4)/$R61</f>
        <v>5.5795098581008364E-6</v>
      </c>
    </row>
    <row r="62" spans="1:21" x14ac:dyDescent="0.25">
      <c r="A62" s="78">
        <v>61</v>
      </c>
      <c r="B62" s="9">
        <v>5</v>
      </c>
      <c r="C62" s="3">
        <v>2</v>
      </c>
      <c r="D62" s="3">
        <v>3.5</v>
      </c>
      <c r="E62" s="8">
        <v>1</v>
      </c>
      <c r="F62" s="9" t="s">
        <v>12</v>
      </c>
      <c r="G62" s="50" t="s">
        <v>6</v>
      </c>
      <c r="H62" s="84">
        <v>66</v>
      </c>
      <c r="I62" s="78">
        <v>61</v>
      </c>
      <c r="J62" s="79">
        <f t="shared" si="9"/>
        <v>0</v>
      </c>
      <c r="K62" s="43">
        <f t="shared" si="10"/>
        <v>6.7</v>
      </c>
      <c r="L62" s="77">
        <f t="shared" si="11"/>
        <v>3.1</v>
      </c>
      <c r="M62" s="77">
        <f t="shared" si="12"/>
        <v>4.4000000000000004</v>
      </c>
      <c r="N62" s="77">
        <f t="shared" si="13"/>
        <v>1.4</v>
      </c>
      <c r="O62" s="77" t="str">
        <f t="shared" si="14"/>
        <v>violet</v>
      </c>
      <c r="P62" s="90" t="str">
        <f t="shared" si="15"/>
        <v>versicolor</v>
      </c>
      <c r="Q62" s="43" t="str">
        <f t="shared" si="16"/>
        <v>versicolor</v>
      </c>
      <c r="R62" s="77" cm="1">
        <f t="array" ref="R62">X$6*EstymacjaGaussowska($M62,$M$2:$M$49,X$12)*EstymacjaGaussowska($N62,$N$2:$N$49,X$13)*VLOOKUP($O62,$W$23:$AA$26,2)+Y$6*EstymacjaGaussowska($M62,$M$50:$M$90,Y$12)*EstymacjaGaussowska($N62,$N$50:$N$90,Y$13)*VLOOKUP($O62,$W$23:$AA$26,3)+Z$6*EstymacjaGaussowska($M62,$M$91:$M$151,Z$12)*EstymacjaGaussowska($N62,$N$91:$N$151,Z$13)*VLOOKUP($O62,$W$23:$AA$26,4)</f>
        <v>0.19138570214762743</v>
      </c>
      <c r="S62" s="77" cm="1">
        <f t="array" ref="S62">X$6*EstymacjaGaussowska($M62,$M$2:$M$49,X$12)*EstymacjaGaussowska($N62,$N$2:$N$49,X$13)*VLOOKUP($O62,$W$23:$AA$26,2)/$R62</f>
        <v>4.2699847818225659E-226</v>
      </c>
      <c r="T62" s="77" cm="1">
        <f t="array" ref="T62">Y$6*EstymacjaGaussowska($M62,$M$50:$M$90,Y$12)*EstymacjaGaussowska($N62,$N$50:$N$90,Y$13)*VLOOKUP($O62,$W$23:$AA$26,3)/$R62</f>
        <v>0.99027941958518495</v>
      </c>
      <c r="U62" s="87" cm="1">
        <f t="array" ref="U62">Z$6*EstymacjaGaussowska($M62,$M$91:$M$151,Z$12)*EstymacjaGaussowska($N62,$N$91:$N$151,Z$13)*VLOOKUP($O62,$W$23:$AA$26,4)/$R62</f>
        <v>9.7205804148150013E-3</v>
      </c>
    </row>
    <row r="63" spans="1:21" x14ac:dyDescent="0.25">
      <c r="A63" s="78">
        <v>62</v>
      </c>
      <c r="B63" s="9">
        <v>5.9</v>
      </c>
      <c r="C63" s="3">
        <v>3</v>
      </c>
      <c r="D63" s="3">
        <v>4.2</v>
      </c>
      <c r="E63" s="8">
        <v>1.5</v>
      </c>
      <c r="F63" s="9" t="s">
        <v>12</v>
      </c>
      <c r="G63" s="50" t="s">
        <v>6</v>
      </c>
      <c r="H63" s="84">
        <v>67</v>
      </c>
      <c r="I63" s="78">
        <v>62</v>
      </c>
      <c r="J63" s="79">
        <f t="shared" si="9"/>
        <v>2</v>
      </c>
      <c r="K63" s="43">
        <f t="shared" si="10"/>
        <v>5.6</v>
      </c>
      <c r="L63" s="77">
        <f t="shared" si="11"/>
        <v>3</v>
      </c>
      <c r="M63" s="77">
        <f t="shared" si="12"/>
        <v>4.5</v>
      </c>
      <c r="N63" s="77">
        <f t="shared" si="13"/>
        <v>1.5</v>
      </c>
      <c r="O63" s="77" t="str">
        <f t="shared" si="14"/>
        <v>violet</v>
      </c>
      <c r="P63" s="90" t="str">
        <f t="shared" si="15"/>
        <v>versicolor</v>
      </c>
      <c r="Q63" s="43" t="str">
        <f t="shared" si="16"/>
        <v>versicolor</v>
      </c>
      <c r="R63" s="77" cm="1">
        <f t="array" ref="R63">X$6*EstymacjaGaussowska($M63,$M$2:$M$49,X$12)*EstymacjaGaussowska($N63,$N$2:$N$49,X$13)*VLOOKUP($O63,$W$23:$AA$26,2)+Y$6*EstymacjaGaussowska($M63,$M$50:$M$90,Y$12)*EstymacjaGaussowska($N63,$N$50:$N$90,Y$13)*VLOOKUP($O63,$W$23:$AA$26,3)+Z$6*EstymacjaGaussowska($M63,$M$91:$M$151,Z$12)*EstymacjaGaussowska($N63,$N$91:$N$151,Z$13)*VLOOKUP($O63,$W$23:$AA$26,4)</f>
        <v>0.1740855600190499</v>
      </c>
      <c r="S63" s="77" cm="1">
        <f t="array" ref="S63">X$6*EstymacjaGaussowska($M63,$M$2:$M$49,X$12)*EstymacjaGaussowska($N63,$N$2:$N$49,X$13)*VLOOKUP($O63,$W$23:$AA$26,2)/$R63</f>
        <v>1.7523136865686129E-253</v>
      </c>
      <c r="T63" s="77" cm="1">
        <f t="array" ref="T63">Y$6*EstymacjaGaussowska($M63,$M$50:$M$90,Y$12)*EstymacjaGaussowska($N63,$N$50:$N$90,Y$13)*VLOOKUP($O63,$W$23:$AA$26,3)/$R63</f>
        <v>0.96903270151342025</v>
      </c>
      <c r="U63" s="87" cm="1">
        <f t="array" ref="U63">Z$6*EstymacjaGaussowska($M63,$M$91:$M$151,Z$12)*EstymacjaGaussowska($N63,$N$91:$N$151,Z$13)*VLOOKUP($O63,$W$23:$AA$26,4)/$R63</f>
        <v>3.0967298486579694E-2</v>
      </c>
    </row>
    <row r="64" spans="1:21" x14ac:dyDescent="0.25">
      <c r="A64" s="78">
        <v>63</v>
      </c>
      <c r="B64" s="9">
        <v>6</v>
      </c>
      <c r="C64" s="3">
        <v>2.2000000000000002</v>
      </c>
      <c r="D64" s="3">
        <v>4</v>
      </c>
      <c r="E64" s="8">
        <v>1</v>
      </c>
      <c r="F64" s="9" t="s">
        <v>12</v>
      </c>
      <c r="G64" s="50" t="s">
        <v>6</v>
      </c>
      <c r="H64" s="84">
        <v>67</v>
      </c>
      <c r="I64" s="78">
        <v>63</v>
      </c>
      <c r="J64" s="79">
        <f t="shared" si="9"/>
        <v>1</v>
      </c>
      <c r="K64" s="43">
        <f t="shared" si="10"/>
        <v>5.6</v>
      </c>
      <c r="L64" s="77">
        <f t="shared" si="11"/>
        <v>3</v>
      </c>
      <c r="M64" s="77">
        <f t="shared" si="12"/>
        <v>4.5</v>
      </c>
      <c r="N64" s="77">
        <f t="shared" si="13"/>
        <v>1.5</v>
      </c>
      <c r="O64" s="77" t="str">
        <f t="shared" si="14"/>
        <v>violet</v>
      </c>
      <c r="P64" s="90" t="str">
        <f t="shared" si="15"/>
        <v>versicolor</v>
      </c>
      <c r="Q64" s="43" t="str">
        <f t="shared" si="16"/>
        <v>versicolor</v>
      </c>
      <c r="R64" s="77" cm="1">
        <f t="array" ref="R64">X$6*EstymacjaGaussowska($M64,$M$2:$M$49,X$12)*EstymacjaGaussowska($N64,$N$2:$N$49,X$13)*VLOOKUP($O64,$W$23:$AA$26,2)+Y$6*EstymacjaGaussowska($M64,$M$50:$M$90,Y$12)*EstymacjaGaussowska($N64,$N$50:$N$90,Y$13)*VLOOKUP($O64,$W$23:$AA$26,3)+Z$6*EstymacjaGaussowska($M64,$M$91:$M$151,Z$12)*EstymacjaGaussowska($N64,$N$91:$N$151,Z$13)*VLOOKUP($O64,$W$23:$AA$26,4)</f>
        <v>0.1740855600190499</v>
      </c>
      <c r="S64" s="77" cm="1">
        <f t="array" ref="S64">X$6*EstymacjaGaussowska($M64,$M$2:$M$49,X$12)*EstymacjaGaussowska($N64,$N$2:$N$49,X$13)*VLOOKUP($O64,$W$23:$AA$26,2)/$R64</f>
        <v>1.7523136865686129E-253</v>
      </c>
      <c r="T64" s="77" cm="1">
        <f t="array" ref="T64">Y$6*EstymacjaGaussowska($M64,$M$50:$M$90,Y$12)*EstymacjaGaussowska($N64,$N$50:$N$90,Y$13)*VLOOKUP($O64,$W$23:$AA$26,3)/$R64</f>
        <v>0.96903270151342025</v>
      </c>
      <c r="U64" s="87" cm="1">
        <f t="array" ref="U64">Z$6*EstymacjaGaussowska($M64,$M$91:$M$151,Z$12)*EstymacjaGaussowska($N64,$N$91:$N$151,Z$13)*VLOOKUP($O64,$W$23:$AA$26,4)/$R64</f>
        <v>3.0967298486579694E-2</v>
      </c>
    </row>
    <row r="65" spans="1:21" x14ac:dyDescent="0.25">
      <c r="A65" s="78">
        <v>64</v>
      </c>
      <c r="B65" s="9">
        <v>6.1</v>
      </c>
      <c r="C65" s="3">
        <v>2.9</v>
      </c>
      <c r="D65" s="3">
        <v>4.7</v>
      </c>
      <c r="E65" s="8">
        <v>1.4</v>
      </c>
      <c r="F65" s="9" t="s">
        <v>12</v>
      </c>
      <c r="G65" s="50" t="s">
        <v>6</v>
      </c>
      <c r="H65" s="84">
        <v>69</v>
      </c>
      <c r="I65" s="78">
        <v>64</v>
      </c>
      <c r="J65" s="79">
        <f t="shared" si="9"/>
        <v>1</v>
      </c>
      <c r="K65" s="43">
        <f t="shared" si="10"/>
        <v>6.2</v>
      </c>
      <c r="L65" s="77">
        <f t="shared" si="11"/>
        <v>2.2000000000000002</v>
      </c>
      <c r="M65" s="77">
        <f t="shared" si="12"/>
        <v>4.5</v>
      </c>
      <c r="N65" s="77">
        <f t="shared" si="13"/>
        <v>1.5</v>
      </c>
      <c r="O65" s="77" t="str">
        <f t="shared" si="14"/>
        <v>violet</v>
      </c>
      <c r="P65" s="90" t="str">
        <f t="shared" si="15"/>
        <v>versicolor</v>
      </c>
      <c r="Q65" s="43" t="str">
        <f t="shared" si="16"/>
        <v>versicolor</v>
      </c>
      <c r="R65" s="77" cm="1">
        <f t="array" ref="R65">X$6*EstymacjaGaussowska($M65,$M$2:$M$49,X$12)*EstymacjaGaussowska($N65,$N$2:$N$49,X$13)*VLOOKUP($O65,$W$23:$AA$26,2)+Y$6*EstymacjaGaussowska($M65,$M$50:$M$90,Y$12)*EstymacjaGaussowska($N65,$N$50:$N$90,Y$13)*VLOOKUP($O65,$W$23:$AA$26,3)+Z$6*EstymacjaGaussowska($M65,$M$91:$M$151,Z$12)*EstymacjaGaussowska($N65,$N$91:$N$151,Z$13)*VLOOKUP($O65,$W$23:$AA$26,4)</f>
        <v>0.1740855600190499</v>
      </c>
      <c r="S65" s="77" cm="1">
        <f t="array" ref="S65">X$6*EstymacjaGaussowska($M65,$M$2:$M$49,X$12)*EstymacjaGaussowska($N65,$N$2:$N$49,X$13)*VLOOKUP($O65,$W$23:$AA$26,2)/$R65</f>
        <v>1.7523136865686129E-253</v>
      </c>
      <c r="T65" s="77" cm="1">
        <f t="array" ref="T65">Y$6*EstymacjaGaussowska($M65,$M$50:$M$90,Y$12)*EstymacjaGaussowska($N65,$N$50:$N$90,Y$13)*VLOOKUP($O65,$W$23:$AA$26,3)/$R65</f>
        <v>0.96903270151342025</v>
      </c>
      <c r="U65" s="87" cm="1">
        <f t="array" ref="U65">Z$6*EstymacjaGaussowska($M65,$M$91:$M$151,Z$12)*EstymacjaGaussowska($N65,$N$91:$N$151,Z$13)*VLOOKUP($O65,$W$23:$AA$26,4)/$R65</f>
        <v>3.0967298486579694E-2</v>
      </c>
    </row>
    <row r="66" spans="1:21" x14ac:dyDescent="0.25">
      <c r="A66" s="78">
        <v>65</v>
      </c>
      <c r="B66" s="9">
        <v>5.6</v>
      </c>
      <c r="C66" s="3">
        <v>2.9</v>
      </c>
      <c r="D66" s="3">
        <v>3.6</v>
      </c>
      <c r="E66" s="8">
        <v>1.3</v>
      </c>
      <c r="F66" s="9" t="s">
        <v>12</v>
      </c>
      <c r="G66" s="50" t="s">
        <v>6</v>
      </c>
      <c r="H66" s="84">
        <v>72</v>
      </c>
      <c r="I66" s="78">
        <v>65</v>
      </c>
      <c r="J66" s="79">
        <f t="shared" ref="J66:J97" si="17">COUNTIF($H$2:$H$151,I66)</f>
        <v>1</v>
      </c>
      <c r="K66" s="43">
        <f t="shared" ref="K66:K97" si="18">VLOOKUP($H66,$A$2:$F$151,2,FALSE)</f>
        <v>6.1</v>
      </c>
      <c r="L66" s="77">
        <f t="shared" ref="L66:L97" si="19">VLOOKUP($H66,$A$2:$F$151,3,FALSE)</f>
        <v>2.8</v>
      </c>
      <c r="M66" s="77">
        <f t="shared" ref="M66:M97" si="20">VLOOKUP($H66,$A$2:$F$151,4,FALSE)</f>
        <v>4</v>
      </c>
      <c r="N66" s="77">
        <f t="shared" ref="N66:N97" si="21">VLOOKUP($H66,$A$2:$F$151,5,FALSE)</f>
        <v>1.3</v>
      </c>
      <c r="O66" s="77" t="str">
        <f t="shared" ref="O66:O97" si="22">VLOOKUP($H66,$A$2:$F$151,6,FALSE)</f>
        <v>violet</v>
      </c>
      <c r="P66" s="90" t="str">
        <f t="shared" ref="P66:P97" si="23">VLOOKUP($H66,$A$2:$G$151,7,FALSE)</f>
        <v>versicolor</v>
      </c>
      <c r="Q66" s="43" t="str">
        <f t="shared" si="16"/>
        <v>versicolor</v>
      </c>
      <c r="R66" s="77" cm="1">
        <f t="array" ref="R66">X$6*EstymacjaGaussowska($M66,$M$2:$M$49,X$12)*EstymacjaGaussowska($N66,$N$2:$N$49,X$13)*VLOOKUP($O66,$W$23:$AA$26,2)+Y$6*EstymacjaGaussowska($M66,$M$50:$M$90,Y$12)*EstymacjaGaussowska($N66,$N$50:$N$90,Y$13)*VLOOKUP($O66,$W$23:$AA$26,3)+Z$6*EstymacjaGaussowska($M66,$M$91:$M$151,Z$12)*EstymacjaGaussowska($N66,$N$91:$N$151,Z$13)*VLOOKUP($O66,$W$23:$AA$26,4)</f>
        <v>0.14012725459161174</v>
      </c>
      <c r="S66" s="77" cm="1">
        <f t="array" ref="S66">X$6*EstymacjaGaussowska($M66,$M$2:$M$49,X$12)*EstymacjaGaussowska($N66,$N$2:$N$49,X$13)*VLOOKUP($O66,$W$23:$AA$26,2)/$R66</f>
        <v>3.3443324657548793E-165</v>
      </c>
      <c r="T66" s="77" cm="1">
        <f t="array" ref="T66">Y$6*EstymacjaGaussowska($M66,$M$50:$M$90,Y$12)*EstymacjaGaussowska($N66,$N$50:$N$90,Y$13)*VLOOKUP($O66,$W$23:$AA$26,3)/$R66</f>
        <v>0.99969358235206129</v>
      </c>
      <c r="U66" s="87" cm="1">
        <f t="array" ref="U66">Z$6*EstymacjaGaussowska($M66,$M$91:$M$151,Z$12)*EstymacjaGaussowska($N66,$N$91:$N$151,Z$13)*VLOOKUP($O66,$W$23:$AA$26,4)/$R66</f>
        <v>3.0641764793872878E-4</v>
      </c>
    </row>
    <row r="67" spans="1:21" x14ac:dyDescent="0.25">
      <c r="A67" s="78">
        <v>66</v>
      </c>
      <c r="B67" s="9">
        <v>6.7</v>
      </c>
      <c r="C67" s="3">
        <v>3.1</v>
      </c>
      <c r="D67" s="3">
        <v>4.4000000000000004</v>
      </c>
      <c r="E67" s="8">
        <v>1.4</v>
      </c>
      <c r="F67" s="9" t="s">
        <v>12</v>
      </c>
      <c r="G67" s="50" t="s">
        <v>6</v>
      </c>
      <c r="H67" s="84">
        <v>73</v>
      </c>
      <c r="I67" s="78">
        <v>66</v>
      </c>
      <c r="J67" s="79">
        <f t="shared" si="17"/>
        <v>1</v>
      </c>
      <c r="K67" s="43">
        <f t="shared" si="18"/>
        <v>6.3</v>
      </c>
      <c r="L67" s="77">
        <f t="shared" si="19"/>
        <v>2.5</v>
      </c>
      <c r="M67" s="77">
        <f t="shared" si="20"/>
        <v>4.9000000000000004</v>
      </c>
      <c r="N67" s="77">
        <f t="shared" si="21"/>
        <v>1.5</v>
      </c>
      <c r="O67" s="77" t="str">
        <f t="shared" si="22"/>
        <v>violet</v>
      </c>
      <c r="P67" s="90" t="str">
        <f t="shared" si="23"/>
        <v>versicolor</v>
      </c>
      <c r="Q67" s="43" t="str">
        <f t="shared" si="16"/>
        <v>versicolor</v>
      </c>
      <c r="R67" s="77" cm="1">
        <f t="array" ref="R67">X$6*EstymacjaGaussowska($M67,$M$2:$M$49,X$12)*EstymacjaGaussowska($N67,$N$2:$N$49,X$13)*VLOOKUP($O67,$W$23:$AA$26,2)+Y$6*EstymacjaGaussowska($M67,$M$50:$M$90,Y$12)*EstymacjaGaussowska($N67,$N$50:$N$90,Y$13)*VLOOKUP($O67,$W$23:$AA$26,3)+Z$6*EstymacjaGaussowska($M67,$M$91:$M$151,Z$12)*EstymacjaGaussowska($N67,$N$91:$N$151,Z$13)*VLOOKUP($O67,$W$23:$AA$26,4)</f>
        <v>0.11083326864924384</v>
      </c>
      <c r="S67" s="77" cm="1">
        <f t="array" ref="S67">X$6*EstymacjaGaussowska($M67,$M$2:$M$49,X$12)*EstymacjaGaussowska($N67,$N$2:$N$49,X$13)*VLOOKUP($O67,$W$23:$AA$26,2)/$R67</f>
        <v>0</v>
      </c>
      <c r="T67" s="77" cm="1">
        <f t="array" ref="T67">Y$6*EstymacjaGaussowska($M67,$M$50:$M$90,Y$12)*EstymacjaGaussowska($N67,$N$50:$N$90,Y$13)*VLOOKUP($O67,$W$23:$AA$26,3)/$R67</f>
        <v>0.81078732111909635</v>
      </c>
      <c r="U67" s="87" cm="1">
        <f t="array" ref="U67">Z$6*EstymacjaGaussowska($M67,$M$91:$M$151,Z$12)*EstymacjaGaussowska($N67,$N$91:$N$151,Z$13)*VLOOKUP($O67,$W$23:$AA$26,4)/$R67</f>
        <v>0.1892126788809036</v>
      </c>
    </row>
    <row r="68" spans="1:21" x14ac:dyDescent="0.25">
      <c r="A68" s="78">
        <v>67</v>
      </c>
      <c r="B68" s="9">
        <v>5.6</v>
      </c>
      <c r="C68" s="3">
        <v>3</v>
      </c>
      <c r="D68" s="3">
        <v>4.5</v>
      </c>
      <c r="E68" s="8">
        <v>1.5</v>
      </c>
      <c r="F68" s="9" t="s">
        <v>12</v>
      </c>
      <c r="G68" s="50" t="s">
        <v>6</v>
      </c>
      <c r="H68" s="84">
        <v>76</v>
      </c>
      <c r="I68" s="78">
        <v>67</v>
      </c>
      <c r="J68" s="79">
        <f t="shared" si="17"/>
        <v>2</v>
      </c>
      <c r="K68" s="43">
        <f t="shared" si="18"/>
        <v>6.6</v>
      </c>
      <c r="L68" s="77">
        <f t="shared" si="19"/>
        <v>3</v>
      </c>
      <c r="M68" s="77">
        <f t="shared" si="20"/>
        <v>4.4000000000000004</v>
      </c>
      <c r="N68" s="77">
        <f t="shared" si="21"/>
        <v>1.4</v>
      </c>
      <c r="O68" s="77" t="str">
        <f t="shared" si="22"/>
        <v>violet</v>
      </c>
      <c r="P68" s="90" t="str">
        <f t="shared" si="23"/>
        <v>versicolor</v>
      </c>
      <c r="Q68" s="43" t="str">
        <f t="shared" si="16"/>
        <v>versicolor</v>
      </c>
      <c r="R68" s="77" cm="1">
        <f t="array" ref="R68">X$6*EstymacjaGaussowska($M68,$M$2:$M$49,X$12)*EstymacjaGaussowska($N68,$N$2:$N$49,X$13)*VLOOKUP($O68,$W$23:$AA$26,2)+Y$6*EstymacjaGaussowska($M68,$M$50:$M$90,Y$12)*EstymacjaGaussowska($N68,$N$50:$N$90,Y$13)*VLOOKUP($O68,$W$23:$AA$26,3)+Z$6*EstymacjaGaussowska($M68,$M$91:$M$151,Z$12)*EstymacjaGaussowska($N68,$N$91:$N$151,Z$13)*VLOOKUP($O68,$W$23:$AA$26,4)</f>
        <v>0.19138570214762743</v>
      </c>
      <c r="S68" s="77" cm="1">
        <f t="array" ref="S68">X$6*EstymacjaGaussowska($M68,$M$2:$M$49,X$12)*EstymacjaGaussowska($N68,$N$2:$N$49,X$13)*VLOOKUP($O68,$W$23:$AA$26,2)/$R68</f>
        <v>4.2699847818225659E-226</v>
      </c>
      <c r="T68" s="77" cm="1">
        <f t="array" ref="T68">Y$6*EstymacjaGaussowska($M68,$M$50:$M$90,Y$12)*EstymacjaGaussowska($N68,$N$50:$N$90,Y$13)*VLOOKUP($O68,$W$23:$AA$26,3)/$R68</f>
        <v>0.99027941958518495</v>
      </c>
      <c r="U68" s="87" cm="1">
        <f t="array" ref="U68">Z$6*EstymacjaGaussowska($M68,$M$91:$M$151,Z$12)*EstymacjaGaussowska($N68,$N$91:$N$151,Z$13)*VLOOKUP($O68,$W$23:$AA$26,4)/$R68</f>
        <v>9.7205804148150013E-3</v>
      </c>
    </row>
    <row r="69" spans="1:21" x14ac:dyDescent="0.25">
      <c r="A69" s="78">
        <v>68</v>
      </c>
      <c r="B69" s="9">
        <v>5.8</v>
      </c>
      <c r="C69" s="3">
        <v>2.7</v>
      </c>
      <c r="D69" s="3">
        <v>4.0999999999999996</v>
      </c>
      <c r="E69" s="8">
        <v>1</v>
      </c>
      <c r="F69" s="9" t="s">
        <v>12</v>
      </c>
      <c r="G69" s="50" t="s">
        <v>6</v>
      </c>
      <c r="H69" s="84">
        <v>77</v>
      </c>
      <c r="I69" s="78">
        <v>68</v>
      </c>
      <c r="J69" s="79">
        <f t="shared" si="17"/>
        <v>0</v>
      </c>
      <c r="K69" s="43">
        <f t="shared" si="18"/>
        <v>6.8</v>
      </c>
      <c r="L69" s="77">
        <f t="shared" si="19"/>
        <v>2.8</v>
      </c>
      <c r="M69" s="77">
        <f t="shared" si="20"/>
        <v>4.8</v>
      </c>
      <c r="N69" s="77">
        <f t="shared" si="21"/>
        <v>1.4</v>
      </c>
      <c r="O69" s="77" t="str">
        <f t="shared" si="22"/>
        <v>violet</v>
      </c>
      <c r="P69" s="90" t="str">
        <f t="shared" si="23"/>
        <v>versicolor</v>
      </c>
      <c r="Q69" s="43" t="str">
        <f t="shared" si="16"/>
        <v>versicolor</v>
      </c>
      <c r="R69" s="77" cm="1">
        <f t="array" ref="R69">X$6*EstymacjaGaussowska($M69,$M$2:$M$49,X$12)*EstymacjaGaussowska($N69,$N$2:$N$49,X$13)*VLOOKUP($O69,$W$23:$AA$26,2)+Y$6*EstymacjaGaussowska($M69,$M$50:$M$90,Y$12)*EstymacjaGaussowska($N69,$N$50:$N$90,Y$13)*VLOOKUP($O69,$W$23:$AA$26,3)+Z$6*EstymacjaGaussowska($M69,$M$91:$M$151,Z$12)*EstymacjaGaussowska($N69,$N$91:$N$151,Z$13)*VLOOKUP($O69,$W$23:$AA$26,4)</f>
        <v>0.13895621118440118</v>
      </c>
      <c r="S69" s="77" cm="1">
        <f t="array" ref="S69">X$6*EstymacjaGaussowska($M69,$M$2:$M$49,X$12)*EstymacjaGaussowska($N69,$N$2:$N$49,X$13)*VLOOKUP($O69,$W$23:$AA$26,2)/$R69</f>
        <v>1.7054574614215125E-282</v>
      </c>
      <c r="T69" s="77" cm="1">
        <f t="array" ref="T69">Y$6*EstymacjaGaussowska($M69,$M$50:$M$90,Y$12)*EstymacjaGaussowska($N69,$N$50:$N$90,Y$13)*VLOOKUP($O69,$W$23:$AA$26,3)/$R69</f>
        <v>0.938335802742985</v>
      </c>
      <c r="U69" s="87" cm="1">
        <f t="array" ref="U69">Z$6*EstymacjaGaussowska($M69,$M$91:$M$151,Z$12)*EstymacjaGaussowska($N69,$N$91:$N$151,Z$13)*VLOOKUP($O69,$W$23:$AA$26,4)/$R69</f>
        <v>6.1664197257015017E-2</v>
      </c>
    </row>
    <row r="70" spans="1:21" x14ac:dyDescent="0.25">
      <c r="A70" s="78">
        <v>69</v>
      </c>
      <c r="B70" s="9">
        <v>6.2</v>
      </c>
      <c r="C70" s="3">
        <v>2.2000000000000002</v>
      </c>
      <c r="D70" s="3">
        <v>4.5</v>
      </c>
      <c r="E70" s="8">
        <v>1.5</v>
      </c>
      <c r="F70" s="9" t="s">
        <v>12</v>
      </c>
      <c r="G70" s="50" t="s">
        <v>6</v>
      </c>
      <c r="H70" s="84">
        <v>78</v>
      </c>
      <c r="I70" s="78">
        <v>69</v>
      </c>
      <c r="J70" s="79">
        <f t="shared" si="17"/>
        <v>1</v>
      </c>
      <c r="K70" s="43">
        <f t="shared" si="18"/>
        <v>6.7</v>
      </c>
      <c r="L70" s="77">
        <f t="shared" si="19"/>
        <v>3</v>
      </c>
      <c r="M70" s="77">
        <f t="shared" si="20"/>
        <v>5</v>
      </c>
      <c r="N70" s="77">
        <f t="shared" si="21"/>
        <v>1.7</v>
      </c>
      <c r="O70" s="77" t="str">
        <f t="shared" si="22"/>
        <v>violet</v>
      </c>
      <c r="P70" s="90" t="str">
        <f t="shared" si="23"/>
        <v>versicolor</v>
      </c>
      <c r="Q70" s="43" t="str">
        <f t="shared" si="16"/>
        <v>virginica</v>
      </c>
      <c r="R70" s="77" cm="1">
        <f t="array" ref="R70">X$6*EstymacjaGaussowska($M70,$M$2:$M$49,X$12)*EstymacjaGaussowska($N70,$N$2:$N$49,X$13)*VLOOKUP($O70,$W$23:$AA$26,2)+Y$6*EstymacjaGaussowska($M70,$M$50:$M$90,Y$12)*EstymacjaGaussowska($N70,$N$50:$N$90,Y$13)*VLOOKUP($O70,$W$23:$AA$26,3)+Z$6*EstymacjaGaussowska($M70,$M$91:$M$151,Z$12)*EstymacjaGaussowska($N70,$N$91:$N$151,Z$13)*VLOOKUP($O70,$W$23:$AA$26,4)</f>
        <v>9.2004413789565434E-2</v>
      </c>
      <c r="S70" s="77" cm="1">
        <f t="array" ref="S70">X$6*EstymacjaGaussowska($M70,$M$2:$M$49,X$12)*EstymacjaGaussowska($N70,$N$2:$N$49,X$13)*VLOOKUP($O70,$W$23:$AA$26,2)/$R70</f>
        <v>0</v>
      </c>
      <c r="T70" s="77" cm="1">
        <f t="array" ref="T70">Y$6*EstymacjaGaussowska($M70,$M$50:$M$90,Y$12)*EstymacjaGaussowska($N70,$N$50:$N$90,Y$13)*VLOOKUP($O70,$W$23:$AA$26,3)/$R70</f>
        <v>0.26145583062430772</v>
      </c>
      <c r="U70" s="87" cm="1">
        <f t="array" ref="U70">Z$6*EstymacjaGaussowska($M70,$M$91:$M$151,Z$12)*EstymacjaGaussowska($N70,$N$91:$N$151,Z$13)*VLOOKUP($O70,$W$23:$AA$26,4)/$R70</f>
        <v>0.73854416937569223</v>
      </c>
    </row>
    <row r="71" spans="1:21" x14ac:dyDescent="0.25">
      <c r="A71" s="78">
        <v>70</v>
      </c>
      <c r="B71" s="9">
        <v>5.6</v>
      </c>
      <c r="C71" s="3">
        <v>2.5</v>
      </c>
      <c r="D71" s="3">
        <v>3.9</v>
      </c>
      <c r="E71" s="8">
        <v>1.1000000000000001</v>
      </c>
      <c r="F71" s="9" t="s">
        <v>12</v>
      </c>
      <c r="G71" s="50" t="s">
        <v>6</v>
      </c>
      <c r="H71" s="84">
        <v>78</v>
      </c>
      <c r="I71" s="78">
        <v>70</v>
      </c>
      <c r="J71" s="79">
        <f t="shared" si="17"/>
        <v>0</v>
      </c>
      <c r="K71" s="43">
        <f t="shared" si="18"/>
        <v>6.7</v>
      </c>
      <c r="L71" s="77">
        <f t="shared" si="19"/>
        <v>3</v>
      </c>
      <c r="M71" s="77">
        <f t="shared" si="20"/>
        <v>5</v>
      </c>
      <c r="N71" s="77">
        <f t="shared" si="21"/>
        <v>1.7</v>
      </c>
      <c r="O71" s="77" t="str">
        <f t="shared" si="22"/>
        <v>violet</v>
      </c>
      <c r="P71" s="90" t="str">
        <f t="shared" si="23"/>
        <v>versicolor</v>
      </c>
      <c r="Q71" s="43" t="str">
        <f t="shared" si="16"/>
        <v>virginica</v>
      </c>
      <c r="R71" s="77" cm="1">
        <f t="array" ref="R71">X$6*EstymacjaGaussowska($M71,$M$2:$M$49,X$12)*EstymacjaGaussowska($N71,$N$2:$N$49,X$13)*VLOOKUP($O71,$W$23:$AA$26,2)+Y$6*EstymacjaGaussowska($M71,$M$50:$M$90,Y$12)*EstymacjaGaussowska($N71,$N$50:$N$90,Y$13)*VLOOKUP($O71,$W$23:$AA$26,3)+Z$6*EstymacjaGaussowska($M71,$M$91:$M$151,Z$12)*EstymacjaGaussowska($N71,$N$91:$N$151,Z$13)*VLOOKUP($O71,$W$23:$AA$26,4)</f>
        <v>9.2004413789565434E-2</v>
      </c>
      <c r="S71" s="77" cm="1">
        <f t="array" ref="S71">X$6*EstymacjaGaussowska($M71,$M$2:$M$49,X$12)*EstymacjaGaussowska($N71,$N$2:$N$49,X$13)*VLOOKUP($O71,$W$23:$AA$26,2)/$R71</f>
        <v>0</v>
      </c>
      <c r="T71" s="77" cm="1">
        <f t="array" ref="T71">Y$6*EstymacjaGaussowska($M71,$M$50:$M$90,Y$12)*EstymacjaGaussowska($N71,$N$50:$N$90,Y$13)*VLOOKUP($O71,$W$23:$AA$26,3)/$R71</f>
        <v>0.26145583062430772</v>
      </c>
      <c r="U71" s="87" cm="1">
        <f t="array" ref="U71">Z$6*EstymacjaGaussowska($M71,$M$91:$M$151,Z$12)*EstymacjaGaussowska($N71,$N$91:$N$151,Z$13)*VLOOKUP($O71,$W$23:$AA$26,4)/$R71</f>
        <v>0.73854416937569223</v>
      </c>
    </row>
    <row r="72" spans="1:21" x14ac:dyDescent="0.25">
      <c r="A72" s="78">
        <v>71</v>
      </c>
      <c r="B72" s="9">
        <v>5.9</v>
      </c>
      <c r="C72" s="3">
        <v>3.2</v>
      </c>
      <c r="D72" s="3">
        <v>4.8</v>
      </c>
      <c r="E72" s="8">
        <v>1.8</v>
      </c>
      <c r="F72" s="9" t="s">
        <v>12</v>
      </c>
      <c r="G72" s="50" t="s">
        <v>6</v>
      </c>
      <c r="H72" s="84">
        <v>80</v>
      </c>
      <c r="I72" s="78">
        <v>71</v>
      </c>
      <c r="J72" s="79">
        <f t="shared" si="17"/>
        <v>0</v>
      </c>
      <c r="K72" s="43">
        <f t="shared" si="18"/>
        <v>5.7</v>
      </c>
      <c r="L72" s="77">
        <f t="shared" si="19"/>
        <v>2.6</v>
      </c>
      <c r="M72" s="77">
        <f t="shared" si="20"/>
        <v>3.5</v>
      </c>
      <c r="N72" s="77">
        <f t="shared" si="21"/>
        <v>1</v>
      </c>
      <c r="O72" s="77" t="str">
        <f t="shared" si="22"/>
        <v>white</v>
      </c>
      <c r="P72" s="90" t="str">
        <f t="shared" si="23"/>
        <v>versicolor</v>
      </c>
      <c r="Q72" s="43" t="str">
        <f t="shared" si="16"/>
        <v>versicolor</v>
      </c>
      <c r="R72" s="77" cm="1">
        <f t="array" ref="R72">X$6*EstymacjaGaussowska($M72,$M$2:$M$49,X$12)*EstymacjaGaussowska($N72,$N$2:$N$49,X$13)*VLOOKUP($O72,$W$23:$AA$26,2)+Y$6*EstymacjaGaussowska($M72,$M$50:$M$90,Y$12)*EstymacjaGaussowska($N72,$N$50:$N$90,Y$13)*VLOOKUP($O72,$W$23:$AA$26,3)+Z$6*EstymacjaGaussowska($M72,$M$91:$M$151,Z$12)*EstymacjaGaussowska($N72,$N$91:$N$151,Z$13)*VLOOKUP($O72,$W$23:$AA$26,4)</f>
        <v>5.0153192108914457E-3</v>
      </c>
      <c r="S72" s="77" cm="1">
        <f t="array" ref="S72">X$6*EstymacjaGaussowska($M72,$M$2:$M$49,X$12)*EstymacjaGaussowska($N72,$N$2:$N$49,X$13)*VLOOKUP($O72,$W$23:$AA$26,2)/$R72</f>
        <v>2.5216962312712747E-86</v>
      </c>
      <c r="T72" s="77" cm="1">
        <f t="array" ref="T72">Y$6*EstymacjaGaussowska($M72,$M$50:$M$90,Y$12)*EstymacjaGaussowska($N72,$N$50:$N$90,Y$13)*VLOOKUP($O72,$W$23:$AA$26,3)/$R72</f>
        <v>1</v>
      </c>
      <c r="U72" s="87" cm="1">
        <f t="array" ref="U72">Z$6*EstymacjaGaussowska($M72,$M$91:$M$151,Z$12)*EstymacjaGaussowska($N72,$N$91:$N$151,Z$13)*VLOOKUP($O72,$W$23:$AA$26,4)/$R72</f>
        <v>0</v>
      </c>
    </row>
    <row r="73" spans="1:21" x14ac:dyDescent="0.25">
      <c r="A73" s="78">
        <v>72</v>
      </c>
      <c r="B73" s="9">
        <v>6.1</v>
      </c>
      <c r="C73" s="3">
        <v>2.8</v>
      </c>
      <c r="D73" s="3">
        <v>4</v>
      </c>
      <c r="E73" s="8">
        <v>1.3</v>
      </c>
      <c r="F73" s="9" t="s">
        <v>12</v>
      </c>
      <c r="G73" s="50" t="s">
        <v>6</v>
      </c>
      <c r="H73" s="84">
        <v>81</v>
      </c>
      <c r="I73" s="78">
        <v>72</v>
      </c>
      <c r="J73" s="79">
        <f t="shared" si="17"/>
        <v>1</v>
      </c>
      <c r="K73" s="43">
        <f t="shared" si="18"/>
        <v>5.5</v>
      </c>
      <c r="L73" s="77">
        <f t="shared" si="19"/>
        <v>2.4</v>
      </c>
      <c r="M73" s="77">
        <f t="shared" si="20"/>
        <v>3.8</v>
      </c>
      <c r="N73" s="77">
        <f t="shared" si="21"/>
        <v>1.1000000000000001</v>
      </c>
      <c r="O73" s="77" t="str">
        <f t="shared" si="22"/>
        <v>white</v>
      </c>
      <c r="P73" s="90" t="str">
        <f t="shared" si="23"/>
        <v>versicolor</v>
      </c>
      <c r="Q73" s="43" t="str">
        <f>IF(S73&gt;MAX(T73:U73),$P$2,IF(T73&gt;U73,$P$50,$G$102))</f>
        <v>versicolor</v>
      </c>
      <c r="R73" s="77" cm="1">
        <f t="array" ref="R73">X$6*EstymacjaGaussowska($M73,$M$2:$M$49,X$12)*EstymacjaGaussowska($N73,$N$2:$N$49,X$13)*VLOOKUP($O73,$W$23:$AA$26,2)+Y$6*EstymacjaGaussowska($M73,$M$50:$M$90,Y$12)*EstymacjaGaussowska($N73,$N$50:$N$90,Y$13)*VLOOKUP($O73,$W$23:$AA$26,3)+Z$6*EstymacjaGaussowska($M73,$M$91:$M$151,Z$12)*EstymacjaGaussowska($N73,$N$91:$N$151,Z$13)*VLOOKUP($O73,$W$23:$AA$26,4)</f>
        <v>2.2239819565854059E-2</v>
      </c>
      <c r="S73" s="77" cm="1">
        <f t="array" ref="S73">X$6*EstymacjaGaussowska($M73,$M$2:$M$49,X$12)*EstymacjaGaussowska($N73,$N$2:$N$49,X$13)*VLOOKUP($O73,$W$23:$AA$26,2)/$R73</f>
        <v>1.3195051943943982E-122</v>
      </c>
      <c r="T73" s="77" cm="1">
        <f t="array" ref="T73">Y$6*EstymacjaGaussowska($M73,$M$50:$M$90,Y$12)*EstymacjaGaussowska($N73,$N$50:$N$90,Y$13)*VLOOKUP($O73,$W$23:$AA$26,3)/$R73</f>
        <v>1</v>
      </c>
      <c r="U73" s="87" cm="1">
        <f t="array" ref="U73">Z$6*EstymacjaGaussowska($M73,$M$91:$M$151,Z$12)*EstymacjaGaussowska($N73,$N$91:$N$151,Z$13)*VLOOKUP($O73,$W$23:$AA$26,4)/$R73</f>
        <v>0</v>
      </c>
    </row>
    <row r="74" spans="1:21" x14ac:dyDescent="0.25">
      <c r="A74" s="78">
        <v>73</v>
      </c>
      <c r="B74" s="9">
        <v>6.3</v>
      </c>
      <c r="C74" s="3">
        <v>2.5</v>
      </c>
      <c r="D74" s="3">
        <v>4.9000000000000004</v>
      </c>
      <c r="E74" s="8">
        <v>1.5</v>
      </c>
      <c r="F74" s="9" t="s">
        <v>12</v>
      </c>
      <c r="G74" s="50" t="s">
        <v>6</v>
      </c>
      <c r="H74" s="84">
        <v>81</v>
      </c>
      <c r="I74" s="78">
        <v>73</v>
      </c>
      <c r="J74" s="79">
        <f t="shared" si="17"/>
        <v>1</v>
      </c>
      <c r="K74" s="43">
        <f t="shared" si="18"/>
        <v>5.5</v>
      </c>
      <c r="L74" s="77">
        <f t="shared" si="19"/>
        <v>2.4</v>
      </c>
      <c r="M74" s="77">
        <f t="shared" si="20"/>
        <v>3.8</v>
      </c>
      <c r="N74" s="77">
        <f t="shared" si="21"/>
        <v>1.1000000000000001</v>
      </c>
      <c r="O74" s="77" t="str">
        <f t="shared" si="22"/>
        <v>white</v>
      </c>
      <c r="P74" s="90" t="str">
        <f t="shared" si="23"/>
        <v>versicolor</v>
      </c>
      <c r="Q74" s="43" t="str">
        <f t="shared" si="16"/>
        <v>versicolor</v>
      </c>
      <c r="R74" s="77" cm="1">
        <f t="array" ref="R74">X$6*EstymacjaGaussowska($M74,$M$2:$M$49,X$12)*EstymacjaGaussowska($N74,$N$2:$N$49,X$13)*VLOOKUP($O74,$W$23:$AA$26,2)+Y$6*EstymacjaGaussowska($M74,$M$50:$M$90,Y$12)*EstymacjaGaussowska($N74,$N$50:$N$90,Y$13)*VLOOKUP($O74,$W$23:$AA$26,3)+Z$6*EstymacjaGaussowska($M74,$M$91:$M$151,Z$12)*EstymacjaGaussowska($N74,$N$91:$N$151,Z$13)*VLOOKUP($O74,$W$23:$AA$26,4)</f>
        <v>2.2239819565854059E-2</v>
      </c>
      <c r="S74" s="77" cm="1">
        <f t="array" ref="S74">X$6*EstymacjaGaussowska($M74,$M$2:$M$49,X$12)*EstymacjaGaussowska($N74,$N$2:$N$49,X$13)*VLOOKUP($O74,$W$23:$AA$26,2)/$R74</f>
        <v>1.3195051943943982E-122</v>
      </c>
      <c r="T74" s="77" cm="1">
        <f t="array" ref="T74">Y$6*EstymacjaGaussowska($M74,$M$50:$M$90,Y$12)*EstymacjaGaussowska($N74,$N$50:$N$90,Y$13)*VLOOKUP($O74,$W$23:$AA$26,3)/$R74</f>
        <v>1</v>
      </c>
      <c r="U74" s="87" cm="1">
        <f t="array" ref="U74">Z$6*EstymacjaGaussowska($M74,$M$91:$M$151,Z$12)*EstymacjaGaussowska($N74,$N$91:$N$151,Z$13)*VLOOKUP($O74,$W$23:$AA$26,4)/$R74</f>
        <v>0</v>
      </c>
    </row>
    <row r="75" spans="1:21" x14ac:dyDescent="0.25">
      <c r="A75" s="78">
        <v>74</v>
      </c>
      <c r="B75" s="9">
        <v>6.1</v>
      </c>
      <c r="C75" s="3">
        <v>2.8</v>
      </c>
      <c r="D75" s="3">
        <v>4.7</v>
      </c>
      <c r="E75" s="8">
        <v>1.2</v>
      </c>
      <c r="F75" s="9" t="s">
        <v>12</v>
      </c>
      <c r="G75" s="50" t="s">
        <v>6</v>
      </c>
      <c r="H75" s="84">
        <v>81</v>
      </c>
      <c r="I75" s="78">
        <v>74</v>
      </c>
      <c r="J75" s="79">
        <f t="shared" si="17"/>
        <v>0</v>
      </c>
      <c r="K75" s="43">
        <f t="shared" si="18"/>
        <v>5.5</v>
      </c>
      <c r="L75" s="77">
        <f t="shared" si="19"/>
        <v>2.4</v>
      </c>
      <c r="M75" s="77">
        <f t="shared" si="20"/>
        <v>3.8</v>
      </c>
      <c r="N75" s="77">
        <f t="shared" si="21"/>
        <v>1.1000000000000001</v>
      </c>
      <c r="O75" s="77" t="str">
        <f t="shared" si="22"/>
        <v>white</v>
      </c>
      <c r="P75" s="90" t="str">
        <f t="shared" si="23"/>
        <v>versicolor</v>
      </c>
      <c r="Q75" s="43" t="str">
        <f t="shared" si="16"/>
        <v>versicolor</v>
      </c>
      <c r="R75" s="77" cm="1">
        <f t="array" ref="R75">X$6*EstymacjaGaussowska($M75,$M$2:$M$49,X$12)*EstymacjaGaussowska($N75,$N$2:$N$49,X$13)*VLOOKUP($O75,$W$23:$AA$26,2)+Y$6*EstymacjaGaussowska($M75,$M$50:$M$90,Y$12)*EstymacjaGaussowska($N75,$N$50:$N$90,Y$13)*VLOOKUP($O75,$W$23:$AA$26,3)+Z$6*EstymacjaGaussowska($M75,$M$91:$M$151,Z$12)*EstymacjaGaussowska($N75,$N$91:$N$151,Z$13)*VLOOKUP($O75,$W$23:$AA$26,4)</f>
        <v>2.2239819565854059E-2</v>
      </c>
      <c r="S75" s="77" cm="1">
        <f t="array" ref="S75">X$6*EstymacjaGaussowska($M75,$M$2:$M$49,X$12)*EstymacjaGaussowska($N75,$N$2:$N$49,X$13)*VLOOKUP($O75,$W$23:$AA$26,2)/$R75</f>
        <v>1.3195051943943982E-122</v>
      </c>
      <c r="T75" s="77" cm="1">
        <f t="array" ref="T75">Y$6*EstymacjaGaussowska($M75,$M$50:$M$90,Y$12)*EstymacjaGaussowska($N75,$N$50:$N$90,Y$13)*VLOOKUP($O75,$W$23:$AA$26,3)/$R75</f>
        <v>1</v>
      </c>
      <c r="U75" s="87" cm="1">
        <f t="array" ref="U75">Z$6*EstymacjaGaussowska($M75,$M$91:$M$151,Z$12)*EstymacjaGaussowska($N75,$N$91:$N$151,Z$13)*VLOOKUP($O75,$W$23:$AA$26,4)/$R75</f>
        <v>0</v>
      </c>
    </row>
    <row r="76" spans="1:21" x14ac:dyDescent="0.25">
      <c r="A76" s="78">
        <v>75</v>
      </c>
      <c r="B76" s="9">
        <v>6.4</v>
      </c>
      <c r="C76" s="3">
        <v>2.9</v>
      </c>
      <c r="D76" s="3">
        <v>4.3</v>
      </c>
      <c r="E76" s="8">
        <v>1.3</v>
      </c>
      <c r="F76" s="9" t="s">
        <v>12</v>
      </c>
      <c r="G76" s="50" t="s">
        <v>6</v>
      </c>
      <c r="H76" s="84">
        <v>84</v>
      </c>
      <c r="I76" s="78">
        <v>75</v>
      </c>
      <c r="J76" s="79">
        <f t="shared" si="17"/>
        <v>0</v>
      </c>
      <c r="K76" s="43">
        <f t="shared" si="18"/>
        <v>6</v>
      </c>
      <c r="L76" s="77">
        <f t="shared" si="19"/>
        <v>2.7</v>
      </c>
      <c r="M76" s="77">
        <f t="shared" si="20"/>
        <v>5.0999999999999996</v>
      </c>
      <c r="N76" s="77">
        <f t="shared" si="21"/>
        <v>1.6</v>
      </c>
      <c r="O76" s="77" t="str">
        <f t="shared" si="22"/>
        <v>white</v>
      </c>
      <c r="P76" s="90" t="str">
        <f t="shared" si="23"/>
        <v>versicolor</v>
      </c>
      <c r="Q76" s="43" t="str">
        <f t="shared" si="16"/>
        <v>versicolor</v>
      </c>
      <c r="R76" s="77" cm="1">
        <f t="array" ref="R76">X$6*EstymacjaGaussowska($M76,$M$2:$M$49,X$12)*EstymacjaGaussowska($N76,$N$2:$N$49,X$13)*VLOOKUP($O76,$W$23:$AA$26,2)+Y$6*EstymacjaGaussowska($M76,$M$50:$M$90,Y$12)*EstymacjaGaussowska($N76,$N$50:$N$90,Y$13)*VLOOKUP($O76,$W$23:$AA$26,3)+Z$6*EstymacjaGaussowska($M76,$M$91:$M$151,Z$12)*EstymacjaGaussowska($N76,$N$91:$N$151,Z$13)*VLOOKUP($O76,$W$23:$AA$26,4)</f>
        <v>1.6826645376802202E-2</v>
      </c>
      <c r="S76" s="77" cm="1">
        <f t="array" ref="S76">X$6*EstymacjaGaussowska($M76,$M$2:$M$49,X$12)*EstymacjaGaussowska($N76,$N$2:$N$49,X$13)*VLOOKUP($O76,$W$23:$AA$26,2)/$R76</f>
        <v>0</v>
      </c>
      <c r="T76" s="77" cm="1">
        <f t="array" ref="T76">Y$6*EstymacjaGaussowska($M76,$M$50:$M$90,Y$12)*EstymacjaGaussowska($N76,$N$50:$N$90,Y$13)*VLOOKUP($O76,$W$23:$AA$26,3)/$R76</f>
        <v>1</v>
      </c>
      <c r="U76" s="87" cm="1">
        <f t="array" ref="U76">Z$6*EstymacjaGaussowska($M76,$M$91:$M$151,Z$12)*EstymacjaGaussowska($N76,$N$91:$N$151,Z$13)*VLOOKUP($O76,$W$23:$AA$26,4)/$R76</f>
        <v>0</v>
      </c>
    </row>
    <row r="77" spans="1:21" x14ac:dyDescent="0.25">
      <c r="A77" s="78">
        <v>76</v>
      </c>
      <c r="B77" s="9">
        <v>6.6</v>
      </c>
      <c r="C77" s="3">
        <v>3</v>
      </c>
      <c r="D77" s="3">
        <v>4.4000000000000004</v>
      </c>
      <c r="E77" s="8">
        <v>1.4</v>
      </c>
      <c r="F77" s="9" t="s">
        <v>12</v>
      </c>
      <c r="G77" s="50" t="s">
        <v>6</v>
      </c>
      <c r="H77" s="84">
        <v>86</v>
      </c>
      <c r="I77" s="78">
        <v>76</v>
      </c>
      <c r="J77" s="79">
        <f t="shared" si="17"/>
        <v>1</v>
      </c>
      <c r="K77" s="43">
        <f t="shared" si="18"/>
        <v>6</v>
      </c>
      <c r="L77" s="77">
        <f t="shared" si="19"/>
        <v>3.4</v>
      </c>
      <c r="M77" s="77">
        <f t="shared" si="20"/>
        <v>4.5</v>
      </c>
      <c r="N77" s="77">
        <f t="shared" si="21"/>
        <v>1.6</v>
      </c>
      <c r="O77" s="77" t="str">
        <f t="shared" si="22"/>
        <v>white</v>
      </c>
      <c r="P77" s="90" t="str">
        <f t="shared" si="23"/>
        <v>versicolor</v>
      </c>
      <c r="Q77" s="43" t="str">
        <f t="shared" si="16"/>
        <v>versicolor</v>
      </c>
      <c r="R77" s="77" cm="1">
        <f t="array" ref="R77">X$6*EstymacjaGaussowska($M77,$M$2:$M$49,X$12)*EstymacjaGaussowska($N77,$N$2:$N$49,X$13)*VLOOKUP($O77,$W$23:$AA$26,2)+Y$6*EstymacjaGaussowska($M77,$M$50:$M$90,Y$12)*EstymacjaGaussowska($N77,$N$50:$N$90,Y$13)*VLOOKUP($O77,$W$23:$AA$26,3)+Z$6*EstymacjaGaussowska($M77,$M$91:$M$151,Z$12)*EstymacjaGaussowska($N77,$N$91:$N$151,Z$13)*VLOOKUP($O77,$W$23:$AA$26,4)</f>
        <v>6.1385068310556887E-2</v>
      </c>
      <c r="S77" s="77" cm="1">
        <f t="array" ref="S77">X$6*EstymacjaGaussowska($M77,$M$2:$M$49,X$12)*EstymacjaGaussowska($N77,$N$2:$N$49,X$13)*VLOOKUP($O77,$W$23:$AA$26,2)/$R77</f>
        <v>1.7566108128228935E-268</v>
      </c>
      <c r="T77" s="77" cm="1">
        <f t="array" ref="T77">Y$6*EstymacjaGaussowska($M77,$M$50:$M$90,Y$12)*EstymacjaGaussowska($N77,$N$50:$N$90,Y$13)*VLOOKUP($O77,$W$23:$AA$26,3)/$R77</f>
        <v>1</v>
      </c>
      <c r="U77" s="87" cm="1">
        <f t="array" ref="U77">Z$6*EstymacjaGaussowska($M77,$M$91:$M$151,Z$12)*EstymacjaGaussowska($N77,$N$91:$N$151,Z$13)*VLOOKUP($O77,$W$23:$AA$26,4)/$R77</f>
        <v>0</v>
      </c>
    </row>
    <row r="78" spans="1:21" x14ac:dyDescent="0.25">
      <c r="A78" s="78">
        <v>77</v>
      </c>
      <c r="B78" s="9">
        <v>6.8</v>
      </c>
      <c r="C78" s="3">
        <v>2.8</v>
      </c>
      <c r="D78" s="3">
        <v>4.8</v>
      </c>
      <c r="E78" s="8">
        <v>1.4</v>
      </c>
      <c r="F78" s="9" t="s">
        <v>12</v>
      </c>
      <c r="G78" s="50" t="s">
        <v>6</v>
      </c>
      <c r="H78" s="84">
        <v>86</v>
      </c>
      <c r="I78" s="78">
        <v>77</v>
      </c>
      <c r="J78" s="79">
        <f t="shared" si="17"/>
        <v>1</v>
      </c>
      <c r="K78" s="43">
        <f t="shared" si="18"/>
        <v>6</v>
      </c>
      <c r="L78" s="77">
        <f t="shared" si="19"/>
        <v>3.4</v>
      </c>
      <c r="M78" s="77">
        <f t="shared" si="20"/>
        <v>4.5</v>
      </c>
      <c r="N78" s="77">
        <f t="shared" si="21"/>
        <v>1.6</v>
      </c>
      <c r="O78" s="77" t="str">
        <f t="shared" si="22"/>
        <v>white</v>
      </c>
      <c r="P78" s="90" t="str">
        <f t="shared" si="23"/>
        <v>versicolor</v>
      </c>
      <c r="Q78" s="43" t="str">
        <f t="shared" si="16"/>
        <v>versicolor</v>
      </c>
      <c r="R78" s="77" cm="1">
        <f t="array" ref="R78">X$6*EstymacjaGaussowska($M78,$M$2:$M$49,X$12)*EstymacjaGaussowska($N78,$N$2:$N$49,X$13)*VLOOKUP($O78,$W$23:$AA$26,2)+Y$6*EstymacjaGaussowska($M78,$M$50:$M$90,Y$12)*EstymacjaGaussowska($N78,$N$50:$N$90,Y$13)*VLOOKUP($O78,$W$23:$AA$26,3)+Z$6*EstymacjaGaussowska($M78,$M$91:$M$151,Z$12)*EstymacjaGaussowska($N78,$N$91:$N$151,Z$13)*VLOOKUP($O78,$W$23:$AA$26,4)</f>
        <v>6.1385068310556887E-2</v>
      </c>
      <c r="S78" s="77" cm="1">
        <f t="array" ref="S78">X$6*EstymacjaGaussowska($M78,$M$2:$M$49,X$12)*EstymacjaGaussowska($N78,$N$2:$N$49,X$13)*VLOOKUP($O78,$W$23:$AA$26,2)/$R78</f>
        <v>1.7566108128228935E-268</v>
      </c>
      <c r="T78" s="77" cm="1">
        <f t="array" ref="T78">Y$6*EstymacjaGaussowska($M78,$M$50:$M$90,Y$12)*EstymacjaGaussowska($N78,$N$50:$N$90,Y$13)*VLOOKUP($O78,$W$23:$AA$26,3)/$R78</f>
        <v>1</v>
      </c>
      <c r="U78" s="87" cm="1">
        <f t="array" ref="U78">Z$6*EstymacjaGaussowska($M78,$M$91:$M$151,Z$12)*EstymacjaGaussowska($N78,$N$91:$N$151,Z$13)*VLOOKUP($O78,$W$23:$AA$26,4)/$R78</f>
        <v>0</v>
      </c>
    </row>
    <row r="79" spans="1:21" x14ac:dyDescent="0.25">
      <c r="A79" s="78">
        <v>78</v>
      </c>
      <c r="B79" s="9">
        <v>6.7</v>
      </c>
      <c r="C79" s="3">
        <v>3</v>
      </c>
      <c r="D79" s="3">
        <v>5</v>
      </c>
      <c r="E79" s="8">
        <v>1.7</v>
      </c>
      <c r="F79" s="9" t="s">
        <v>12</v>
      </c>
      <c r="G79" s="50" t="s">
        <v>6</v>
      </c>
      <c r="H79" s="84">
        <v>87</v>
      </c>
      <c r="I79" s="78">
        <v>78</v>
      </c>
      <c r="J79" s="79">
        <f t="shared" si="17"/>
        <v>2</v>
      </c>
      <c r="K79" s="43">
        <f t="shared" si="18"/>
        <v>6.7</v>
      </c>
      <c r="L79" s="77">
        <f t="shared" si="19"/>
        <v>3.1</v>
      </c>
      <c r="M79" s="77">
        <f t="shared" si="20"/>
        <v>4.7</v>
      </c>
      <c r="N79" s="77">
        <f t="shared" si="21"/>
        <v>1.5</v>
      </c>
      <c r="O79" s="77" t="str">
        <f t="shared" si="22"/>
        <v>white</v>
      </c>
      <c r="P79" s="90" t="str">
        <f t="shared" si="23"/>
        <v>versicolor</v>
      </c>
      <c r="Q79" s="43" t="str">
        <f t="shared" si="16"/>
        <v>versicolor</v>
      </c>
      <c r="R79" s="77" cm="1">
        <f t="array" ref="R79">X$6*EstymacjaGaussowska($M79,$M$2:$M$49,X$12)*EstymacjaGaussowska($N79,$N$2:$N$49,X$13)*VLOOKUP($O79,$W$23:$AA$26,2)+Y$6*EstymacjaGaussowska($M79,$M$50:$M$90,Y$12)*EstymacjaGaussowska($N79,$N$50:$N$90,Y$13)*VLOOKUP($O79,$W$23:$AA$26,3)+Z$6*EstymacjaGaussowska($M79,$M$91:$M$151,Z$12)*EstymacjaGaussowska($N79,$N$91:$N$151,Z$13)*VLOOKUP($O79,$W$23:$AA$26,4)</f>
        <v>7.016372840424924E-2</v>
      </c>
      <c r="S79" s="77" cm="1">
        <f t="array" ref="S79">X$6*EstymacjaGaussowska($M79,$M$2:$M$49,X$12)*EstymacjaGaussowska($N79,$N$2:$N$49,X$13)*VLOOKUP($O79,$W$23:$AA$26,2)/$R79</f>
        <v>3.0102178856226008E-281</v>
      </c>
      <c r="T79" s="77" cm="1">
        <f t="array" ref="T79">Y$6*EstymacjaGaussowska($M79,$M$50:$M$90,Y$12)*EstymacjaGaussowska($N79,$N$50:$N$90,Y$13)*VLOOKUP($O79,$W$23:$AA$26,3)/$R79</f>
        <v>1</v>
      </c>
      <c r="U79" s="87" cm="1">
        <f t="array" ref="U79">Z$6*EstymacjaGaussowska($M79,$M$91:$M$151,Z$12)*EstymacjaGaussowska($N79,$N$91:$N$151,Z$13)*VLOOKUP($O79,$W$23:$AA$26,4)/$R79</f>
        <v>0</v>
      </c>
    </row>
    <row r="80" spans="1:21" x14ac:dyDescent="0.25">
      <c r="A80" s="78">
        <v>79</v>
      </c>
      <c r="B80" s="9">
        <v>6</v>
      </c>
      <c r="C80" s="3">
        <v>2.9</v>
      </c>
      <c r="D80" s="3">
        <v>4.5</v>
      </c>
      <c r="E80" s="8">
        <v>1.5</v>
      </c>
      <c r="F80" s="9" t="s">
        <v>13</v>
      </c>
      <c r="G80" s="50" t="s">
        <v>6</v>
      </c>
      <c r="H80" s="84">
        <v>89</v>
      </c>
      <c r="I80" s="78">
        <v>79</v>
      </c>
      <c r="J80" s="79">
        <f t="shared" si="17"/>
        <v>0</v>
      </c>
      <c r="K80" s="43">
        <f t="shared" si="18"/>
        <v>5.6</v>
      </c>
      <c r="L80" s="77">
        <f t="shared" si="19"/>
        <v>3</v>
      </c>
      <c r="M80" s="77">
        <f t="shared" si="20"/>
        <v>4.0999999999999996</v>
      </c>
      <c r="N80" s="77">
        <f t="shared" si="21"/>
        <v>1.3</v>
      </c>
      <c r="O80" s="77" t="str">
        <f t="shared" si="22"/>
        <v>yellow</v>
      </c>
      <c r="P80" s="90" t="str">
        <f t="shared" si="23"/>
        <v>versicolor</v>
      </c>
      <c r="Q80" s="43" t="str">
        <f t="shared" si="16"/>
        <v>versicolor</v>
      </c>
      <c r="R80" s="77" cm="1">
        <f t="array" ref="R80">X$6*EstymacjaGaussowska($M80,$M$2:$M$49,X$12)*EstymacjaGaussowska($N80,$N$2:$N$49,X$13)*VLOOKUP($O80,$W$23:$AA$26,2)+Y$6*EstymacjaGaussowska($M80,$M$50:$M$90,Y$12)*EstymacjaGaussowska($N80,$N$50:$N$90,Y$13)*VLOOKUP($O80,$W$23:$AA$26,3)+Z$6*EstymacjaGaussowska($M80,$M$91:$M$151,Z$12)*EstymacjaGaussowska($N80,$N$91:$N$151,Z$13)*VLOOKUP($O80,$W$23:$AA$26,4)</f>
        <v>0.10713181839042175</v>
      </c>
      <c r="S80" s="77" cm="1">
        <f t="array" ref="S80">X$6*EstymacjaGaussowska($M80,$M$2:$M$49,X$12)*EstymacjaGaussowska($N80,$N$2:$N$49,X$13)*VLOOKUP($O80,$W$23:$AA$26,2)/$R80</f>
        <v>3.1252466920646305E-176</v>
      </c>
      <c r="T80" s="77" cm="1">
        <f t="array" ref="T80">Y$6*EstymacjaGaussowska($M80,$M$50:$M$90,Y$12)*EstymacjaGaussowska($N80,$N$50:$N$90,Y$13)*VLOOKUP($O80,$W$23:$AA$26,3)/$R80</f>
        <v>0.99996328572169013</v>
      </c>
      <c r="U80" s="87" cm="1">
        <f t="array" ref="U80">Z$6*EstymacjaGaussowska($M80,$M$91:$M$151,Z$12)*EstymacjaGaussowska($N80,$N$91:$N$151,Z$13)*VLOOKUP($O80,$W$23:$AA$26,4)/$R80</f>
        <v>3.6714278309915262E-5</v>
      </c>
    </row>
    <row r="81" spans="1:21" x14ac:dyDescent="0.25">
      <c r="A81" s="78">
        <v>80</v>
      </c>
      <c r="B81" s="9">
        <v>5.7</v>
      </c>
      <c r="C81" s="3">
        <v>2.6</v>
      </c>
      <c r="D81" s="3">
        <v>3.5</v>
      </c>
      <c r="E81" s="8">
        <v>1</v>
      </c>
      <c r="F81" s="9" t="s">
        <v>13</v>
      </c>
      <c r="G81" s="50" t="s">
        <v>6</v>
      </c>
      <c r="H81" s="84">
        <v>89</v>
      </c>
      <c r="I81" s="78">
        <v>80</v>
      </c>
      <c r="J81" s="79">
        <f t="shared" si="17"/>
        <v>1</v>
      </c>
      <c r="K81" s="43">
        <f t="shared" si="18"/>
        <v>5.6</v>
      </c>
      <c r="L81" s="77">
        <f t="shared" si="19"/>
        <v>3</v>
      </c>
      <c r="M81" s="77">
        <f t="shared" si="20"/>
        <v>4.0999999999999996</v>
      </c>
      <c r="N81" s="77">
        <f t="shared" si="21"/>
        <v>1.3</v>
      </c>
      <c r="O81" s="77" t="str">
        <f t="shared" si="22"/>
        <v>yellow</v>
      </c>
      <c r="P81" s="90" t="str">
        <f t="shared" si="23"/>
        <v>versicolor</v>
      </c>
      <c r="Q81" s="43" t="str">
        <f t="shared" si="16"/>
        <v>versicolor</v>
      </c>
      <c r="R81" s="77" cm="1">
        <f t="array" ref="R81">X$6*EstymacjaGaussowska($M81,$M$2:$M$49,X$12)*EstymacjaGaussowska($N81,$N$2:$N$49,X$13)*VLOOKUP($O81,$W$23:$AA$26,2)+Y$6*EstymacjaGaussowska($M81,$M$50:$M$90,Y$12)*EstymacjaGaussowska($N81,$N$50:$N$90,Y$13)*VLOOKUP($O81,$W$23:$AA$26,3)+Z$6*EstymacjaGaussowska($M81,$M$91:$M$151,Z$12)*EstymacjaGaussowska($N81,$N$91:$N$151,Z$13)*VLOOKUP($O81,$W$23:$AA$26,4)</f>
        <v>0.10713181839042175</v>
      </c>
      <c r="S81" s="77" cm="1">
        <f t="array" ref="S81">X$6*EstymacjaGaussowska($M81,$M$2:$M$49,X$12)*EstymacjaGaussowska($N81,$N$2:$N$49,X$13)*VLOOKUP($O81,$W$23:$AA$26,2)/$R81</f>
        <v>3.1252466920646305E-176</v>
      </c>
      <c r="T81" s="77" cm="1">
        <f t="array" ref="T81">Y$6*EstymacjaGaussowska($M81,$M$50:$M$90,Y$12)*EstymacjaGaussowska($N81,$N$50:$N$90,Y$13)*VLOOKUP($O81,$W$23:$AA$26,3)/$R81</f>
        <v>0.99996328572169013</v>
      </c>
      <c r="U81" s="87" cm="1">
        <f t="array" ref="U81">Z$6*EstymacjaGaussowska($M81,$M$91:$M$151,Z$12)*EstymacjaGaussowska($N81,$N$91:$N$151,Z$13)*VLOOKUP($O81,$W$23:$AA$26,4)/$R81</f>
        <v>3.6714278309915262E-5</v>
      </c>
    </row>
    <row r="82" spans="1:21" x14ac:dyDescent="0.25">
      <c r="A82" s="78">
        <v>81</v>
      </c>
      <c r="B82" s="9">
        <v>5.5</v>
      </c>
      <c r="C82" s="3">
        <v>2.4</v>
      </c>
      <c r="D82" s="3">
        <v>3.8</v>
      </c>
      <c r="E82" s="8">
        <v>1.1000000000000001</v>
      </c>
      <c r="F82" s="9" t="s">
        <v>13</v>
      </c>
      <c r="G82" s="50" t="s">
        <v>6</v>
      </c>
      <c r="H82" s="84">
        <v>89</v>
      </c>
      <c r="I82" s="78">
        <v>81</v>
      </c>
      <c r="J82" s="79">
        <f t="shared" si="17"/>
        <v>3</v>
      </c>
      <c r="K82" s="43">
        <f t="shared" si="18"/>
        <v>5.6</v>
      </c>
      <c r="L82" s="77">
        <f t="shared" si="19"/>
        <v>3</v>
      </c>
      <c r="M82" s="77">
        <f t="shared" si="20"/>
        <v>4.0999999999999996</v>
      </c>
      <c r="N82" s="77">
        <f t="shared" si="21"/>
        <v>1.3</v>
      </c>
      <c r="O82" s="77" t="str">
        <f t="shared" si="22"/>
        <v>yellow</v>
      </c>
      <c r="P82" s="90" t="str">
        <f t="shared" si="23"/>
        <v>versicolor</v>
      </c>
      <c r="Q82" s="43" t="str">
        <f t="shared" si="16"/>
        <v>versicolor</v>
      </c>
      <c r="R82" s="77" cm="1">
        <f t="array" ref="R82">X$6*EstymacjaGaussowska($M82,$M$2:$M$49,X$12)*EstymacjaGaussowska($N82,$N$2:$N$49,X$13)*VLOOKUP($O82,$W$23:$AA$26,2)+Y$6*EstymacjaGaussowska($M82,$M$50:$M$90,Y$12)*EstymacjaGaussowska($N82,$N$50:$N$90,Y$13)*VLOOKUP($O82,$W$23:$AA$26,3)+Z$6*EstymacjaGaussowska($M82,$M$91:$M$151,Z$12)*EstymacjaGaussowska($N82,$N$91:$N$151,Z$13)*VLOOKUP($O82,$W$23:$AA$26,4)</f>
        <v>0.10713181839042175</v>
      </c>
      <c r="S82" s="77" cm="1">
        <f t="array" ref="S82">X$6*EstymacjaGaussowska($M82,$M$2:$M$49,X$12)*EstymacjaGaussowska($N82,$N$2:$N$49,X$13)*VLOOKUP($O82,$W$23:$AA$26,2)/$R82</f>
        <v>3.1252466920646305E-176</v>
      </c>
      <c r="T82" s="77" cm="1">
        <f t="array" ref="T82">Y$6*EstymacjaGaussowska($M82,$M$50:$M$90,Y$12)*EstymacjaGaussowska($N82,$N$50:$N$90,Y$13)*VLOOKUP($O82,$W$23:$AA$26,3)/$R82</f>
        <v>0.99996328572169013</v>
      </c>
      <c r="U82" s="87" cm="1">
        <f t="array" ref="U82">Z$6*EstymacjaGaussowska($M82,$M$91:$M$151,Z$12)*EstymacjaGaussowska($N82,$N$91:$N$151,Z$13)*VLOOKUP($O82,$W$23:$AA$26,4)/$R82</f>
        <v>3.6714278309915262E-5</v>
      </c>
    </row>
    <row r="83" spans="1:21" x14ac:dyDescent="0.25">
      <c r="A83" s="78">
        <v>82</v>
      </c>
      <c r="B83" s="9">
        <v>5.5</v>
      </c>
      <c r="C83" s="3">
        <v>2.4</v>
      </c>
      <c r="D83" s="3">
        <v>3.7</v>
      </c>
      <c r="E83" s="8">
        <v>1</v>
      </c>
      <c r="F83" s="9" t="s">
        <v>13</v>
      </c>
      <c r="G83" s="50" t="s">
        <v>6</v>
      </c>
      <c r="H83" s="84">
        <v>90</v>
      </c>
      <c r="I83" s="78">
        <v>82</v>
      </c>
      <c r="J83" s="79">
        <f t="shared" si="17"/>
        <v>0</v>
      </c>
      <c r="K83" s="43">
        <f t="shared" si="18"/>
        <v>5.5</v>
      </c>
      <c r="L83" s="77">
        <f t="shared" si="19"/>
        <v>2.5</v>
      </c>
      <c r="M83" s="77">
        <f t="shared" si="20"/>
        <v>4</v>
      </c>
      <c r="N83" s="77">
        <f t="shared" si="21"/>
        <v>1.3</v>
      </c>
      <c r="O83" s="77" t="str">
        <f t="shared" si="22"/>
        <v>yellow</v>
      </c>
      <c r="P83" s="90" t="str">
        <f t="shared" si="23"/>
        <v>versicolor</v>
      </c>
      <c r="Q83" s="43" t="str">
        <f t="shared" si="16"/>
        <v>versicolor</v>
      </c>
      <c r="R83" s="77" cm="1">
        <f t="array" ref="R83">X$6*EstymacjaGaussowska($M83,$M$2:$M$49,X$12)*EstymacjaGaussowska($N83,$N$2:$N$49,X$13)*VLOOKUP($O83,$W$23:$AA$26,2)+Y$6*EstymacjaGaussowska($M83,$M$50:$M$90,Y$12)*EstymacjaGaussowska($N83,$N$50:$N$90,Y$13)*VLOOKUP($O83,$W$23:$AA$26,3)+Z$6*EstymacjaGaussowska($M83,$M$91:$M$151,Z$12)*EstymacjaGaussowska($N83,$N$91:$N$151,Z$13)*VLOOKUP($O83,$W$23:$AA$26,4)</f>
        <v>9.6309685523945823E-2</v>
      </c>
      <c r="S83" s="77" cm="1">
        <f t="array" ref="S83">X$6*EstymacjaGaussowska($M83,$M$2:$M$49,X$12)*EstymacjaGaussowska($N83,$N$2:$N$49,X$13)*VLOOKUP($O83,$W$23:$AA$26,2)/$R83</f>
        <v>6.256141497926766E-165</v>
      </c>
      <c r="T83" s="77" cm="1">
        <f t="array" ref="T83">Y$6*EstymacjaGaussowska($M83,$M$50:$M$90,Y$12)*EstymacjaGaussowska($N83,$N$50:$N$90,Y$13)*VLOOKUP($O83,$W$23:$AA$26,3)/$R83</f>
        <v>0.99998216691767583</v>
      </c>
      <c r="U83" s="87" cm="1">
        <f t="array" ref="U83">Z$6*EstymacjaGaussowska($M83,$M$91:$M$151,Z$12)*EstymacjaGaussowska($N83,$N$91:$N$151,Z$13)*VLOOKUP($O83,$W$23:$AA$26,4)/$R83</f>
        <v>1.7833082324164545E-5</v>
      </c>
    </row>
    <row r="84" spans="1:21" x14ac:dyDescent="0.25">
      <c r="A84" s="78">
        <v>83</v>
      </c>
      <c r="B84" s="9">
        <v>5.8</v>
      </c>
      <c r="C84" s="3">
        <v>2.7</v>
      </c>
      <c r="D84" s="3">
        <v>3.9</v>
      </c>
      <c r="E84" s="8">
        <v>1.2</v>
      </c>
      <c r="F84" s="9" t="s">
        <v>13</v>
      </c>
      <c r="G84" s="50" t="s">
        <v>6</v>
      </c>
      <c r="H84" s="84">
        <v>90</v>
      </c>
      <c r="I84" s="78">
        <v>83</v>
      </c>
      <c r="J84" s="79">
        <f t="shared" si="17"/>
        <v>0</v>
      </c>
      <c r="K84" s="43">
        <f t="shared" si="18"/>
        <v>5.5</v>
      </c>
      <c r="L84" s="77">
        <f t="shared" si="19"/>
        <v>2.5</v>
      </c>
      <c r="M84" s="77">
        <f t="shared" si="20"/>
        <v>4</v>
      </c>
      <c r="N84" s="77">
        <f t="shared" si="21"/>
        <v>1.3</v>
      </c>
      <c r="O84" s="77" t="str">
        <f t="shared" si="22"/>
        <v>yellow</v>
      </c>
      <c r="P84" s="90" t="str">
        <f t="shared" si="23"/>
        <v>versicolor</v>
      </c>
      <c r="Q84" s="43" t="str">
        <f t="shared" si="16"/>
        <v>versicolor</v>
      </c>
      <c r="R84" s="77" cm="1">
        <f t="array" ref="R84">X$6*EstymacjaGaussowska($M84,$M$2:$M$49,X$12)*EstymacjaGaussowska($N84,$N$2:$N$49,X$13)*VLOOKUP($O84,$W$23:$AA$26,2)+Y$6*EstymacjaGaussowska($M84,$M$50:$M$90,Y$12)*EstymacjaGaussowska($N84,$N$50:$N$90,Y$13)*VLOOKUP($O84,$W$23:$AA$26,3)+Z$6*EstymacjaGaussowska($M84,$M$91:$M$151,Z$12)*EstymacjaGaussowska($N84,$N$91:$N$151,Z$13)*VLOOKUP($O84,$W$23:$AA$26,4)</f>
        <v>9.6309685523945823E-2</v>
      </c>
      <c r="S84" s="77" cm="1">
        <f t="array" ref="S84">X$6*EstymacjaGaussowska($M84,$M$2:$M$49,X$12)*EstymacjaGaussowska($N84,$N$2:$N$49,X$13)*VLOOKUP($O84,$W$23:$AA$26,2)/$R84</f>
        <v>6.256141497926766E-165</v>
      </c>
      <c r="T84" s="77" cm="1">
        <f t="array" ref="T84">Y$6*EstymacjaGaussowska($M84,$M$50:$M$90,Y$12)*EstymacjaGaussowska($N84,$N$50:$N$90,Y$13)*VLOOKUP($O84,$W$23:$AA$26,3)/$R84</f>
        <v>0.99998216691767583</v>
      </c>
      <c r="U84" s="87" cm="1">
        <f t="array" ref="U84">Z$6*EstymacjaGaussowska($M84,$M$91:$M$151,Z$12)*EstymacjaGaussowska($N84,$N$91:$N$151,Z$13)*VLOOKUP($O84,$W$23:$AA$26,4)/$R84</f>
        <v>1.7833082324164545E-5</v>
      </c>
    </row>
    <row r="85" spans="1:21" x14ac:dyDescent="0.25">
      <c r="A85" s="78">
        <v>84</v>
      </c>
      <c r="B85" s="9">
        <v>6</v>
      </c>
      <c r="C85" s="3">
        <v>2.7</v>
      </c>
      <c r="D85" s="3">
        <v>5.0999999999999996</v>
      </c>
      <c r="E85" s="8">
        <v>1.6</v>
      </c>
      <c r="F85" s="9" t="s">
        <v>13</v>
      </c>
      <c r="G85" s="50" t="s">
        <v>6</v>
      </c>
      <c r="H85" s="84">
        <v>91</v>
      </c>
      <c r="I85" s="78">
        <v>84</v>
      </c>
      <c r="J85" s="79">
        <f t="shared" si="17"/>
        <v>1</v>
      </c>
      <c r="K85" s="43">
        <f t="shared" si="18"/>
        <v>5.5</v>
      </c>
      <c r="L85" s="77">
        <f t="shared" si="19"/>
        <v>2.6</v>
      </c>
      <c r="M85" s="77">
        <f t="shared" si="20"/>
        <v>4.4000000000000004</v>
      </c>
      <c r="N85" s="77">
        <f t="shared" si="21"/>
        <v>1.2</v>
      </c>
      <c r="O85" s="77" t="str">
        <f t="shared" si="22"/>
        <v>yellow</v>
      </c>
      <c r="P85" s="90" t="str">
        <f t="shared" si="23"/>
        <v>versicolor</v>
      </c>
      <c r="Q85" s="43" t="str">
        <f t="shared" si="16"/>
        <v>versicolor</v>
      </c>
      <c r="R85" s="77" cm="1">
        <f t="array" ref="R85">X$6*EstymacjaGaussowska($M85,$M$2:$M$49,X$12)*EstymacjaGaussowska($N85,$N$2:$N$49,X$13)*VLOOKUP($O85,$W$23:$AA$26,2)+Y$6*EstymacjaGaussowska($M85,$M$50:$M$90,Y$12)*EstymacjaGaussowska($N85,$N$50:$N$90,Y$13)*VLOOKUP($O85,$W$23:$AA$26,3)+Z$6*EstymacjaGaussowska($M85,$M$91:$M$151,Z$12)*EstymacjaGaussowska($N85,$N$91:$N$151,Z$13)*VLOOKUP($O85,$W$23:$AA$26,4)</f>
        <v>9.1096798117126759E-2</v>
      </c>
      <c r="S85" s="77" cm="1">
        <f t="array" ref="S85">X$6*EstymacjaGaussowska($M85,$M$2:$M$49,X$12)*EstymacjaGaussowska($N85,$N$2:$N$49,X$13)*VLOOKUP($O85,$W$23:$AA$26,2)/$R85</f>
        <v>5.9380399971443577E-202</v>
      </c>
      <c r="T85" s="77" cm="1">
        <f t="array" ref="T85">Y$6*EstymacjaGaussowska($M85,$M$50:$M$90,Y$12)*EstymacjaGaussowska($N85,$N$50:$N$90,Y$13)*VLOOKUP($O85,$W$23:$AA$26,3)/$R85</f>
        <v>0.99996406783895564</v>
      </c>
      <c r="U85" s="87" cm="1">
        <f t="array" ref="U85">Z$6*EstymacjaGaussowska($M85,$M$91:$M$151,Z$12)*EstymacjaGaussowska($N85,$N$91:$N$151,Z$13)*VLOOKUP($O85,$W$23:$AA$26,4)/$R85</f>
        <v>3.593216104437475E-5</v>
      </c>
    </row>
    <row r="86" spans="1:21" x14ac:dyDescent="0.25">
      <c r="A86" s="78">
        <v>85</v>
      </c>
      <c r="B86" s="9">
        <v>5.4</v>
      </c>
      <c r="C86" s="3">
        <v>3</v>
      </c>
      <c r="D86" s="3">
        <v>4.5</v>
      </c>
      <c r="E86" s="8">
        <v>1.5</v>
      </c>
      <c r="F86" s="9" t="s">
        <v>13</v>
      </c>
      <c r="G86" s="50" t="s">
        <v>6</v>
      </c>
      <c r="H86" s="84">
        <v>91</v>
      </c>
      <c r="I86" s="78">
        <v>85</v>
      </c>
      <c r="J86" s="79">
        <f t="shared" si="17"/>
        <v>0</v>
      </c>
      <c r="K86" s="43">
        <f t="shared" si="18"/>
        <v>5.5</v>
      </c>
      <c r="L86" s="77">
        <f t="shared" si="19"/>
        <v>2.6</v>
      </c>
      <c r="M86" s="77">
        <f t="shared" si="20"/>
        <v>4.4000000000000004</v>
      </c>
      <c r="N86" s="77">
        <f t="shared" si="21"/>
        <v>1.2</v>
      </c>
      <c r="O86" s="77" t="str">
        <f t="shared" si="22"/>
        <v>yellow</v>
      </c>
      <c r="P86" s="90" t="str">
        <f t="shared" si="23"/>
        <v>versicolor</v>
      </c>
      <c r="Q86" s="43" t="str">
        <f t="shared" si="16"/>
        <v>versicolor</v>
      </c>
      <c r="R86" s="77" cm="1">
        <f t="array" ref="R86">X$6*EstymacjaGaussowska($M86,$M$2:$M$49,X$12)*EstymacjaGaussowska($N86,$N$2:$N$49,X$13)*VLOOKUP($O86,$W$23:$AA$26,2)+Y$6*EstymacjaGaussowska($M86,$M$50:$M$90,Y$12)*EstymacjaGaussowska($N86,$N$50:$N$90,Y$13)*VLOOKUP($O86,$W$23:$AA$26,3)+Z$6*EstymacjaGaussowska($M86,$M$91:$M$151,Z$12)*EstymacjaGaussowska($N86,$N$91:$N$151,Z$13)*VLOOKUP($O86,$W$23:$AA$26,4)</f>
        <v>9.1096798117126759E-2</v>
      </c>
      <c r="S86" s="77" cm="1">
        <f t="array" ref="S86">X$6*EstymacjaGaussowska($M86,$M$2:$M$49,X$12)*EstymacjaGaussowska($N86,$N$2:$N$49,X$13)*VLOOKUP($O86,$W$23:$AA$26,2)/$R86</f>
        <v>5.9380399971443577E-202</v>
      </c>
      <c r="T86" s="77" cm="1">
        <f t="array" ref="T86">Y$6*EstymacjaGaussowska($M86,$M$50:$M$90,Y$12)*EstymacjaGaussowska($N86,$N$50:$N$90,Y$13)*VLOOKUP($O86,$W$23:$AA$26,3)/$R86</f>
        <v>0.99996406783895564</v>
      </c>
      <c r="U86" s="87" cm="1">
        <f t="array" ref="U86">Z$6*EstymacjaGaussowska($M86,$M$91:$M$151,Z$12)*EstymacjaGaussowska($N86,$N$91:$N$151,Z$13)*VLOOKUP($O86,$W$23:$AA$26,4)/$R86</f>
        <v>3.593216104437475E-5</v>
      </c>
    </row>
    <row r="87" spans="1:21" x14ac:dyDescent="0.25">
      <c r="A87" s="78">
        <v>86</v>
      </c>
      <c r="B87" s="9">
        <v>6</v>
      </c>
      <c r="C87" s="3">
        <v>3.4</v>
      </c>
      <c r="D87" s="3">
        <v>4.5</v>
      </c>
      <c r="E87" s="8">
        <v>1.6</v>
      </c>
      <c r="F87" s="9" t="s">
        <v>13</v>
      </c>
      <c r="G87" s="50" t="s">
        <v>6</v>
      </c>
      <c r="H87" s="84">
        <v>91</v>
      </c>
      <c r="I87" s="78">
        <v>86</v>
      </c>
      <c r="J87" s="79">
        <f t="shared" si="17"/>
        <v>2</v>
      </c>
      <c r="K87" s="43">
        <f t="shared" si="18"/>
        <v>5.5</v>
      </c>
      <c r="L87" s="77">
        <f t="shared" si="19"/>
        <v>2.6</v>
      </c>
      <c r="M87" s="77">
        <f t="shared" si="20"/>
        <v>4.4000000000000004</v>
      </c>
      <c r="N87" s="77">
        <f t="shared" si="21"/>
        <v>1.2</v>
      </c>
      <c r="O87" s="77" t="str">
        <f t="shared" si="22"/>
        <v>yellow</v>
      </c>
      <c r="P87" s="90" t="str">
        <f t="shared" si="23"/>
        <v>versicolor</v>
      </c>
      <c r="Q87" s="43" t="str">
        <f t="shared" si="16"/>
        <v>versicolor</v>
      </c>
      <c r="R87" s="77" cm="1">
        <f t="array" ref="R87">X$6*EstymacjaGaussowska($M87,$M$2:$M$49,X$12)*EstymacjaGaussowska($N87,$N$2:$N$49,X$13)*VLOOKUP($O87,$W$23:$AA$26,2)+Y$6*EstymacjaGaussowska($M87,$M$50:$M$90,Y$12)*EstymacjaGaussowska($N87,$N$50:$N$90,Y$13)*VLOOKUP($O87,$W$23:$AA$26,3)+Z$6*EstymacjaGaussowska($M87,$M$91:$M$151,Z$12)*EstymacjaGaussowska($N87,$N$91:$N$151,Z$13)*VLOOKUP($O87,$W$23:$AA$26,4)</f>
        <v>9.1096798117126759E-2</v>
      </c>
      <c r="S87" s="77" cm="1">
        <f t="array" ref="S87">X$6*EstymacjaGaussowska($M87,$M$2:$M$49,X$12)*EstymacjaGaussowska($N87,$N$2:$N$49,X$13)*VLOOKUP($O87,$W$23:$AA$26,2)/$R87</f>
        <v>5.9380399971443577E-202</v>
      </c>
      <c r="T87" s="77" cm="1">
        <f t="array" ref="T87">Y$6*EstymacjaGaussowska($M87,$M$50:$M$90,Y$12)*EstymacjaGaussowska($N87,$N$50:$N$90,Y$13)*VLOOKUP($O87,$W$23:$AA$26,3)/$R87</f>
        <v>0.99996406783895564</v>
      </c>
      <c r="U87" s="87" cm="1">
        <f t="array" ref="U87">Z$6*EstymacjaGaussowska($M87,$M$91:$M$151,Z$12)*EstymacjaGaussowska($N87,$N$91:$N$151,Z$13)*VLOOKUP($O87,$W$23:$AA$26,4)/$R87</f>
        <v>3.593216104437475E-5</v>
      </c>
    </row>
    <row r="88" spans="1:21" x14ac:dyDescent="0.25">
      <c r="A88" s="78">
        <v>87</v>
      </c>
      <c r="B88" s="9">
        <v>6.7</v>
      </c>
      <c r="C88" s="3">
        <v>3.1</v>
      </c>
      <c r="D88" s="3">
        <v>4.7</v>
      </c>
      <c r="E88" s="8">
        <v>1.5</v>
      </c>
      <c r="F88" s="9" t="s">
        <v>13</v>
      </c>
      <c r="G88" s="50" t="s">
        <v>6</v>
      </c>
      <c r="H88" s="84">
        <v>95</v>
      </c>
      <c r="I88" s="78">
        <v>87</v>
      </c>
      <c r="J88" s="79">
        <f t="shared" si="17"/>
        <v>1</v>
      </c>
      <c r="K88" s="43">
        <f t="shared" si="18"/>
        <v>5.6</v>
      </c>
      <c r="L88" s="77">
        <f t="shared" si="19"/>
        <v>2.7</v>
      </c>
      <c r="M88" s="77">
        <f t="shared" si="20"/>
        <v>4.2</v>
      </c>
      <c r="N88" s="77">
        <f t="shared" si="21"/>
        <v>1.3</v>
      </c>
      <c r="O88" s="77" t="str">
        <f t="shared" si="22"/>
        <v>yellow</v>
      </c>
      <c r="P88" s="90" t="str">
        <f t="shared" si="23"/>
        <v>versicolor</v>
      </c>
      <c r="Q88" s="43" t="str">
        <f t="shared" si="16"/>
        <v>versicolor</v>
      </c>
      <c r="R88" s="77" cm="1">
        <f t="array" ref="R88">X$6*EstymacjaGaussowska($M88,$M$2:$M$49,X$12)*EstymacjaGaussowska($N88,$N$2:$N$49,X$13)*VLOOKUP($O88,$W$23:$AA$26,2)+Y$6*EstymacjaGaussowska($M88,$M$50:$M$90,Y$12)*EstymacjaGaussowska($N88,$N$50:$N$90,Y$13)*VLOOKUP($O88,$W$23:$AA$26,3)+Z$6*EstymacjaGaussowska($M88,$M$91:$M$151,Z$12)*EstymacjaGaussowska($N88,$N$91:$N$151,Z$13)*VLOOKUP($O88,$W$23:$AA$26,4)</f>
        <v>0.11585651558264094</v>
      </c>
      <c r="S88" s="77" cm="1">
        <f t="array" ref="S88">X$6*EstymacjaGaussowska($M88,$M$2:$M$49,X$12)*EstymacjaGaussowska($N88,$N$2:$N$49,X$13)*VLOOKUP($O88,$W$23:$AA$26,2)/$R88</f>
        <v>4.8107425661941672E-188</v>
      </c>
      <c r="T88" s="77" cm="1">
        <f t="array" ref="T88">Y$6*EstymacjaGaussowska($M88,$M$50:$M$90,Y$12)*EstymacjaGaussowska($N88,$N$50:$N$90,Y$13)*VLOOKUP($O88,$W$23:$AA$26,3)/$R88</f>
        <v>0.99993264321400688</v>
      </c>
      <c r="U88" s="87" cm="1">
        <f t="array" ref="U88">Z$6*EstymacjaGaussowska($M88,$M$91:$M$151,Z$12)*EstymacjaGaussowska($N88,$N$91:$N$151,Z$13)*VLOOKUP($O88,$W$23:$AA$26,4)/$R88</f>
        <v>6.7356785993153413E-5</v>
      </c>
    </row>
    <row r="89" spans="1:21" x14ac:dyDescent="0.25">
      <c r="A89" s="78">
        <v>88</v>
      </c>
      <c r="B89" s="9">
        <v>6.3</v>
      </c>
      <c r="C89" s="3">
        <v>2.2999999999999998</v>
      </c>
      <c r="D89" s="3">
        <v>4.4000000000000004</v>
      </c>
      <c r="E89" s="8">
        <v>1.3</v>
      </c>
      <c r="F89" s="9" t="s">
        <v>14</v>
      </c>
      <c r="G89" s="50" t="s">
        <v>6</v>
      </c>
      <c r="H89" s="84">
        <v>97</v>
      </c>
      <c r="I89" s="78">
        <v>88</v>
      </c>
      <c r="J89" s="79">
        <f t="shared" si="17"/>
        <v>0</v>
      </c>
      <c r="K89" s="43">
        <f t="shared" si="18"/>
        <v>5.7</v>
      </c>
      <c r="L89" s="77">
        <f t="shared" si="19"/>
        <v>2.9</v>
      </c>
      <c r="M89" s="77">
        <f t="shared" si="20"/>
        <v>4.2</v>
      </c>
      <c r="N89" s="77">
        <f t="shared" si="21"/>
        <v>1.3</v>
      </c>
      <c r="O89" s="77" t="str">
        <f t="shared" si="22"/>
        <v>yellow</v>
      </c>
      <c r="P89" s="90" t="str">
        <f t="shared" si="23"/>
        <v>versicolor</v>
      </c>
      <c r="Q89" s="43" t="str">
        <f t="shared" si="16"/>
        <v>versicolor</v>
      </c>
      <c r="R89" s="77" cm="1">
        <f t="array" ref="R89">X$6*EstymacjaGaussowska($M89,$M$2:$M$49,X$12)*EstymacjaGaussowska($N89,$N$2:$N$49,X$13)*VLOOKUP($O89,$W$23:$AA$26,2)+Y$6*EstymacjaGaussowska($M89,$M$50:$M$90,Y$12)*EstymacjaGaussowska($N89,$N$50:$N$90,Y$13)*VLOOKUP($O89,$W$23:$AA$26,3)+Z$6*EstymacjaGaussowska($M89,$M$91:$M$151,Z$12)*EstymacjaGaussowska($N89,$N$91:$N$151,Z$13)*VLOOKUP($O89,$W$23:$AA$26,4)</f>
        <v>0.11585651558264094</v>
      </c>
      <c r="S89" s="77" cm="1">
        <f t="array" ref="S89">X$6*EstymacjaGaussowska($M89,$M$2:$M$49,X$12)*EstymacjaGaussowska($N89,$N$2:$N$49,X$13)*VLOOKUP($O89,$W$23:$AA$26,2)/$R89</f>
        <v>4.8107425661941672E-188</v>
      </c>
      <c r="T89" s="77" cm="1">
        <f t="array" ref="T89">Y$6*EstymacjaGaussowska($M89,$M$50:$M$90,Y$12)*EstymacjaGaussowska($N89,$N$50:$N$90,Y$13)*VLOOKUP($O89,$W$23:$AA$26,3)/$R89</f>
        <v>0.99993264321400688</v>
      </c>
      <c r="U89" s="87" cm="1">
        <f t="array" ref="U89">Z$6*EstymacjaGaussowska($M89,$M$91:$M$151,Z$12)*EstymacjaGaussowska($N89,$N$91:$N$151,Z$13)*VLOOKUP($O89,$W$23:$AA$26,4)/$R89</f>
        <v>6.7356785993153413E-5</v>
      </c>
    </row>
    <row r="90" spans="1:21" x14ac:dyDescent="0.25">
      <c r="A90" s="78">
        <v>89</v>
      </c>
      <c r="B90" s="9">
        <v>5.6</v>
      </c>
      <c r="C90" s="3">
        <v>3</v>
      </c>
      <c r="D90" s="3">
        <v>4.0999999999999996</v>
      </c>
      <c r="E90" s="8">
        <v>1.3</v>
      </c>
      <c r="F90" s="9" t="s">
        <v>14</v>
      </c>
      <c r="G90" s="50" t="s">
        <v>6</v>
      </c>
      <c r="H90" s="84">
        <v>99</v>
      </c>
      <c r="I90" s="78">
        <v>89</v>
      </c>
      <c r="J90" s="79">
        <f t="shared" si="17"/>
        <v>3</v>
      </c>
      <c r="K90" s="43">
        <f t="shared" si="18"/>
        <v>5.0999999999999996</v>
      </c>
      <c r="L90" s="77">
        <f t="shared" si="19"/>
        <v>2.5</v>
      </c>
      <c r="M90" s="77">
        <f t="shared" si="20"/>
        <v>3</v>
      </c>
      <c r="N90" s="77">
        <f t="shared" si="21"/>
        <v>1.1000000000000001</v>
      </c>
      <c r="O90" s="77" t="str">
        <f t="shared" si="22"/>
        <v>yellow</v>
      </c>
      <c r="P90" s="90" t="str">
        <f t="shared" si="23"/>
        <v>versicolor</v>
      </c>
      <c r="Q90" s="43" t="str">
        <f t="shared" si="16"/>
        <v>versicolor</v>
      </c>
      <c r="R90" s="77" cm="1">
        <f t="array" ref="R90">X$6*EstymacjaGaussowska($M90,$M$2:$M$49,X$12)*EstymacjaGaussowska($N90,$N$2:$N$49,X$13)*VLOOKUP($O90,$W$23:$AA$26,2)+Y$6*EstymacjaGaussowska($M90,$M$50:$M$90,Y$12)*EstymacjaGaussowska($N90,$N$50:$N$90,Y$13)*VLOOKUP($O90,$W$23:$AA$26,3)+Z$6*EstymacjaGaussowska($M90,$M$91:$M$151,Z$12)*EstymacjaGaussowska($N90,$N$91:$N$151,Z$13)*VLOOKUP($O90,$W$23:$AA$26,4)</f>
        <v>3.462389204698635E-3</v>
      </c>
      <c r="S90" s="77" cm="1">
        <f t="array" ref="S90">X$6*EstymacjaGaussowska($M90,$M$2:$M$49,X$12)*EstymacjaGaussowska($N90,$N$2:$N$49,X$13)*VLOOKUP($O90,$W$23:$AA$26,2)/$R90</f>
        <v>5.5942372455385443E-59</v>
      </c>
      <c r="T90" s="77" cm="1">
        <f t="array" ref="T90">Y$6*EstymacjaGaussowska($M90,$M$50:$M$90,Y$12)*EstymacjaGaussowska($N90,$N$50:$N$90,Y$13)*VLOOKUP($O90,$W$23:$AA$26,3)/$R90</f>
        <v>0.99999999999987965</v>
      </c>
      <c r="U90" s="87" cm="1">
        <f t="array" ref="U90">Z$6*EstymacjaGaussowska($M90,$M$91:$M$151,Z$12)*EstymacjaGaussowska($N90,$N$91:$N$151,Z$13)*VLOOKUP($O90,$W$23:$AA$26,4)/$R90</f>
        <v>1.20345006754893E-13</v>
      </c>
    </row>
    <row r="91" spans="1:21" x14ac:dyDescent="0.25">
      <c r="A91" s="78">
        <v>90</v>
      </c>
      <c r="B91" s="9">
        <v>5.5</v>
      </c>
      <c r="C91" s="3">
        <v>2.5</v>
      </c>
      <c r="D91" s="3">
        <v>4</v>
      </c>
      <c r="E91" s="8">
        <v>1.3</v>
      </c>
      <c r="F91" s="9" t="s">
        <v>14</v>
      </c>
      <c r="G91" s="50" t="s">
        <v>6</v>
      </c>
      <c r="H91" s="84">
        <v>103</v>
      </c>
      <c r="I91" s="78">
        <v>90</v>
      </c>
      <c r="J91" s="79">
        <f t="shared" si="17"/>
        <v>2</v>
      </c>
      <c r="K91" s="43">
        <f t="shared" si="18"/>
        <v>7.1</v>
      </c>
      <c r="L91" s="77">
        <f t="shared" si="19"/>
        <v>3</v>
      </c>
      <c r="M91" s="77">
        <f t="shared" si="20"/>
        <v>5.9</v>
      </c>
      <c r="N91" s="77">
        <f t="shared" si="21"/>
        <v>2.1</v>
      </c>
      <c r="O91" s="77" t="str">
        <f t="shared" si="22"/>
        <v>blue</v>
      </c>
      <c r="P91" s="90" t="str">
        <f t="shared" si="23"/>
        <v>virginica</v>
      </c>
      <c r="Q91" s="43" t="str">
        <f>IF(S91&gt;MAX(T91:U91),$P$2,IF(T91&gt;U91,$G$52,$P$91))</f>
        <v>virginica</v>
      </c>
      <c r="R91" s="77" cm="1">
        <f t="array" ref="R91">X$6*EstymacjaGaussowska($M91,$M$2:$M$49,X$12)*EstymacjaGaussowska($N91,$N$2:$N$49,X$13)*VLOOKUP($O91,$W$23:$AA$26,2)+Y$6*EstymacjaGaussowska($M91,$M$50:$M$90,Y$12)*EstymacjaGaussowska($N91,$N$50:$N$90,Y$13)*VLOOKUP($O91,$W$23:$AA$26,3)+Z$6*EstymacjaGaussowska($M91,$M$91:$M$151,Z$12)*EstymacjaGaussowska($N91,$N$91:$N$151,Z$13)*VLOOKUP($O91,$W$23:$AA$26,4)</f>
        <v>0.15694069296102794</v>
      </c>
      <c r="S91" s="77" cm="1">
        <f t="array" ref="S91">X$6*EstymacjaGaussowska($M91,$M$2:$M$49,X$12)*EstymacjaGaussowska($N91,$N$2:$N$49,X$13)*VLOOKUP($O91,$W$23:$AA$26,2)/$R91</f>
        <v>0</v>
      </c>
      <c r="T91" s="77" cm="1">
        <f t="array" ref="T91">Y$6*EstymacjaGaussowska($M91,$M$50:$M$90,Y$12)*EstymacjaGaussowska($N91,$N$50:$N$90,Y$13)*VLOOKUP($O91,$W$23:$AA$26,3)/$R91</f>
        <v>4.5108386401890817E-10</v>
      </c>
      <c r="U91" s="87" cm="1">
        <f t="array" ref="U91">Z$6*EstymacjaGaussowska($M91,$M$91:$M$151,Z$12)*EstymacjaGaussowska($N91,$N$91:$N$151,Z$13)*VLOOKUP($O91,$W$23:$AA$26,4)/$R91</f>
        <v>0.99999999954891605</v>
      </c>
    </row>
    <row r="92" spans="1:21" x14ac:dyDescent="0.25">
      <c r="A92" s="78">
        <v>91</v>
      </c>
      <c r="B92" s="9">
        <v>5.5</v>
      </c>
      <c r="C92" s="3">
        <v>2.6</v>
      </c>
      <c r="D92" s="3">
        <v>4.4000000000000004</v>
      </c>
      <c r="E92" s="8">
        <v>1.2</v>
      </c>
      <c r="F92" s="9" t="s">
        <v>14</v>
      </c>
      <c r="G92" s="50" t="s">
        <v>6</v>
      </c>
      <c r="H92" s="84">
        <v>103</v>
      </c>
      <c r="I92" s="78">
        <v>91</v>
      </c>
      <c r="J92" s="79">
        <f t="shared" si="17"/>
        <v>3</v>
      </c>
      <c r="K92" s="43">
        <f t="shared" si="18"/>
        <v>7.1</v>
      </c>
      <c r="L92" s="77">
        <f t="shared" si="19"/>
        <v>3</v>
      </c>
      <c r="M92" s="77">
        <f t="shared" si="20"/>
        <v>5.9</v>
      </c>
      <c r="N92" s="77">
        <f t="shared" si="21"/>
        <v>2.1</v>
      </c>
      <c r="O92" s="77" t="str">
        <f t="shared" si="22"/>
        <v>blue</v>
      </c>
      <c r="P92" s="90" t="str">
        <f t="shared" si="23"/>
        <v>virginica</v>
      </c>
      <c r="Q92" s="43" t="str">
        <f t="shared" ref="Q92:Q151" si="24">IF(S92&gt;MAX(T92:U92),$P$2,IF(T92&gt;U92,$G$52,$P$91))</f>
        <v>virginica</v>
      </c>
      <c r="R92" s="77" cm="1">
        <f t="array" ref="R92">X$6*EstymacjaGaussowska($M92,$M$2:$M$49,X$12)*EstymacjaGaussowska($N92,$N$2:$N$49,X$13)*VLOOKUP($O92,$W$23:$AA$26,2)+Y$6*EstymacjaGaussowska($M92,$M$50:$M$90,Y$12)*EstymacjaGaussowska($N92,$N$50:$N$90,Y$13)*VLOOKUP($O92,$W$23:$AA$26,3)+Z$6*EstymacjaGaussowska($M92,$M$91:$M$151,Z$12)*EstymacjaGaussowska($N92,$N$91:$N$151,Z$13)*VLOOKUP($O92,$W$23:$AA$26,4)</f>
        <v>0.15694069296102794</v>
      </c>
      <c r="S92" s="77" cm="1">
        <f t="array" ref="S92">X$6*EstymacjaGaussowska($M92,$M$2:$M$49,X$12)*EstymacjaGaussowska($N92,$N$2:$N$49,X$13)*VLOOKUP($O92,$W$23:$AA$26,2)/$R92</f>
        <v>0</v>
      </c>
      <c r="T92" s="77" cm="1">
        <f t="array" ref="T92">Y$6*EstymacjaGaussowska($M92,$M$50:$M$90,Y$12)*EstymacjaGaussowska($N92,$N$50:$N$90,Y$13)*VLOOKUP($O92,$W$23:$AA$26,3)/$R92</f>
        <v>4.5108386401890817E-10</v>
      </c>
      <c r="U92" s="87" cm="1">
        <f t="array" ref="U92">Z$6*EstymacjaGaussowska($M92,$M$91:$M$151,Z$12)*EstymacjaGaussowska($N92,$N$91:$N$151,Z$13)*VLOOKUP($O92,$W$23:$AA$26,4)/$R92</f>
        <v>0.99999999954891605</v>
      </c>
    </row>
    <row r="93" spans="1:21" x14ac:dyDescent="0.25">
      <c r="A93" s="78">
        <v>92</v>
      </c>
      <c r="B93" s="9">
        <v>6.1</v>
      </c>
      <c r="C93" s="3">
        <v>3</v>
      </c>
      <c r="D93" s="3">
        <v>4.5999999999999996</v>
      </c>
      <c r="E93" s="8">
        <v>1.4</v>
      </c>
      <c r="F93" s="9" t="s">
        <v>14</v>
      </c>
      <c r="G93" s="50" t="s">
        <v>6</v>
      </c>
      <c r="H93" s="84">
        <v>104</v>
      </c>
      <c r="I93" s="78">
        <v>92</v>
      </c>
      <c r="J93" s="79">
        <f t="shared" si="17"/>
        <v>0</v>
      </c>
      <c r="K93" s="43">
        <f t="shared" si="18"/>
        <v>6.3</v>
      </c>
      <c r="L93" s="77">
        <f t="shared" si="19"/>
        <v>2.9</v>
      </c>
      <c r="M93" s="77">
        <f t="shared" si="20"/>
        <v>5.6</v>
      </c>
      <c r="N93" s="77">
        <f t="shared" si="21"/>
        <v>1.8</v>
      </c>
      <c r="O93" s="77" t="str">
        <f t="shared" si="22"/>
        <v>blue</v>
      </c>
      <c r="P93" s="90" t="str">
        <f t="shared" si="23"/>
        <v>virginica</v>
      </c>
      <c r="Q93" s="43" t="str">
        <f t="shared" si="24"/>
        <v>virginica</v>
      </c>
      <c r="R93" s="77" cm="1">
        <f t="array" ref="R93">X$6*EstymacjaGaussowska($M93,$M$2:$M$49,X$12)*EstymacjaGaussowska($N93,$N$2:$N$49,X$13)*VLOOKUP($O93,$W$23:$AA$26,2)+Y$6*EstymacjaGaussowska($M93,$M$50:$M$90,Y$12)*EstymacjaGaussowska($N93,$N$50:$N$90,Y$13)*VLOOKUP($O93,$W$23:$AA$26,3)+Z$6*EstymacjaGaussowska($M93,$M$91:$M$151,Z$12)*EstymacjaGaussowska($N93,$N$91:$N$151,Z$13)*VLOOKUP($O93,$W$23:$AA$26,4)</f>
        <v>0.1647512677731196</v>
      </c>
      <c r="S93" s="77" cm="1">
        <f t="array" ref="S93">X$6*EstymacjaGaussowska($M93,$M$2:$M$49,X$12)*EstymacjaGaussowska($N93,$N$2:$N$49,X$13)*VLOOKUP($O93,$W$23:$AA$26,2)/$R93</f>
        <v>0</v>
      </c>
      <c r="T93" s="77" cm="1">
        <f t="array" ref="T93">Y$6*EstymacjaGaussowska($M93,$M$50:$M$90,Y$12)*EstymacjaGaussowska($N93,$N$50:$N$90,Y$13)*VLOOKUP($O93,$W$23:$AA$26,3)/$R93</f>
        <v>2.9899046277804235E-4</v>
      </c>
      <c r="U93" s="87" cm="1">
        <f t="array" ref="U93">Z$6*EstymacjaGaussowska($M93,$M$91:$M$151,Z$12)*EstymacjaGaussowska($N93,$N$91:$N$151,Z$13)*VLOOKUP($O93,$W$23:$AA$26,4)/$R93</f>
        <v>0.99970100953722185</v>
      </c>
    </row>
    <row r="94" spans="1:21" x14ac:dyDescent="0.25">
      <c r="A94" s="78">
        <v>93</v>
      </c>
      <c r="B94" s="9">
        <v>5.8</v>
      </c>
      <c r="C94" s="3">
        <v>2.6</v>
      </c>
      <c r="D94" s="3">
        <v>4</v>
      </c>
      <c r="E94" s="8">
        <v>1.2</v>
      </c>
      <c r="F94" s="9" t="s">
        <v>14</v>
      </c>
      <c r="G94" s="50" t="s">
        <v>6</v>
      </c>
      <c r="H94" s="84">
        <v>104</v>
      </c>
      <c r="I94" s="78">
        <v>93</v>
      </c>
      <c r="J94" s="79">
        <f t="shared" si="17"/>
        <v>0</v>
      </c>
      <c r="K94" s="43">
        <f t="shared" si="18"/>
        <v>6.3</v>
      </c>
      <c r="L94" s="77">
        <f t="shared" si="19"/>
        <v>2.9</v>
      </c>
      <c r="M94" s="77">
        <f t="shared" si="20"/>
        <v>5.6</v>
      </c>
      <c r="N94" s="77">
        <f t="shared" si="21"/>
        <v>1.8</v>
      </c>
      <c r="O94" s="77" t="str">
        <f t="shared" si="22"/>
        <v>blue</v>
      </c>
      <c r="P94" s="90" t="str">
        <f t="shared" si="23"/>
        <v>virginica</v>
      </c>
      <c r="Q94" s="43" t="str">
        <f t="shared" si="24"/>
        <v>virginica</v>
      </c>
      <c r="R94" s="77" cm="1">
        <f t="array" ref="R94">X$6*EstymacjaGaussowska($M94,$M$2:$M$49,X$12)*EstymacjaGaussowska($N94,$N$2:$N$49,X$13)*VLOOKUP($O94,$W$23:$AA$26,2)+Y$6*EstymacjaGaussowska($M94,$M$50:$M$90,Y$12)*EstymacjaGaussowska($N94,$N$50:$N$90,Y$13)*VLOOKUP($O94,$W$23:$AA$26,3)+Z$6*EstymacjaGaussowska($M94,$M$91:$M$151,Z$12)*EstymacjaGaussowska($N94,$N$91:$N$151,Z$13)*VLOOKUP($O94,$W$23:$AA$26,4)</f>
        <v>0.1647512677731196</v>
      </c>
      <c r="S94" s="77" cm="1">
        <f t="array" ref="S94">X$6*EstymacjaGaussowska($M94,$M$2:$M$49,X$12)*EstymacjaGaussowska($N94,$N$2:$N$49,X$13)*VLOOKUP($O94,$W$23:$AA$26,2)/$R94</f>
        <v>0</v>
      </c>
      <c r="T94" s="77" cm="1">
        <f t="array" ref="T94">Y$6*EstymacjaGaussowska($M94,$M$50:$M$90,Y$12)*EstymacjaGaussowska($N94,$N$50:$N$90,Y$13)*VLOOKUP($O94,$W$23:$AA$26,3)/$R94</f>
        <v>2.9899046277804235E-4</v>
      </c>
      <c r="U94" s="87" cm="1">
        <f t="array" ref="U94">Z$6*EstymacjaGaussowska($M94,$M$91:$M$151,Z$12)*EstymacjaGaussowska($N94,$N$91:$N$151,Z$13)*VLOOKUP($O94,$W$23:$AA$26,4)/$R94</f>
        <v>0.99970100953722185</v>
      </c>
    </row>
    <row r="95" spans="1:21" x14ac:dyDescent="0.25">
      <c r="A95" s="78">
        <v>94</v>
      </c>
      <c r="B95" s="9">
        <v>5</v>
      </c>
      <c r="C95" s="3">
        <v>2.2999999999999998</v>
      </c>
      <c r="D95" s="3">
        <v>3.3</v>
      </c>
      <c r="E95" s="8">
        <v>1</v>
      </c>
      <c r="F95" s="9" t="s">
        <v>14</v>
      </c>
      <c r="G95" s="50" t="s">
        <v>6</v>
      </c>
      <c r="H95" s="84">
        <v>105</v>
      </c>
      <c r="I95" s="78">
        <v>94</v>
      </c>
      <c r="J95" s="79">
        <f t="shared" si="17"/>
        <v>0</v>
      </c>
      <c r="K95" s="43">
        <f t="shared" si="18"/>
        <v>6.5</v>
      </c>
      <c r="L95" s="77">
        <f t="shared" si="19"/>
        <v>3</v>
      </c>
      <c r="M95" s="77">
        <f t="shared" si="20"/>
        <v>5.8</v>
      </c>
      <c r="N95" s="77">
        <f t="shared" si="21"/>
        <v>2.2000000000000002</v>
      </c>
      <c r="O95" s="77" t="str">
        <f t="shared" si="22"/>
        <v>blue</v>
      </c>
      <c r="P95" s="90" t="str">
        <f t="shared" si="23"/>
        <v>virginica</v>
      </c>
      <c r="Q95" s="43" t="str">
        <f t="shared" si="24"/>
        <v>virginica</v>
      </c>
      <c r="R95" s="77" cm="1">
        <f t="array" ref="R95">X$6*EstymacjaGaussowska($M95,$M$2:$M$49,X$12)*EstymacjaGaussowska($N95,$N$2:$N$49,X$13)*VLOOKUP($O95,$W$23:$AA$26,2)+Y$6*EstymacjaGaussowska($M95,$M$50:$M$90,Y$12)*EstymacjaGaussowska($N95,$N$50:$N$90,Y$13)*VLOOKUP($O95,$W$23:$AA$26,3)+Z$6*EstymacjaGaussowska($M95,$M$91:$M$151,Z$12)*EstymacjaGaussowska($N95,$N$91:$N$151,Z$13)*VLOOKUP($O95,$W$23:$AA$26,4)</f>
        <v>0.14381504671478326</v>
      </c>
      <c r="S95" s="77" cm="1">
        <f t="array" ref="S95">X$6*EstymacjaGaussowska($M95,$M$2:$M$49,X$12)*EstymacjaGaussowska($N95,$N$2:$N$49,X$13)*VLOOKUP($O95,$W$23:$AA$26,2)/$R95</f>
        <v>0</v>
      </c>
      <c r="T95" s="77" cm="1">
        <f t="array" ref="T95">Y$6*EstymacjaGaussowska($M95,$M$50:$M$90,Y$12)*EstymacjaGaussowska($N95,$N$50:$N$90,Y$13)*VLOOKUP($O95,$W$23:$AA$26,3)/$R95</f>
        <v>1.1677059314899784E-11</v>
      </c>
      <c r="U95" s="87" cm="1">
        <f t="array" ref="U95">Z$6*EstymacjaGaussowska($M95,$M$91:$M$151,Z$12)*EstymacjaGaussowska($N95,$N$91:$N$151,Z$13)*VLOOKUP($O95,$W$23:$AA$26,4)/$R95</f>
        <v>0.99999999998832301</v>
      </c>
    </row>
    <row r="96" spans="1:21" x14ac:dyDescent="0.25">
      <c r="A96" s="78">
        <v>95</v>
      </c>
      <c r="B96" s="9">
        <v>5.6</v>
      </c>
      <c r="C96" s="3">
        <v>2.7</v>
      </c>
      <c r="D96" s="3">
        <v>4.2</v>
      </c>
      <c r="E96" s="8">
        <v>1.3</v>
      </c>
      <c r="F96" s="9" t="s">
        <v>14</v>
      </c>
      <c r="G96" s="50" t="s">
        <v>6</v>
      </c>
      <c r="H96" s="84">
        <v>105</v>
      </c>
      <c r="I96" s="78">
        <v>95</v>
      </c>
      <c r="J96" s="79">
        <f t="shared" si="17"/>
        <v>1</v>
      </c>
      <c r="K96" s="43">
        <f t="shared" si="18"/>
        <v>6.5</v>
      </c>
      <c r="L96" s="77">
        <f t="shared" si="19"/>
        <v>3</v>
      </c>
      <c r="M96" s="77">
        <f t="shared" si="20"/>
        <v>5.8</v>
      </c>
      <c r="N96" s="77">
        <f t="shared" si="21"/>
        <v>2.2000000000000002</v>
      </c>
      <c r="O96" s="77" t="str">
        <f t="shared" si="22"/>
        <v>blue</v>
      </c>
      <c r="P96" s="90" t="str">
        <f t="shared" si="23"/>
        <v>virginica</v>
      </c>
      <c r="Q96" s="43" t="str">
        <f t="shared" si="24"/>
        <v>virginica</v>
      </c>
      <c r="R96" s="77" cm="1">
        <f t="array" ref="R96">X$6*EstymacjaGaussowska($M96,$M$2:$M$49,X$12)*EstymacjaGaussowska($N96,$N$2:$N$49,X$13)*VLOOKUP($O96,$W$23:$AA$26,2)+Y$6*EstymacjaGaussowska($M96,$M$50:$M$90,Y$12)*EstymacjaGaussowska($N96,$N$50:$N$90,Y$13)*VLOOKUP($O96,$W$23:$AA$26,3)+Z$6*EstymacjaGaussowska($M96,$M$91:$M$151,Z$12)*EstymacjaGaussowska($N96,$N$91:$N$151,Z$13)*VLOOKUP($O96,$W$23:$AA$26,4)</f>
        <v>0.14381504671478326</v>
      </c>
      <c r="S96" s="77" cm="1">
        <f t="array" ref="S96">X$6*EstymacjaGaussowska($M96,$M$2:$M$49,X$12)*EstymacjaGaussowska($N96,$N$2:$N$49,X$13)*VLOOKUP($O96,$W$23:$AA$26,2)/$R96</f>
        <v>0</v>
      </c>
      <c r="T96" s="77" cm="1">
        <f t="array" ref="T96">Y$6*EstymacjaGaussowska($M96,$M$50:$M$90,Y$12)*EstymacjaGaussowska($N96,$N$50:$N$90,Y$13)*VLOOKUP($O96,$W$23:$AA$26,3)/$R96</f>
        <v>1.1677059314899784E-11</v>
      </c>
      <c r="U96" s="87" cm="1">
        <f t="array" ref="U96">Z$6*EstymacjaGaussowska($M96,$M$91:$M$151,Z$12)*EstymacjaGaussowska($N96,$N$91:$N$151,Z$13)*VLOOKUP($O96,$W$23:$AA$26,4)/$R96</f>
        <v>0.99999999998832301</v>
      </c>
    </row>
    <row r="97" spans="1:21" x14ac:dyDescent="0.25">
      <c r="A97" s="78">
        <v>96</v>
      </c>
      <c r="B97" s="9">
        <v>5.7</v>
      </c>
      <c r="C97" s="3">
        <v>3</v>
      </c>
      <c r="D97" s="3">
        <v>4.2</v>
      </c>
      <c r="E97" s="8">
        <v>1.2</v>
      </c>
      <c r="F97" s="9" t="s">
        <v>14</v>
      </c>
      <c r="G97" s="50" t="s">
        <v>6</v>
      </c>
      <c r="H97" s="84">
        <v>107</v>
      </c>
      <c r="I97" s="78">
        <v>96</v>
      </c>
      <c r="J97" s="79">
        <f t="shared" si="17"/>
        <v>0</v>
      </c>
      <c r="K97" s="43">
        <f t="shared" si="18"/>
        <v>4.9000000000000004</v>
      </c>
      <c r="L97" s="77">
        <f t="shared" si="19"/>
        <v>2.5</v>
      </c>
      <c r="M97" s="77">
        <f t="shared" si="20"/>
        <v>4.5</v>
      </c>
      <c r="N97" s="77">
        <f t="shared" si="21"/>
        <v>1.7</v>
      </c>
      <c r="O97" s="77" t="str">
        <f t="shared" si="22"/>
        <v>blue</v>
      </c>
      <c r="P97" s="90" t="str">
        <f t="shared" si="23"/>
        <v>virginica</v>
      </c>
      <c r="Q97" s="43" t="str">
        <f t="shared" si="24"/>
        <v>versicolor</v>
      </c>
      <c r="R97" s="77" cm="1">
        <f t="array" ref="R97">X$6*EstymacjaGaussowska($M97,$M$2:$M$49,X$12)*EstymacjaGaussowska($N97,$N$2:$N$49,X$13)*VLOOKUP($O97,$W$23:$AA$26,2)+Y$6*EstymacjaGaussowska($M97,$M$50:$M$90,Y$12)*EstymacjaGaussowska($N97,$N$50:$N$90,Y$13)*VLOOKUP($O97,$W$23:$AA$26,3)+Z$6*EstymacjaGaussowska($M97,$M$91:$M$151,Z$12)*EstymacjaGaussowska($N97,$N$91:$N$151,Z$13)*VLOOKUP($O97,$W$23:$AA$26,4)</f>
        <v>4.3322361775644649E-2</v>
      </c>
      <c r="S97" s="77" cm="1">
        <f t="array" ref="S97">X$6*EstymacjaGaussowska($M97,$M$2:$M$49,X$12)*EstymacjaGaussowska($N97,$N$2:$N$49,X$13)*VLOOKUP($O97,$W$23:$AA$26,2)/$R97</f>
        <v>5.7643666818701999E-285</v>
      </c>
      <c r="T97" s="77" cm="1">
        <f t="array" ref="T97">Y$6*EstymacjaGaussowska($M97,$M$50:$M$90,Y$12)*EstymacjaGaussowska($N97,$N$50:$N$90,Y$13)*VLOOKUP($O97,$W$23:$AA$26,3)/$R97</f>
        <v>0.52869534228886228</v>
      </c>
      <c r="U97" s="87" cm="1">
        <f t="array" ref="U97">Z$6*EstymacjaGaussowska($M97,$M$91:$M$151,Z$12)*EstymacjaGaussowska($N97,$N$91:$N$151,Z$13)*VLOOKUP($O97,$W$23:$AA$26,4)/$R97</f>
        <v>0.47130465771113766</v>
      </c>
    </row>
    <row r="98" spans="1:21" x14ac:dyDescent="0.25">
      <c r="A98" s="78">
        <v>97</v>
      </c>
      <c r="B98" s="9">
        <v>5.7</v>
      </c>
      <c r="C98" s="3">
        <v>2.9</v>
      </c>
      <c r="D98" s="3">
        <v>4.2</v>
      </c>
      <c r="E98" s="8">
        <v>1.3</v>
      </c>
      <c r="F98" s="9" t="s">
        <v>14</v>
      </c>
      <c r="G98" s="50" t="s">
        <v>6</v>
      </c>
      <c r="H98" s="84">
        <v>107</v>
      </c>
      <c r="I98" s="78">
        <v>97</v>
      </c>
      <c r="J98" s="79">
        <f t="shared" ref="J98:J129" si="25">COUNTIF($H$2:$H$151,I98)</f>
        <v>1</v>
      </c>
      <c r="K98" s="43">
        <f t="shared" ref="K98:K129" si="26">VLOOKUP($H98,$A$2:$F$151,2,FALSE)</f>
        <v>4.9000000000000004</v>
      </c>
      <c r="L98" s="77">
        <f t="shared" ref="L98:L129" si="27">VLOOKUP($H98,$A$2:$F$151,3,FALSE)</f>
        <v>2.5</v>
      </c>
      <c r="M98" s="77">
        <f t="shared" ref="M98:M129" si="28">VLOOKUP($H98,$A$2:$F$151,4,FALSE)</f>
        <v>4.5</v>
      </c>
      <c r="N98" s="77">
        <f t="shared" ref="N98:N129" si="29">VLOOKUP($H98,$A$2:$F$151,5,FALSE)</f>
        <v>1.7</v>
      </c>
      <c r="O98" s="77" t="str">
        <f t="shared" ref="O98:O129" si="30">VLOOKUP($H98,$A$2:$F$151,6,FALSE)</f>
        <v>blue</v>
      </c>
      <c r="P98" s="90" t="str">
        <f t="shared" ref="P98:P129" si="31">VLOOKUP($H98,$A$2:$G$151,7,FALSE)</f>
        <v>virginica</v>
      </c>
      <c r="Q98" s="43" t="str">
        <f t="shared" si="24"/>
        <v>versicolor</v>
      </c>
      <c r="R98" s="77" cm="1">
        <f t="array" ref="R98">X$6*EstymacjaGaussowska($M98,$M$2:$M$49,X$12)*EstymacjaGaussowska($N98,$N$2:$N$49,X$13)*VLOOKUP($O98,$W$23:$AA$26,2)+Y$6*EstymacjaGaussowska($M98,$M$50:$M$90,Y$12)*EstymacjaGaussowska($N98,$N$50:$N$90,Y$13)*VLOOKUP($O98,$W$23:$AA$26,3)+Z$6*EstymacjaGaussowska($M98,$M$91:$M$151,Z$12)*EstymacjaGaussowska($N98,$N$91:$N$151,Z$13)*VLOOKUP($O98,$W$23:$AA$26,4)</f>
        <v>4.3322361775644649E-2</v>
      </c>
      <c r="S98" s="77" cm="1">
        <f t="array" ref="S98">X$6*EstymacjaGaussowska($M98,$M$2:$M$49,X$12)*EstymacjaGaussowska($N98,$N$2:$N$49,X$13)*VLOOKUP($O98,$W$23:$AA$26,2)/$R98</f>
        <v>5.7643666818701999E-285</v>
      </c>
      <c r="T98" s="77" cm="1">
        <f t="array" ref="T98">Y$6*EstymacjaGaussowska($M98,$M$50:$M$90,Y$12)*EstymacjaGaussowska($N98,$N$50:$N$90,Y$13)*VLOOKUP($O98,$W$23:$AA$26,3)/$R98</f>
        <v>0.52869534228886228</v>
      </c>
      <c r="U98" s="87" cm="1">
        <f t="array" ref="U98">Z$6*EstymacjaGaussowska($M98,$M$91:$M$151,Z$12)*EstymacjaGaussowska($N98,$N$91:$N$151,Z$13)*VLOOKUP($O98,$W$23:$AA$26,4)/$R98</f>
        <v>0.47130465771113766</v>
      </c>
    </row>
    <row r="99" spans="1:21" x14ac:dyDescent="0.25">
      <c r="A99" s="78">
        <v>98</v>
      </c>
      <c r="B99" s="9">
        <v>6.2</v>
      </c>
      <c r="C99" s="3">
        <v>2.9</v>
      </c>
      <c r="D99" s="3">
        <v>4.3</v>
      </c>
      <c r="E99" s="8">
        <v>1.3</v>
      </c>
      <c r="F99" s="9" t="s">
        <v>14</v>
      </c>
      <c r="G99" s="50" t="s">
        <v>6</v>
      </c>
      <c r="H99" s="84">
        <v>108</v>
      </c>
      <c r="I99" s="78">
        <v>98</v>
      </c>
      <c r="J99" s="79">
        <f t="shared" si="25"/>
        <v>0</v>
      </c>
      <c r="K99" s="43">
        <f t="shared" si="26"/>
        <v>7.3</v>
      </c>
      <c r="L99" s="77">
        <f t="shared" si="27"/>
        <v>2.9</v>
      </c>
      <c r="M99" s="77">
        <f t="shared" si="28"/>
        <v>6.3</v>
      </c>
      <c r="N99" s="77">
        <f t="shared" si="29"/>
        <v>1.8</v>
      </c>
      <c r="O99" s="77" t="str">
        <f t="shared" si="30"/>
        <v>blue</v>
      </c>
      <c r="P99" s="90" t="str">
        <f t="shared" si="31"/>
        <v>virginica</v>
      </c>
      <c r="Q99" s="43" t="str">
        <f t="shared" si="24"/>
        <v>virginica</v>
      </c>
      <c r="R99" s="77" cm="1">
        <f t="array" ref="R99">X$6*EstymacjaGaussowska($M99,$M$2:$M$49,X$12)*EstymacjaGaussowska($N99,$N$2:$N$49,X$13)*VLOOKUP($O99,$W$23:$AA$26,2)+Y$6*EstymacjaGaussowska($M99,$M$50:$M$90,Y$12)*EstymacjaGaussowska($N99,$N$50:$N$90,Y$13)*VLOOKUP($O99,$W$23:$AA$26,3)+Z$6*EstymacjaGaussowska($M99,$M$91:$M$151,Z$12)*EstymacjaGaussowska($N99,$N$91:$N$151,Z$13)*VLOOKUP($O99,$W$23:$AA$26,4)</f>
        <v>5.437272245441057E-2</v>
      </c>
      <c r="S99" s="77" cm="1">
        <f t="array" ref="S99">X$6*EstymacjaGaussowska($M99,$M$2:$M$49,X$12)*EstymacjaGaussowska($N99,$N$2:$N$49,X$13)*VLOOKUP($O99,$W$23:$AA$26,2)/$R99</f>
        <v>0</v>
      </c>
      <c r="T99" s="77" cm="1">
        <f t="array" ref="T99">Y$6*EstymacjaGaussowska($M99,$M$50:$M$90,Y$12)*EstymacjaGaussowska($N99,$N$50:$N$90,Y$13)*VLOOKUP($O99,$W$23:$AA$26,3)/$R99</f>
        <v>3.3247384775447787E-9</v>
      </c>
      <c r="U99" s="87" cm="1">
        <f t="array" ref="U99">Z$6*EstymacjaGaussowska($M99,$M$91:$M$151,Z$12)*EstymacjaGaussowska($N99,$N$91:$N$151,Z$13)*VLOOKUP($O99,$W$23:$AA$26,4)/$R99</f>
        <v>0.99999999667526152</v>
      </c>
    </row>
    <row r="100" spans="1:21" x14ac:dyDescent="0.25">
      <c r="A100" s="78">
        <v>99</v>
      </c>
      <c r="B100" s="9">
        <v>5.0999999999999996</v>
      </c>
      <c r="C100" s="3">
        <v>2.5</v>
      </c>
      <c r="D100" s="3">
        <v>3</v>
      </c>
      <c r="E100" s="8">
        <v>1.1000000000000001</v>
      </c>
      <c r="F100" s="9" t="s">
        <v>14</v>
      </c>
      <c r="G100" s="50" t="s">
        <v>6</v>
      </c>
      <c r="H100" s="84">
        <v>109</v>
      </c>
      <c r="I100" s="78">
        <v>99</v>
      </c>
      <c r="J100" s="79">
        <f t="shared" si="25"/>
        <v>1</v>
      </c>
      <c r="K100" s="43">
        <f t="shared" si="26"/>
        <v>6.7</v>
      </c>
      <c r="L100" s="77">
        <f t="shared" si="27"/>
        <v>2.5</v>
      </c>
      <c r="M100" s="77">
        <f t="shared" si="28"/>
        <v>5.8</v>
      </c>
      <c r="N100" s="77">
        <f t="shared" si="29"/>
        <v>1.8</v>
      </c>
      <c r="O100" s="77" t="str">
        <f t="shared" si="30"/>
        <v>blue</v>
      </c>
      <c r="P100" s="90" t="str">
        <f t="shared" si="31"/>
        <v>virginica</v>
      </c>
      <c r="Q100" s="43" t="str">
        <f t="shared" si="24"/>
        <v>virginica</v>
      </c>
      <c r="R100" s="77" cm="1">
        <f t="array" ref="R100">X$6*EstymacjaGaussowska($M100,$M$2:$M$49,X$12)*EstymacjaGaussowska($N100,$N$2:$N$49,X$13)*VLOOKUP($O100,$W$23:$AA$26,2)+Y$6*EstymacjaGaussowska($M100,$M$50:$M$90,Y$12)*EstymacjaGaussowska($N100,$N$50:$N$90,Y$13)*VLOOKUP($O100,$W$23:$AA$26,3)+Z$6*EstymacjaGaussowska($M100,$M$91:$M$151,Z$12)*EstymacjaGaussowska($N100,$N$91:$N$151,Z$13)*VLOOKUP($O100,$W$23:$AA$26,4)</f>
        <v>0.14444853645026459</v>
      </c>
      <c r="S100" s="77" cm="1">
        <f t="array" ref="S100">X$6*EstymacjaGaussowska($M100,$M$2:$M$49,X$12)*EstymacjaGaussowska($N100,$N$2:$N$49,X$13)*VLOOKUP($O100,$W$23:$AA$26,2)/$R100</f>
        <v>0</v>
      </c>
      <c r="T100" s="77" cm="1">
        <f t="array" ref="T100">Y$6*EstymacjaGaussowska($M100,$M$50:$M$90,Y$12)*EstymacjaGaussowska($N100,$N$50:$N$90,Y$13)*VLOOKUP($O100,$W$23:$AA$26,3)/$R100</f>
        <v>2.4829035773720512E-5</v>
      </c>
      <c r="U100" s="87" cm="1">
        <f t="array" ref="U100">Z$6*EstymacjaGaussowska($M100,$M$91:$M$151,Z$12)*EstymacjaGaussowska($N100,$N$91:$N$151,Z$13)*VLOOKUP($O100,$W$23:$AA$26,4)/$R100</f>
        <v>0.99997517096422628</v>
      </c>
    </row>
    <row r="101" spans="1:21" x14ac:dyDescent="0.25">
      <c r="A101" s="78">
        <v>100</v>
      </c>
      <c r="B101" s="9">
        <v>5.7</v>
      </c>
      <c r="C101" s="3">
        <v>2.8</v>
      </c>
      <c r="D101" s="3">
        <v>4.0999999999999996</v>
      </c>
      <c r="E101" s="8">
        <v>1.3</v>
      </c>
      <c r="F101" s="9" t="s">
        <v>14</v>
      </c>
      <c r="G101" s="50" t="s">
        <v>6</v>
      </c>
      <c r="H101" s="84">
        <v>110</v>
      </c>
      <c r="I101" s="78">
        <v>100</v>
      </c>
      <c r="J101" s="79">
        <f t="shared" si="25"/>
        <v>0</v>
      </c>
      <c r="K101" s="43">
        <f t="shared" si="26"/>
        <v>7.2</v>
      </c>
      <c r="L101" s="77">
        <f t="shared" si="27"/>
        <v>3.6</v>
      </c>
      <c r="M101" s="77">
        <f t="shared" si="28"/>
        <v>6.1</v>
      </c>
      <c r="N101" s="77">
        <f t="shared" si="29"/>
        <v>2.5</v>
      </c>
      <c r="O101" s="77" t="str">
        <f t="shared" si="30"/>
        <v>blue</v>
      </c>
      <c r="P101" s="90" t="str">
        <f t="shared" si="31"/>
        <v>virginica</v>
      </c>
      <c r="Q101" s="43" t="str">
        <f t="shared" si="24"/>
        <v>virginica</v>
      </c>
      <c r="R101" s="77" cm="1">
        <f t="array" ref="R101">X$6*EstymacjaGaussowska($M101,$M$2:$M$49,X$12)*EstymacjaGaussowska($N101,$N$2:$N$49,X$13)*VLOOKUP($O101,$W$23:$AA$26,2)+Y$6*EstymacjaGaussowska($M101,$M$50:$M$90,Y$12)*EstymacjaGaussowska($N101,$N$50:$N$90,Y$13)*VLOOKUP($O101,$W$23:$AA$26,3)+Z$6*EstymacjaGaussowska($M101,$M$91:$M$151,Z$12)*EstymacjaGaussowska($N101,$N$91:$N$151,Z$13)*VLOOKUP($O101,$W$23:$AA$26,4)</f>
        <v>3.2754320800395934E-2</v>
      </c>
      <c r="S101" s="77" cm="1">
        <f t="array" ref="S101">X$6*EstymacjaGaussowska($M101,$M$2:$M$49,X$12)*EstymacjaGaussowska($N101,$N$2:$N$49,X$13)*VLOOKUP($O101,$W$23:$AA$26,2)/$R101</f>
        <v>0</v>
      </c>
      <c r="T101" s="77" cm="1">
        <f t="array" ref="T101">Y$6*EstymacjaGaussowska($M101,$M$50:$M$90,Y$12)*EstymacjaGaussowska($N101,$N$50:$N$90,Y$13)*VLOOKUP($O101,$W$23:$AA$26,3)/$R101</f>
        <v>2.301327312237577E-23</v>
      </c>
      <c r="U101" s="87" cm="1">
        <f t="array" ref="U101">Z$6*EstymacjaGaussowska($M101,$M$91:$M$151,Z$12)*EstymacjaGaussowska($N101,$N$91:$N$151,Z$13)*VLOOKUP($O101,$W$23:$AA$26,4)/$R101</f>
        <v>1</v>
      </c>
    </row>
    <row r="102" spans="1:21" x14ac:dyDescent="0.25">
      <c r="A102" s="78">
        <v>101</v>
      </c>
      <c r="B102" s="9">
        <v>6.3</v>
      </c>
      <c r="C102" s="3">
        <v>3.3</v>
      </c>
      <c r="D102" s="3">
        <v>6</v>
      </c>
      <c r="E102" s="8">
        <v>2.5</v>
      </c>
      <c r="F102" s="9" t="s">
        <v>11</v>
      </c>
      <c r="G102" s="50" t="s">
        <v>7</v>
      </c>
      <c r="H102" s="84">
        <v>111</v>
      </c>
      <c r="I102" s="78">
        <v>101</v>
      </c>
      <c r="J102" s="79">
        <f t="shared" si="25"/>
        <v>0</v>
      </c>
      <c r="K102" s="43">
        <f t="shared" si="26"/>
        <v>6.5</v>
      </c>
      <c r="L102" s="77">
        <f t="shared" si="27"/>
        <v>3.2</v>
      </c>
      <c r="M102" s="77">
        <f t="shared" si="28"/>
        <v>5.0999999999999996</v>
      </c>
      <c r="N102" s="77">
        <f t="shared" si="29"/>
        <v>2</v>
      </c>
      <c r="O102" s="77" t="str">
        <f t="shared" si="30"/>
        <v>blue</v>
      </c>
      <c r="P102" s="90" t="str">
        <f t="shared" si="31"/>
        <v>virginica</v>
      </c>
      <c r="Q102" s="43" t="str">
        <f t="shared" si="24"/>
        <v>virginica</v>
      </c>
      <c r="R102" s="77" cm="1">
        <f t="array" ref="R102">X$6*EstymacjaGaussowska($M102,$M$2:$M$49,X$12)*EstymacjaGaussowska($N102,$N$2:$N$49,X$13)*VLOOKUP($O102,$W$23:$AA$26,2)+Y$6*EstymacjaGaussowska($M102,$M$50:$M$90,Y$12)*EstymacjaGaussowska($N102,$N$50:$N$90,Y$13)*VLOOKUP($O102,$W$23:$AA$26,3)+Z$6*EstymacjaGaussowska($M102,$M$91:$M$151,Z$12)*EstymacjaGaussowska($N102,$N$91:$N$151,Z$13)*VLOOKUP($O102,$W$23:$AA$26,4)</f>
        <v>0.22225460320831064</v>
      </c>
      <c r="S102" s="77" cm="1">
        <f t="array" ref="S102">X$6*EstymacjaGaussowska($M102,$M$2:$M$49,X$12)*EstymacjaGaussowska($N102,$N$2:$N$49,X$13)*VLOOKUP($O102,$W$23:$AA$26,2)/$R102</f>
        <v>0</v>
      </c>
      <c r="T102" s="77" cm="1">
        <f t="array" ref="T102">Y$6*EstymacjaGaussowska($M102,$M$50:$M$90,Y$12)*EstymacjaGaussowska($N102,$N$50:$N$90,Y$13)*VLOOKUP($O102,$W$23:$AA$26,3)/$R102</f>
        <v>5.1566711389959656E-5</v>
      </c>
      <c r="U102" s="87" cm="1">
        <f t="array" ref="U102">Z$6*EstymacjaGaussowska($M102,$M$91:$M$151,Z$12)*EstymacjaGaussowska($N102,$N$91:$N$151,Z$13)*VLOOKUP($O102,$W$23:$AA$26,4)/$R102</f>
        <v>0.99994843328860994</v>
      </c>
    </row>
    <row r="103" spans="1:21" x14ac:dyDescent="0.25">
      <c r="A103" s="78">
        <v>102</v>
      </c>
      <c r="B103" s="9">
        <v>5.8</v>
      </c>
      <c r="C103" s="3">
        <v>2.7</v>
      </c>
      <c r="D103" s="3">
        <v>5.0999999999999996</v>
      </c>
      <c r="E103" s="8">
        <v>1.9</v>
      </c>
      <c r="F103" s="9" t="s">
        <v>11</v>
      </c>
      <c r="G103" s="50" t="s">
        <v>7</v>
      </c>
      <c r="H103" s="84">
        <v>112</v>
      </c>
      <c r="I103" s="78">
        <v>102</v>
      </c>
      <c r="J103" s="79">
        <f t="shared" si="25"/>
        <v>0</v>
      </c>
      <c r="K103" s="43">
        <f t="shared" si="26"/>
        <v>6.4</v>
      </c>
      <c r="L103" s="77">
        <f t="shared" si="27"/>
        <v>2.7</v>
      </c>
      <c r="M103" s="77">
        <f t="shared" si="28"/>
        <v>5.3</v>
      </c>
      <c r="N103" s="77">
        <f t="shared" si="29"/>
        <v>1.9</v>
      </c>
      <c r="O103" s="77" t="str">
        <f t="shared" si="30"/>
        <v>blue</v>
      </c>
      <c r="P103" s="90" t="str">
        <f t="shared" si="31"/>
        <v>virginica</v>
      </c>
      <c r="Q103" s="43" t="str">
        <f t="shared" si="24"/>
        <v>virginica</v>
      </c>
      <c r="R103" s="77" cm="1">
        <f t="array" ref="R103">X$6*EstymacjaGaussowska($M103,$M$2:$M$49,X$12)*EstymacjaGaussowska($N103,$N$2:$N$49,X$13)*VLOOKUP($O103,$W$23:$AA$26,2)+Y$6*EstymacjaGaussowska($M103,$M$50:$M$90,Y$12)*EstymacjaGaussowska($N103,$N$50:$N$90,Y$13)*VLOOKUP($O103,$W$23:$AA$26,3)+Z$6*EstymacjaGaussowska($M103,$M$91:$M$151,Z$12)*EstymacjaGaussowska($N103,$N$91:$N$151,Z$13)*VLOOKUP($O103,$W$23:$AA$26,4)</f>
        <v>0.21588388743032402</v>
      </c>
      <c r="S103" s="77" cm="1">
        <f t="array" ref="S103">X$6*EstymacjaGaussowska($M103,$M$2:$M$49,X$12)*EstymacjaGaussowska($N103,$N$2:$N$49,X$13)*VLOOKUP($O103,$W$23:$AA$26,2)/$R103</f>
        <v>0</v>
      </c>
      <c r="T103" s="77" cm="1">
        <f t="array" ref="T103">Y$6*EstymacjaGaussowska($M103,$M$50:$M$90,Y$12)*EstymacjaGaussowska($N103,$N$50:$N$90,Y$13)*VLOOKUP($O103,$W$23:$AA$26,3)/$R103</f>
        <v>4.0590646396724558E-4</v>
      </c>
      <c r="U103" s="87" cm="1">
        <f t="array" ref="U103">Z$6*EstymacjaGaussowska($M103,$M$91:$M$151,Z$12)*EstymacjaGaussowska($N103,$N$91:$N$151,Z$13)*VLOOKUP($O103,$W$23:$AA$26,4)/$R103</f>
        <v>0.99959409353603279</v>
      </c>
    </row>
    <row r="104" spans="1:21" x14ac:dyDescent="0.25">
      <c r="A104" s="78">
        <v>103</v>
      </c>
      <c r="B104" s="9">
        <v>7.1</v>
      </c>
      <c r="C104" s="3">
        <v>3</v>
      </c>
      <c r="D104" s="3">
        <v>5.9</v>
      </c>
      <c r="E104" s="8">
        <v>2.1</v>
      </c>
      <c r="F104" s="9" t="s">
        <v>11</v>
      </c>
      <c r="G104" s="50" t="s">
        <v>7</v>
      </c>
      <c r="H104" s="84">
        <v>112</v>
      </c>
      <c r="I104" s="78">
        <v>103</v>
      </c>
      <c r="J104" s="79">
        <f t="shared" si="25"/>
        <v>2</v>
      </c>
      <c r="K104" s="43">
        <f t="shared" si="26"/>
        <v>6.4</v>
      </c>
      <c r="L104" s="77">
        <f t="shared" si="27"/>
        <v>2.7</v>
      </c>
      <c r="M104" s="77">
        <f t="shared" si="28"/>
        <v>5.3</v>
      </c>
      <c r="N104" s="77">
        <f t="shared" si="29"/>
        <v>1.9</v>
      </c>
      <c r="O104" s="77" t="str">
        <f t="shared" si="30"/>
        <v>blue</v>
      </c>
      <c r="P104" s="90" t="str">
        <f t="shared" si="31"/>
        <v>virginica</v>
      </c>
      <c r="Q104" s="43" t="str">
        <f t="shared" si="24"/>
        <v>virginica</v>
      </c>
      <c r="R104" s="77" cm="1">
        <f t="array" ref="R104">X$6*EstymacjaGaussowska($M104,$M$2:$M$49,X$12)*EstymacjaGaussowska($N104,$N$2:$N$49,X$13)*VLOOKUP($O104,$W$23:$AA$26,2)+Y$6*EstymacjaGaussowska($M104,$M$50:$M$90,Y$12)*EstymacjaGaussowska($N104,$N$50:$N$90,Y$13)*VLOOKUP($O104,$W$23:$AA$26,3)+Z$6*EstymacjaGaussowska($M104,$M$91:$M$151,Z$12)*EstymacjaGaussowska($N104,$N$91:$N$151,Z$13)*VLOOKUP($O104,$W$23:$AA$26,4)</f>
        <v>0.21588388743032402</v>
      </c>
      <c r="S104" s="77" cm="1">
        <f t="array" ref="S104">X$6*EstymacjaGaussowska($M104,$M$2:$M$49,X$12)*EstymacjaGaussowska($N104,$N$2:$N$49,X$13)*VLOOKUP($O104,$W$23:$AA$26,2)/$R104</f>
        <v>0</v>
      </c>
      <c r="T104" s="77" cm="1">
        <f t="array" ref="T104">Y$6*EstymacjaGaussowska($M104,$M$50:$M$90,Y$12)*EstymacjaGaussowska($N104,$N$50:$N$90,Y$13)*VLOOKUP($O104,$W$23:$AA$26,3)/$R104</f>
        <v>4.0590646396724558E-4</v>
      </c>
      <c r="U104" s="87" cm="1">
        <f t="array" ref="U104">Z$6*EstymacjaGaussowska($M104,$M$91:$M$151,Z$12)*EstymacjaGaussowska($N104,$N$91:$N$151,Z$13)*VLOOKUP($O104,$W$23:$AA$26,4)/$R104</f>
        <v>0.99959409353603279</v>
      </c>
    </row>
    <row r="105" spans="1:21" x14ac:dyDescent="0.25">
      <c r="A105" s="78">
        <v>104</v>
      </c>
      <c r="B105" s="9">
        <v>6.3</v>
      </c>
      <c r="C105" s="3">
        <v>2.9</v>
      </c>
      <c r="D105" s="3">
        <v>5.6</v>
      </c>
      <c r="E105" s="8">
        <v>1.8</v>
      </c>
      <c r="F105" s="9" t="s">
        <v>11</v>
      </c>
      <c r="G105" s="50" t="s">
        <v>7</v>
      </c>
      <c r="H105" s="84">
        <v>112</v>
      </c>
      <c r="I105" s="78">
        <v>104</v>
      </c>
      <c r="J105" s="79">
        <f t="shared" si="25"/>
        <v>2</v>
      </c>
      <c r="K105" s="43">
        <f t="shared" si="26"/>
        <v>6.4</v>
      </c>
      <c r="L105" s="77">
        <f t="shared" si="27"/>
        <v>2.7</v>
      </c>
      <c r="M105" s="77">
        <f t="shared" si="28"/>
        <v>5.3</v>
      </c>
      <c r="N105" s="77">
        <f t="shared" si="29"/>
        <v>1.9</v>
      </c>
      <c r="O105" s="77" t="str">
        <f t="shared" si="30"/>
        <v>blue</v>
      </c>
      <c r="P105" s="90" t="str">
        <f t="shared" si="31"/>
        <v>virginica</v>
      </c>
      <c r="Q105" s="43" t="str">
        <f t="shared" si="24"/>
        <v>virginica</v>
      </c>
      <c r="R105" s="77" cm="1">
        <f t="array" ref="R105">X$6*EstymacjaGaussowska($M105,$M$2:$M$49,X$12)*EstymacjaGaussowska($N105,$N$2:$N$49,X$13)*VLOOKUP($O105,$W$23:$AA$26,2)+Y$6*EstymacjaGaussowska($M105,$M$50:$M$90,Y$12)*EstymacjaGaussowska($N105,$N$50:$N$90,Y$13)*VLOOKUP($O105,$W$23:$AA$26,3)+Z$6*EstymacjaGaussowska($M105,$M$91:$M$151,Z$12)*EstymacjaGaussowska($N105,$N$91:$N$151,Z$13)*VLOOKUP($O105,$W$23:$AA$26,4)</f>
        <v>0.21588388743032402</v>
      </c>
      <c r="S105" s="77" cm="1">
        <f t="array" ref="S105">X$6*EstymacjaGaussowska($M105,$M$2:$M$49,X$12)*EstymacjaGaussowska($N105,$N$2:$N$49,X$13)*VLOOKUP($O105,$W$23:$AA$26,2)/$R105</f>
        <v>0</v>
      </c>
      <c r="T105" s="77" cm="1">
        <f t="array" ref="T105">Y$6*EstymacjaGaussowska($M105,$M$50:$M$90,Y$12)*EstymacjaGaussowska($N105,$N$50:$N$90,Y$13)*VLOOKUP($O105,$W$23:$AA$26,3)/$R105</f>
        <v>4.0590646396724558E-4</v>
      </c>
      <c r="U105" s="87" cm="1">
        <f t="array" ref="U105">Z$6*EstymacjaGaussowska($M105,$M$91:$M$151,Z$12)*EstymacjaGaussowska($N105,$N$91:$N$151,Z$13)*VLOOKUP($O105,$W$23:$AA$26,4)/$R105</f>
        <v>0.99959409353603279</v>
      </c>
    </row>
    <row r="106" spans="1:21" x14ac:dyDescent="0.25">
      <c r="A106" s="78">
        <v>105</v>
      </c>
      <c r="B106" s="9">
        <v>6.5</v>
      </c>
      <c r="C106" s="3">
        <v>3</v>
      </c>
      <c r="D106" s="3">
        <v>5.8</v>
      </c>
      <c r="E106" s="8">
        <v>2.2000000000000002</v>
      </c>
      <c r="F106" s="9" t="s">
        <v>11</v>
      </c>
      <c r="G106" s="50" t="s">
        <v>7</v>
      </c>
      <c r="H106" s="84">
        <v>113</v>
      </c>
      <c r="I106" s="78">
        <v>105</v>
      </c>
      <c r="J106" s="79">
        <f t="shared" si="25"/>
        <v>2</v>
      </c>
      <c r="K106" s="43">
        <f t="shared" si="26"/>
        <v>6.8</v>
      </c>
      <c r="L106" s="77">
        <f t="shared" si="27"/>
        <v>3</v>
      </c>
      <c r="M106" s="77">
        <f t="shared" si="28"/>
        <v>5.5</v>
      </c>
      <c r="N106" s="77">
        <f t="shared" si="29"/>
        <v>2.1</v>
      </c>
      <c r="O106" s="77" t="str">
        <f t="shared" si="30"/>
        <v>blue</v>
      </c>
      <c r="P106" s="90" t="str">
        <f t="shared" si="31"/>
        <v>virginica</v>
      </c>
      <c r="Q106" s="43" t="str">
        <f t="shared" si="24"/>
        <v>virginica</v>
      </c>
      <c r="R106" s="77" cm="1">
        <f t="array" ref="R106">X$6*EstymacjaGaussowska($M106,$M$2:$M$49,X$12)*EstymacjaGaussowska($N106,$N$2:$N$49,X$13)*VLOOKUP($O106,$W$23:$AA$26,2)+Y$6*EstymacjaGaussowska($M106,$M$50:$M$90,Y$12)*EstymacjaGaussowska($N106,$N$50:$N$90,Y$13)*VLOOKUP($O106,$W$23:$AA$26,3)+Z$6*EstymacjaGaussowska($M106,$M$91:$M$151,Z$12)*EstymacjaGaussowska($N106,$N$91:$N$151,Z$13)*VLOOKUP($O106,$W$23:$AA$26,4)</f>
        <v>0.20779123318305581</v>
      </c>
      <c r="S106" s="77" cm="1">
        <f t="array" ref="S106">X$6*EstymacjaGaussowska($M106,$M$2:$M$49,X$12)*EstymacjaGaussowska($N106,$N$2:$N$49,X$13)*VLOOKUP($O106,$W$23:$AA$26,2)/$R106</f>
        <v>0</v>
      </c>
      <c r="T106" s="77" cm="1">
        <f t="array" ref="T106">Y$6*EstymacjaGaussowska($M106,$M$50:$M$90,Y$12)*EstymacjaGaussowska($N106,$N$50:$N$90,Y$13)*VLOOKUP($O106,$W$23:$AA$26,3)/$R106</f>
        <v>6.4825719832403935E-8</v>
      </c>
      <c r="U106" s="87" cm="1">
        <f t="array" ref="U106">Z$6*EstymacjaGaussowska($M106,$M$91:$M$151,Z$12)*EstymacjaGaussowska($N106,$N$91:$N$151,Z$13)*VLOOKUP($O106,$W$23:$AA$26,4)/$R106</f>
        <v>0.9999999351742801</v>
      </c>
    </row>
    <row r="107" spans="1:21" x14ac:dyDescent="0.25">
      <c r="A107" s="78">
        <v>106</v>
      </c>
      <c r="B107" s="9">
        <v>7.6</v>
      </c>
      <c r="C107" s="3">
        <v>3</v>
      </c>
      <c r="D107" s="3">
        <v>6.6</v>
      </c>
      <c r="E107" s="8">
        <v>2.1</v>
      </c>
      <c r="F107" s="9" t="s">
        <v>11</v>
      </c>
      <c r="G107" s="50" t="s">
        <v>7</v>
      </c>
      <c r="H107" s="84">
        <v>114</v>
      </c>
      <c r="I107" s="78">
        <v>106</v>
      </c>
      <c r="J107" s="79">
        <f t="shared" si="25"/>
        <v>0</v>
      </c>
      <c r="K107" s="43">
        <f t="shared" si="26"/>
        <v>5.7</v>
      </c>
      <c r="L107" s="77">
        <f t="shared" si="27"/>
        <v>2.5</v>
      </c>
      <c r="M107" s="77">
        <f t="shared" si="28"/>
        <v>5</v>
      </c>
      <c r="N107" s="77">
        <f t="shared" si="29"/>
        <v>2</v>
      </c>
      <c r="O107" s="77" t="str">
        <f t="shared" si="30"/>
        <v>blue</v>
      </c>
      <c r="P107" s="90" t="str">
        <f t="shared" si="31"/>
        <v>virginica</v>
      </c>
      <c r="Q107" s="43" t="str">
        <f t="shared" si="24"/>
        <v>virginica</v>
      </c>
      <c r="R107" s="77" cm="1">
        <f t="array" ref="R107">X$6*EstymacjaGaussowska($M107,$M$2:$M$49,X$12)*EstymacjaGaussowska($N107,$N$2:$N$49,X$13)*VLOOKUP($O107,$W$23:$AA$26,2)+Y$6*EstymacjaGaussowska($M107,$M$50:$M$90,Y$12)*EstymacjaGaussowska($N107,$N$50:$N$90,Y$13)*VLOOKUP($O107,$W$23:$AA$26,3)+Z$6*EstymacjaGaussowska($M107,$M$91:$M$151,Z$12)*EstymacjaGaussowska($N107,$N$91:$N$151,Z$13)*VLOOKUP($O107,$W$23:$AA$26,4)</f>
        <v>0.20033218776972012</v>
      </c>
      <c r="S107" s="77" cm="1">
        <f t="array" ref="S107">X$6*EstymacjaGaussowska($M107,$M$2:$M$49,X$12)*EstymacjaGaussowska($N107,$N$2:$N$49,X$13)*VLOOKUP($O107,$W$23:$AA$26,2)/$R107</f>
        <v>0</v>
      </c>
      <c r="T107" s="77" cm="1">
        <f t="array" ref="T107">Y$6*EstymacjaGaussowska($M107,$M$50:$M$90,Y$12)*EstymacjaGaussowska($N107,$N$50:$N$90,Y$13)*VLOOKUP($O107,$W$23:$AA$26,3)/$R107</f>
        <v>8.219687758503475E-5</v>
      </c>
      <c r="U107" s="87" cm="1">
        <f t="array" ref="U107">Z$6*EstymacjaGaussowska($M107,$M$91:$M$151,Z$12)*EstymacjaGaussowska($N107,$N$91:$N$151,Z$13)*VLOOKUP($O107,$W$23:$AA$26,4)/$R107</f>
        <v>0.99991780312241507</v>
      </c>
    </row>
    <row r="108" spans="1:21" x14ac:dyDescent="0.25">
      <c r="A108" s="78">
        <v>107</v>
      </c>
      <c r="B108" s="9">
        <v>4.9000000000000004</v>
      </c>
      <c r="C108" s="3">
        <v>2.5</v>
      </c>
      <c r="D108" s="3">
        <v>4.5</v>
      </c>
      <c r="E108" s="8">
        <v>1.7</v>
      </c>
      <c r="F108" s="9" t="s">
        <v>11</v>
      </c>
      <c r="G108" s="50" t="s">
        <v>7</v>
      </c>
      <c r="H108" s="84">
        <v>115</v>
      </c>
      <c r="I108" s="78">
        <v>107</v>
      </c>
      <c r="J108" s="79">
        <f t="shared" si="25"/>
        <v>2</v>
      </c>
      <c r="K108" s="43">
        <f t="shared" si="26"/>
        <v>5.8</v>
      </c>
      <c r="L108" s="77">
        <f t="shared" si="27"/>
        <v>2.8</v>
      </c>
      <c r="M108" s="77">
        <f t="shared" si="28"/>
        <v>5.0999999999999996</v>
      </c>
      <c r="N108" s="77">
        <f t="shared" si="29"/>
        <v>2.4</v>
      </c>
      <c r="O108" s="77" t="str">
        <f t="shared" si="30"/>
        <v>blue</v>
      </c>
      <c r="P108" s="90" t="str">
        <f t="shared" si="31"/>
        <v>virginica</v>
      </c>
      <c r="Q108" s="43" t="str">
        <f t="shared" si="24"/>
        <v>virginica</v>
      </c>
      <c r="R108" s="77" cm="1">
        <f t="array" ref="R108">X$6*EstymacjaGaussowska($M108,$M$2:$M$49,X$12)*EstymacjaGaussowska($N108,$N$2:$N$49,X$13)*VLOOKUP($O108,$W$23:$AA$26,2)+Y$6*EstymacjaGaussowska($M108,$M$50:$M$90,Y$12)*EstymacjaGaussowska($N108,$N$50:$N$90,Y$13)*VLOOKUP($O108,$W$23:$AA$26,3)+Z$6*EstymacjaGaussowska($M108,$M$91:$M$151,Z$12)*EstymacjaGaussowska($N108,$N$91:$N$151,Z$13)*VLOOKUP($O108,$W$23:$AA$26,4)</f>
        <v>0.10642788558838047</v>
      </c>
      <c r="S108" s="77" cm="1">
        <f t="array" ref="S108">X$6*EstymacjaGaussowska($M108,$M$2:$M$49,X$12)*EstymacjaGaussowska($N108,$N$2:$N$49,X$13)*VLOOKUP($O108,$W$23:$AA$26,2)/$R108</f>
        <v>0</v>
      </c>
      <c r="T108" s="77" cm="1">
        <f t="array" ref="T108">Y$6*EstymacjaGaussowska($M108,$M$50:$M$90,Y$12)*EstymacjaGaussowska($N108,$N$50:$N$90,Y$13)*VLOOKUP($O108,$W$23:$AA$26,3)/$R108</f>
        <v>5.4566352284948001E-15</v>
      </c>
      <c r="U108" s="87" cm="1">
        <f t="array" ref="U108">Z$6*EstymacjaGaussowska($M108,$M$91:$M$151,Z$12)*EstymacjaGaussowska($N108,$N$91:$N$151,Z$13)*VLOOKUP($O108,$W$23:$AA$26,4)/$R108</f>
        <v>0.99999999999999456</v>
      </c>
    </row>
    <row r="109" spans="1:21" x14ac:dyDescent="0.25">
      <c r="A109" s="78">
        <v>108</v>
      </c>
      <c r="B109" s="9">
        <v>7.3</v>
      </c>
      <c r="C109" s="3">
        <v>2.9</v>
      </c>
      <c r="D109" s="3">
        <v>6.3</v>
      </c>
      <c r="E109" s="8">
        <v>1.8</v>
      </c>
      <c r="F109" s="9" t="s">
        <v>11</v>
      </c>
      <c r="G109" s="50" t="s">
        <v>7</v>
      </c>
      <c r="H109" s="84">
        <v>115</v>
      </c>
      <c r="I109" s="78">
        <v>108</v>
      </c>
      <c r="J109" s="79">
        <f t="shared" si="25"/>
        <v>1</v>
      </c>
      <c r="K109" s="43">
        <f t="shared" si="26"/>
        <v>5.8</v>
      </c>
      <c r="L109" s="77">
        <f t="shared" si="27"/>
        <v>2.8</v>
      </c>
      <c r="M109" s="77">
        <f t="shared" si="28"/>
        <v>5.0999999999999996</v>
      </c>
      <c r="N109" s="77">
        <f t="shared" si="29"/>
        <v>2.4</v>
      </c>
      <c r="O109" s="77" t="str">
        <f t="shared" si="30"/>
        <v>blue</v>
      </c>
      <c r="P109" s="90" t="str">
        <f t="shared" si="31"/>
        <v>virginica</v>
      </c>
      <c r="Q109" s="43" t="str">
        <f t="shared" si="24"/>
        <v>virginica</v>
      </c>
      <c r="R109" s="77" cm="1">
        <f t="array" ref="R109">X$6*EstymacjaGaussowska($M109,$M$2:$M$49,X$12)*EstymacjaGaussowska($N109,$N$2:$N$49,X$13)*VLOOKUP($O109,$W$23:$AA$26,2)+Y$6*EstymacjaGaussowska($M109,$M$50:$M$90,Y$12)*EstymacjaGaussowska($N109,$N$50:$N$90,Y$13)*VLOOKUP($O109,$W$23:$AA$26,3)+Z$6*EstymacjaGaussowska($M109,$M$91:$M$151,Z$12)*EstymacjaGaussowska($N109,$N$91:$N$151,Z$13)*VLOOKUP($O109,$W$23:$AA$26,4)</f>
        <v>0.10642788558838047</v>
      </c>
      <c r="S109" s="77" cm="1">
        <f t="array" ref="S109">X$6*EstymacjaGaussowska($M109,$M$2:$M$49,X$12)*EstymacjaGaussowska($N109,$N$2:$N$49,X$13)*VLOOKUP($O109,$W$23:$AA$26,2)/$R109</f>
        <v>0</v>
      </c>
      <c r="T109" s="77" cm="1">
        <f t="array" ref="T109">Y$6*EstymacjaGaussowska($M109,$M$50:$M$90,Y$12)*EstymacjaGaussowska($N109,$N$50:$N$90,Y$13)*VLOOKUP($O109,$W$23:$AA$26,3)/$R109</f>
        <v>5.4566352284948001E-15</v>
      </c>
      <c r="U109" s="87" cm="1">
        <f t="array" ref="U109">Z$6*EstymacjaGaussowska($M109,$M$91:$M$151,Z$12)*EstymacjaGaussowska($N109,$N$91:$N$151,Z$13)*VLOOKUP($O109,$W$23:$AA$26,4)/$R109</f>
        <v>0.99999999999999456</v>
      </c>
    </row>
    <row r="110" spans="1:21" x14ac:dyDescent="0.25">
      <c r="A110" s="78">
        <v>109</v>
      </c>
      <c r="B110" s="9">
        <v>6.7</v>
      </c>
      <c r="C110" s="3">
        <v>2.5</v>
      </c>
      <c r="D110" s="3">
        <v>5.8</v>
      </c>
      <c r="E110" s="8">
        <v>1.8</v>
      </c>
      <c r="F110" s="9" t="s">
        <v>11</v>
      </c>
      <c r="G110" s="50" t="s">
        <v>7</v>
      </c>
      <c r="H110" s="84">
        <v>115</v>
      </c>
      <c r="I110" s="78">
        <v>109</v>
      </c>
      <c r="J110" s="79">
        <f t="shared" si="25"/>
        <v>1</v>
      </c>
      <c r="K110" s="43">
        <f t="shared" si="26"/>
        <v>5.8</v>
      </c>
      <c r="L110" s="77">
        <f t="shared" si="27"/>
        <v>2.8</v>
      </c>
      <c r="M110" s="77">
        <f t="shared" si="28"/>
        <v>5.0999999999999996</v>
      </c>
      <c r="N110" s="77">
        <f t="shared" si="29"/>
        <v>2.4</v>
      </c>
      <c r="O110" s="77" t="str">
        <f t="shared" si="30"/>
        <v>blue</v>
      </c>
      <c r="P110" s="90" t="str">
        <f t="shared" si="31"/>
        <v>virginica</v>
      </c>
      <c r="Q110" s="43" t="str">
        <f t="shared" si="24"/>
        <v>virginica</v>
      </c>
      <c r="R110" s="77" cm="1">
        <f t="array" ref="R110">X$6*EstymacjaGaussowska($M110,$M$2:$M$49,X$12)*EstymacjaGaussowska($N110,$N$2:$N$49,X$13)*VLOOKUP($O110,$W$23:$AA$26,2)+Y$6*EstymacjaGaussowska($M110,$M$50:$M$90,Y$12)*EstymacjaGaussowska($N110,$N$50:$N$90,Y$13)*VLOOKUP($O110,$W$23:$AA$26,3)+Z$6*EstymacjaGaussowska($M110,$M$91:$M$151,Z$12)*EstymacjaGaussowska($N110,$N$91:$N$151,Z$13)*VLOOKUP($O110,$W$23:$AA$26,4)</f>
        <v>0.10642788558838047</v>
      </c>
      <c r="S110" s="77" cm="1">
        <f t="array" ref="S110">X$6*EstymacjaGaussowska($M110,$M$2:$M$49,X$12)*EstymacjaGaussowska($N110,$N$2:$N$49,X$13)*VLOOKUP($O110,$W$23:$AA$26,2)/$R110</f>
        <v>0</v>
      </c>
      <c r="T110" s="77" cm="1">
        <f t="array" ref="T110">Y$6*EstymacjaGaussowska($M110,$M$50:$M$90,Y$12)*EstymacjaGaussowska($N110,$N$50:$N$90,Y$13)*VLOOKUP($O110,$W$23:$AA$26,3)/$R110</f>
        <v>5.4566352284948001E-15</v>
      </c>
      <c r="U110" s="87" cm="1">
        <f t="array" ref="U110">Z$6*EstymacjaGaussowska($M110,$M$91:$M$151,Z$12)*EstymacjaGaussowska($N110,$N$91:$N$151,Z$13)*VLOOKUP($O110,$W$23:$AA$26,4)/$R110</f>
        <v>0.99999999999999456</v>
      </c>
    </row>
    <row r="111" spans="1:21" x14ac:dyDescent="0.25">
      <c r="A111" s="78">
        <v>110</v>
      </c>
      <c r="B111" s="9">
        <v>7.2</v>
      </c>
      <c r="C111" s="3">
        <v>3.6</v>
      </c>
      <c r="D111" s="3">
        <v>6.1</v>
      </c>
      <c r="E111" s="8">
        <v>2.5</v>
      </c>
      <c r="F111" s="9" t="s">
        <v>11</v>
      </c>
      <c r="G111" s="50" t="s">
        <v>7</v>
      </c>
      <c r="H111" s="84">
        <v>116</v>
      </c>
      <c r="I111" s="78">
        <v>110</v>
      </c>
      <c r="J111" s="79">
        <f t="shared" si="25"/>
        <v>1</v>
      </c>
      <c r="K111" s="43">
        <f t="shared" si="26"/>
        <v>6.4</v>
      </c>
      <c r="L111" s="77">
        <f t="shared" si="27"/>
        <v>3.2</v>
      </c>
      <c r="M111" s="77">
        <f t="shared" si="28"/>
        <v>5.3</v>
      </c>
      <c r="N111" s="77">
        <f t="shared" si="29"/>
        <v>2.2999999999999998</v>
      </c>
      <c r="O111" s="77" t="str">
        <f t="shared" si="30"/>
        <v>blue</v>
      </c>
      <c r="P111" s="90" t="str">
        <f t="shared" si="31"/>
        <v>virginica</v>
      </c>
      <c r="Q111" s="43" t="str">
        <f t="shared" si="24"/>
        <v>virginica</v>
      </c>
      <c r="R111" s="77" cm="1">
        <f t="array" ref="R111">X$6*EstymacjaGaussowska($M111,$M$2:$M$49,X$12)*EstymacjaGaussowska($N111,$N$2:$N$49,X$13)*VLOOKUP($O111,$W$23:$AA$26,2)+Y$6*EstymacjaGaussowska($M111,$M$50:$M$90,Y$12)*EstymacjaGaussowska($N111,$N$50:$N$90,Y$13)*VLOOKUP($O111,$W$23:$AA$26,3)+Z$6*EstymacjaGaussowska($M111,$M$91:$M$151,Z$12)*EstymacjaGaussowska($N111,$N$91:$N$151,Z$13)*VLOOKUP($O111,$W$23:$AA$26,4)</f>
        <v>0.14281978859285871</v>
      </c>
      <c r="S111" s="77" cm="1">
        <f t="array" ref="S111">X$6*EstymacjaGaussowska($M111,$M$2:$M$49,X$12)*EstymacjaGaussowska($N111,$N$2:$N$49,X$13)*VLOOKUP($O111,$W$23:$AA$26,2)/$R111</f>
        <v>0</v>
      </c>
      <c r="T111" s="77" cm="1">
        <f t="array" ref="T111">Y$6*EstymacjaGaussowska($M111,$M$50:$M$90,Y$12)*EstymacjaGaussowska($N111,$N$50:$N$90,Y$13)*VLOOKUP($O111,$W$23:$AA$26,3)/$R111</f>
        <v>3.2465719359190291E-12</v>
      </c>
      <c r="U111" s="87" cm="1">
        <f t="array" ref="U111">Z$6*EstymacjaGaussowska($M111,$M$91:$M$151,Z$12)*EstymacjaGaussowska($N111,$N$91:$N$151,Z$13)*VLOOKUP($O111,$W$23:$AA$26,4)/$R111</f>
        <v>0.99999999999675337</v>
      </c>
    </row>
    <row r="112" spans="1:21" x14ac:dyDescent="0.25">
      <c r="A112" s="78">
        <v>111</v>
      </c>
      <c r="B112" s="9">
        <v>6.5</v>
      </c>
      <c r="C112" s="3">
        <v>3.2</v>
      </c>
      <c r="D112" s="3">
        <v>5.0999999999999996</v>
      </c>
      <c r="E112" s="8">
        <v>2</v>
      </c>
      <c r="F112" s="9" t="s">
        <v>11</v>
      </c>
      <c r="G112" s="50" t="s">
        <v>7</v>
      </c>
      <c r="H112" s="84">
        <v>117</v>
      </c>
      <c r="I112" s="78">
        <v>111</v>
      </c>
      <c r="J112" s="79">
        <f t="shared" si="25"/>
        <v>1</v>
      </c>
      <c r="K112" s="43">
        <f t="shared" si="26"/>
        <v>6.5</v>
      </c>
      <c r="L112" s="77">
        <f t="shared" si="27"/>
        <v>3</v>
      </c>
      <c r="M112" s="77">
        <f t="shared" si="28"/>
        <v>5.5</v>
      </c>
      <c r="N112" s="77">
        <f t="shared" si="29"/>
        <v>1.8</v>
      </c>
      <c r="O112" s="77" t="str">
        <f t="shared" si="30"/>
        <v>blue</v>
      </c>
      <c r="P112" s="90" t="str">
        <f t="shared" si="31"/>
        <v>virginica</v>
      </c>
      <c r="Q112" s="43" t="str">
        <f t="shared" si="24"/>
        <v>virginica</v>
      </c>
      <c r="R112" s="77" cm="1">
        <f t="array" ref="R112">X$6*EstymacjaGaussowska($M112,$M$2:$M$49,X$12)*EstymacjaGaussowska($N112,$N$2:$N$49,X$13)*VLOOKUP($O112,$W$23:$AA$26,2)+Y$6*EstymacjaGaussowska($M112,$M$50:$M$90,Y$12)*EstymacjaGaussowska($N112,$N$50:$N$90,Y$13)*VLOOKUP($O112,$W$23:$AA$26,3)+Z$6*EstymacjaGaussowska($M112,$M$91:$M$151,Z$12)*EstymacjaGaussowska($N112,$N$91:$N$151,Z$13)*VLOOKUP($O112,$W$23:$AA$26,4)</f>
        <v>0.16868343561157323</v>
      </c>
      <c r="S112" s="77" cm="1">
        <f t="array" ref="S112">X$6*EstymacjaGaussowska($M112,$M$2:$M$49,X$12)*EstymacjaGaussowska($N112,$N$2:$N$49,X$13)*VLOOKUP($O112,$W$23:$AA$26,2)/$R112</f>
        <v>0</v>
      </c>
      <c r="T112" s="77" cm="1">
        <f t="array" ref="T112">Y$6*EstymacjaGaussowska($M112,$M$50:$M$90,Y$12)*EstymacjaGaussowska($N112,$N$50:$N$90,Y$13)*VLOOKUP($O112,$W$23:$AA$26,3)/$R112</f>
        <v>8.2330761400185024E-4</v>
      </c>
      <c r="U112" s="87" cm="1">
        <f t="array" ref="U112">Z$6*EstymacjaGaussowska($M112,$M$91:$M$151,Z$12)*EstymacjaGaussowska($N112,$N$91:$N$151,Z$13)*VLOOKUP($O112,$W$23:$AA$26,4)/$R112</f>
        <v>0.99917669238599816</v>
      </c>
    </row>
    <row r="113" spans="1:21" x14ac:dyDescent="0.25">
      <c r="A113" s="78">
        <v>112</v>
      </c>
      <c r="B113" s="9">
        <v>6.4</v>
      </c>
      <c r="C113" s="3">
        <v>2.7</v>
      </c>
      <c r="D113" s="3">
        <v>5.3</v>
      </c>
      <c r="E113" s="8">
        <v>1.9</v>
      </c>
      <c r="F113" s="9" t="s">
        <v>11</v>
      </c>
      <c r="G113" s="50" t="s">
        <v>7</v>
      </c>
      <c r="H113" s="84">
        <v>122</v>
      </c>
      <c r="I113" s="78">
        <v>112</v>
      </c>
      <c r="J113" s="79">
        <f t="shared" si="25"/>
        <v>3</v>
      </c>
      <c r="K113" s="43">
        <f t="shared" si="26"/>
        <v>5.6</v>
      </c>
      <c r="L113" s="77">
        <f t="shared" si="27"/>
        <v>2.8</v>
      </c>
      <c r="M113" s="77">
        <f t="shared" si="28"/>
        <v>4.9000000000000004</v>
      </c>
      <c r="N113" s="77">
        <f t="shared" si="29"/>
        <v>2</v>
      </c>
      <c r="O113" s="77" t="str">
        <f t="shared" si="30"/>
        <v>blue</v>
      </c>
      <c r="P113" s="90" t="str">
        <f t="shared" si="31"/>
        <v>virginica</v>
      </c>
      <c r="Q113" s="43" t="str">
        <f t="shared" si="24"/>
        <v>virginica</v>
      </c>
      <c r="R113" s="77" cm="1">
        <f t="array" ref="R113">X$6*EstymacjaGaussowska($M113,$M$2:$M$49,X$12)*EstymacjaGaussowska($N113,$N$2:$N$49,X$13)*VLOOKUP($O113,$W$23:$AA$26,2)+Y$6*EstymacjaGaussowska($M113,$M$50:$M$90,Y$12)*EstymacjaGaussowska($N113,$N$50:$N$90,Y$13)*VLOOKUP($O113,$W$23:$AA$26,3)+Z$6*EstymacjaGaussowska($M113,$M$91:$M$151,Z$12)*EstymacjaGaussowska($N113,$N$91:$N$151,Z$13)*VLOOKUP($O113,$W$23:$AA$26,4)</f>
        <v>0.1672737738634156</v>
      </c>
      <c r="S113" s="77" cm="1">
        <f t="array" ref="S113">X$6*EstymacjaGaussowska($M113,$M$2:$M$49,X$12)*EstymacjaGaussowska($N113,$N$2:$N$49,X$13)*VLOOKUP($O113,$W$23:$AA$26,2)/$R113</f>
        <v>0</v>
      </c>
      <c r="T113" s="77" cm="1">
        <f t="array" ref="T113">Y$6*EstymacjaGaussowska($M113,$M$50:$M$90,Y$12)*EstymacjaGaussowska($N113,$N$50:$N$90,Y$13)*VLOOKUP($O113,$W$23:$AA$26,3)/$R113</f>
        <v>1.3314763430253993E-4</v>
      </c>
      <c r="U113" s="87" cm="1">
        <f t="array" ref="U113">Z$6*EstymacjaGaussowska($M113,$M$91:$M$151,Z$12)*EstymacjaGaussowska($N113,$N$91:$N$151,Z$13)*VLOOKUP($O113,$W$23:$AA$26,4)/$R113</f>
        <v>0.9998668523656975</v>
      </c>
    </row>
    <row r="114" spans="1:21" x14ac:dyDescent="0.25">
      <c r="A114" s="78">
        <v>113</v>
      </c>
      <c r="B114" s="9">
        <v>6.8</v>
      </c>
      <c r="C114" s="3">
        <v>3</v>
      </c>
      <c r="D114" s="3">
        <v>5.5</v>
      </c>
      <c r="E114" s="8">
        <v>2.1</v>
      </c>
      <c r="F114" s="9" t="s">
        <v>11</v>
      </c>
      <c r="G114" s="50" t="s">
        <v>7</v>
      </c>
      <c r="H114" s="84">
        <v>122</v>
      </c>
      <c r="I114" s="78">
        <v>113</v>
      </c>
      <c r="J114" s="79">
        <f t="shared" si="25"/>
        <v>1</v>
      </c>
      <c r="K114" s="43">
        <f t="shared" si="26"/>
        <v>5.6</v>
      </c>
      <c r="L114" s="77">
        <f t="shared" si="27"/>
        <v>2.8</v>
      </c>
      <c r="M114" s="77">
        <f t="shared" si="28"/>
        <v>4.9000000000000004</v>
      </c>
      <c r="N114" s="77">
        <f t="shared" si="29"/>
        <v>2</v>
      </c>
      <c r="O114" s="77" t="str">
        <f t="shared" si="30"/>
        <v>blue</v>
      </c>
      <c r="P114" s="90" t="str">
        <f t="shared" si="31"/>
        <v>virginica</v>
      </c>
      <c r="Q114" s="43" t="str">
        <f t="shared" si="24"/>
        <v>virginica</v>
      </c>
      <c r="R114" s="77" cm="1">
        <f t="array" ref="R114">X$6*EstymacjaGaussowska($M114,$M$2:$M$49,X$12)*EstymacjaGaussowska($N114,$N$2:$N$49,X$13)*VLOOKUP($O114,$W$23:$AA$26,2)+Y$6*EstymacjaGaussowska($M114,$M$50:$M$90,Y$12)*EstymacjaGaussowska($N114,$N$50:$N$90,Y$13)*VLOOKUP($O114,$W$23:$AA$26,3)+Z$6*EstymacjaGaussowska($M114,$M$91:$M$151,Z$12)*EstymacjaGaussowska($N114,$N$91:$N$151,Z$13)*VLOOKUP($O114,$W$23:$AA$26,4)</f>
        <v>0.1672737738634156</v>
      </c>
      <c r="S114" s="77" cm="1">
        <f t="array" ref="S114">X$6*EstymacjaGaussowska($M114,$M$2:$M$49,X$12)*EstymacjaGaussowska($N114,$N$2:$N$49,X$13)*VLOOKUP($O114,$W$23:$AA$26,2)/$R114</f>
        <v>0</v>
      </c>
      <c r="T114" s="77" cm="1">
        <f t="array" ref="T114">Y$6*EstymacjaGaussowska($M114,$M$50:$M$90,Y$12)*EstymacjaGaussowska($N114,$N$50:$N$90,Y$13)*VLOOKUP($O114,$W$23:$AA$26,3)/$R114</f>
        <v>1.3314763430253993E-4</v>
      </c>
      <c r="U114" s="87" cm="1">
        <f t="array" ref="U114">Z$6*EstymacjaGaussowska($M114,$M$91:$M$151,Z$12)*EstymacjaGaussowska($N114,$N$91:$N$151,Z$13)*VLOOKUP($O114,$W$23:$AA$26,4)/$R114</f>
        <v>0.9998668523656975</v>
      </c>
    </row>
    <row r="115" spans="1:21" x14ac:dyDescent="0.25">
      <c r="A115" s="78">
        <v>114</v>
      </c>
      <c r="B115" s="9">
        <v>5.7</v>
      </c>
      <c r="C115" s="3">
        <v>2.5</v>
      </c>
      <c r="D115" s="3">
        <v>5</v>
      </c>
      <c r="E115" s="8">
        <v>2</v>
      </c>
      <c r="F115" s="9" t="s">
        <v>11</v>
      </c>
      <c r="G115" s="50" t="s">
        <v>7</v>
      </c>
      <c r="H115" s="84">
        <v>123</v>
      </c>
      <c r="I115" s="78">
        <v>114</v>
      </c>
      <c r="J115" s="79">
        <f t="shared" si="25"/>
        <v>1</v>
      </c>
      <c r="K115" s="43">
        <f t="shared" si="26"/>
        <v>7.7</v>
      </c>
      <c r="L115" s="77">
        <f t="shared" si="27"/>
        <v>2.8</v>
      </c>
      <c r="M115" s="77">
        <f t="shared" si="28"/>
        <v>6.7</v>
      </c>
      <c r="N115" s="77">
        <f t="shared" si="29"/>
        <v>2</v>
      </c>
      <c r="O115" s="77" t="str">
        <f t="shared" si="30"/>
        <v>blue</v>
      </c>
      <c r="P115" s="90" t="str">
        <f t="shared" si="31"/>
        <v>virginica</v>
      </c>
      <c r="Q115" s="43" t="str">
        <f t="shared" si="24"/>
        <v>virginica</v>
      </c>
      <c r="R115" s="77" cm="1">
        <f t="array" ref="R115">X$6*EstymacjaGaussowska($M115,$M$2:$M$49,X$12)*EstymacjaGaussowska($N115,$N$2:$N$49,X$13)*VLOOKUP($O115,$W$23:$AA$26,2)+Y$6*EstymacjaGaussowska($M115,$M$50:$M$90,Y$12)*EstymacjaGaussowska($N115,$N$50:$N$90,Y$13)*VLOOKUP($O115,$W$23:$AA$26,3)+Z$6*EstymacjaGaussowska($M115,$M$91:$M$151,Z$12)*EstymacjaGaussowska($N115,$N$91:$N$151,Z$13)*VLOOKUP($O115,$W$23:$AA$26,4)</f>
        <v>3.6429875472598558E-2</v>
      </c>
      <c r="S115" s="77" cm="1">
        <f t="array" ref="S115">X$6*EstymacjaGaussowska($M115,$M$2:$M$49,X$12)*EstymacjaGaussowska($N115,$N$2:$N$49,X$13)*VLOOKUP($O115,$W$23:$AA$26,2)/$R115</f>
        <v>0</v>
      </c>
      <c r="T115" s="77" cm="1">
        <f t="array" ref="T115">Y$6*EstymacjaGaussowska($M115,$M$50:$M$90,Y$12)*EstymacjaGaussowska($N115,$N$50:$N$90,Y$13)*VLOOKUP($O115,$W$23:$AA$26,3)/$R115</f>
        <v>3.2739972080080698E-16</v>
      </c>
      <c r="U115" s="87" cm="1">
        <f t="array" ref="U115">Z$6*EstymacjaGaussowska($M115,$M$91:$M$151,Z$12)*EstymacjaGaussowska($N115,$N$91:$N$151,Z$13)*VLOOKUP($O115,$W$23:$AA$26,4)/$R115</f>
        <v>0.99999999999999967</v>
      </c>
    </row>
    <row r="116" spans="1:21" x14ac:dyDescent="0.25">
      <c r="A116" s="78">
        <v>115</v>
      </c>
      <c r="B116" s="9">
        <v>5.8</v>
      </c>
      <c r="C116" s="3">
        <v>2.8</v>
      </c>
      <c r="D116" s="3">
        <v>5.0999999999999996</v>
      </c>
      <c r="E116" s="8">
        <v>2.4</v>
      </c>
      <c r="F116" s="9" t="s">
        <v>11</v>
      </c>
      <c r="G116" s="50" t="s">
        <v>7</v>
      </c>
      <c r="H116" s="84">
        <v>123</v>
      </c>
      <c r="I116" s="78">
        <v>115</v>
      </c>
      <c r="J116" s="79">
        <f t="shared" si="25"/>
        <v>3</v>
      </c>
      <c r="K116" s="43">
        <f t="shared" si="26"/>
        <v>7.7</v>
      </c>
      <c r="L116" s="77">
        <f t="shared" si="27"/>
        <v>2.8</v>
      </c>
      <c r="M116" s="77">
        <f t="shared" si="28"/>
        <v>6.7</v>
      </c>
      <c r="N116" s="77">
        <f t="shared" si="29"/>
        <v>2</v>
      </c>
      <c r="O116" s="77" t="str">
        <f t="shared" si="30"/>
        <v>blue</v>
      </c>
      <c r="P116" s="90" t="str">
        <f t="shared" si="31"/>
        <v>virginica</v>
      </c>
      <c r="Q116" s="43" t="str">
        <f t="shared" si="24"/>
        <v>virginica</v>
      </c>
      <c r="R116" s="77" cm="1">
        <f t="array" ref="R116">X$6*EstymacjaGaussowska($M116,$M$2:$M$49,X$12)*EstymacjaGaussowska($N116,$N$2:$N$49,X$13)*VLOOKUP($O116,$W$23:$AA$26,2)+Y$6*EstymacjaGaussowska($M116,$M$50:$M$90,Y$12)*EstymacjaGaussowska($N116,$N$50:$N$90,Y$13)*VLOOKUP($O116,$W$23:$AA$26,3)+Z$6*EstymacjaGaussowska($M116,$M$91:$M$151,Z$12)*EstymacjaGaussowska($N116,$N$91:$N$151,Z$13)*VLOOKUP($O116,$W$23:$AA$26,4)</f>
        <v>3.6429875472598558E-2</v>
      </c>
      <c r="S116" s="77" cm="1">
        <f t="array" ref="S116">X$6*EstymacjaGaussowska($M116,$M$2:$M$49,X$12)*EstymacjaGaussowska($N116,$N$2:$N$49,X$13)*VLOOKUP($O116,$W$23:$AA$26,2)/$R116</f>
        <v>0</v>
      </c>
      <c r="T116" s="77" cm="1">
        <f t="array" ref="T116">Y$6*EstymacjaGaussowska($M116,$M$50:$M$90,Y$12)*EstymacjaGaussowska($N116,$N$50:$N$90,Y$13)*VLOOKUP($O116,$W$23:$AA$26,3)/$R116</f>
        <v>3.2739972080080698E-16</v>
      </c>
      <c r="U116" s="87" cm="1">
        <f t="array" ref="U116">Z$6*EstymacjaGaussowska($M116,$M$91:$M$151,Z$12)*EstymacjaGaussowska($N116,$N$91:$N$151,Z$13)*VLOOKUP($O116,$W$23:$AA$26,4)/$R116</f>
        <v>0.99999999999999967</v>
      </c>
    </row>
    <row r="117" spans="1:21" x14ac:dyDescent="0.25">
      <c r="A117" s="78">
        <v>116</v>
      </c>
      <c r="B117" s="9">
        <v>6.4</v>
      </c>
      <c r="C117" s="3">
        <v>3.2</v>
      </c>
      <c r="D117" s="3">
        <v>5.3</v>
      </c>
      <c r="E117" s="8">
        <v>2.2999999999999998</v>
      </c>
      <c r="F117" s="9" t="s">
        <v>11</v>
      </c>
      <c r="G117" s="50" t="s">
        <v>7</v>
      </c>
      <c r="H117" s="84">
        <v>123</v>
      </c>
      <c r="I117" s="78">
        <v>116</v>
      </c>
      <c r="J117" s="79">
        <f t="shared" si="25"/>
        <v>1</v>
      </c>
      <c r="K117" s="43">
        <f t="shared" si="26"/>
        <v>7.7</v>
      </c>
      <c r="L117" s="77">
        <f t="shared" si="27"/>
        <v>2.8</v>
      </c>
      <c r="M117" s="77">
        <f t="shared" si="28"/>
        <v>6.7</v>
      </c>
      <c r="N117" s="77">
        <f t="shared" si="29"/>
        <v>2</v>
      </c>
      <c r="O117" s="77" t="str">
        <f t="shared" si="30"/>
        <v>blue</v>
      </c>
      <c r="P117" s="90" t="str">
        <f t="shared" si="31"/>
        <v>virginica</v>
      </c>
      <c r="Q117" s="43" t="str">
        <f t="shared" si="24"/>
        <v>virginica</v>
      </c>
      <c r="R117" s="77" cm="1">
        <f t="array" ref="R117">X$6*EstymacjaGaussowska($M117,$M$2:$M$49,X$12)*EstymacjaGaussowska($N117,$N$2:$N$49,X$13)*VLOOKUP($O117,$W$23:$AA$26,2)+Y$6*EstymacjaGaussowska($M117,$M$50:$M$90,Y$12)*EstymacjaGaussowska($N117,$N$50:$N$90,Y$13)*VLOOKUP($O117,$W$23:$AA$26,3)+Z$6*EstymacjaGaussowska($M117,$M$91:$M$151,Z$12)*EstymacjaGaussowska($N117,$N$91:$N$151,Z$13)*VLOOKUP($O117,$W$23:$AA$26,4)</f>
        <v>3.6429875472598558E-2</v>
      </c>
      <c r="S117" s="77" cm="1">
        <f t="array" ref="S117">X$6*EstymacjaGaussowska($M117,$M$2:$M$49,X$12)*EstymacjaGaussowska($N117,$N$2:$N$49,X$13)*VLOOKUP($O117,$W$23:$AA$26,2)/$R117</f>
        <v>0</v>
      </c>
      <c r="T117" s="77" cm="1">
        <f t="array" ref="T117">Y$6*EstymacjaGaussowska($M117,$M$50:$M$90,Y$12)*EstymacjaGaussowska($N117,$N$50:$N$90,Y$13)*VLOOKUP($O117,$W$23:$AA$26,3)/$R117</f>
        <v>3.2739972080080698E-16</v>
      </c>
      <c r="U117" s="87" cm="1">
        <f t="array" ref="U117">Z$6*EstymacjaGaussowska($M117,$M$91:$M$151,Z$12)*EstymacjaGaussowska($N117,$N$91:$N$151,Z$13)*VLOOKUP($O117,$W$23:$AA$26,4)/$R117</f>
        <v>0.99999999999999967</v>
      </c>
    </row>
    <row r="118" spans="1:21" x14ac:dyDescent="0.25">
      <c r="A118" s="78">
        <v>117</v>
      </c>
      <c r="B118" s="9">
        <v>6.5</v>
      </c>
      <c r="C118" s="3">
        <v>3</v>
      </c>
      <c r="D118" s="3">
        <v>5.5</v>
      </c>
      <c r="E118" s="8">
        <v>1.8</v>
      </c>
      <c r="F118" s="9" t="s">
        <v>11</v>
      </c>
      <c r="G118" s="50" t="s">
        <v>7</v>
      </c>
      <c r="H118" s="84">
        <v>124</v>
      </c>
      <c r="I118" s="78">
        <v>117</v>
      </c>
      <c r="J118" s="79">
        <f t="shared" si="25"/>
        <v>1</v>
      </c>
      <c r="K118" s="43">
        <f t="shared" si="26"/>
        <v>6.3</v>
      </c>
      <c r="L118" s="77">
        <f t="shared" si="27"/>
        <v>2.7</v>
      </c>
      <c r="M118" s="77">
        <f t="shared" si="28"/>
        <v>4.9000000000000004</v>
      </c>
      <c r="N118" s="77">
        <f t="shared" si="29"/>
        <v>1.8</v>
      </c>
      <c r="O118" s="77" t="str">
        <f t="shared" si="30"/>
        <v>blue</v>
      </c>
      <c r="P118" s="90" t="str">
        <f t="shared" si="31"/>
        <v>virginica</v>
      </c>
      <c r="Q118" s="43" t="str">
        <f t="shared" si="24"/>
        <v>virginica</v>
      </c>
      <c r="R118" s="77" cm="1">
        <f t="array" ref="R118">X$6*EstymacjaGaussowska($M118,$M$2:$M$49,X$12)*EstymacjaGaussowska($N118,$N$2:$N$49,X$13)*VLOOKUP($O118,$W$23:$AA$26,2)+Y$6*EstymacjaGaussowska($M118,$M$50:$M$90,Y$12)*EstymacjaGaussowska($N118,$N$50:$N$90,Y$13)*VLOOKUP($O118,$W$23:$AA$26,3)+Z$6*EstymacjaGaussowska($M118,$M$91:$M$151,Z$12)*EstymacjaGaussowska($N118,$N$91:$N$151,Z$13)*VLOOKUP($O118,$W$23:$AA$26,4)</f>
        <v>0.12853707219087523</v>
      </c>
      <c r="S118" s="77" cm="1">
        <f t="array" ref="S118">X$6*EstymacjaGaussowska($M118,$M$2:$M$49,X$12)*EstymacjaGaussowska($N118,$N$2:$N$49,X$13)*VLOOKUP($O118,$W$23:$AA$26,2)/$R118</f>
        <v>0</v>
      </c>
      <c r="T118" s="77" cm="1">
        <f t="array" ref="T118">Y$6*EstymacjaGaussowska($M118,$M$50:$M$90,Y$12)*EstymacjaGaussowska($N118,$N$50:$N$90,Y$13)*VLOOKUP($O118,$W$23:$AA$26,3)/$R118</f>
        <v>2.7637310781103718E-2</v>
      </c>
      <c r="U118" s="87" cm="1">
        <f t="array" ref="U118">Z$6*EstymacjaGaussowska($M118,$M$91:$M$151,Z$12)*EstymacjaGaussowska($N118,$N$91:$N$151,Z$13)*VLOOKUP($O118,$W$23:$AA$26,4)/$R118</f>
        <v>0.97236268921889624</v>
      </c>
    </row>
    <row r="119" spans="1:21" x14ac:dyDescent="0.25">
      <c r="A119" s="78">
        <v>118</v>
      </c>
      <c r="B119" s="9">
        <v>7.7</v>
      </c>
      <c r="C119" s="3">
        <v>3.8</v>
      </c>
      <c r="D119" s="3">
        <v>6.7</v>
      </c>
      <c r="E119" s="8">
        <v>2.2000000000000002</v>
      </c>
      <c r="F119" s="9" t="s">
        <v>11</v>
      </c>
      <c r="G119" s="50" t="s">
        <v>7</v>
      </c>
      <c r="H119" s="84">
        <v>124</v>
      </c>
      <c r="I119" s="78">
        <v>118</v>
      </c>
      <c r="J119" s="79">
        <f t="shared" si="25"/>
        <v>0</v>
      </c>
      <c r="K119" s="43">
        <f t="shared" si="26"/>
        <v>6.3</v>
      </c>
      <c r="L119" s="77">
        <f t="shared" si="27"/>
        <v>2.7</v>
      </c>
      <c r="M119" s="77">
        <f t="shared" si="28"/>
        <v>4.9000000000000004</v>
      </c>
      <c r="N119" s="77">
        <f t="shared" si="29"/>
        <v>1.8</v>
      </c>
      <c r="O119" s="77" t="str">
        <f t="shared" si="30"/>
        <v>blue</v>
      </c>
      <c r="P119" s="90" t="str">
        <f t="shared" si="31"/>
        <v>virginica</v>
      </c>
      <c r="Q119" s="43" t="str">
        <f t="shared" si="24"/>
        <v>virginica</v>
      </c>
      <c r="R119" s="77" cm="1">
        <f t="array" ref="R119">X$6*EstymacjaGaussowska($M119,$M$2:$M$49,X$12)*EstymacjaGaussowska($N119,$N$2:$N$49,X$13)*VLOOKUP($O119,$W$23:$AA$26,2)+Y$6*EstymacjaGaussowska($M119,$M$50:$M$90,Y$12)*EstymacjaGaussowska($N119,$N$50:$N$90,Y$13)*VLOOKUP($O119,$W$23:$AA$26,3)+Z$6*EstymacjaGaussowska($M119,$M$91:$M$151,Z$12)*EstymacjaGaussowska($N119,$N$91:$N$151,Z$13)*VLOOKUP($O119,$W$23:$AA$26,4)</f>
        <v>0.12853707219087523</v>
      </c>
      <c r="S119" s="77" cm="1">
        <f t="array" ref="S119">X$6*EstymacjaGaussowska($M119,$M$2:$M$49,X$12)*EstymacjaGaussowska($N119,$N$2:$N$49,X$13)*VLOOKUP($O119,$W$23:$AA$26,2)/$R119</f>
        <v>0</v>
      </c>
      <c r="T119" s="77" cm="1">
        <f t="array" ref="T119">Y$6*EstymacjaGaussowska($M119,$M$50:$M$90,Y$12)*EstymacjaGaussowska($N119,$N$50:$N$90,Y$13)*VLOOKUP($O119,$W$23:$AA$26,3)/$R119</f>
        <v>2.7637310781103718E-2</v>
      </c>
      <c r="U119" s="87" cm="1">
        <f t="array" ref="U119">Z$6*EstymacjaGaussowska($M119,$M$91:$M$151,Z$12)*EstymacjaGaussowska($N119,$N$91:$N$151,Z$13)*VLOOKUP($O119,$W$23:$AA$26,4)/$R119</f>
        <v>0.97236268921889624</v>
      </c>
    </row>
    <row r="120" spans="1:21" x14ac:dyDescent="0.25">
      <c r="A120" s="78">
        <v>119</v>
      </c>
      <c r="B120" s="9">
        <v>7.7</v>
      </c>
      <c r="C120" s="3">
        <v>2.6</v>
      </c>
      <c r="D120" s="3">
        <v>6.9</v>
      </c>
      <c r="E120" s="8">
        <v>2.2999999999999998</v>
      </c>
      <c r="F120" s="9" t="s">
        <v>11</v>
      </c>
      <c r="G120" s="50" t="s">
        <v>7</v>
      </c>
      <c r="H120" s="84">
        <v>125</v>
      </c>
      <c r="I120" s="78">
        <v>119</v>
      </c>
      <c r="J120" s="79">
        <f t="shared" si="25"/>
        <v>0</v>
      </c>
      <c r="K120" s="43">
        <f t="shared" si="26"/>
        <v>6.7</v>
      </c>
      <c r="L120" s="77">
        <f t="shared" si="27"/>
        <v>3.3</v>
      </c>
      <c r="M120" s="77">
        <f t="shared" si="28"/>
        <v>5.7</v>
      </c>
      <c r="N120" s="77">
        <f t="shared" si="29"/>
        <v>2.1</v>
      </c>
      <c r="O120" s="77" t="str">
        <f t="shared" si="30"/>
        <v>blue</v>
      </c>
      <c r="P120" s="90" t="str">
        <f t="shared" si="31"/>
        <v>virginica</v>
      </c>
      <c r="Q120" s="43" t="str">
        <f t="shared" si="24"/>
        <v>virginica</v>
      </c>
      <c r="R120" s="77" cm="1">
        <f t="array" ref="R120">X$6*EstymacjaGaussowska($M120,$M$2:$M$49,X$12)*EstymacjaGaussowska($N120,$N$2:$N$49,X$13)*VLOOKUP($O120,$W$23:$AA$26,2)+Y$6*EstymacjaGaussowska($M120,$M$50:$M$90,Y$12)*EstymacjaGaussowska($N120,$N$50:$N$90,Y$13)*VLOOKUP($O120,$W$23:$AA$26,3)+Z$6*EstymacjaGaussowska($M120,$M$91:$M$151,Z$12)*EstymacjaGaussowska($N120,$N$91:$N$151,Z$13)*VLOOKUP($O120,$W$23:$AA$26,4)</f>
        <v>0.19373677979414963</v>
      </c>
      <c r="S120" s="77" cm="1">
        <f t="array" ref="S120">X$6*EstymacjaGaussowska($M120,$M$2:$M$49,X$12)*EstymacjaGaussowska($N120,$N$2:$N$49,X$13)*VLOOKUP($O120,$W$23:$AA$26,2)/$R120</f>
        <v>0</v>
      </c>
      <c r="T120" s="77" cm="1">
        <f t="array" ref="T120">Y$6*EstymacjaGaussowska($M120,$M$50:$M$90,Y$12)*EstymacjaGaussowska($N120,$N$50:$N$90,Y$13)*VLOOKUP($O120,$W$23:$AA$26,3)/$R120</f>
        <v>7.3019510543710853E-9</v>
      </c>
      <c r="U120" s="87" cm="1">
        <f t="array" ref="U120">Z$6*EstymacjaGaussowska($M120,$M$91:$M$151,Z$12)*EstymacjaGaussowska($N120,$N$91:$N$151,Z$13)*VLOOKUP($O120,$W$23:$AA$26,4)/$R120</f>
        <v>0.99999999269804896</v>
      </c>
    </row>
    <row r="121" spans="1:21" x14ac:dyDescent="0.25">
      <c r="A121" s="78">
        <v>120</v>
      </c>
      <c r="B121" s="9">
        <v>6</v>
      </c>
      <c r="C121" s="3">
        <v>2.2000000000000002</v>
      </c>
      <c r="D121" s="3">
        <v>5</v>
      </c>
      <c r="E121" s="8">
        <v>1.5</v>
      </c>
      <c r="F121" s="9" t="s">
        <v>11</v>
      </c>
      <c r="G121" s="50" t="s">
        <v>7</v>
      </c>
      <c r="H121" s="84">
        <v>125</v>
      </c>
      <c r="I121" s="78">
        <v>120</v>
      </c>
      <c r="J121" s="79">
        <f t="shared" si="25"/>
        <v>0</v>
      </c>
      <c r="K121" s="43">
        <f t="shared" si="26"/>
        <v>6.7</v>
      </c>
      <c r="L121" s="77">
        <f t="shared" si="27"/>
        <v>3.3</v>
      </c>
      <c r="M121" s="77">
        <f t="shared" si="28"/>
        <v>5.7</v>
      </c>
      <c r="N121" s="77">
        <f t="shared" si="29"/>
        <v>2.1</v>
      </c>
      <c r="O121" s="77" t="str">
        <f t="shared" si="30"/>
        <v>blue</v>
      </c>
      <c r="P121" s="90" t="str">
        <f t="shared" si="31"/>
        <v>virginica</v>
      </c>
      <c r="Q121" s="43" t="str">
        <f t="shared" si="24"/>
        <v>virginica</v>
      </c>
      <c r="R121" s="77" cm="1">
        <f t="array" ref="R121">X$6*EstymacjaGaussowska($M121,$M$2:$M$49,X$12)*EstymacjaGaussowska($N121,$N$2:$N$49,X$13)*VLOOKUP($O121,$W$23:$AA$26,2)+Y$6*EstymacjaGaussowska($M121,$M$50:$M$90,Y$12)*EstymacjaGaussowska($N121,$N$50:$N$90,Y$13)*VLOOKUP($O121,$W$23:$AA$26,3)+Z$6*EstymacjaGaussowska($M121,$M$91:$M$151,Z$12)*EstymacjaGaussowska($N121,$N$91:$N$151,Z$13)*VLOOKUP($O121,$W$23:$AA$26,4)</f>
        <v>0.19373677979414963</v>
      </c>
      <c r="S121" s="77" cm="1">
        <f t="array" ref="S121">X$6*EstymacjaGaussowska($M121,$M$2:$M$49,X$12)*EstymacjaGaussowska($N121,$N$2:$N$49,X$13)*VLOOKUP($O121,$W$23:$AA$26,2)/$R121</f>
        <v>0</v>
      </c>
      <c r="T121" s="77" cm="1">
        <f t="array" ref="T121">Y$6*EstymacjaGaussowska($M121,$M$50:$M$90,Y$12)*EstymacjaGaussowska($N121,$N$50:$N$90,Y$13)*VLOOKUP($O121,$W$23:$AA$26,3)/$R121</f>
        <v>7.3019510543710853E-9</v>
      </c>
      <c r="U121" s="87" cm="1">
        <f t="array" ref="U121">Z$6*EstymacjaGaussowska($M121,$M$91:$M$151,Z$12)*EstymacjaGaussowska($N121,$N$91:$N$151,Z$13)*VLOOKUP($O121,$W$23:$AA$26,4)/$R121</f>
        <v>0.99999999269804896</v>
      </c>
    </row>
    <row r="122" spans="1:21" x14ac:dyDescent="0.25">
      <c r="A122" s="78">
        <v>121</v>
      </c>
      <c r="B122" s="9">
        <v>6.9</v>
      </c>
      <c r="C122" s="3">
        <v>3.2</v>
      </c>
      <c r="D122" s="3">
        <v>5.7</v>
      </c>
      <c r="E122" s="8">
        <v>2.2999999999999998</v>
      </c>
      <c r="F122" s="9" t="s">
        <v>11</v>
      </c>
      <c r="G122" s="50" t="s">
        <v>7</v>
      </c>
      <c r="H122" s="84">
        <v>129</v>
      </c>
      <c r="I122" s="78">
        <v>121</v>
      </c>
      <c r="J122" s="79">
        <f t="shared" si="25"/>
        <v>0</v>
      </c>
      <c r="K122" s="43">
        <f t="shared" si="26"/>
        <v>6.4</v>
      </c>
      <c r="L122" s="77">
        <f t="shared" si="27"/>
        <v>2.8</v>
      </c>
      <c r="M122" s="77">
        <f t="shared" si="28"/>
        <v>5.6</v>
      </c>
      <c r="N122" s="77">
        <f t="shared" si="29"/>
        <v>2.1</v>
      </c>
      <c r="O122" s="77" t="str">
        <f t="shared" si="30"/>
        <v>blue</v>
      </c>
      <c r="P122" s="90" t="str">
        <f t="shared" si="31"/>
        <v>virginica</v>
      </c>
      <c r="Q122" s="43" t="str">
        <f t="shared" si="24"/>
        <v>virginica</v>
      </c>
      <c r="R122" s="77" cm="1">
        <f t="array" ref="R122">X$6*EstymacjaGaussowska($M122,$M$2:$M$49,X$12)*EstymacjaGaussowska($N122,$N$2:$N$49,X$13)*VLOOKUP($O122,$W$23:$AA$26,2)+Y$6*EstymacjaGaussowska($M122,$M$50:$M$90,Y$12)*EstymacjaGaussowska($N122,$N$50:$N$90,Y$13)*VLOOKUP($O122,$W$23:$AA$26,3)+Z$6*EstymacjaGaussowska($M122,$M$91:$M$151,Z$12)*EstymacjaGaussowska($N122,$N$91:$N$151,Z$13)*VLOOKUP($O122,$W$23:$AA$26,4)</f>
        <v>0.20305391430509026</v>
      </c>
      <c r="S122" s="77" cm="1">
        <f t="array" ref="S122">X$6*EstymacjaGaussowska($M122,$M$2:$M$49,X$12)*EstymacjaGaussowska($N122,$N$2:$N$49,X$13)*VLOOKUP($O122,$W$23:$AA$26,2)/$R122</f>
        <v>0</v>
      </c>
      <c r="T122" s="77" cm="1">
        <f t="array" ref="T122">Y$6*EstymacjaGaussowska($M122,$M$50:$M$90,Y$12)*EstymacjaGaussowska($N122,$N$50:$N$90,Y$13)*VLOOKUP($O122,$W$23:$AA$26,3)/$R122</f>
        <v>2.3529610252757528E-8</v>
      </c>
      <c r="U122" s="87" cm="1">
        <f t="array" ref="U122">Z$6*EstymacjaGaussowska($M122,$M$91:$M$151,Z$12)*EstymacjaGaussowska($N122,$N$91:$N$151,Z$13)*VLOOKUP($O122,$W$23:$AA$26,4)/$R122</f>
        <v>0.99999997647038963</v>
      </c>
    </row>
    <row r="123" spans="1:21" x14ac:dyDescent="0.25">
      <c r="A123" s="78">
        <v>122</v>
      </c>
      <c r="B123" s="9">
        <v>5.6</v>
      </c>
      <c r="C123" s="3">
        <v>2.8</v>
      </c>
      <c r="D123" s="3">
        <v>4.9000000000000004</v>
      </c>
      <c r="E123" s="8">
        <v>2</v>
      </c>
      <c r="F123" s="9" t="s">
        <v>11</v>
      </c>
      <c r="G123" s="50" t="s">
        <v>7</v>
      </c>
      <c r="H123" s="84">
        <v>129</v>
      </c>
      <c r="I123" s="78">
        <v>122</v>
      </c>
      <c r="J123" s="79">
        <f t="shared" si="25"/>
        <v>2</v>
      </c>
      <c r="K123" s="43">
        <f t="shared" si="26"/>
        <v>6.4</v>
      </c>
      <c r="L123" s="77">
        <f t="shared" si="27"/>
        <v>2.8</v>
      </c>
      <c r="M123" s="77">
        <f t="shared" si="28"/>
        <v>5.6</v>
      </c>
      <c r="N123" s="77">
        <f t="shared" si="29"/>
        <v>2.1</v>
      </c>
      <c r="O123" s="77" t="str">
        <f t="shared" si="30"/>
        <v>blue</v>
      </c>
      <c r="P123" s="90" t="str">
        <f t="shared" si="31"/>
        <v>virginica</v>
      </c>
      <c r="Q123" s="43" t="str">
        <f t="shared" si="24"/>
        <v>virginica</v>
      </c>
      <c r="R123" s="77" cm="1">
        <f t="array" ref="R123">X$6*EstymacjaGaussowska($M123,$M$2:$M$49,X$12)*EstymacjaGaussowska($N123,$N$2:$N$49,X$13)*VLOOKUP($O123,$W$23:$AA$26,2)+Y$6*EstymacjaGaussowska($M123,$M$50:$M$90,Y$12)*EstymacjaGaussowska($N123,$N$50:$N$90,Y$13)*VLOOKUP($O123,$W$23:$AA$26,3)+Z$6*EstymacjaGaussowska($M123,$M$91:$M$151,Z$12)*EstymacjaGaussowska($N123,$N$91:$N$151,Z$13)*VLOOKUP($O123,$W$23:$AA$26,4)</f>
        <v>0.20305391430509026</v>
      </c>
      <c r="S123" s="77" cm="1">
        <f t="array" ref="S123">X$6*EstymacjaGaussowska($M123,$M$2:$M$49,X$12)*EstymacjaGaussowska($N123,$N$2:$N$49,X$13)*VLOOKUP($O123,$W$23:$AA$26,2)/$R123</f>
        <v>0</v>
      </c>
      <c r="T123" s="77" cm="1">
        <f t="array" ref="T123">Y$6*EstymacjaGaussowska($M123,$M$50:$M$90,Y$12)*EstymacjaGaussowska($N123,$N$50:$N$90,Y$13)*VLOOKUP($O123,$W$23:$AA$26,3)/$R123</f>
        <v>2.3529610252757528E-8</v>
      </c>
      <c r="U123" s="87" cm="1">
        <f t="array" ref="U123">Z$6*EstymacjaGaussowska($M123,$M$91:$M$151,Z$12)*EstymacjaGaussowska($N123,$N$91:$N$151,Z$13)*VLOOKUP($O123,$W$23:$AA$26,4)/$R123</f>
        <v>0.99999997647038963</v>
      </c>
    </row>
    <row r="124" spans="1:21" x14ac:dyDescent="0.25">
      <c r="A124" s="78">
        <v>123</v>
      </c>
      <c r="B124" s="9">
        <v>7.7</v>
      </c>
      <c r="C124" s="3">
        <v>2.8</v>
      </c>
      <c r="D124" s="3">
        <v>6.7</v>
      </c>
      <c r="E124" s="8">
        <v>2</v>
      </c>
      <c r="F124" s="9" t="s">
        <v>11</v>
      </c>
      <c r="G124" s="50" t="s">
        <v>7</v>
      </c>
      <c r="H124" s="84">
        <v>129</v>
      </c>
      <c r="I124" s="78">
        <v>123</v>
      </c>
      <c r="J124" s="79">
        <f t="shared" si="25"/>
        <v>3</v>
      </c>
      <c r="K124" s="43">
        <f t="shared" si="26"/>
        <v>6.4</v>
      </c>
      <c r="L124" s="77">
        <f t="shared" si="27"/>
        <v>2.8</v>
      </c>
      <c r="M124" s="77">
        <f t="shared" si="28"/>
        <v>5.6</v>
      </c>
      <c r="N124" s="77">
        <f t="shared" si="29"/>
        <v>2.1</v>
      </c>
      <c r="O124" s="77" t="str">
        <f t="shared" si="30"/>
        <v>blue</v>
      </c>
      <c r="P124" s="90" t="str">
        <f t="shared" si="31"/>
        <v>virginica</v>
      </c>
      <c r="Q124" s="43" t="str">
        <f t="shared" si="24"/>
        <v>virginica</v>
      </c>
      <c r="R124" s="77" cm="1">
        <f t="array" ref="R124">X$6*EstymacjaGaussowska($M124,$M$2:$M$49,X$12)*EstymacjaGaussowska($N124,$N$2:$N$49,X$13)*VLOOKUP($O124,$W$23:$AA$26,2)+Y$6*EstymacjaGaussowska($M124,$M$50:$M$90,Y$12)*EstymacjaGaussowska($N124,$N$50:$N$90,Y$13)*VLOOKUP($O124,$W$23:$AA$26,3)+Z$6*EstymacjaGaussowska($M124,$M$91:$M$151,Z$12)*EstymacjaGaussowska($N124,$N$91:$N$151,Z$13)*VLOOKUP($O124,$W$23:$AA$26,4)</f>
        <v>0.20305391430509026</v>
      </c>
      <c r="S124" s="77" cm="1">
        <f t="array" ref="S124">X$6*EstymacjaGaussowska($M124,$M$2:$M$49,X$12)*EstymacjaGaussowska($N124,$N$2:$N$49,X$13)*VLOOKUP($O124,$W$23:$AA$26,2)/$R124</f>
        <v>0</v>
      </c>
      <c r="T124" s="77" cm="1">
        <f t="array" ref="T124">Y$6*EstymacjaGaussowska($M124,$M$50:$M$90,Y$12)*EstymacjaGaussowska($N124,$N$50:$N$90,Y$13)*VLOOKUP($O124,$W$23:$AA$26,3)/$R124</f>
        <v>2.3529610252757528E-8</v>
      </c>
      <c r="U124" s="87" cm="1">
        <f t="array" ref="U124">Z$6*EstymacjaGaussowska($M124,$M$91:$M$151,Z$12)*EstymacjaGaussowska($N124,$N$91:$N$151,Z$13)*VLOOKUP($O124,$W$23:$AA$26,4)/$R124</f>
        <v>0.99999997647038963</v>
      </c>
    </row>
    <row r="125" spans="1:21" x14ac:dyDescent="0.25">
      <c r="A125" s="78">
        <v>124</v>
      </c>
      <c r="B125" s="9">
        <v>6.3</v>
      </c>
      <c r="C125" s="3">
        <v>2.7</v>
      </c>
      <c r="D125" s="3">
        <v>4.9000000000000004</v>
      </c>
      <c r="E125" s="8">
        <v>1.8</v>
      </c>
      <c r="F125" s="9" t="s">
        <v>11</v>
      </c>
      <c r="G125" s="50" t="s">
        <v>7</v>
      </c>
      <c r="H125" s="84">
        <v>130</v>
      </c>
      <c r="I125" s="78">
        <v>124</v>
      </c>
      <c r="J125" s="79">
        <f t="shared" si="25"/>
        <v>2</v>
      </c>
      <c r="K125" s="43">
        <f t="shared" si="26"/>
        <v>7.2</v>
      </c>
      <c r="L125" s="77">
        <f t="shared" si="27"/>
        <v>3</v>
      </c>
      <c r="M125" s="77">
        <f t="shared" si="28"/>
        <v>5.8</v>
      </c>
      <c r="N125" s="77">
        <f t="shared" si="29"/>
        <v>1.6</v>
      </c>
      <c r="O125" s="77" t="str">
        <f t="shared" si="30"/>
        <v>blue</v>
      </c>
      <c r="P125" s="90" t="str">
        <f t="shared" si="31"/>
        <v>virginica</v>
      </c>
      <c r="Q125" s="43" t="str">
        <f t="shared" si="24"/>
        <v>virginica</v>
      </c>
      <c r="R125" s="77" cm="1">
        <f t="array" ref="R125">X$6*EstymacjaGaussowska($M125,$M$2:$M$49,X$12)*EstymacjaGaussowska($N125,$N$2:$N$49,X$13)*VLOOKUP($O125,$W$23:$AA$26,2)+Y$6*EstymacjaGaussowska($M125,$M$50:$M$90,Y$12)*EstymacjaGaussowska($N125,$N$50:$N$90,Y$13)*VLOOKUP($O125,$W$23:$AA$26,3)+Z$6*EstymacjaGaussowska($M125,$M$91:$M$151,Z$12)*EstymacjaGaussowska($N125,$N$91:$N$151,Z$13)*VLOOKUP($O125,$W$23:$AA$26,4)</f>
        <v>5.2332835493102497E-2</v>
      </c>
      <c r="S125" s="77" cm="1">
        <f t="array" ref="S125">X$6*EstymacjaGaussowska($M125,$M$2:$M$49,X$12)*EstymacjaGaussowska($N125,$N$2:$N$49,X$13)*VLOOKUP($O125,$W$23:$AA$26,2)/$R125</f>
        <v>0</v>
      </c>
      <c r="T125" s="77" cm="1">
        <f t="array" ref="T125">Y$6*EstymacjaGaussowska($M125,$M$50:$M$90,Y$12)*EstymacjaGaussowska($N125,$N$50:$N$90,Y$13)*VLOOKUP($O125,$W$23:$AA$26,3)/$R125</f>
        <v>4.7312343814250978E-4</v>
      </c>
      <c r="U125" s="87" cm="1">
        <f t="array" ref="U125">Z$6*EstymacjaGaussowska($M125,$M$91:$M$151,Z$12)*EstymacjaGaussowska($N125,$N$91:$N$151,Z$13)*VLOOKUP($O125,$W$23:$AA$26,4)/$R125</f>
        <v>0.99952687656185746</v>
      </c>
    </row>
    <row r="126" spans="1:21" x14ac:dyDescent="0.25">
      <c r="A126" s="78">
        <v>125</v>
      </c>
      <c r="B126" s="9">
        <v>6.7</v>
      </c>
      <c r="C126" s="3">
        <v>3.3</v>
      </c>
      <c r="D126" s="3">
        <v>5.7</v>
      </c>
      <c r="E126" s="8">
        <v>2.1</v>
      </c>
      <c r="F126" s="9" t="s">
        <v>11</v>
      </c>
      <c r="G126" s="50" t="s">
        <v>7</v>
      </c>
      <c r="H126" s="84">
        <v>131</v>
      </c>
      <c r="I126" s="78">
        <v>125</v>
      </c>
      <c r="J126" s="79">
        <f t="shared" si="25"/>
        <v>2</v>
      </c>
      <c r="K126" s="43">
        <f t="shared" si="26"/>
        <v>7.4</v>
      </c>
      <c r="L126" s="77">
        <f t="shared" si="27"/>
        <v>2.8</v>
      </c>
      <c r="M126" s="77">
        <f t="shared" si="28"/>
        <v>6.1</v>
      </c>
      <c r="N126" s="77">
        <f t="shared" si="29"/>
        <v>1.9</v>
      </c>
      <c r="O126" s="77" t="str">
        <f t="shared" si="30"/>
        <v>violet</v>
      </c>
      <c r="P126" s="90" t="str">
        <f t="shared" si="31"/>
        <v>virginica</v>
      </c>
      <c r="Q126" s="43" t="str">
        <f t="shared" si="24"/>
        <v>virginica</v>
      </c>
      <c r="R126" s="77" cm="1">
        <f t="array" ref="R126">X$6*EstymacjaGaussowska($M126,$M$2:$M$49,X$12)*EstymacjaGaussowska($N126,$N$2:$N$49,X$13)*VLOOKUP($O126,$W$23:$AA$26,2)+Y$6*EstymacjaGaussowska($M126,$M$50:$M$90,Y$12)*EstymacjaGaussowska($N126,$N$50:$N$90,Y$13)*VLOOKUP($O126,$W$23:$AA$26,3)+Z$6*EstymacjaGaussowska($M126,$M$91:$M$151,Z$12)*EstymacjaGaussowska($N126,$N$91:$N$151,Z$13)*VLOOKUP($O126,$W$23:$AA$26,4)</f>
        <v>7.8161510474435869E-2</v>
      </c>
      <c r="S126" s="77" cm="1">
        <f t="array" ref="S126">X$6*EstymacjaGaussowska($M126,$M$2:$M$49,X$12)*EstymacjaGaussowska($N126,$N$2:$N$49,X$13)*VLOOKUP($O126,$W$23:$AA$26,2)/$R126</f>
        <v>0</v>
      </c>
      <c r="T126" s="77" cm="1">
        <f t="array" ref="T126">Y$6*EstymacjaGaussowska($M126,$M$50:$M$90,Y$12)*EstymacjaGaussowska($N126,$N$50:$N$90,Y$13)*VLOOKUP($O126,$W$23:$AA$26,3)/$R126</f>
        <v>7.6197513120979372E-8</v>
      </c>
      <c r="U126" s="87" cm="1">
        <f t="array" ref="U126">Z$6*EstymacjaGaussowska($M126,$M$91:$M$151,Z$12)*EstymacjaGaussowska($N126,$N$91:$N$151,Z$13)*VLOOKUP($O126,$W$23:$AA$26,4)/$R126</f>
        <v>0.99999992380248692</v>
      </c>
    </row>
    <row r="127" spans="1:21" x14ac:dyDescent="0.25">
      <c r="A127" s="78">
        <v>126</v>
      </c>
      <c r="B127" s="9">
        <v>7.2</v>
      </c>
      <c r="C127" s="3">
        <v>3.2</v>
      </c>
      <c r="D127" s="3">
        <v>6</v>
      </c>
      <c r="E127" s="8">
        <v>1.8</v>
      </c>
      <c r="F127" s="9" t="s">
        <v>11</v>
      </c>
      <c r="G127" s="50" t="s">
        <v>7</v>
      </c>
      <c r="H127" s="84">
        <v>131</v>
      </c>
      <c r="I127" s="78">
        <v>126</v>
      </c>
      <c r="J127" s="79">
        <f t="shared" si="25"/>
        <v>0</v>
      </c>
      <c r="K127" s="43">
        <f t="shared" si="26"/>
        <v>7.4</v>
      </c>
      <c r="L127" s="77">
        <f t="shared" si="27"/>
        <v>2.8</v>
      </c>
      <c r="M127" s="77">
        <f t="shared" si="28"/>
        <v>6.1</v>
      </c>
      <c r="N127" s="77">
        <f t="shared" si="29"/>
        <v>1.9</v>
      </c>
      <c r="O127" s="77" t="str">
        <f t="shared" si="30"/>
        <v>violet</v>
      </c>
      <c r="P127" s="90" t="str">
        <f t="shared" si="31"/>
        <v>virginica</v>
      </c>
      <c r="Q127" s="43" t="str">
        <f t="shared" si="24"/>
        <v>virginica</v>
      </c>
      <c r="R127" s="77" cm="1">
        <f t="array" ref="R127">X$6*EstymacjaGaussowska($M127,$M$2:$M$49,X$12)*EstymacjaGaussowska($N127,$N$2:$N$49,X$13)*VLOOKUP($O127,$W$23:$AA$26,2)+Y$6*EstymacjaGaussowska($M127,$M$50:$M$90,Y$12)*EstymacjaGaussowska($N127,$N$50:$N$90,Y$13)*VLOOKUP($O127,$W$23:$AA$26,3)+Z$6*EstymacjaGaussowska($M127,$M$91:$M$151,Z$12)*EstymacjaGaussowska($N127,$N$91:$N$151,Z$13)*VLOOKUP($O127,$W$23:$AA$26,4)</f>
        <v>7.8161510474435869E-2</v>
      </c>
      <c r="S127" s="77" cm="1">
        <f t="array" ref="S127">X$6*EstymacjaGaussowska($M127,$M$2:$M$49,X$12)*EstymacjaGaussowska($N127,$N$2:$N$49,X$13)*VLOOKUP($O127,$W$23:$AA$26,2)/$R127</f>
        <v>0</v>
      </c>
      <c r="T127" s="77" cm="1">
        <f t="array" ref="T127">Y$6*EstymacjaGaussowska($M127,$M$50:$M$90,Y$12)*EstymacjaGaussowska($N127,$N$50:$N$90,Y$13)*VLOOKUP($O127,$W$23:$AA$26,3)/$R127</f>
        <v>7.6197513120979372E-8</v>
      </c>
      <c r="U127" s="87" cm="1">
        <f t="array" ref="U127">Z$6*EstymacjaGaussowska($M127,$M$91:$M$151,Z$12)*EstymacjaGaussowska($N127,$N$91:$N$151,Z$13)*VLOOKUP($O127,$W$23:$AA$26,4)/$R127</f>
        <v>0.99999992380248692</v>
      </c>
    </row>
    <row r="128" spans="1:21" x14ac:dyDescent="0.25">
      <c r="A128" s="78">
        <v>127</v>
      </c>
      <c r="B128" s="9">
        <v>6.2</v>
      </c>
      <c r="C128" s="3">
        <v>2.8</v>
      </c>
      <c r="D128" s="3">
        <v>4.8</v>
      </c>
      <c r="E128" s="8">
        <v>1.8</v>
      </c>
      <c r="F128" s="9" t="s">
        <v>11</v>
      </c>
      <c r="G128" s="50" t="s">
        <v>7</v>
      </c>
      <c r="H128" s="84">
        <v>132</v>
      </c>
      <c r="I128" s="78">
        <v>127</v>
      </c>
      <c r="J128" s="79">
        <f t="shared" si="25"/>
        <v>0</v>
      </c>
      <c r="K128" s="43">
        <f t="shared" si="26"/>
        <v>7.9</v>
      </c>
      <c r="L128" s="77">
        <f t="shared" si="27"/>
        <v>3.8</v>
      </c>
      <c r="M128" s="77">
        <f t="shared" si="28"/>
        <v>6.4</v>
      </c>
      <c r="N128" s="77">
        <f t="shared" si="29"/>
        <v>2</v>
      </c>
      <c r="O128" s="77" t="str">
        <f t="shared" si="30"/>
        <v>violet</v>
      </c>
      <c r="P128" s="90" t="str">
        <f t="shared" si="31"/>
        <v>virginica</v>
      </c>
      <c r="Q128" s="43" t="str">
        <f t="shared" si="24"/>
        <v>virginica</v>
      </c>
      <c r="R128" s="77" cm="1">
        <f t="array" ref="R128">X$6*EstymacjaGaussowska($M128,$M$2:$M$49,X$12)*EstymacjaGaussowska($N128,$N$2:$N$49,X$13)*VLOOKUP($O128,$W$23:$AA$26,2)+Y$6*EstymacjaGaussowska($M128,$M$50:$M$90,Y$12)*EstymacjaGaussowska($N128,$N$50:$N$90,Y$13)*VLOOKUP($O128,$W$23:$AA$26,3)+Z$6*EstymacjaGaussowska($M128,$M$91:$M$151,Z$12)*EstymacjaGaussowska($N128,$N$91:$N$151,Z$13)*VLOOKUP($O128,$W$23:$AA$26,4)</f>
        <v>4.1297530219621494E-2</v>
      </c>
      <c r="S128" s="77" cm="1">
        <f t="array" ref="S128">X$6*EstymacjaGaussowska($M128,$M$2:$M$49,X$12)*EstymacjaGaussowska($N128,$N$2:$N$49,X$13)*VLOOKUP($O128,$W$23:$AA$26,2)/$R128</f>
        <v>0</v>
      </c>
      <c r="T128" s="77" cm="1">
        <f t="array" ref="T128">Y$6*EstymacjaGaussowska($M128,$M$50:$M$90,Y$12)*EstymacjaGaussowska($N128,$N$50:$N$90,Y$13)*VLOOKUP($O128,$W$23:$AA$26,3)/$R128</f>
        <v>5.6184931824498932E-12</v>
      </c>
      <c r="U128" s="87" cm="1">
        <f t="array" ref="U128">Z$6*EstymacjaGaussowska($M128,$M$91:$M$151,Z$12)*EstymacjaGaussowska($N128,$N$91:$N$151,Z$13)*VLOOKUP($O128,$W$23:$AA$26,4)/$R128</f>
        <v>0.99999999999438149</v>
      </c>
    </row>
    <row r="129" spans="1:21" x14ac:dyDescent="0.25">
      <c r="A129" s="78">
        <v>128</v>
      </c>
      <c r="B129" s="9">
        <v>6.1</v>
      </c>
      <c r="C129" s="3">
        <v>3</v>
      </c>
      <c r="D129" s="3">
        <v>4.9000000000000004</v>
      </c>
      <c r="E129" s="8">
        <v>1.8</v>
      </c>
      <c r="F129" s="9" t="s">
        <v>11</v>
      </c>
      <c r="G129" s="50" t="s">
        <v>7</v>
      </c>
      <c r="H129" s="84">
        <v>133</v>
      </c>
      <c r="I129" s="78">
        <v>128</v>
      </c>
      <c r="J129" s="79">
        <f t="shared" si="25"/>
        <v>0</v>
      </c>
      <c r="K129" s="43">
        <f t="shared" si="26"/>
        <v>6.4</v>
      </c>
      <c r="L129" s="77">
        <f t="shared" si="27"/>
        <v>2.8</v>
      </c>
      <c r="M129" s="77">
        <f t="shared" si="28"/>
        <v>5.6</v>
      </c>
      <c r="N129" s="77">
        <f t="shared" si="29"/>
        <v>2.2000000000000002</v>
      </c>
      <c r="O129" s="77" t="str">
        <f t="shared" si="30"/>
        <v>violet</v>
      </c>
      <c r="P129" s="90" t="str">
        <f t="shared" si="31"/>
        <v>virginica</v>
      </c>
      <c r="Q129" s="43" t="str">
        <f t="shared" si="24"/>
        <v>virginica</v>
      </c>
      <c r="R129" s="77" cm="1">
        <f t="array" ref="R129">X$6*EstymacjaGaussowska($M129,$M$2:$M$49,X$12)*EstymacjaGaussowska($N129,$N$2:$N$49,X$13)*VLOOKUP($O129,$W$23:$AA$26,2)+Y$6*EstymacjaGaussowska($M129,$M$50:$M$90,Y$12)*EstymacjaGaussowska($N129,$N$50:$N$90,Y$13)*VLOOKUP($O129,$W$23:$AA$26,3)+Z$6*EstymacjaGaussowska($M129,$M$91:$M$151,Z$12)*EstymacjaGaussowska($N129,$N$91:$N$151,Z$13)*VLOOKUP($O129,$W$23:$AA$26,4)</f>
        <v>0.11713126251638302</v>
      </c>
      <c r="S129" s="77" cm="1">
        <f t="array" ref="S129">X$6*EstymacjaGaussowska($M129,$M$2:$M$49,X$12)*EstymacjaGaussowska($N129,$N$2:$N$49,X$13)*VLOOKUP($O129,$W$23:$AA$26,2)/$R129</f>
        <v>0</v>
      </c>
      <c r="T129" s="77" cm="1">
        <f t="array" ref="T129">Y$6*EstymacjaGaussowska($M129,$M$50:$M$90,Y$12)*EstymacjaGaussowska($N129,$N$50:$N$90,Y$13)*VLOOKUP($O129,$W$23:$AA$26,3)/$R129</f>
        <v>5.2510580721054091E-10</v>
      </c>
      <c r="U129" s="87" cm="1">
        <f t="array" ref="U129">Z$6*EstymacjaGaussowska($M129,$M$91:$M$151,Z$12)*EstymacjaGaussowska($N129,$N$91:$N$151,Z$13)*VLOOKUP($O129,$W$23:$AA$26,4)/$R129</f>
        <v>0.99999999947489426</v>
      </c>
    </row>
    <row r="130" spans="1:21" x14ac:dyDescent="0.25">
      <c r="A130" s="78">
        <v>129</v>
      </c>
      <c r="B130" s="9">
        <v>6.4</v>
      </c>
      <c r="C130" s="3">
        <v>2.8</v>
      </c>
      <c r="D130" s="3">
        <v>5.6</v>
      </c>
      <c r="E130" s="8">
        <v>2.1</v>
      </c>
      <c r="F130" s="9" t="s">
        <v>11</v>
      </c>
      <c r="G130" s="50" t="s">
        <v>7</v>
      </c>
      <c r="H130" s="84">
        <v>134</v>
      </c>
      <c r="I130" s="78">
        <v>129</v>
      </c>
      <c r="J130" s="79">
        <f t="shared" ref="J130:J151" si="32">COUNTIF($H$2:$H$151,I130)</f>
        <v>3</v>
      </c>
      <c r="K130" s="43">
        <f t="shared" ref="K130:K151" si="33">VLOOKUP($H130,$A$2:$F$151,2,FALSE)</f>
        <v>6.3</v>
      </c>
      <c r="L130" s="77">
        <f t="shared" ref="L130:L151" si="34">VLOOKUP($H130,$A$2:$F$151,3,FALSE)</f>
        <v>2.8</v>
      </c>
      <c r="M130" s="77">
        <f t="shared" ref="M130:M151" si="35">VLOOKUP($H130,$A$2:$F$151,4,FALSE)</f>
        <v>5.0999999999999996</v>
      </c>
      <c r="N130" s="77">
        <f t="shared" ref="N130:N151" si="36">VLOOKUP($H130,$A$2:$F$151,5,FALSE)</f>
        <v>1.5</v>
      </c>
      <c r="O130" s="77" t="str">
        <f t="shared" ref="O130:O151" si="37">VLOOKUP($H130,$A$2:$F$151,6,FALSE)</f>
        <v>violet</v>
      </c>
      <c r="P130" s="90" t="str">
        <f t="shared" ref="P130:P151" si="38">VLOOKUP($H130,$A$2:$G$151,7,FALSE)</f>
        <v>virginica</v>
      </c>
      <c r="Q130" s="43" t="str">
        <f t="shared" si="24"/>
        <v>versicolor</v>
      </c>
      <c r="R130" s="77" cm="1">
        <f t="array" ref="R130">X$6*EstymacjaGaussowska($M130,$M$2:$M$49,X$12)*EstymacjaGaussowska($N130,$N$2:$N$49,X$13)*VLOOKUP($O130,$W$23:$AA$26,2)+Y$6*EstymacjaGaussowska($M130,$M$50:$M$90,Y$12)*EstymacjaGaussowska($N130,$N$50:$N$90,Y$13)*VLOOKUP($O130,$W$23:$AA$26,3)+Z$6*EstymacjaGaussowska($M130,$M$91:$M$151,Z$12)*EstymacjaGaussowska($N130,$N$91:$N$151,Z$13)*VLOOKUP($O130,$W$23:$AA$26,4)</f>
        <v>7.4108195243085651E-2</v>
      </c>
      <c r="S130" s="77" cm="1">
        <f t="array" ref="S130">X$6*EstymacjaGaussowska($M130,$M$2:$M$49,X$12)*EstymacjaGaussowska($N130,$N$2:$N$49,X$13)*VLOOKUP($O130,$W$23:$AA$26,2)/$R130</f>
        <v>0</v>
      </c>
      <c r="T130" s="77" cm="1">
        <f t="array" ref="T130">Y$6*EstymacjaGaussowska($M130,$M$50:$M$90,Y$12)*EstymacjaGaussowska($N130,$N$50:$N$90,Y$13)*VLOOKUP($O130,$W$23:$AA$26,3)/$R130</f>
        <v>0.62397866945769664</v>
      </c>
      <c r="U130" s="87" cm="1">
        <f t="array" ref="U130">Z$6*EstymacjaGaussowska($M130,$M$91:$M$151,Z$12)*EstymacjaGaussowska($N130,$N$91:$N$151,Z$13)*VLOOKUP($O130,$W$23:$AA$26,4)/$R130</f>
        <v>0.3760213305423033</v>
      </c>
    </row>
    <row r="131" spans="1:21" x14ac:dyDescent="0.25">
      <c r="A131" s="78">
        <v>130</v>
      </c>
      <c r="B131" s="9">
        <v>7.2</v>
      </c>
      <c r="C131" s="3">
        <v>3</v>
      </c>
      <c r="D131" s="3">
        <v>5.8</v>
      </c>
      <c r="E131" s="8">
        <v>1.6</v>
      </c>
      <c r="F131" s="9" t="s">
        <v>11</v>
      </c>
      <c r="G131" s="50" t="s">
        <v>7</v>
      </c>
      <c r="H131" s="84">
        <v>134</v>
      </c>
      <c r="I131" s="78">
        <v>130</v>
      </c>
      <c r="J131" s="79">
        <f t="shared" si="32"/>
        <v>1</v>
      </c>
      <c r="K131" s="43">
        <f t="shared" si="33"/>
        <v>6.3</v>
      </c>
      <c r="L131" s="77">
        <f t="shared" si="34"/>
        <v>2.8</v>
      </c>
      <c r="M131" s="77">
        <f t="shared" si="35"/>
        <v>5.0999999999999996</v>
      </c>
      <c r="N131" s="77">
        <f t="shared" si="36"/>
        <v>1.5</v>
      </c>
      <c r="O131" s="77" t="str">
        <f t="shared" si="37"/>
        <v>violet</v>
      </c>
      <c r="P131" s="90" t="str">
        <f t="shared" si="38"/>
        <v>virginica</v>
      </c>
      <c r="Q131" s="43" t="str">
        <f t="shared" si="24"/>
        <v>versicolor</v>
      </c>
      <c r="R131" s="77" cm="1">
        <f t="array" ref="R131">X$6*EstymacjaGaussowska($M131,$M$2:$M$49,X$12)*EstymacjaGaussowska($N131,$N$2:$N$49,X$13)*VLOOKUP($O131,$W$23:$AA$26,2)+Y$6*EstymacjaGaussowska($M131,$M$50:$M$90,Y$12)*EstymacjaGaussowska($N131,$N$50:$N$90,Y$13)*VLOOKUP($O131,$W$23:$AA$26,3)+Z$6*EstymacjaGaussowska($M131,$M$91:$M$151,Z$12)*EstymacjaGaussowska($N131,$N$91:$N$151,Z$13)*VLOOKUP($O131,$W$23:$AA$26,4)</f>
        <v>7.4108195243085651E-2</v>
      </c>
      <c r="S131" s="77" cm="1">
        <f t="array" ref="S131">X$6*EstymacjaGaussowska($M131,$M$2:$M$49,X$12)*EstymacjaGaussowska($N131,$N$2:$N$49,X$13)*VLOOKUP($O131,$W$23:$AA$26,2)/$R131</f>
        <v>0</v>
      </c>
      <c r="T131" s="77" cm="1">
        <f t="array" ref="T131">Y$6*EstymacjaGaussowska($M131,$M$50:$M$90,Y$12)*EstymacjaGaussowska($N131,$N$50:$N$90,Y$13)*VLOOKUP($O131,$W$23:$AA$26,3)/$R131</f>
        <v>0.62397866945769664</v>
      </c>
      <c r="U131" s="87" cm="1">
        <f t="array" ref="U131">Z$6*EstymacjaGaussowska($M131,$M$91:$M$151,Z$12)*EstymacjaGaussowska($N131,$N$91:$N$151,Z$13)*VLOOKUP($O131,$W$23:$AA$26,4)/$R131</f>
        <v>0.3760213305423033</v>
      </c>
    </row>
    <row r="132" spans="1:21" x14ac:dyDescent="0.25">
      <c r="A132" s="78">
        <v>131</v>
      </c>
      <c r="B132" s="9">
        <v>7.4</v>
      </c>
      <c r="C132" s="3">
        <v>2.8</v>
      </c>
      <c r="D132" s="3">
        <v>6.1</v>
      </c>
      <c r="E132" s="8">
        <v>1.9</v>
      </c>
      <c r="F132" s="9" t="s">
        <v>12</v>
      </c>
      <c r="G132" s="50" t="s">
        <v>7</v>
      </c>
      <c r="H132" s="84">
        <v>134</v>
      </c>
      <c r="I132" s="78">
        <v>131</v>
      </c>
      <c r="J132" s="79">
        <f t="shared" si="32"/>
        <v>2</v>
      </c>
      <c r="K132" s="43">
        <f t="shared" si="33"/>
        <v>6.3</v>
      </c>
      <c r="L132" s="77">
        <f t="shared" si="34"/>
        <v>2.8</v>
      </c>
      <c r="M132" s="77">
        <f t="shared" si="35"/>
        <v>5.0999999999999996</v>
      </c>
      <c r="N132" s="77">
        <f t="shared" si="36"/>
        <v>1.5</v>
      </c>
      <c r="O132" s="77" t="str">
        <f t="shared" si="37"/>
        <v>violet</v>
      </c>
      <c r="P132" s="90" t="str">
        <f t="shared" si="38"/>
        <v>virginica</v>
      </c>
      <c r="Q132" s="43" t="str">
        <f t="shared" si="24"/>
        <v>versicolor</v>
      </c>
      <c r="R132" s="77" cm="1">
        <f t="array" ref="R132">X$6*EstymacjaGaussowska($M132,$M$2:$M$49,X$12)*EstymacjaGaussowska($N132,$N$2:$N$49,X$13)*VLOOKUP($O132,$W$23:$AA$26,2)+Y$6*EstymacjaGaussowska($M132,$M$50:$M$90,Y$12)*EstymacjaGaussowska($N132,$N$50:$N$90,Y$13)*VLOOKUP($O132,$W$23:$AA$26,3)+Z$6*EstymacjaGaussowska($M132,$M$91:$M$151,Z$12)*EstymacjaGaussowska($N132,$N$91:$N$151,Z$13)*VLOOKUP($O132,$W$23:$AA$26,4)</f>
        <v>7.4108195243085651E-2</v>
      </c>
      <c r="S132" s="77" cm="1">
        <f t="array" ref="S132">X$6*EstymacjaGaussowska($M132,$M$2:$M$49,X$12)*EstymacjaGaussowska($N132,$N$2:$N$49,X$13)*VLOOKUP($O132,$W$23:$AA$26,2)/$R132</f>
        <v>0</v>
      </c>
      <c r="T132" s="77" cm="1">
        <f t="array" ref="T132">Y$6*EstymacjaGaussowska($M132,$M$50:$M$90,Y$12)*EstymacjaGaussowska($N132,$N$50:$N$90,Y$13)*VLOOKUP($O132,$W$23:$AA$26,3)/$R132</f>
        <v>0.62397866945769664</v>
      </c>
      <c r="U132" s="87" cm="1">
        <f t="array" ref="U132">Z$6*EstymacjaGaussowska($M132,$M$91:$M$151,Z$12)*EstymacjaGaussowska($N132,$N$91:$N$151,Z$13)*VLOOKUP($O132,$W$23:$AA$26,4)/$R132</f>
        <v>0.3760213305423033</v>
      </c>
    </row>
    <row r="133" spans="1:21" x14ac:dyDescent="0.25">
      <c r="A133" s="78">
        <v>132</v>
      </c>
      <c r="B133" s="9">
        <v>7.9</v>
      </c>
      <c r="C133" s="3">
        <v>3.8</v>
      </c>
      <c r="D133" s="3">
        <v>6.4</v>
      </c>
      <c r="E133" s="8">
        <v>2</v>
      </c>
      <c r="F133" s="9" t="s">
        <v>12</v>
      </c>
      <c r="G133" s="50" t="s">
        <v>7</v>
      </c>
      <c r="H133" s="84">
        <v>136</v>
      </c>
      <c r="I133" s="78">
        <v>132</v>
      </c>
      <c r="J133" s="79">
        <f t="shared" si="32"/>
        <v>1</v>
      </c>
      <c r="K133" s="43">
        <f t="shared" si="33"/>
        <v>7.7</v>
      </c>
      <c r="L133" s="77">
        <f t="shared" si="34"/>
        <v>3</v>
      </c>
      <c r="M133" s="77">
        <f t="shared" si="35"/>
        <v>6.1</v>
      </c>
      <c r="N133" s="77">
        <f t="shared" si="36"/>
        <v>2.2999999999999998</v>
      </c>
      <c r="O133" s="77" t="str">
        <f t="shared" si="37"/>
        <v>violet</v>
      </c>
      <c r="P133" s="90" t="str">
        <f t="shared" si="38"/>
        <v>virginica</v>
      </c>
      <c r="Q133" s="43" t="str">
        <f t="shared" si="24"/>
        <v>virginica</v>
      </c>
      <c r="R133" s="77" cm="1">
        <f t="array" ref="R133">X$6*EstymacjaGaussowska($M133,$M$2:$M$49,X$12)*EstymacjaGaussowska($N133,$N$2:$N$49,X$13)*VLOOKUP($O133,$W$23:$AA$26,2)+Y$6*EstymacjaGaussowska($M133,$M$50:$M$90,Y$12)*EstymacjaGaussowska($N133,$N$50:$N$90,Y$13)*VLOOKUP($O133,$W$23:$AA$26,3)+Z$6*EstymacjaGaussowska($M133,$M$91:$M$151,Z$12)*EstymacjaGaussowska($N133,$N$91:$N$151,Z$13)*VLOOKUP($O133,$W$23:$AA$26,4)</f>
        <v>5.1729393342201488E-2</v>
      </c>
      <c r="S133" s="77" cm="1">
        <f t="array" ref="S133">X$6*EstymacjaGaussowska($M133,$M$2:$M$49,X$12)*EstymacjaGaussowska($N133,$N$2:$N$49,X$13)*VLOOKUP($O133,$W$23:$AA$26,2)/$R133</f>
        <v>0</v>
      </c>
      <c r="T133" s="77" cm="1">
        <f t="array" ref="T133">Y$6*EstymacjaGaussowska($M133,$M$50:$M$90,Y$12)*EstymacjaGaussowska($N133,$N$50:$N$90,Y$13)*VLOOKUP($O133,$W$23:$AA$26,3)/$R133</f>
        <v>6.0920516190642632E-16</v>
      </c>
      <c r="U133" s="87" cm="1">
        <f t="array" ref="U133">Z$6*EstymacjaGaussowska($M133,$M$91:$M$151,Z$12)*EstymacjaGaussowska($N133,$N$91:$N$151,Z$13)*VLOOKUP($O133,$W$23:$AA$26,4)/$R133</f>
        <v>0.99999999999999933</v>
      </c>
    </row>
    <row r="134" spans="1:21" x14ac:dyDescent="0.25">
      <c r="A134" s="78">
        <v>133</v>
      </c>
      <c r="B134" s="9">
        <v>6.4</v>
      </c>
      <c r="C134" s="3">
        <v>2.8</v>
      </c>
      <c r="D134" s="3">
        <v>5.6</v>
      </c>
      <c r="E134" s="8">
        <v>2.2000000000000002</v>
      </c>
      <c r="F134" s="9" t="s">
        <v>12</v>
      </c>
      <c r="G134" s="50" t="s">
        <v>7</v>
      </c>
      <c r="H134" s="84">
        <v>136</v>
      </c>
      <c r="I134" s="78">
        <v>133</v>
      </c>
      <c r="J134" s="79">
        <f t="shared" si="32"/>
        <v>1</v>
      </c>
      <c r="K134" s="43">
        <f t="shared" si="33"/>
        <v>7.7</v>
      </c>
      <c r="L134" s="77">
        <f t="shared" si="34"/>
        <v>3</v>
      </c>
      <c r="M134" s="77">
        <f t="shared" si="35"/>
        <v>6.1</v>
      </c>
      <c r="N134" s="77">
        <f t="shared" si="36"/>
        <v>2.2999999999999998</v>
      </c>
      <c r="O134" s="77" t="str">
        <f t="shared" si="37"/>
        <v>violet</v>
      </c>
      <c r="P134" s="90" t="str">
        <f t="shared" si="38"/>
        <v>virginica</v>
      </c>
      <c r="Q134" s="43" t="str">
        <f t="shared" si="24"/>
        <v>virginica</v>
      </c>
      <c r="R134" s="77" cm="1">
        <f t="array" ref="R134">X$6*EstymacjaGaussowska($M134,$M$2:$M$49,X$12)*EstymacjaGaussowska($N134,$N$2:$N$49,X$13)*VLOOKUP($O134,$W$23:$AA$26,2)+Y$6*EstymacjaGaussowska($M134,$M$50:$M$90,Y$12)*EstymacjaGaussowska($N134,$N$50:$N$90,Y$13)*VLOOKUP($O134,$W$23:$AA$26,3)+Z$6*EstymacjaGaussowska($M134,$M$91:$M$151,Z$12)*EstymacjaGaussowska($N134,$N$91:$N$151,Z$13)*VLOOKUP($O134,$W$23:$AA$26,4)</f>
        <v>5.1729393342201488E-2</v>
      </c>
      <c r="S134" s="77" cm="1">
        <f t="array" ref="S134">X$6*EstymacjaGaussowska($M134,$M$2:$M$49,X$12)*EstymacjaGaussowska($N134,$N$2:$N$49,X$13)*VLOOKUP($O134,$W$23:$AA$26,2)/$R134</f>
        <v>0</v>
      </c>
      <c r="T134" s="77" cm="1">
        <f t="array" ref="T134">Y$6*EstymacjaGaussowska($M134,$M$50:$M$90,Y$12)*EstymacjaGaussowska($N134,$N$50:$N$90,Y$13)*VLOOKUP($O134,$W$23:$AA$26,3)/$R134</f>
        <v>6.0920516190642632E-16</v>
      </c>
      <c r="U134" s="87" cm="1">
        <f t="array" ref="U134">Z$6*EstymacjaGaussowska($M134,$M$91:$M$151,Z$12)*EstymacjaGaussowska($N134,$N$91:$N$151,Z$13)*VLOOKUP($O134,$W$23:$AA$26,4)/$R134</f>
        <v>0.99999999999999933</v>
      </c>
    </row>
    <row r="135" spans="1:21" x14ac:dyDescent="0.25">
      <c r="A135" s="78">
        <v>134</v>
      </c>
      <c r="B135" s="9">
        <v>6.3</v>
      </c>
      <c r="C135" s="3">
        <v>2.8</v>
      </c>
      <c r="D135" s="3">
        <v>5.0999999999999996</v>
      </c>
      <c r="E135" s="8">
        <v>1.5</v>
      </c>
      <c r="F135" s="9" t="s">
        <v>12</v>
      </c>
      <c r="G135" s="50" t="s">
        <v>7</v>
      </c>
      <c r="H135" s="84">
        <v>139</v>
      </c>
      <c r="I135" s="78">
        <v>134</v>
      </c>
      <c r="J135" s="79">
        <f t="shared" si="32"/>
        <v>3</v>
      </c>
      <c r="K135" s="43">
        <f t="shared" si="33"/>
        <v>6</v>
      </c>
      <c r="L135" s="77">
        <f t="shared" si="34"/>
        <v>3</v>
      </c>
      <c r="M135" s="77">
        <f t="shared" si="35"/>
        <v>4.8</v>
      </c>
      <c r="N135" s="77">
        <f t="shared" si="36"/>
        <v>1.8</v>
      </c>
      <c r="O135" s="77" t="str">
        <f t="shared" si="37"/>
        <v>violet</v>
      </c>
      <c r="P135" s="90" t="str">
        <f t="shared" si="38"/>
        <v>virginica</v>
      </c>
      <c r="Q135" s="43" t="str">
        <f t="shared" si="24"/>
        <v>virginica</v>
      </c>
      <c r="R135" s="77" cm="1">
        <f t="array" ref="R135">X$6*EstymacjaGaussowska($M135,$M$2:$M$49,X$12)*EstymacjaGaussowska($N135,$N$2:$N$49,X$13)*VLOOKUP($O135,$W$23:$AA$26,2)+Y$6*EstymacjaGaussowska($M135,$M$50:$M$90,Y$12)*EstymacjaGaussowska($N135,$N$50:$N$90,Y$13)*VLOOKUP($O135,$W$23:$AA$26,3)+Z$6*EstymacjaGaussowska($M135,$M$91:$M$151,Z$12)*EstymacjaGaussowska($N135,$N$91:$N$151,Z$13)*VLOOKUP($O135,$W$23:$AA$26,4)</f>
        <v>8.1109716854445402E-2</v>
      </c>
      <c r="S135" s="77" cm="1">
        <f t="array" ref="S135">X$6*EstymacjaGaussowska($M135,$M$2:$M$49,X$12)*EstymacjaGaussowska($N135,$N$2:$N$49,X$13)*VLOOKUP($O135,$W$23:$AA$26,2)/$R135</f>
        <v>0</v>
      </c>
      <c r="T135" s="77" cm="1">
        <f t="array" ref="T135">Y$6*EstymacjaGaussowska($M135,$M$50:$M$90,Y$12)*EstymacjaGaussowska($N135,$N$50:$N$90,Y$13)*VLOOKUP($O135,$W$23:$AA$26,3)/$R135</f>
        <v>0.15013437483822653</v>
      </c>
      <c r="U135" s="87" cm="1">
        <f t="array" ref="U135">Z$6*EstymacjaGaussowska($M135,$M$91:$M$151,Z$12)*EstymacjaGaussowska($N135,$N$91:$N$151,Z$13)*VLOOKUP($O135,$W$23:$AA$26,4)/$R135</f>
        <v>0.84986562516177355</v>
      </c>
    </row>
    <row r="136" spans="1:21" x14ac:dyDescent="0.25">
      <c r="A136" s="78">
        <v>135</v>
      </c>
      <c r="B136" s="9">
        <v>6.1</v>
      </c>
      <c r="C136" s="3">
        <v>2.6</v>
      </c>
      <c r="D136" s="3">
        <v>5.6</v>
      </c>
      <c r="E136" s="8">
        <v>1.4</v>
      </c>
      <c r="F136" s="9" t="s">
        <v>12</v>
      </c>
      <c r="G136" s="50" t="s">
        <v>7</v>
      </c>
      <c r="H136" s="84">
        <v>139</v>
      </c>
      <c r="I136" s="78">
        <v>135</v>
      </c>
      <c r="J136" s="79">
        <f t="shared" si="32"/>
        <v>0</v>
      </c>
      <c r="K136" s="43">
        <f t="shared" si="33"/>
        <v>6</v>
      </c>
      <c r="L136" s="77">
        <f t="shared" si="34"/>
        <v>3</v>
      </c>
      <c r="M136" s="77">
        <f t="shared" si="35"/>
        <v>4.8</v>
      </c>
      <c r="N136" s="77">
        <f t="shared" si="36"/>
        <v>1.8</v>
      </c>
      <c r="O136" s="77" t="str">
        <f t="shared" si="37"/>
        <v>violet</v>
      </c>
      <c r="P136" s="90" t="str">
        <f t="shared" si="38"/>
        <v>virginica</v>
      </c>
      <c r="Q136" s="43" t="str">
        <f t="shared" si="24"/>
        <v>virginica</v>
      </c>
      <c r="R136" s="77" cm="1">
        <f t="array" ref="R136">X$6*EstymacjaGaussowska($M136,$M$2:$M$49,X$12)*EstymacjaGaussowska($N136,$N$2:$N$49,X$13)*VLOOKUP($O136,$W$23:$AA$26,2)+Y$6*EstymacjaGaussowska($M136,$M$50:$M$90,Y$12)*EstymacjaGaussowska($N136,$N$50:$N$90,Y$13)*VLOOKUP($O136,$W$23:$AA$26,3)+Z$6*EstymacjaGaussowska($M136,$M$91:$M$151,Z$12)*EstymacjaGaussowska($N136,$N$91:$N$151,Z$13)*VLOOKUP($O136,$W$23:$AA$26,4)</f>
        <v>8.1109716854445402E-2</v>
      </c>
      <c r="S136" s="77" cm="1">
        <f t="array" ref="S136">X$6*EstymacjaGaussowska($M136,$M$2:$M$49,X$12)*EstymacjaGaussowska($N136,$N$2:$N$49,X$13)*VLOOKUP($O136,$W$23:$AA$26,2)/$R136</f>
        <v>0</v>
      </c>
      <c r="T136" s="77" cm="1">
        <f t="array" ref="T136">Y$6*EstymacjaGaussowska($M136,$M$50:$M$90,Y$12)*EstymacjaGaussowska($N136,$N$50:$N$90,Y$13)*VLOOKUP($O136,$W$23:$AA$26,3)/$R136</f>
        <v>0.15013437483822653</v>
      </c>
      <c r="U136" s="87" cm="1">
        <f t="array" ref="U136">Z$6*EstymacjaGaussowska($M136,$M$91:$M$151,Z$12)*EstymacjaGaussowska($N136,$N$91:$N$151,Z$13)*VLOOKUP($O136,$W$23:$AA$26,4)/$R136</f>
        <v>0.84986562516177355</v>
      </c>
    </row>
    <row r="137" spans="1:21" x14ac:dyDescent="0.25">
      <c r="A137" s="78">
        <v>136</v>
      </c>
      <c r="B137" s="9">
        <v>7.7</v>
      </c>
      <c r="C137" s="3">
        <v>3</v>
      </c>
      <c r="D137" s="3">
        <v>6.1</v>
      </c>
      <c r="E137" s="8">
        <v>2.2999999999999998</v>
      </c>
      <c r="F137" s="9" t="s">
        <v>12</v>
      </c>
      <c r="G137" s="50" t="s">
        <v>7</v>
      </c>
      <c r="H137" s="84">
        <v>140</v>
      </c>
      <c r="I137" s="78">
        <v>136</v>
      </c>
      <c r="J137" s="79">
        <f t="shared" si="32"/>
        <v>2</v>
      </c>
      <c r="K137" s="43">
        <f t="shared" si="33"/>
        <v>6.9</v>
      </c>
      <c r="L137" s="77">
        <f t="shared" si="34"/>
        <v>3.1</v>
      </c>
      <c r="M137" s="77">
        <f t="shared" si="35"/>
        <v>5.4</v>
      </c>
      <c r="N137" s="77">
        <f t="shared" si="36"/>
        <v>2.1</v>
      </c>
      <c r="O137" s="77" t="str">
        <f t="shared" si="37"/>
        <v>violet</v>
      </c>
      <c r="P137" s="90" t="str">
        <f t="shared" si="38"/>
        <v>virginica</v>
      </c>
      <c r="Q137" s="43" t="str">
        <f t="shared" si="24"/>
        <v>virginica</v>
      </c>
      <c r="R137" s="77" cm="1">
        <f t="array" ref="R137">X$6*EstymacjaGaussowska($M137,$M$2:$M$49,X$12)*EstymacjaGaussowska($N137,$N$2:$N$49,X$13)*VLOOKUP($O137,$W$23:$AA$26,2)+Y$6*EstymacjaGaussowska($M137,$M$50:$M$90,Y$12)*EstymacjaGaussowska($N137,$N$50:$N$90,Y$13)*VLOOKUP($O137,$W$23:$AA$26,3)+Z$6*EstymacjaGaussowska($M137,$M$91:$M$151,Z$12)*EstymacjaGaussowska($N137,$N$91:$N$151,Z$13)*VLOOKUP($O137,$W$23:$AA$26,4)</f>
        <v>0.15069744343091959</v>
      </c>
      <c r="S137" s="77" cm="1">
        <f t="array" ref="S137">X$6*EstymacjaGaussowska($M137,$M$2:$M$49,X$12)*EstymacjaGaussowska($N137,$N$2:$N$49,X$13)*VLOOKUP($O137,$W$23:$AA$26,2)/$R137</f>
        <v>0</v>
      </c>
      <c r="T137" s="77" cm="1">
        <f t="array" ref="T137">Y$6*EstymacjaGaussowska($M137,$M$50:$M$90,Y$12)*EstymacjaGaussowska($N137,$N$50:$N$90,Y$13)*VLOOKUP($O137,$W$23:$AA$26,3)/$R137</f>
        <v>5.6547019931173335E-7</v>
      </c>
      <c r="U137" s="87" cm="1">
        <f t="array" ref="U137">Z$6*EstymacjaGaussowska($M137,$M$91:$M$151,Z$12)*EstymacjaGaussowska($N137,$N$91:$N$151,Z$13)*VLOOKUP($O137,$W$23:$AA$26,4)/$R137</f>
        <v>0.99999943452980067</v>
      </c>
    </row>
    <row r="138" spans="1:21" x14ac:dyDescent="0.25">
      <c r="A138" s="78">
        <v>137</v>
      </c>
      <c r="B138" s="9">
        <v>6.3</v>
      </c>
      <c r="C138" s="3">
        <v>3.4</v>
      </c>
      <c r="D138" s="3">
        <v>5.6</v>
      </c>
      <c r="E138" s="8">
        <v>2.4</v>
      </c>
      <c r="F138" s="9" t="s">
        <v>12</v>
      </c>
      <c r="G138" s="50" t="s">
        <v>7</v>
      </c>
      <c r="H138" s="84">
        <v>140</v>
      </c>
      <c r="I138" s="78">
        <v>137</v>
      </c>
      <c r="J138" s="79">
        <f t="shared" si="32"/>
        <v>0</v>
      </c>
      <c r="K138" s="43">
        <f t="shared" si="33"/>
        <v>6.9</v>
      </c>
      <c r="L138" s="77">
        <f t="shared" si="34"/>
        <v>3.1</v>
      </c>
      <c r="M138" s="77">
        <f t="shared" si="35"/>
        <v>5.4</v>
      </c>
      <c r="N138" s="77">
        <f t="shared" si="36"/>
        <v>2.1</v>
      </c>
      <c r="O138" s="77" t="str">
        <f t="shared" si="37"/>
        <v>violet</v>
      </c>
      <c r="P138" s="90" t="str">
        <f t="shared" si="38"/>
        <v>virginica</v>
      </c>
      <c r="Q138" s="43" t="str">
        <f t="shared" si="24"/>
        <v>virginica</v>
      </c>
      <c r="R138" s="77" cm="1">
        <f t="array" ref="R138">X$6*EstymacjaGaussowska($M138,$M$2:$M$49,X$12)*EstymacjaGaussowska($N138,$N$2:$N$49,X$13)*VLOOKUP($O138,$W$23:$AA$26,2)+Y$6*EstymacjaGaussowska($M138,$M$50:$M$90,Y$12)*EstymacjaGaussowska($N138,$N$50:$N$90,Y$13)*VLOOKUP($O138,$W$23:$AA$26,3)+Z$6*EstymacjaGaussowska($M138,$M$91:$M$151,Z$12)*EstymacjaGaussowska($N138,$N$91:$N$151,Z$13)*VLOOKUP($O138,$W$23:$AA$26,4)</f>
        <v>0.15069744343091959</v>
      </c>
      <c r="S138" s="77" cm="1">
        <f t="array" ref="S138">X$6*EstymacjaGaussowska($M138,$M$2:$M$49,X$12)*EstymacjaGaussowska($N138,$N$2:$N$49,X$13)*VLOOKUP($O138,$W$23:$AA$26,2)/$R138</f>
        <v>0</v>
      </c>
      <c r="T138" s="77" cm="1">
        <f t="array" ref="T138">Y$6*EstymacjaGaussowska($M138,$M$50:$M$90,Y$12)*EstymacjaGaussowska($N138,$N$50:$N$90,Y$13)*VLOOKUP($O138,$W$23:$AA$26,3)/$R138</f>
        <v>5.6547019931173335E-7</v>
      </c>
      <c r="U138" s="87" cm="1">
        <f t="array" ref="U138">Z$6*EstymacjaGaussowska($M138,$M$91:$M$151,Z$12)*EstymacjaGaussowska($N138,$N$91:$N$151,Z$13)*VLOOKUP($O138,$W$23:$AA$26,4)/$R138</f>
        <v>0.99999943452980067</v>
      </c>
    </row>
    <row r="139" spans="1:21" x14ac:dyDescent="0.25">
      <c r="A139" s="78">
        <v>138</v>
      </c>
      <c r="B139" s="9">
        <v>6.4</v>
      </c>
      <c r="C139" s="3">
        <v>3.1</v>
      </c>
      <c r="D139" s="3">
        <v>5.5</v>
      </c>
      <c r="E139" s="8">
        <v>1.8</v>
      </c>
      <c r="F139" s="9" t="s">
        <v>12</v>
      </c>
      <c r="G139" s="50" t="s">
        <v>7</v>
      </c>
      <c r="H139" s="84">
        <v>140</v>
      </c>
      <c r="I139" s="78">
        <v>138</v>
      </c>
      <c r="J139" s="79">
        <f t="shared" si="32"/>
        <v>0</v>
      </c>
      <c r="K139" s="43">
        <f t="shared" si="33"/>
        <v>6.9</v>
      </c>
      <c r="L139" s="77">
        <f t="shared" si="34"/>
        <v>3.1</v>
      </c>
      <c r="M139" s="77">
        <f t="shared" si="35"/>
        <v>5.4</v>
      </c>
      <c r="N139" s="77">
        <f t="shared" si="36"/>
        <v>2.1</v>
      </c>
      <c r="O139" s="77" t="str">
        <f t="shared" si="37"/>
        <v>violet</v>
      </c>
      <c r="P139" s="90" t="str">
        <f t="shared" si="38"/>
        <v>virginica</v>
      </c>
      <c r="Q139" s="43" t="str">
        <f>IF(S139&gt;MAX(T139:U139),$P$2,IF(T139&gt;U139,$G$52,$P$91))</f>
        <v>virginica</v>
      </c>
      <c r="R139" s="77" cm="1">
        <f t="array" ref="R139">X$6*EstymacjaGaussowska($M139,$M$2:$M$49,X$12)*EstymacjaGaussowska($N139,$N$2:$N$49,X$13)*VLOOKUP($O139,$W$23:$AA$26,2)+Y$6*EstymacjaGaussowska($M139,$M$50:$M$90,Y$12)*EstymacjaGaussowska($N139,$N$50:$N$90,Y$13)*VLOOKUP($O139,$W$23:$AA$26,3)+Z$6*EstymacjaGaussowska($M139,$M$91:$M$151,Z$12)*EstymacjaGaussowska($N139,$N$91:$N$151,Z$13)*VLOOKUP($O139,$W$23:$AA$26,4)</f>
        <v>0.15069744343091959</v>
      </c>
      <c r="S139" s="77" cm="1">
        <f t="array" ref="S139">X$6*EstymacjaGaussowska($M139,$M$2:$M$49,X$12)*EstymacjaGaussowska($N139,$N$2:$N$49,X$13)*VLOOKUP($O139,$W$23:$AA$26,2)/$R139</f>
        <v>0</v>
      </c>
      <c r="T139" s="77" cm="1">
        <f t="array" ref="T139">Y$6*EstymacjaGaussowska($M139,$M$50:$M$90,Y$12)*EstymacjaGaussowska($N139,$N$50:$N$90,Y$13)*VLOOKUP($O139,$W$23:$AA$26,3)/$R139</f>
        <v>5.6547019931173335E-7</v>
      </c>
      <c r="U139" s="87" cm="1">
        <f t="array" ref="U139">Z$6*EstymacjaGaussowska($M139,$M$91:$M$151,Z$12)*EstymacjaGaussowska($N139,$N$91:$N$151,Z$13)*VLOOKUP($O139,$W$23:$AA$26,4)/$R139</f>
        <v>0.99999943452980067</v>
      </c>
    </row>
    <row r="140" spans="1:21" x14ac:dyDescent="0.25">
      <c r="A140" s="78">
        <v>139</v>
      </c>
      <c r="B140" s="9">
        <v>6</v>
      </c>
      <c r="C140" s="3">
        <v>3</v>
      </c>
      <c r="D140" s="3">
        <v>4.8</v>
      </c>
      <c r="E140" s="8">
        <v>1.8</v>
      </c>
      <c r="F140" s="9" t="s">
        <v>12</v>
      </c>
      <c r="G140" s="50" t="s">
        <v>7</v>
      </c>
      <c r="H140" s="84">
        <v>141</v>
      </c>
      <c r="I140" s="78">
        <v>139</v>
      </c>
      <c r="J140" s="79">
        <f t="shared" si="32"/>
        <v>2</v>
      </c>
      <c r="K140" s="43">
        <f t="shared" si="33"/>
        <v>6.7</v>
      </c>
      <c r="L140" s="77">
        <f t="shared" si="34"/>
        <v>3.1</v>
      </c>
      <c r="M140" s="77">
        <f t="shared" si="35"/>
        <v>5.6</v>
      </c>
      <c r="N140" s="77">
        <f t="shared" si="36"/>
        <v>2.4</v>
      </c>
      <c r="O140" s="77" t="str">
        <f t="shared" si="37"/>
        <v>violet</v>
      </c>
      <c r="P140" s="90" t="str">
        <f t="shared" si="38"/>
        <v>virginica</v>
      </c>
      <c r="Q140" s="43" t="str">
        <f t="shared" si="24"/>
        <v>virginica</v>
      </c>
      <c r="R140" s="77" cm="1">
        <f t="array" ref="R140">X$6*EstymacjaGaussowska($M140,$M$2:$M$49,X$12)*EstymacjaGaussowska($N140,$N$2:$N$49,X$13)*VLOOKUP($O140,$W$23:$AA$26,2)+Y$6*EstymacjaGaussowska($M140,$M$50:$M$90,Y$12)*EstymacjaGaussowska($N140,$N$50:$N$90,Y$13)*VLOOKUP($O140,$W$23:$AA$26,3)+Z$6*EstymacjaGaussowska($M140,$M$91:$M$151,Z$12)*EstymacjaGaussowska($N140,$N$91:$N$151,Z$13)*VLOOKUP($O140,$W$23:$AA$26,4)</f>
        <v>7.5389569262461972E-2</v>
      </c>
      <c r="S140" s="77" cm="1">
        <f t="array" ref="S140">X$6*EstymacjaGaussowska($M140,$M$2:$M$49,X$12)*EstymacjaGaussowska($N140,$N$2:$N$49,X$13)*VLOOKUP($O140,$W$23:$AA$26,2)/$R140</f>
        <v>0</v>
      </c>
      <c r="T140" s="77" cm="1">
        <f t="array" ref="T140">Y$6*EstymacjaGaussowska($M140,$M$50:$M$90,Y$12)*EstymacjaGaussowska($N140,$N$50:$N$90,Y$13)*VLOOKUP($O140,$W$23:$AA$26,3)/$R140</f>
        <v>5.5352960206878034E-16</v>
      </c>
      <c r="U140" s="87" cm="1">
        <f t="array" ref="U140">Z$6*EstymacjaGaussowska($M140,$M$91:$M$151,Z$12)*EstymacjaGaussowska($N140,$N$91:$N$151,Z$13)*VLOOKUP($O140,$W$23:$AA$26,4)/$R140</f>
        <v>0.99999999999999944</v>
      </c>
    </row>
    <row r="141" spans="1:21" x14ac:dyDescent="0.25">
      <c r="A141" s="78">
        <v>140</v>
      </c>
      <c r="B141" s="9">
        <v>6.9</v>
      </c>
      <c r="C141" s="3">
        <v>3.1</v>
      </c>
      <c r="D141" s="3">
        <v>5.4</v>
      </c>
      <c r="E141" s="8">
        <v>2.1</v>
      </c>
      <c r="F141" s="9" t="s">
        <v>12</v>
      </c>
      <c r="G141" s="50" t="s">
        <v>7</v>
      </c>
      <c r="H141" s="84">
        <v>141</v>
      </c>
      <c r="I141" s="78">
        <v>140</v>
      </c>
      <c r="J141" s="79">
        <f t="shared" si="32"/>
        <v>3</v>
      </c>
      <c r="K141" s="43">
        <f t="shared" si="33"/>
        <v>6.7</v>
      </c>
      <c r="L141" s="77">
        <f t="shared" si="34"/>
        <v>3.1</v>
      </c>
      <c r="M141" s="77">
        <f t="shared" si="35"/>
        <v>5.6</v>
      </c>
      <c r="N141" s="77">
        <f t="shared" si="36"/>
        <v>2.4</v>
      </c>
      <c r="O141" s="77" t="str">
        <f t="shared" si="37"/>
        <v>violet</v>
      </c>
      <c r="P141" s="90" t="str">
        <f t="shared" si="38"/>
        <v>virginica</v>
      </c>
      <c r="Q141" s="43" t="str">
        <f t="shared" si="24"/>
        <v>virginica</v>
      </c>
      <c r="R141" s="77" cm="1">
        <f t="array" ref="R141">X$6*EstymacjaGaussowska($M141,$M$2:$M$49,X$12)*EstymacjaGaussowska($N141,$N$2:$N$49,X$13)*VLOOKUP($O141,$W$23:$AA$26,2)+Y$6*EstymacjaGaussowska($M141,$M$50:$M$90,Y$12)*EstymacjaGaussowska($N141,$N$50:$N$90,Y$13)*VLOOKUP($O141,$W$23:$AA$26,3)+Z$6*EstymacjaGaussowska($M141,$M$91:$M$151,Z$12)*EstymacjaGaussowska($N141,$N$91:$N$151,Z$13)*VLOOKUP($O141,$W$23:$AA$26,4)</f>
        <v>7.5389569262461972E-2</v>
      </c>
      <c r="S141" s="77" cm="1">
        <f t="array" ref="S141">X$6*EstymacjaGaussowska($M141,$M$2:$M$49,X$12)*EstymacjaGaussowska($N141,$N$2:$N$49,X$13)*VLOOKUP($O141,$W$23:$AA$26,2)/$R141</f>
        <v>0</v>
      </c>
      <c r="T141" s="77" cm="1">
        <f t="array" ref="T141">Y$6*EstymacjaGaussowska($M141,$M$50:$M$90,Y$12)*EstymacjaGaussowska($N141,$N$50:$N$90,Y$13)*VLOOKUP($O141,$W$23:$AA$26,3)/$R141</f>
        <v>5.5352960206878034E-16</v>
      </c>
      <c r="U141" s="87" cm="1">
        <f t="array" ref="U141">Z$6*EstymacjaGaussowska($M141,$M$91:$M$151,Z$12)*EstymacjaGaussowska($N141,$N$91:$N$151,Z$13)*VLOOKUP($O141,$W$23:$AA$26,4)/$R141</f>
        <v>0.99999999999999944</v>
      </c>
    </row>
    <row r="142" spans="1:21" x14ac:dyDescent="0.25">
      <c r="A142" s="78">
        <v>141</v>
      </c>
      <c r="B142" s="9">
        <v>6.7</v>
      </c>
      <c r="C142" s="3">
        <v>3.1</v>
      </c>
      <c r="D142" s="3">
        <v>5.6</v>
      </c>
      <c r="E142" s="8">
        <v>2.4</v>
      </c>
      <c r="F142" s="9" t="s">
        <v>12</v>
      </c>
      <c r="G142" s="50" t="s">
        <v>7</v>
      </c>
      <c r="H142" s="84">
        <v>144</v>
      </c>
      <c r="I142" s="78">
        <v>141</v>
      </c>
      <c r="J142" s="79">
        <f t="shared" si="32"/>
        <v>2</v>
      </c>
      <c r="K142" s="43">
        <f t="shared" si="33"/>
        <v>6.8</v>
      </c>
      <c r="L142" s="77">
        <f t="shared" si="34"/>
        <v>3.2</v>
      </c>
      <c r="M142" s="77">
        <f t="shared" si="35"/>
        <v>5.9</v>
      </c>
      <c r="N142" s="77">
        <f t="shared" si="36"/>
        <v>2.2999999999999998</v>
      </c>
      <c r="O142" s="77" t="str">
        <f t="shared" si="37"/>
        <v>violet</v>
      </c>
      <c r="P142" s="90" t="str">
        <f t="shared" si="38"/>
        <v>virginica</v>
      </c>
      <c r="Q142" s="43" t="str">
        <f t="shared" si="24"/>
        <v>virginica</v>
      </c>
      <c r="R142" s="77" cm="1">
        <f t="array" ref="R142">X$6*EstymacjaGaussowska($M142,$M$2:$M$49,X$12)*EstymacjaGaussowska($N142,$N$2:$N$49,X$13)*VLOOKUP($O142,$W$23:$AA$26,2)+Y$6*EstymacjaGaussowska($M142,$M$50:$M$90,Y$12)*EstymacjaGaussowska($N142,$N$50:$N$90,Y$13)*VLOOKUP($O142,$W$23:$AA$26,3)+Z$6*EstymacjaGaussowska($M142,$M$91:$M$151,Z$12)*EstymacjaGaussowska($N142,$N$91:$N$151,Z$13)*VLOOKUP($O142,$W$23:$AA$26,4)</f>
        <v>7.490292226341444E-2</v>
      </c>
      <c r="S142" s="77" cm="1">
        <f t="array" ref="S142">X$6*EstymacjaGaussowska($M142,$M$2:$M$49,X$12)*EstymacjaGaussowska($N142,$N$2:$N$49,X$13)*VLOOKUP($O142,$W$23:$AA$26,2)/$R142</f>
        <v>0</v>
      </c>
      <c r="T142" s="77" cm="1">
        <f t="array" ref="T142">Y$6*EstymacjaGaussowska($M142,$M$50:$M$90,Y$12)*EstymacjaGaussowska($N142,$N$50:$N$90,Y$13)*VLOOKUP($O142,$W$23:$AA$26,3)/$R142</f>
        <v>1.8093539075366946E-14</v>
      </c>
      <c r="U142" s="87" cm="1">
        <f t="array" ref="U142">Z$6*EstymacjaGaussowska($M142,$M$91:$M$151,Z$12)*EstymacjaGaussowska($N142,$N$91:$N$151,Z$13)*VLOOKUP($O142,$W$23:$AA$26,4)/$R142</f>
        <v>0.99999999999998179</v>
      </c>
    </row>
    <row r="143" spans="1:21" x14ac:dyDescent="0.25">
      <c r="A143" s="78">
        <v>142</v>
      </c>
      <c r="B143" s="9">
        <v>6.9</v>
      </c>
      <c r="C143" s="3">
        <v>3.1</v>
      </c>
      <c r="D143" s="3">
        <v>5.0999999999999996</v>
      </c>
      <c r="E143" s="8">
        <v>2.2999999999999998</v>
      </c>
      <c r="F143" s="9" t="s">
        <v>12</v>
      </c>
      <c r="G143" s="50" t="s">
        <v>7</v>
      </c>
      <c r="H143" s="84">
        <v>144</v>
      </c>
      <c r="I143" s="78">
        <v>142</v>
      </c>
      <c r="J143" s="79">
        <f t="shared" si="32"/>
        <v>0</v>
      </c>
      <c r="K143" s="43">
        <f t="shared" si="33"/>
        <v>6.8</v>
      </c>
      <c r="L143" s="77">
        <f t="shared" si="34"/>
        <v>3.2</v>
      </c>
      <c r="M143" s="77">
        <f t="shared" si="35"/>
        <v>5.9</v>
      </c>
      <c r="N143" s="77">
        <f t="shared" si="36"/>
        <v>2.2999999999999998</v>
      </c>
      <c r="O143" s="77" t="str">
        <f t="shared" si="37"/>
        <v>violet</v>
      </c>
      <c r="P143" s="90" t="str">
        <f t="shared" si="38"/>
        <v>virginica</v>
      </c>
      <c r="Q143" s="43" t="str">
        <f t="shared" si="24"/>
        <v>virginica</v>
      </c>
      <c r="R143" s="77" cm="1">
        <f t="array" ref="R143">X$6*EstymacjaGaussowska($M143,$M$2:$M$49,X$12)*EstymacjaGaussowska($N143,$N$2:$N$49,X$13)*VLOOKUP($O143,$W$23:$AA$26,2)+Y$6*EstymacjaGaussowska($M143,$M$50:$M$90,Y$12)*EstymacjaGaussowska($N143,$N$50:$N$90,Y$13)*VLOOKUP($O143,$W$23:$AA$26,3)+Z$6*EstymacjaGaussowska($M143,$M$91:$M$151,Z$12)*EstymacjaGaussowska($N143,$N$91:$N$151,Z$13)*VLOOKUP($O143,$W$23:$AA$26,4)</f>
        <v>7.490292226341444E-2</v>
      </c>
      <c r="S143" s="77" cm="1">
        <f t="array" ref="S143">X$6*EstymacjaGaussowska($M143,$M$2:$M$49,X$12)*EstymacjaGaussowska($N143,$N$2:$N$49,X$13)*VLOOKUP($O143,$W$23:$AA$26,2)/$R143</f>
        <v>0</v>
      </c>
      <c r="T143" s="77" cm="1">
        <f t="array" ref="T143">Y$6*EstymacjaGaussowska($M143,$M$50:$M$90,Y$12)*EstymacjaGaussowska($N143,$N$50:$N$90,Y$13)*VLOOKUP($O143,$W$23:$AA$26,3)/$R143</f>
        <v>1.8093539075366946E-14</v>
      </c>
      <c r="U143" s="87" cm="1">
        <f t="array" ref="U143">Z$6*EstymacjaGaussowska($M143,$M$91:$M$151,Z$12)*EstymacjaGaussowska($N143,$N$91:$N$151,Z$13)*VLOOKUP($O143,$W$23:$AA$26,4)/$R143</f>
        <v>0.99999999999998179</v>
      </c>
    </row>
    <row r="144" spans="1:21" x14ac:dyDescent="0.25">
      <c r="A144" s="78">
        <v>143</v>
      </c>
      <c r="B144" s="9">
        <v>5.8</v>
      </c>
      <c r="C144" s="3">
        <v>2.7</v>
      </c>
      <c r="D144" s="3">
        <v>5.0999999999999996</v>
      </c>
      <c r="E144" s="8">
        <v>1.9</v>
      </c>
      <c r="F144" s="9" t="s">
        <v>12</v>
      </c>
      <c r="G144" s="50" t="s">
        <v>7</v>
      </c>
      <c r="H144" s="84">
        <v>145</v>
      </c>
      <c r="I144" s="78">
        <v>143</v>
      </c>
      <c r="J144" s="79">
        <f t="shared" si="32"/>
        <v>0</v>
      </c>
      <c r="K144" s="43">
        <f t="shared" si="33"/>
        <v>6.7</v>
      </c>
      <c r="L144" s="77">
        <f t="shared" si="34"/>
        <v>3.3</v>
      </c>
      <c r="M144" s="77">
        <f t="shared" si="35"/>
        <v>5.7</v>
      </c>
      <c r="N144" s="77">
        <f t="shared" si="36"/>
        <v>2.5</v>
      </c>
      <c r="O144" s="77" t="str">
        <f t="shared" si="37"/>
        <v>violet</v>
      </c>
      <c r="P144" s="90" t="str">
        <f t="shared" si="38"/>
        <v>virginica</v>
      </c>
      <c r="Q144" s="43" t="str">
        <f t="shared" si="24"/>
        <v>virginica</v>
      </c>
      <c r="R144" s="77" cm="1">
        <f t="array" ref="R144">X$6*EstymacjaGaussowska($M144,$M$2:$M$49,X$12)*EstymacjaGaussowska($N144,$N$2:$N$49,X$13)*VLOOKUP($O144,$W$23:$AA$26,2)+Y$6*EstymacjaGaussowska($M144,$M$50:$M$90,Y$12)*EstymacjaGaussowska($N144,$N$50:$N$90,Y$13)*VLOOKUP($O144,$W$23:$AA$26,3)+Z$6*EstymacjaGaussowska($M144,$M$91:$M$151,Z$12)*EstymacjaGaussowska($N144,$N$91:$N$151,Z$13)*VLOOKUP($O144,$W$23:$AA$26,4)</f>
        <v>4.1819462529589749E-2</v>
      </c>
      <c r="S144" s="77" cm="1">
        <f t="array" ref="S144">X$6*EstymacjaGaussowska($M144,$M$2:$M$49,X$12)*EstymacjaGaussowska($N144,$N$2:$N$49,X$13)*VLOOKUP($O144,$W$23:$AA$26,2)/$R144</f>
        <v>0</v>
      </c>
      <c r="T144" s="77" cm="1">
        <f t="array" ref="T144">Y$6*EstymacjaGaussowska($M144,$M$50:$M$90,Y$12)*EstymacjaGaussowska($N144,$N$50:$N$90,Y$13)*VLOOKUP($O144,$W$23:$AA$26,3)/$R144</f>
        <v>4.1306341981583532E-20</v>
      </c>
      <c r="U144" s="87" cm="1">
        <f t="array" ref="U144">Z$6*EstymacjaGaussowska($M144,$M$91:$M$151,Z$12)*EstymacjaGaussowska($N144,$N$91:$N$151,Z$13)*VLOOKUP($O144,$W$23:$AA$26,4)/$R144</f>
        <v>1</v>
      </c>
    </row>
    <row r="145" spans="1:21" x14ac:dyDescent="0.25">
      <c r="A145" s="78">
        <v>144</v>
      </c>
      <c r="B145" s="9">
        <v>6.8</v>
      </c>
      <c r="C145" s="3">
        <v>3.2</v>
      </c>
      <c r="D145" s="3">
        <v>5.9</v>
      </c>
      <c r="E145" s="8">
        <v>2.2999999999999998</v>
      </c>
      <c r="F145" s="9" t="s">
        <v>12</v>
      </c>
      <c r="G145" s="50" t="s">
        <v>7</v>
      </c>
      <c r="H145" s="84">
        <v>146</v>
      </c>
      <c r="I145" s="78">
        <v>144</v>
      </c>
      <c r="J145" s="79">
        <f t="shared" si="32"/>
        <v>2</v>
      </c>
      <c r="K145" s="43">
        <f t="shared" si="33"/>
        <v>6.7</v>
      </c>
      <c r="L145" s="77">
        <f t="shared" si="34"/>
        <v>3</v>
      </c>
      <c r="M145" s="77">
        <f t="shared" si="35"/>
        <v>5.2</v>
      </c>
      <c r="N145" s="77">
        <f t="shared" si="36"/>
        <v>2.2999999999999998</v>
      </c>
      <c r="O145" s="77" t="str">
        <f t="shared" si="37"/>
        <v>violet</v>
      </c>
      <c r="P145" s="90" t="str">
        <f t="shared" si="38"/>
        <v>virginica</v>
      </c>
      <c r="Q145" s="43" t="str">
        <f t="shared" si="24"/>
        <v>virginica</v>
      </c>
      <c r="R145" s="77" cm="1">
        <f t="array" ref="R145">X$6*EstymacjaGaussowska($M145,$M$2:$M$49,X$12)*EstymacjaGaussowska($N145,$N$2:$N$49,X$13)*VLOOKUP($O145,$W$23:$AA$26,2)+Y$6*EstymacjaGaussowska($M145,$M$50:$M$90,Y$12)*EstymacjaGaussowska($N145,$N$50:$N$90,Y$13)*VLOOKUP($O145,$W$23:$AA$26,3)+Z$6*EstymacjaGaussowska($M145,$M$91:$M$151,Z$12)*EstymacjaGaussowska($N145,$N$91:$N$151,Z$13)*VLOOKUP($O145,$W$23:$AA$26,4)</f>
        <v>0.10182991638907764</v>
      </c>
      <c r="S145" s="77" cm="1">
        <f t="array" ref="S145">X$6*EstymacjaGaussowska($M145,$M$2:$M$49,X$12)*EstymacjaGaussowska($N145,$N$2:$N$49,X$13)*VLOOKUP($O145,$W$23:$AA$26,2)/$R145</f>
        <v>0</v>
      </c>
      <c r="T145" s="77" cm="1">
        <f t="array" ref="T145">Y$6*EstymacjaGaussowska($M145,$M$50:$M$90,Y$12)*EstymacjaGaussowska($N145,$N$50:$N$90,Y$13)*VLOOKUP($O145,$W$23:$AA$26,3)/$R145</f>
        <v>2.1309493308285897E-11</v>
      </c>
      <c r="U145" s="87" cm="1">
        <f t="array" ref="U145">Z$6*EstymacjaGaussowska($M145,$M$91:$M$151,Z$12)*EstymacjaGaussowska($N145,$N$91:$N$151,Z$13)*VLOOKUP($O145,$W$23:$AA$26,4)/$R145</f>
        <v>0.99999999997869049</v>
      </c>
    </row>
    <row r="146" spans="1:21" x14ac:dyDescent="0.25">
      <c r="A146" s="78">
        <v>145</v>
      </c>
      <c r="B146" s="9">
        <v>6.7</v>
      </c>
      <c r="C146" s="3">
        <v>3.3</v>
      </c>
      <c r="D146" s="3">
        <v>5.7</v>
      </c>
      <c r="E146" s="8">
        <v>2.5</v>
      </c>
      <c r="F146" s="9" t="s">
        <v>12</v>
      </c>
      <c r="G146" s="50" t="s">
        <v>7</v>
      </c>
      <c r="H146" s="84">
        <v>146</v>
      </c>
      <c r="I146" s="78">
        <v>145</v>
      </c>
      <c r="J146" s="79">
        <f t="shared" si="32"/>
        <v>1</v>
      </c>
      <c r="K146" s="43">
        <f t="shared" si="33"/>
        <v>6.7</v>
      </c>
      <c r="L146" s="77">
        <f t="shared" si="34"/>
        <v>3</v>
      </c>
      <c r="M146" s="77">
        <f t="shared" si="35"/>
        <v>5.2</v>
      </c>
      <c r="N146" s="77">
        <f t="shared" si="36"/>
        <v>2.2999999999999998</v>
      </c>
      <c r="O146" s="77" t="str">
        <f t="shared" si="37"/>
        <v>violet</v>
      </c>
      <c r="P146" s="90" t="str">
        <f t="shared" si="38"/>
        <v>virginica</v>
      </c>
      <c r="Q146" s="43" t="str">
        <f t="shared" si="24"/>
        <v>virginica</v>
      </c>
      <c r="R146" s="77" cm="1">
        <f t="array" ref="R146">X$6*EstymacjaGaussowska($M146,$M$2:$M$49,X$12)*EstymacjaGaussowska($N146,$N$2:$N$49,X$13)*VLOOKUP($O146,$W$23:$AA$26,2)+Y$6*EstymacjaGaussowska($M146,$M$50:$M$90,Y$12)*EstymacjaGaussowska($N146,$N$50:$N$90,Y$13)*VLOOKUP($O146,$W$23:$AA$26,3)+Z$6*EstymacjaGaussowska($M146,$M$91:$M$151,Z$12)*EstymacjaGaussowska($N146,$N$91:$N$151,Z$13)*VLOOKUP($O146,$W$23:$AA$26,4)</f>
        <v>0.10182991638907764</v>
      </c>
      <c r="S146" s="77" cm="1">
        <f t="array" ref="S146">X$6*EstymacjaGaussowska($M146,$M$2:$M$49,X$12)*EstymacjaGaussowska($N146,$N$2:$N$49,X$13)*VLOOKUP($O146,$W$23:$AA$26,2)/$R146</f>
        <v>0</v>
      </c>
      <c r="T146" s="77" cm="1">
        <f t="array" ref="T146">Y$6*EstymacjaGaussowska($M146,$M$50:$M$90,Y$12)*EstymacjaGaussowska($N146,$N$50:$N$90,Y$13)*VLOOKUP($O146,$W$23:$AA$26,3)/$R146</f>
        <v>2.1309493308285897E-11</v>
      </c>
      <c r="U146" s="87" cm="1">
        <f t="array" ref="U146">Z$6*EstymacjaGaussowska($M146,$M$91:$M$151,Z$12)*EstymacjaGaussowska($N146,$N$91:$N$151,Z$13)*VLOOKUP($O146,$W$23:$AA$26,4)/$R146</f>
        <v>0.99999999997869049</v>
      </c>
    </row>
    <row r="147" spans="1:21" x14ac:dyDescent="0.25">
      <c r="A147" s="78">
        <v>146</v>
      </c>
      <c r="B147" s="9">
        <v>6.7</v>
      </c>
      <c r="C147" s="3">
        <v>3</v>
      </c>
      <c r="D147" s="3">
        <v>5.2</v>
      </c>
      <c r="E147" s="8">
        <v>2.2999999999999998</v>
      </c>
      <c r="F147" s="9" t="s">
        <v>12</v>
      </c>
      <c r="G147" s="50" t="s">
        <v>7</v>
      </c>
      <c r="H147" s="84">
        <v>147</v>
      </c>
      <c r="I147" s="78">
        <v>146</v>
      </c>
      <c r="J147" s="79">
        <f t="shared" si="32"/>
        <v>2</v>
      </c>
      <c r="K147" s="43">
        <f t="shared" si="33"/>
        <v>6.3</v>
      </c>
      <c r="L147" s="77">
        <f t="shared" si="34"/>
        <v>2.5</v>
      </c>
      <c r="M147" s="77">
        <f t="shared" si="35"/>
        <v>5</v>
      </c>
      <c r="N147" s="77">
        <f t="shared" si="36"/>
        <v>1.9</v>
      </c>
      <c r="O147" s="77" t="str">
        <f t="shared" si="37"/>
        <v>violet</v>
      </c>
      <c r="P147" s="90" t="str">
        <f t="shared" si="38"/>
        <v>virginica</v>
      </c>
      <c r="Q147" s="43" t="str">
        <f t="shared" si="24"/>
        <v>virginica</v>
      </c>
      <c r="R147" s="77" cm="1">
        <f t="array" ref="R147">X$6*EstymacjaGaussowska($M147,$M$2:$M$49,X$12)*EstymacjaGaussowska($N147,$N$2:$N$49,X$13)*VLOOKUP($O147,$W$23:$AA$26,2)+Y$6*EstymacjaGaussowska($M147,$M$50:$M$90,Y$12)*EstymacjaGaussowska($N147,$N$50:$N$90,Y$13)*VLOOKUP($O147,$W$23:$AA$26,3)+Z$6*EstymacjaGaussowska($M147,$M$91:$M$151,Z$12)*EstymacjaGaussowska($N147,$N$91:$N$151,Z$13)*VLOOKUP($O147,$W$23:$AA$26,4)</f>
        <v>0.13400781616586185</v>
      </c>
      <c r="S147" s="77" cm="1">
        <f t="array" ref="S147">X$6*EstymacjaGaussowska($M147,$M$2:$M$49,X$12)*EstymacjaGaussowska($N147,$N$2:$N$49,X$13)*VLOOKUP($O147,$W$23:$AA$26,2)/$R147</f>
        <v>0</v>
      </c>
      <c r="T147" s="77" cm="1">
        <f t="array" ref="T147">Y$6*EstymacjaGaussowska($M147,$M$50:$M$90,Y$12)*EstymacjaGaussowska($N147,$N$50:$N$90,Y$13)*VLOOKUP($O147,$W$23:$AA$26,3)/$R147</f>
        <v>6.877664815874149E-3</v>
      </c>
      <c r="U147" s="87" cm="1">
        <f t="array" ref="U147">Z$6*EstymacjaGaussowska($M147,$M$91:$M$151,Z$12)*EstymacjaGaussowska($N147,$N$91:$N$151,Z$13)*VLOOKUP($O147,$W$23:$AA$26,4)/$R147</f>
        <v>0.99312233518412585</v>
      </c>
    </row>
    <row r="148" spans="1:21" x14ac:dyDescent="0.25">
      <c r="A148" s="78">
        <v>147</v>
      </c>
      <c r="B148" s="9">
        <v>6.3</v>
      </c>
      <c r="C148" s="3">
        <v>2.5</v>
      </c>
      <c r="D148" s="3">
        <v>5</v>
      </c>
      <c r="E148" s="8">
        <v>1.9</v>
      </c>
      <c r="F148" s="9" t="s">
        <v>12</v>
      </c>
      <c r="G148" s="50" t="s">
        <v>7</v>
      </c>
      <c r="H148" s="84">
        <v>147</v>
      </c>
      <c r="I148" s="78">
        <v>147</v>
      </c>
      <c r="J148" s="79">
        <f t="shared" si="32"/>
        <v>2</v>
      </c>
      <c r="K148" s="43">
        <f t="shared" si="33"/>
        <v>6.3</v>
      </c>
      <c r="L148" s="77">
        <f t="shared" si="34"/>
        <v>2.5</v>
      </c>
      <c r="M148" s="77">
        <f t="shared" si="35"/>
        <v>5</v>
      </c>
      <c r="N148" s="77">
        <f t="shared" si="36"/>
        <v>1.9</v>
      </c>
      <c r="O148" s="77" t="str">
        <f t="shared" si="37"/>
        <v>violet</v>
      </c>
      <c r="P148" s="90" t="str">
        <f t="shared" si="38"/>
        <v>virginica</v>
      </c>
      <c r="Q148" s="43" t="str">
        <f t="shared" si="24"/>
        <v>virginica</v>
      </c>
      <c r="R148" s="77" cm="1">
        <f t="array" ref="R148">X$6*EstymacjaGaussowska($M148,$M$2:$M$49,X$12)*EstymacjaGaussowska($N148,$N$2:$N$49,X$13)*VLOOKUP($O148,$W$23:$AA$26,2)+Y$6*EstymacjaGaussowska($M148,$M$50:$M$90,Y$12)*EstymacjaGaussowska($N148,$N$50:$N$90,Y$13)*VLOOKUP($O148,$W$23:$AA$26,3)+Z$6*EstymacjaGaussowska($M148,$M$91:$M$151,Z$12)*EstymacjaGaussowska($N148,$N$91:$N$151,Z$13)*VLOOKUP($O148,$W$23:$AA$26,4)</f>
        <v>0.13400781616586185</v>
      </c>
      <c r="S148" s="77" cm="1">
        <f t="array" ref="S148">X$6*EstymacjaGaussowska($M148,$M$2:$M$49,X$12)*EstymacjaGaussowska($N148,$N$2:$N$49,X$13)*VLOOKUP($O148,$W$23:$AA$26,2)/$R148</f>
        <v>0</v>
      </c>
      <c r="T148" s="77" cm="1">
        <f t="array" ref="T148">Y$6*EstymacjaGaussowska($M148,$M$50:$M$90,Y$12)*EstymacjaGaussowska($N148,$N$50:$N$90,Y$13)*VLOOKUP($O148,$W$23:$AA$26,3)/$R148</f>
        <v>6.877664815874149E-3</v>
      </c>
      <c r="U148" s="87" cm="1">
        <f t="array" ref="U148">Z$6*EstymacjaGaussowska($M148,$M$91:$M$151,Z$12)*EstymacjaGaussowska($N148,$N$91:$N$151,Z$13)*VLOOKUP($O148,$W$23:$AA$26,4)/$R148</f>
        <v>0.99312233518412585</v>
      </c>
    </row>
    <row r="149" spans="1:21" x14ac:dyDescent="0.25">
      <c r="A149" s="78">
        <v>148</v>
      </c>
      <c r="B149" s="9">
        <v>6.5</v>
      </c>
      <c r="C149" s="3">
        <v>3</v>
      </c>
      <c r="D149" s="3">
        <v>5.2</v>
      </c>
      <c r="E149" s="8">
        <v>2</v>
      </c>
      <c r="F149" s="9" t="s">
        <v>12</v>
      </c>
      <c r="G149" s="50" t="s">
        <v>7</v>
      </c>
      <c r="H149" s="84">
        <v>148</v>
      </c>
      <c r="I149" s="78">
        <v>148</v>
      </c>
      <c r="J149" s="79">
        <f t="shared" si="32"/>
        <v>2</v>
      </c>
      <c r="K149" s="43">
        <f t="shared" si="33"/>
        <v>6.5</v>
      </c>
      <c r="L149" s="77">
        <f t="shared" si="34"/>
        <v>3</v>
      </c>
      <c r="M149" s="77">
        <f t="shared" si="35"/>
        <v>5.2</v>
      </c>
      <c r="N149" s="77">
        <f t="shared" si="36"/>
        <v>2</v>
      </c>
      <c r="O149" s="77" t="str">
        <f t="shared" si="37"/>
        <v>violet</v>
      </c>
      <c r="P149" s="90" t="str">
        <f t="shared" si="38"/>
        <v>virginica</v>
      </c>
      <c r="Q149" s="43" t="str">
        <f t="shared" si="24"/>
        <v>virginica</v>
      </c>
      <c r="R149" s="77" cm="1">
        <f t="array" ref="R149">X$6*EstymacjaGaussowska($M149,$M$2:$M$49,X$12)*EstymacjaGaussowska($N149,$N$2:$N$49,X$13)*VLOOKUP($O149,$W$23:$AA$26,2)+Y$6*EstymacjaGaussowska($M149,$M$50:$M$90,Y$12)*EstymacjaGaussowska($N149,$N$50:$N$90,Y$13)*VLOOKUP($O149,$W$23:$AA$26,3)+Z$6*EstymacjaGaussowska($M149,$M$91:$M$151,Z$12)*EstymacjaGaussowska($N149,$N$91:$N$151,Z$13)*VLOOKUP($O149,$W$23:$AA$26,4)</f>
        <v>0.16543840159088932</v>
      </c>
      <c r="S149" s="77" cm="1">
        <f t="array" ref="S149">X$6*EstymacjaGaussowska($M149,$M$2:$M$49,X$12)*EstymacjaGaussowska($N149,$N$2:$N$49,X$13)*VLOOKUP($O149,$W$23:$AA$26,2)/$R149</f>
        <v>0</v>
      </c>
      <c r="T149" s="77" cm="1">
        <f t="array" ref="T149">Y$6*EstymacjaGaussowska($M149,$M$50:$M$90,Y$12)*EstymacjaGaussowska($N149,$N$50:$N$90,Y$13)*VLOOKUP($O149,$W$23:$AA$26,3)/$R149</f>
        <v>1.180996515352536E-4</v>
      </c>
      <c r="U149" s="87" cm="1">
        <f t="array" ref="U149">Z$6*EstymacjaGaussowska($M149,$M$91:$M$151,Z$12)*EstymacjaGaussowska($N149,$N$91:$N$151,Z$13)*VLOOKUP($O149,$W$23:$AA$26,4)/$R149</f>
        <v>0.99988190034846469</v>
      </c>
    </row>
    <row r="150" spans="1:21" x14ac:dyDescent="0.25">
      <c r="A150" s="78">
        <v>149</v>
      </c>
      <c r="B150" s="9">
        <v>6.2</v>
      </c>
      <c r="C150" s="3">
        <v>3.4</v>
      </c>
      <c r="D150" s="3">
        <v>5.4</v>
      </c>
      <c r="E150" s="8">
        <v>2.2999999999999998</v>
      </c>
      <c r="F150" s="9" t="s">
        <v>12</v>
      </c>
      <c r="G150" s="50" t="s">
        <v>7</v>
      </c>
      <c r="H150" s="84">
        <v>148</v>
      </c>
      <c r="I150" s="78">
        <v>149</v>
      </c>
      <c r="J150" s="79">
        <f t="shared" si="32"/>
        <v>0</v>
      </c>
      <c r="K150" s="43">
        <f t="shared" si="33"/>
        <v>6.5</v>
      </c>
      <c r="L150" s="77">
        <f t="shared" si="34"/>
        <v>3</v>
      </c>
      <c r="M150" s="77">
        <f t="shared" si="35"/>
        <v>5.2</v>
      </c>
      <c r="N150" s="77">
        <f t="shared" si="36"/>
        <v>2</v>
      </c>
      <c r="O150" s="77" t="str">
        <f t="shared" si="37"/>
        <v>violet</v>
      </c>
      <c r="P150" s="90" t="str">
        <f t="shared" si="38"/>
        <v>virginica</v>
      </c>
      <c r="Q150" s="43" t="str">
        <f t="shared" si="24"/>
        <v>virginica</v>
      </c>
      <c r="R150" s="77" cm="1">
        <f t="array" ref="R150">X$6*EstymacjaGaussowska($M150,$M$2:$M$49,X$12)*EstymacjaGaussowska($N150,$N$2:$N$49,X$13)*VLOOKUP($O150,$W$23:$AA$26,2)+Y$6*EstymacjaGaussowska($M150,$M$50:$M$90,Y$12)*EstymacjaGaussowska($N150,$N$50:$N$90,Y$13)*VLOOKUP($O150,$W$23:$AA$26,3)+Z$6*EstymacjaGaussowska($M150,$M$91:$M$151,Z$12)*EstymacjaGaussowska($N150,$N$91:$N$151,Z$13)*VLOOKUP($O150,$W$23:$AA$26,4)</f>
        <v>0.16543840159088932</v>
      </c>
      <c r="S150" s="77" cm="1">
        <f t="array" ref="S150">X$6*EstymacjaGaussowska($M150,$M$2:$M$49,X$12)*EstymacjaGaussowska($N150,$N$2:$N$49,X$13)*VLOOKUP($O150,$W$23:$AA$26,2)/$R150</f>
        <v>0</v>
      </c>
      <c r="T150" s="77" cm="1">
        <f t="array" ref="T150">Y$6*EstymacjaGaussowska($M150,$M$50:$M$90,Y$12)*EstymacjaGaussowska($N150,$N$50:$N$90,Y$13)*VLOOKUP($O150,$W$23:$AA$26,3)/$R150</f>
        <v>1.180996515352536E-4</v>
      </c>
      <c r="U150" s="87" cm="1">
        <f t="array" ref="U150">Z$6*EstymacjaGaussowska($M150,$M$91:$M$151,Z$12)*EstymacjaGaussowska($N150,$N$91:$N$151,Z$13)*VLOOKUP($O150,$W$23:$AA$26,4)/$R150</f>
        <v>0.99988190034846469</v>
      </c>
    </row>
    <row r="151" spans="1:21" ht="15.75" thickBot="1" x14ac:dyDescent="0.3">
      <c r="A151" s="86">
        <v>150</v>
      </c>
      <c r="B151" s="11">
        <v>5.9</v>
      </c>
      <c r="C151" s="10">
        <v>3</v>
      </c>
      <c r="D151" s="10">
        <v>5.0999999999999996</v>
      </c>
      <c r="E151" s="12">
        <v>1.8</v>
      </c>
      <c r="F151" s="11" t="s">
        <v>14</v>
      </c>
      <c r="G151" s="51" t="s">
        <v>7</v>
      </c>
      <c r="H151" s="85">
        <v>150</v>
      </c>
      <c r="I151" s="86">
        <v>150</v>
      </c>
      <c r="J151" s="81">
        <f t="shared" si="32"/>
        <v>1</v>
      </c>
      <c r="K151" s="44">
        <f t="shared" si="33"/>
        <v>5.9</v>
      </c>
      <c r="L151" s="88">
        <f t="shared" si="34"/>
        <v>3</v>
      </c>
      <c r="M151" s="88">
        <f t="shared" si="35"/>
        <v>5.0999999999999996</v>
      </c>
      <c r="N151" s="88">
        <f t="shared" si="36"/>
        <v>1.8</v>
      </c>
      <c r="O151" s="88" t="str">
        <f t="shared" si="37"/>
        <v>yellow</v>
      </c>
      <c r="P151" s="91" t="str">
        <f t="shared" si="38"/>
        <v>virginica</v>
      </c>
      <c r="Q151" s="44" t="str">
        <f t="shared" si="24"/>
        <v>virginica</v>
      </c>
      <c r="R151" s="88" cm="1">
        <f t="array" ref="R151">X$6*EstymacjaGaussowska($M151,$M$2:$M$49,X$12)*EstymacjaGaussowska($N151,$N$2:$N$49,X$13)*VLOOKUP($O151,$W$23:$AA$26,2)+Y$6*EstymacjaGaussowska($M151,$M$50:$M$90,Y$12)*EstymacjaGaussowska($N151,$N$50:$N$90,Y$13)*VLOOKUP($O151,$W$23:$AA$26,3)+Z$6*EstymacjaGaussowska($M151,$M$91:$M$151,Z$12)*EstymacjaGaussowska($N151,$N$91:$N$151,Z$13)*VLOOKUP($O151,$W$23:$AA$26,4)</f>
        <v>8.0965041462000946E-3</v>
      </c>
      <c r="S151" s="88" cm="1">
        <f t="array" ref="S151">X$6*EstymacjaGaussowska($M151,$M$2:$M$49,X$12)*EstymacjaGaussowska($N151,$N$2:$N$49,X$13)*VLOOKUP($O151,$W$23:$AA$26,2)/$R151</f>
        <v>0</v>
      </c>
      <c r="T151" s="88" cm="1">
        <f t="array" ref="T151">Y$6*EstymacjaGaussowska($M151,$M$50:$M$90,Y$12)*EstymacjaGaussowska($N151,$N$50:$N$90,Y$13)*VLOOKUP($O151,$W$23:$AA$26,3)/$R151</f>
        <v>0.41393006176689573</v>
      </c>
      <c r="U151" s="89" cm="1">
        <f t="array" ref="U151">Z$6*EstymacjaGaussowska($M151,$M$91:$M$151,Z$12)*EstymacjaGaussowska($N151,$N$91:$N$151,Z$13)*VLOOKUP($O151,$W$23:$AA$26,4)/$R151</f>
        <v>0.58606993823310416</v>
      </c>
    </row>
    <row r="154" spans="1:21" x14ac:dyDescent="0.25">
      <c r="A154" s="77"/>
      <c r="H154" s="77"/>
      <c r="I154" s="77"/>
      <c r="J154" s="77"/>
      <c r="K154" s="77"/>
      <c r="L154" s="77"/>
      <c r="M154" s="77"/>
      <c r="N154" s="77"/>
      <c r="O154" s="77"/>
      <c r="P154" s="77"/>
    </row>
  </sheetData>
  <sortState xmlns:xlrd2="http://schemas.microsoft.com/office/spreadsheetml/2017/richdata2" ref="H2:H151">
    <sortCondition ref="H2:H151"/>
  </sortState>
  <mergeCells count="2">
    <mergeCell ref="W2:Y2"/>
    <mergeCell ref="W3:X3"/>
  </mergeCells>
  <conditionalFormatting sqref="W62">
    <cfRule type="colorScale" priority="11">
      <colorScale>
        <cfvo type="min"/>
        <cfvo type="max"/>
        <color rgb="FFFF7128"/>
        <color rgb="FFFFEF9C"/>
      </colorScale>
    </cfRule>
  </conditionalFormatting>
  <conditionalFormatting sqref="W24">
    <cfRule type="colorScale" priority="3">
      <colorScale>
        <cfvo type="min"/>
        <cfvo type="max"/>
        <color rgb="FFFF7128"/>
        <color rgb="FFFFEF9C"/>
      </colorScale>
    </cfRule>
  </conditionalFormatting>
  <conditionalFormatting sqref="AB52:AB105">
    <cfRule type="expression" dxfId="14" priority="136">
      <formula>($AB$20*N2Density(AB$1,$AA52,#REF!,#REF!)&gt;=MAX(#REF!*N2Density(AB$1,$AA52,#REF!,#REF!),AB$33*N2Density(AB$1,$AA52,$Z$17:$AA$17,$Z$15:$AA$16)))</formula>
    </cfRule>
    <cfRule type="expression" dxfId="13" priority="137">
      <formula>(#REF!*N2Density(AB$1,$AA52,#REF!,#REF!)&gt;=MAX($AB$20*N2Density(AB$1,$AA52,#REF!,#REF!),$AB$33*N2Density(AB$1,$AA52,$Z$17:$AA$17,$Z$15:$AA$16)))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9" operator="notContains" id="{DF44CA93-3ECA-48C4-B1B8-662E4F06EF91}">
            <xm:f>ISERROR(SEARCH($G$2,Q2))</xm:f>
            <xm:f>$G$2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Q2:Q49</xm:sqref>
        </x14:conditionalFormatting>
        <x14:conditionalFormatting xmlns:xm="http://schemas.microsoft.com/office/excel/2006/main">
          <x14:cfRule type="notContainsText" priority="2" operator="notContains" id="{A9E3C650-0625-40F4-ACF7-9059FF83F83D}">
            <xm:f>ISERROR(SEARCH($P$50,Q50))</xm:f>
            <xm:f>$P$50</xm:f>
            <x14:dxf>
              <fill>
                <patternFill>
                  <bgColor rgb="FFFF6969"/>
                </patternFill>
              </fill>
            </x14:dxf>
          </x14:cfRule>
          <xm:sqref>Q50:Q90</xm:sqref>
        </x14:conditionalFormatting>
        <x14:conditionalFormatting xmlns:xm="http://schemas.microsoft.com/office/excel/2006/main">
          <x14:cfRule type="notContainsText" priority="1" operator="notContains" id="{424DE449-B007-4465-ABF6-6458BB97AC04}">
            <xm:f>ISERROR(SEARCH($P$91,Q91))</xm:f>
            <xm:f>$P$91</xm:f>
            <x14:dxf>
              <fill>
                <patternFill>
                  <fgColor rgb="FFFF6969"/>
                  <bgColor rgb="FFFF6D6D"/>
                </patternFill>
              </fill>
            </x14:dxf>
          </x14:cfRule>
          <xm:sqref>Q91:Q151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4A08F-F3E8-4BD5-A10F-53014EBCD35D}">
  <sheetPr codeName="Arkusz3"/>
  <dimension ref="A1:N158"/>
  <sheetViews>
    <sheetView topLeftCell="A110" workbookViewId="0">
      <selection activeCell="F154" sqref="F154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6" max="7" width="9.7109375" bestFit="1" customWidth="1"/>
    <col min="8" max="8" width="9.85546875" bestFit="1" customWidth="1"/>
    <col min="10" max="10" width="9.7109375" bestFit="1" customWidth="1"/>
    <col min="12" max="12" width="9.140625" style="4"/>
    <col min="13" max="13" width="9.7109375" bestFit="1" customWidth="1"/>
  </cols>
  <sheetData>
    <row r="1" spans="1:12" ht="15.75" thickBot="1" x14ac:dyDescent="0.3">
      <c r="A1" s="16" t="s">
        <v>0</v>
      </c>
      <c r="B1" s="17" t="s">
        <v>1</v>
      </c>
      <c r="C1" s="17" t="s">
        <v>2</v>
      </c>
      <c r="D1" s="18" t="s">
        <v>3</v>
      </c>
      <c r="E1" s="2" t="s">
        <v>10</v>
      </c>
      <c r="F1" s="19" t="s">
        <v>4</v>
      </c>
      <c r="G1" s="68" t="s">
        <v>49</v>
      </c>
      <c r="H1" s="69" t="s">
        <v>50</v>
      </c>
      <c r="I1" s="69" t="s">
        <v>51</v>
      </c>
      <c r="J1" s="69" t="s">
        <v>52</v>
      </c>
      <c r="K1" s="69" t="s">
        <v>53</v>
      </c>
      <c r="L1" s="70" t="s">
        <v>72</v>
      </c>
    </row>
    <row r="2" spans="1:12" x14ac:dyDescent="0.25">
      <c r="A2" s="9">
        <v>5.0999999999999996</v>
      </c>
      <c r="B2" s="3">
        <v>3.5</v>
      </c>
      <c r="C2" s="3">
        <v>1.4</v>
      </c>
      <c r="D2" s="8">
        <v>0.2</v>
      </c>
      <c r="E2" s="14" t="s">
        <v>11</v>
      </c>
      <c r="F2" s="49" t="s">
        <v>5</v>
      </c>
      <c r="G2" s="71">
        <f>SQRT(SUMSQ(H2:L2))</f>
        <v>3.1539616447085415</v>
      </c>
      <c r="H2" s="72">
        <f>(A2-A$157)/A$154</f>
        <v>-0.96610641707277545</v>
      </c>
      <c r="I2" s="72">
        <f>(B2-B$157)/B$154</f>
        <v>0.45885632110557295</v>
      </c>
      <c r="J2" s="72">
        <f t="shared" ref="J2:J33" si="0">(C2-C$157)/C$154</f>
        <v>-1.9826678201210053</v>
      </c>
      <c r="K2" s="72">
        <f t="shared" ref="K2:K33" si="1">(D2-D$157)/D$154</f>
        <v>-1.9678901490737466</v>
      </c>
      <c r="L2" s="73">
        <f>IF(E2=$E$157,1,0)</f>
        <v>1</v>
      </c>
    </row>
    <row r="3" spans="1:12" x14ac:dyDescent="0.25">
      <c r="A3" s="9">
        <v>4.9000000000000004</v>
      </c>
      <c r="B3" s="3">
        <v>3</v>
      </c>
      <c r="C3" s="3">
        <v>1.4</v>
      </c>
      <c r="D3" s="8">
        <v>0.2</v>
      </c>
      <c r="E3" s="14" t="s">
        <v>11</v>
      </c>
      <c r="F3" s="50" t="s">
        <v>5</v>
      </c>
      <c r="G3" s="14">
        <f t="shared" ref="G3:G66" si="2">SQRT(SUMSQ(H3:L3))</f>
        <v>3.276534200293002</v>
      </c>
      <c r="H3" s="52">
        <f t="shared" ref="H3:H33" si="3">(A3-A$157)/A$154</f>
        <v>-1.2076330213409683</v>
      </c>
      <c r="I3" s="52">
        <f t="shared" ref="I3:I33" si="4">(B3-B$157)/B$154</f>
        <v>-0.68828448165835843</v>
      </c>
      <c r="J3" s="52">
        <f t="shared" si="0"/>
        <v>-1.9826678201210053</v>
      </c>
      <c r="K3" s="52">
        <f t="shared" si="1"/>
        <v>-1.9678901490737466</v>
      </c>
      <c r="L3" s="74">
        <f t="shared" ref="L3:L66" si="5">IF(E3=$E$157,1,0)</f>
        <v>1</v>
      </c>
    </row>
    <row r="4" spans="1:12" x14ac:dyDescent="0.25">
      <c r="A4" s="9">
        <v>4.7</v>
      </c>
      <c r="B4" s="3">
        <v>3.2</v>
      </c>
      <c r="C4" s="3">
        <v>1.3</v>
      </c>
      <c r="D4" s="8">
        <v>0.2</v>
      </c>
      <c r="E4" s="14" t="s">
        <v>11</v>
      </c>
      <c r="F4" s="50" t="s">
        <v>5</v>
      </c>
      <c r="G4" s="14">
        <f t="shared" si="2"/>
        <v>3.3442637657663958</v>
      </c>
      <c r="H4" s="52">
        <f t="shared" si="3"/>
        <v>-1.4491596256091621</v>
      </c>
      <c r="I4" s="52">
        <f t="shared" si="4"/>
        <v>-0.22942816055278545</v>
      </c>
      <c r="J4" s="52">
        <f t="shared" si="0"/>
        <v>-2.0393154721244628</v>
      </c>
      <c r="K4" s="52">
        <f t="shared" si="1"/>
        <v>-1.9678901490737466</v>
      </c>
      <c r="L4" s="74">
        <f t="shared" si="5"/>
        <v>1</v>
      </c>
    </row>
    <row r="5" spans="1:12" x14ac:dyDescent="0.25">
      <c r="A5" s="9">
        <v>4.5999999999999996</v>
      </c>
      <c r="B5" s="3">
        <v>3.1</v>
      </c>
      <c r="C5" s="3">
        <v>1.5</v>
      </c>
      <c r="D5" s="8">
        <v>0.2</v>
      </c>
      <c r="E5" s="14" t="s">
        <v>11</v>
      </c>
      <c r="F5" s="50" t="s">
        <v>5</v>
      </c>
      <c r="G5" s="14">
        <f t="shared" si="2"/>
        <v>3.355197825656417</v>
      </c>
      <c r="H5" s="52">
        <f t="shared" si="3"/>
        <v>-1.5699229277432596</v>
      </c>
      <c r="I5" s="52">
        <f t="shared" si="4"/>
        <v>-0.45885632110557195</v>
      </c>
      <c r="J5" s="52">
        <f t="shared" si="0"/>
        <v>-1.9260201681175479</v>
      </c>
      <c r="K5" s="52">
        <f t="shared" si="1"/>
        <v>-1.9678901490737466</v>
      </c>
      <c r="L5" s="74">
        <f t="shared" si="5"/>
        <v>1</v>
      </c>
    </row>
    <row r="6" spans="1:12" x14ac:dyDescent="0.25">
      <c r="A6" s="9">
        <v>5</v>
      </c>
      <c r="B6" s="3">
        <v>3.6</v>
      </c>
      <c r="C6" s="3">
        <v>1.4</v>
      </c>
      <c r="D6" s="8">
        <v>0.2</v>
      </c>
      <c r="E6" s="14" t="s">
        <v>11</v>
      </c>
      <c r="F6" s="50" t="s">
        <v>5</v>
      </c>
      <c r="G6" s="14">
        <f t="shared" si="2"/>
        <v>3.2339735060735131</v>
      </c>
      <c r="H6" s="52">
        <f t="shared" si="3"/>
        <v>-1.0868697192068717</v>
      </c>
      <c r="I6" s="52">
        <f t="shared" si="4"/>
        <v>0.68828448165835943</v>
      </c>
      <c r="J6" s="52">
        <f t="shared" si="0"/>
        <v>-1.9826678201210053</v>
      </c>
      <c r="K6" s="52">
        <f t="shared" si="1"/>
        <v>-1.9678901490737466</v>
      </c>
      <c r="L6" s="74">
        <f t="shared" si="5"/>
        <v>1</v>
      </c>
    </row>
    <row r="7" spans="1:12" x14ac:dyDescent="0.25">
      <c r="A7" s="9">
        <v>5.4</v>
      </c>
      <c r="B7" s="3">
        <v>3.9</v>
      </c>
      <c r="C7" s="3">
        <v>1.7</v>
      </c>
      <c r="D7" s="8">
        <v>0.4</v>
      </c>
      <c r="E7" s="14" t="s">
        <v>11</v>
      </c>
      <c r="F7" s="50" t="s">
        <v>5</v>
      </c>
      <c r="G7" s="14">
        <f t="shared" si="2"/>
        <v>3.0747771514379485</v>
      </c>
      <c r="H7" s="52">
        <f t="shared" si="3"/>
        <v>-0.60381651067048414</v>
      </c>
      <c r="I7" s="52">
        <f t="shared" si="4"/>
        <v>1.3765689633167177</v>
      </c>
      <c r="J7" s="52">
        <f t="shared" si="0"/>
        <v>-1.8127248641106333</v>
      </c>
      <c r="K7" s="52">
        <f t="shared" si="1"/>
        <v>-1.7055047958639133</v>
      </c>
      <c r="L7" s="74">
        <f t="shared" si="5"/>
        <v>1</v>
      </c>
    </row>
    <row r="8" spans="1:12" x14ac:dyDescent="0.25">
      <c r="A8" s="9">
        <v>4.5999999999999996</v>
      </c>
      <c r="B8" s="3">
        <v>3.4</v>
      </c>
      <c r="C8" s="3">
        <v>1.4</v>
      </c>
      <c r="D8" s="8">
        <v>0.3</v>
      </c>
      <c r="E8" s="14" t="s">
        <v>11</v>
      </c>
      <c r="F8" s="50" t="s">
        <v>5</v>
      </c>
      <c r="G8" s="14">
        <f t="shared" si="2"/>
        <v>3.28963897262684</v>
      </c>
      <c r="H8" s="52">
        <f t="shared" si="3"/>
        <v>-1.5699229277432596</v>
      </c>
      <c r="I8" s="52">
        <f t="shared" si="4"/>
        <v>0.22942816055278648</v>
      </c>
      <c r="J8" s="52">
        <f t="shared" si="0"/>
        <v>-1.9826678201210053</v>
      </c>
      <c r="K8" s="52">
        <f t="shared" si="1"/>
        <v>-1.8366974724688299</v>
      </c>
      <c r="L8" s="74">
        <f t="shared" si="5"/>
        <v>1</v>
      </c>
    </row>
    <row r="9" spans="1:12" x14ac:dyDescent="0.25">
      <c r="A9" s="9">
        <v>5</v>
      </c>
      <c r="B9" s="3">
        <v>3.4</v>
      </c>
      <c r="C9" s="3">
        <v>1.5</v>
      </c>
      <c r="D9" s="8">
        <v>0.2</v>
      </c>
      <c r="E9" s="14" t="s">
        <v>11</v>
      </c>
      <c r="F9" s="50" t="s">
        <v>5</v>
      </c>
      <c r="G9" s="14">
        <f t="shared" si="2"/>
        <v>3.1330605474839612</v>
      </c>
      <c r="H9" s="52">
        <f t="shared" si="3"/>
        <v>-1.0868697192068717</v>
      </c>
      <c r="I9" s="52">
        <f t="shared" si="4"/>
        <v>0.22942816055278648</v>
      </c>
      <c r="J9" s="52">
        <f t="shared" si="0"/>
        <v>-1.9260201681175479</v>
      </c>
      <c r="K9" s="52">
        <f t="shared" si="1"/>
        <v>-1.9678901490737466</v>
      </c>
      <c r="L9" s="74">
        <f t="shared" si="5"/>
        <v>1</v>
      </c>
    </row>
    <row r="10" spans="1:12" x14ac:dyDescent="0.25">
      <c r="A10" s="9">
        <v>4.4000000000000004</v>
      </c>
      <c r="B10" s="3">
        <v>2.9</v>
      </c>
      <c r="C10" s="3">
        <v>1.4</v>
      </c>
      <c r="D10" s="8">
        <v>0.2</v>
      </c>
      <c r="E10" s="14" t="s">
        <v>11</v>
      </c>
      <c r="F10" s="50" t="s">
        <v>5</v>
      </c>
      <c r="G10" s="14">
        <f t="shared" si="2"/>
        <v>3.5954289346979929</v>
      </c>
      <c r="H10" s="52">
        <f t="shared" si="3"/>
        <v>-1.8114495320114523</v>
      </c>
      <c r="I10" s="52">
        <f t="shared" si="4"/>
        <v>-0.9177126422111449</v>
      </c>
      <c r="J10" s="52">
        <f t="shared" si="0"/>
        <v>-1.9826678201210053</v>
      </c>
      <c r="K10" s="52">
        <f t="shared" si="1"/>
        <v>-1.9678901490737466</v>
      </c>
      <c r="L10" s="74">
        <f t="shared" si="5"/>
        <v>1</v>
      </c>
    </row>
    <row r="11" spans="1:12" x14ac:dyDescent="0.25">
      <c r="A11" s="9">
        <v>4.9000000000000004</v>
      </c>
      <c r="B11" s="3">
        <v>3.1</v>
      </c>
      <c r="C11" s="3">
        <v>1.5</v>
      </c>
      <c r="D11" s="8">
        <v>0.1</v>
      </c>
      <c r="E11" s="14" t="s">
        <v>11</v>
      </c>
      <c r="F11" s="50" t="s">
        <v>5</v>
      </c>
      <c r="G11" s="14">
        <f t="shared" si="2"/>
        <v>3.2839958944411491</v>
      </c>
      <c r="H11" s="52">
        <f t="shared" si="3"/>
        <v>-1.2076330213409683</v>
      </c>
      <c r="I11" s="52">
        <f t="shared" si="4"/>
        <v>-0.45885632110557195</v>
      </c>
      <c r="J11" s="52">
        <f t="shared" si="0"/>
        <v>-1.9260201681175479</v>
      </c>
      <c r="K11" s="52">
        <f t="shared" si="1"/>
        <v>-2.0990828256786629</v>
      </c>
      <c r="L11" s="74">
        <f t="shared" si="5"/>
        <v>1</v>
      </c>
    </row>
    <row r="12" spans="1:12" x14ac:dyDescent="0.25">
      <c r="A12" s="9">
        <v>5.4</v>
      </c>
      <c r="B12" s="3">
        <v>3.7</v>
      </c>
      <c r="C12" s="3">
        <v>1.5</v>
      </c>
      <c r="D12" s="8">
        <v>0.2</v>
      </c>
      <c r="E12" s="14" t="s">
        <v>11</v>
      </c>
      <c r="F12" s="50" t="s">
        <v>5</v>
      </c>
      <c r="G12" s="14">
        <f t="shared" si="2"/>
        <v>3.1287275686849885</v>
      </c>
      <c r="H12" s="52">
        <f t="shared" si="3"/>
        <v>-0.60381651067048414</v>
      </c>
      <c r="I12" s="52">
        <f t="shared" si="4"/>
        <v>0.9177126422111459</v>
      </c>
      <c r="J12" s="52">
        <f t="shared" si="0"/>
        <v>-1.9260201681175479</v>
      </c>
      <c r="K12" s="52">
        <f t="shared" si="1"/>
        <v>-1.9678901490737466</v>
      </c>
      <c r="L12" s="74">
        <f t="shared" si="5"/>
        <v>1</v>
      </c>
    </row>
    <row r="13" spans="1:12" x14ac:dyDescent="0.25">
      <c r="A13" s="9">
        <v>4.8</v>
      </c>
      <c r="B13" s="3">
        <v>3.4</v>
      </c>
      <c r="C13" s="3">
        <v>1.6</v>
      </c>
      <c r="D13" s="8">
        <v>0.2</v>
      </c>
      <c r="E13" s="14" t="s">
        <v>11</v>
      </c>
      <c r="F13" s="50" t="s">
        <v>5</v>
      </c>
      <c r="G13" s="14">
        <f t="shared" si="2"/>
        <v>3.1913037016086272</v>
      </c>
      <c r="H13" s="52">
        <f t="shared" si="3"/>
        <v>-1.3283963234750658</v>
      </c>
      <c r="I13" s="52">
        <f t="shared" si="4"/>
        <v>0.22942816055278648</v>
      </c>
      <c r="J13" s="52">
        <f t="shared" si="0"/>
        <v>-1.8693725161140906</v>
      </c>
      <c r="K13" s="52">
        <f t="shared" si="1"/>
        <v>-1.9678901490737466</v>
      </c>
      <c r="L13" s="74">
        <f t="shared" si="5"/>
        <v>1</v>
      </c>
    </row>
    <row r="14" spans="1:12" x14ac:dyDescent="0.25">
      <c r="A14" s="9">
        <v>4.8</v>
      </c>
      <c r="B14" s="3">
        <v>3</v>
      </c>
      <c r="C14" s="3">
        <v>1.4</v>
      </c>
      <c r="D14" s="8">
        <v>0.1</v>
      </c>
      <c r="E14" s="14" t="s">
        <v>11</v>
      </c>
      <c r="F14" s="50" t="s">
        <v>5</v>
      </c>
      <c r="G14" s="14">
        <f t="shared" si="2"/>
        <v>3.4022775774348992</v>
      </c>
      <c r="H14" s="52">
        <f t="shared" si="3"/>
        <v>-1.3283963234750658</v>
      </c>
      <c r="I14" s="52">
        <f t="shared" si="4"/>
        <v>-0.68828448165835843</v>
      </c>
      <c r="J14" s="52">
        <f t="shared" si="0"/>
        <v>-1.9826678201210053</v>
      </c>
      <c r="K14" s="52">
        <f t="shared" si="1"/>
        <v>-2.0990828256786629</v>
      </c>
      <c r="L14" s="74">
        <f t="shared" si="5"/>
        <v>1</v>
      </c>
    </row>
    <row r="15" spans="1:12" x14ac:dyDescent="0.25">
      <c r="A15" s="9">
        <v>4.3</v>
      </c>
      <c r="B15" s="3">
        <v>3</v>
      </c>
      <c r="C15" s="3">
        <v>1.1000000000000001</v>
      </c>
      <c r="D15" s="8">
        <v>0.1</v>
      </c>
      <c r="E15" s="14" t="s">
        <v>11</v>
      </c>
      <c r="F15" s="50" t="s">
        <v>5</v>
      </c>
      <c r="G15" s="14">
        <f t="shared" si="2"/>
        <v>3.7745282919464973</v>
      </c>
      <c r="H15" s="52">
        <f t="shared" si="3"/>
        <v>-1.9322128341455498</v>
      </c>
      <c r="I15" s="52">
        <f t="shared" si="4"/>
        <v>-0.68828448165835843</v>
      </c>
      <c r="J15" s="52">
        <f t="shared" si="0"/>
        <v>-2.1526107761313771</v>
      </c>
      <c r="K15" s="52">
        <f t="shared" si="1"/>
        <v>-2.0990828256786629</v>
      </c>
      <c r="L15" s="74">
        <f t="shared" si="5"/>
        <v>1</v>
      </c>
    </row>
    <row r="16" spans="1:12" x14ac:dyDescent="0.25">
      <c r="A16" s="9">
        <v>5.8</v>
      </c>
      <c r="B16" s="3">
        <v>4</v>
      </c>
      <c r="C16" s="3">
        <v>1.2</v>
      </c>
      <c r="D16" s="8">
        <v>0.2</v>
      </c>
      <c r="E16" s="14" t="s">
        <v>11</v>
      </c>
      <c r="F16" s="50" t="s">
        <v>5</v>
      </c>
      <c r="G16" s="14">
        <f t="shared" si="2"/>
        <v>3.4437571914327836</v>
      </c>
      <c r="H16" s="52">
        <f t="shared" si="3"/>
        <v>-0.12076330213409746</v>
      </c>
      <c r="I16" s="52">
        <f t="shared" si="4"/>
        <v>1.6059971238695043</v>
      </c>
      <c r="J16" s="52">
        <f t="shared" si="0"/>
        <v>-2.0959631241279197</v>
      </c>
      <c r="K16" s="52">
        <f t="shared" si="1"/>
        <v>-1.9678901490737466</v>
      </c>
      <c r="L16" s="74">
        <f t="shared" si="5"/>
        <v>1</v>
      </c>
    </row>
    <row r="17" spans="1:12" x14ac:dyDescent="0.25">
      <c r="A17" s="9">
        <v>5.7</v>
      </c>
      <c r="B17" s="3">
        <v>4.4000000000000004</v>
      </c>
      <c r="C17" s="3">
        <v>1.5</v>
      </c>
      <c r="D17" s="8">
        <v>0.4</v>
      </c>
      <c r="E17" s="14" t="s">
        <v>11</v>
      </c>
      <c r="F17" s="50" t="s">
        <v>5</v>
      </c>
      <c r="G17" s="14">
        <f t="shared" si="2"/>
        <v>3.7477655183709842</v>
      </c>
      <c r="H17" s="52">
        <f t="shared" si="3"/>
        <v>-0.24152660426819386</v>
      </c>
      <c r="I17" s="52">
        <f t="shared" si="4"/>
        <v>2.5237097660806502</v>
      </c>
      <c r="J17" s="52">
        <f t="shared" si="0"/>
        <v>-1.9260201681175479</v>
      </c>
      <c r="K17" s="52">
        <f t="shared" si="1"/>
        <v>-1.7055047958639133</v>
      </c>
      <c r="L17" s="74">
        <f t="shared" si="5"/>
        <v>1</v>
      </c>
    </row>
    <row r="18" spans="1:12" x14ac:dyDescent="0.25">
      <c r="A18" s="9">
        <v>5.4</v>
      </c>
      <c r="B18" s="3">
        <v>3.9</v>
      </c>
      <c r="C18" s="3">
        <v>1.3</v>
      </c>
      <c r="D18" s="8">
        <v>0.4</v>
      </c>
      <c r="E18" s="14" t="s">
        <v>11</v>
      </c>
      <c r="F18" s="50" t="s">
        <v>5</v>
      </c>
      <c r="G18" s="14">
        <f t="shared" si="2"/>
        <v>3.2135791094799848</v>
      </c>
      <c r="H18" s="52">
        <f t="shared" si="3"/>
        <v>-0.60381651067048414</v>
      </c>
      <c r="I18" s="52">
        <f t="shared" si="4"/>
        <v>1.3765689633167177</v>
      </c>
      <c r="J18" s="52">
        <f t="shared" si="0"/>
        <v>-2.0393154721244628</v>
      </c>
      <c r="K18" s="52">
        <f t="shared" si="1"/>
        <v>-1.7055047958639133</v>
      </c>
      <c r="L18" s="74">
        <f t="shared" si="5"/>
        <v>1</v>
      </c>
    </row>
    <row r="19" spans="1:12" x14ac:dyDescent="0.25">
      <c r="A19" s="9">
        <v>5.0999999999999996</v>
      </c>
      <c r="B19" s="3">
        <v>3.5</v>
      </c>
      <c r="C19" s="3">
        <v>1.4</v>
      </c>
      <c r="D19" s="8">
        <v>0.3</v>
      </c>
      <c r="E19" s="14" t="s">
        <v>11</v>
      </c>
      <c r="F19" s="50" t="s">
        <v>5</v>
      </c>
      <c r="G19" s="14">
        <f t="shared" si="2"/>
        <v>3.0738152226255409</v>
      </c>
      <c r="H19" s="52">
        <f t="shared" si="3"/>
        <v>-0.96610641707277545</v>
      </c>
      <c r="I19" s="52">
        <f t="shared" si="4"/>
        <v>0.45885632110557295</v>
      </c>
      <c r="J19" s="52">
        <f t="shared" si="0"/>
        <v>-1.9826678201210053</v>
      </c>
      <c r="K19" s="52">
        <f t="shared" si="1"/>
        <v>-1.8366974724688299</v>
      </c>
      <c r="L19" s="74">
        <f t="shared" si="5"/>
        <v>1</v>
      </c>
    </row>
    <row r="20" spans="1:12" x14ac:dyDescent="0.25">
      <c r="A20" s="9">
        <v>5.7</v>
      </c>
      <c r="B20" s="3">
        <v>3.8</v>
      </c>
      <c r="C20" s="3">
        <v>1.7</v>
      </c>
      <c r="D20" s="8">
        <v>0.3</v>
      </c>
      <c r="E20" s="14" t="s">
        <v>11</v>
      </c>
      <c r="F20" s="50" t="s">
        <v>5</v>
      </c>
      <c r="G20" s="14">
        <f t="shared" si="2"/>
        <v>3.0056107799037295</v>
      </c>
      <c r="H20" s="52">
        <f t="shared" si="3"/>
        <v>-0.24152660426819386</v>
      </c>
      <c r="I20" s="52">
        <f t="shared" si="4"/>
        <v>1.1471408027639314</v>
      </c>
      <c r="J20" s="52">
        <f t="shared" si="0"/>
        <v>-1.8127248641106333</v>
      </c>
      <c r="K20" s="52">
        <f t="shared" si="1"/>
        <v>-1.8366974724688299</v>
      </c>
      <c r="L20" s="74">
        <f t="shared" si="5"/>
        <v>1</v>
      </c>
    </row>
    <row r="21" spans="1:12" x14ac:dyDescent="0.25">
      <c r="A21" s="9">
        <v>5.0999999999999996</v>
      </c>
      <c r="B21" s="3">
        <v>3.8</v>
      </c>
      <c r="C21" s="3">
        <v>1.5</v>
      </c>
      <c r="D21" s="8">
        <v>0.3</v>
      </c>
      <c r="E21" s="14" t="s">
        <v>11</v>
      </c>
      <c r="F21" s="50" t="s">
        <v>5</v>
      </c>
      <c r="G21" s="14">
        <f t="shared" si="2"/>
        <v>3.2143902880397097</v>
      </c>
      <c r="H21" s="52">
        <f t="shared" si="3"/>
        <v>-0.96610641707277545</v>
      </c>
      <c r="I21" s="52">
        <f t="shared" si="4"/>
        <v>1.1471408027639314</v>
      </c>
      <c r="J21" s="52">
        <f t="shared" si="0"/>
        <v>-1.9260201681175479</v>
      </c>
      <c r="K21" s="52">
        <f t="shared" si="1"/>
        <v>-1.8366974724688299</v>
      </c>
      <c r="L21" s="74">
        <f t="shared" si="5"/>
        <v>1</v>
      </c>
    </row>
    <row r="22" spans="1:12" x14ac:dyDescent="0.25">
      <c r="A22" s="9">
        <v>5.4</v>
      </c>
      <c r="B22" s="3">
        <v>3.4</v>
      </c>
      <c r="C22" s="3">
        <v>1.7</v>
      </c>
      <c r="D22" s="8">
        <v>0.2</v>
      </c>
      <c r="E22" s="14" t="s">
        <v>11</v>
      </c>
      <c r="F22" s="50" t="s">
        <v>5</v>
      </c>
      <c r="G22" s="14">
        <f t="shared" si="2"/>
        <v>2.9284457876490251</v>
      </c>
      <c r="H22" s="52">
        <f t="shared" si="3"/>
        <v>-0.60381651067048414</v>
      </c>
      <c r="I22" s="52">
        <f t="shared" si="4"/>
        <v>0.22942816055278648</v>
      </c>
      <c r="J22" s="52">
        <f t="shared" si="0"/>
        <v>-1.8127248641106333</v>
      </c>
      <c r="K22" s="52">
        <f t="shared" si="1"/>
        <v>-1.9678901490737466</v>
      </c>
      <c r="L22" s="74">
        <f t="shared" si="5"/>
        <v>1</v>
      </c>
    </row>
    <row r="23" spans="1:12" x14ac:dyDescent="0.25">
      <c r="A23" s="9">
        <v>5.0999999999999996</v>
      </c>
      <c r="B23" s="3">
        <v>3.7</v>
      </c>
      <c r="C23" s="3">
        <v>1.5</v>
      </c>
      <c r="D23" s="8">
        <v>0.4</v>
      </c>
      <c r="E23" s="14" t="s">
        <v>11</v>
      </c>
      <c r="F23" s="50" t="s">
        <v>5</v>
      </c>
      <c r="G23" s="14">
        <f t="shared" si="2"/>
        <v>3.0649401950925101</v>
      </c>
      <c r="H23" s="52">
        <f t="shared" si="3"/>
        <v>-0.96610641707277545</v>
      </c>
      <c r="I23" s="52">
        <f t="shared" si="4"/>
        <v>0.9177126422111459</v>
      </c>
      <c r="J23" s="52">
        <f t="shared" si="0"/>
        <v>-1.9260201681175479</v>
      </c>
      <c r="K23" s="52">
        <f t="shared" si="1"/>
        <v>-1.7055047958639133</v>
      </c>
      <c r="L23" s="74">
        <f t="shared" si="5"/>
        <v>1</v>
      </c>
    </row>
    <row r="24" spans="1:12" x14ac:dyDescent="0.25">
      <c r="A24" s="9">
        <v>4.5999999999999996</v>
      </c>
      <c r="B24" s="3">
        <v>3.6</v>
      </c>
      <c r="C24" s="3">
        <v>1</v>
      </c>
      <c r="D24" s="8">
        <v>0.2</v>
      </c>
      <c r="E24" s="14" t="s">
        <v>12</v>
      </c>
      <c r="F24" s="50" t="s">
        <v>5</v>
      </c>
      <c r="G24" s="14">
        <f t="shared" si="2"/>
        <v>3.4193285843644765</v>
      </c>
      <c r="H24" s="52">
        <f t="shared" si="3"/>
        <v>-1.5699229277432596</v>
      </c>
      <c r="I24" s="52">
        <f t="shared" si="4"/>
        <v>0.68828448165835943</v>
      </c>
      <c r="J24" s="52">
        <f t="shared" si="0"/>
        <v>-2.2092584281348344</v>
      </c>
      <c r="K24" s="52">
        <f t="shared" si="1"/>
        <v>-1.9678901490737466</v>
      </c>
      <c r="L24" s="74">
        <f t="shared" si="5"/>
        <v>0</v>
      </c>
    </row>
    <row r="25" spans="1:12" x14ac:dyDescent="0.25">
      <c r="A25" s="9">
        <v>5.0999999999999996</v>
      </c>
      <c r="B25" s="3">
        <v>3.3</v>
      </c>
      <c r="C25" s="3">
        <v>1.7</v>
      </c>
      <c r="D25" s="8">
        <v>0.5</v>
      </c>
      <c r="E25" s="14" t="s">
        <v>12</v>
      </c>
      <c r="F25" s="50" t="s">
        <v>5</v>
      </c>
      <c r="G25" s="14">
        <f t="shared" si="2"/>
        <v>2.5880092138398316</v>
      </c>
      <c r="H25" s="52">
        <f t="shared" si="3"/>
        <v>-0.96610641707277545</v>
      </c>
      <c r="I25" s="52">
        <f t="shared" si="4"/>
        <v>0</v>
      </c>
      <c r="J25" s="52">
        <f t="shared" si="0"/>
        <v>-1.8127248641106333</v>
      </c>
      <c r="K25" s="52">
        <f t="shared" si="1"/>
        <v>-1.5743121192589971</v>
      </c>
      <c r="L25" s="74">
        <f t="shared" si="5"/>
        <v>0</v>
      </c>
    </row>
    <row r="26" spans="1:12" x14ac:dyDescent="0.25">
      <c r="A26" s="9">
        <v>4.8</v>
      </c>
      <c r="B26" s="3">
        <v>3.4</v>
      </c>
      <c r="C26" s="3">
        <v>1.9</v>
      </c>
      <c r="D26" s="8">
        <v>0.2</v>
      </c>
      <c r="E26" s="14" t="s">
        <v>12</v>
      </c>
      <c r="F26" s="50" t="s">
        <v>5</v>
      </c>
      <c r="G26" s="14">
        <f t="shared" si="2"/>
        <v>2.9288097482855591</v>
      </c>
      <c r="H26" s="52">
        <f t="shared" si="3"/>
        <v>-1.3283963234750658</v>
      </c>
      <c r="I26" s="52">
        <f t="shared" si="4"/>
        <v>0.22942816055278648</v>
      </c>
      <c r="J26" s="52">
        <f t="shared" si="0"/>
        <v>-1.6994295601037188</v>
      </c>
      <c r="K26" s="52">
        <f t="shared" si="1"/>
        <v>-1.9678901490737466</v>
      </c>
      <c r="L26" s="74">
        <f t="shared" si="5"/>
        <v>0</v>
      </c>
    </row>
    <row r="27" spans="1:12" x14ac:dyDescent="0.25">
      <c r="A27" s="9">
        <v>5</v>
      </c>
      <c r="B27" s="3">
        <v>3</v>
      </c>
      <c r="C27" s="3">
        <v>1.6</v>
      </c>
      <c r="D27" s="8">
        <v>0.2</v>
      </c>
      <c r="E27" s="14" t="s">
        <v>12</v>
      </c>
      <c r="F27" s="50" t="s">
        <v>5</v>
      </c>
      <c r="G27" s="14">
        <f t="shared" si="2"/>
        <v>3.0036921541737196</v>
      </c>
      <c r="H27" s="52">
        <f t="shared" si="3"/>
        <v>-1.0868697192068717</v>
      </c>
      <c r="I27" s="52">
        <f t="shared" si="4"/>
        <v>-0.68828448165835843</v>
      </c>
      <c r="J27" s="52">
        <f t="shared" si="0"/>
        <v>-1.8693725161140906</v>
      </c>
      <c r="K27" s="52">
        <f t="shared" si="1"/>
        <v>-1.9678901490737466</v>
      </c>
      <c r="L27" s="74">
        <f t="shared" si="5"/>
        <v>0</v>
      </c>
    </row>
    <row r="28" spans="1:12" x14ac:dyDescent="0.25">
      <c r="A28" s="9">
        <v>5</v>
      </c>
      <c r="B28" s="3">
        <v>3.4</v>
      </c>
      <c r="C28" s="3">
        <v>1.6</v>
      </c>
      <c r="D28" s="8">
        <v>0.4</v>
      </c>
      <c r="E28" s="14" t="s">
        <v>12</v>
      </c>
      <c r="F28" s="50" t="s">
        <v>5</v>
      </c>
      <c r="G28" s="14">
        <f t="shared" si="2"/>
        <v>2.7635526555687324</v>
      </c>
      <c r="H28" s="52">
        <f t="shared" si="3"/>
        <v>-1.0868697192068717</v>
      </c>
      <c r="I28" s="52">
        <f t="shared" si="4"/>
        <v>0.22942816055278648</v>
      </c>
      <c r="J28" s="52">
        <f t="shared" si="0"/>
        <v>-1.8693725161140906</v>
      </c>
      <c r="K28" s="52">
        <f t="shared" si="1"/>
        <v>-1.7055047958639133</v>
      </c>
      <c r="L28" s="74">
        <f t="shared" si="5"/>
        <v>0</v>
      </c>
    </row>
    <row r="29" spans="1:12" x14ac:dyDescent="0.25">
      <c r="A29" s="9">
        <v>5.2</v>
      </c>
      <c r="B29" s="3">
        <v>3.5</v>
      </c>
      <c r="C29" s="3">
        <v>1.5</v>
      </c>
      <c r="D29" s="8">
        <v>0.2</v>
      </c>
      <c r="E29" s="14" t="s">
        <v>12</v>
      </c>
      <c r="F29" s="50" t="s">
        <v>5</v>
      </c>
      <c r="G29" s="14">
        <f t="shared" si="2"/>
        <v>2.9167275210773131</v>
      </c>
      <c r="H29" s="52">
        <f t="shared" si="3"/>
        <v>-0.84534311493867798</v>
      </c>
      <c r="I29" s="52">
        <f t="shared" si="4"/>
        <v>0.45885632110557295</v>
      </c>
      <c r="J29" s="52">
        <f t="shared" si="0"/>
        <v>-1.9260201681175479</v>
      </c>
      <c r="K29" s="52">
        <f t="shared" si="1"/>
        <v>-1.9678901490737466</v>
      </c>
      <c r="L29" s="74">
        <f t="shared" si="5"/>
        <v>0</v>
      </c>
    </row>
    <row r="30" spans="1:12" x14ac:dyDescent="0.25">
      <c r="A30" s="9">
        <v>5.2</v>
      </c>
      <c r="B30" s="3">
        <v>3.4</v>
      </c>
      <c r="C30" s="3">
        <v>1.4</v>
      </c>
      <c r="D30" s="8">
        <v>0.2</v>
      </c>
      <c r="E30" s="14" t="s">
        <v>12</v>
      </c>
      <c r="F30" s="50" t="s">
        <v>5</v>
      </c>
      <c r="G30" s="14">
        <f t="shared" si="2"/>
        <v>2.9275938219967834</v>
      </c>
      <c r="H30" s="52">
        <f t="shared" si="3"/>
        <v>-0.84534311493867798</v>
      </c>
      <c r="I30" s="52">
        <f t="shared" si="4"/>
        <v>0.22942816055278648</v>
      </c>
      <c r="J30" s="52">
        <f t="shared" si="0"/>
        <v>-1.9826678201210053</v>
      </c>
      <c r="K30" s="52">
        <f t="shared" si="1"/>
        <v>-1.9678901490737466</v>
      </c>
      <c r="L30" s="74">
        <f t="shared" si="5"/>
        <v>0</v>
      </c>
    </row>
    <row r="31" spans="1:12" x14ac:dyDescent="0.25">
      <c r="A31" s="9">
        <v>4.7</v>
      </c>
      <c r="B31" s="3">
        <v>3.2</v>
      </c>
      <c r="C31" s="3">
        <v>1.6</v>
      </c>
      <c r="D31" s="8">
        <v>0.2</v>
      </c>
      <c r="E31" s="14" t="s">
        <v>12</v>
      </c>
      <c r="F31" s="50" t="s">
        <v>5</v>
      </c>
      <c r="G31" s="14">
        <f t="shared" si="2"/>
        <v>3.0854247915278279</v>
      </c>
      <c r="H31" s="52">
        <f t="shared" si="3"/>
        <v>-1.4491596256091621</v>
      </c>
      <c r="I31" s="52">
        <f t="shared" si="4"/>
        <v>-0.22942816055278545</v>
      </c>
      <c r="J31" s="52">
        <f t="shared" si="0"/>
        <v>-1.8693725161140906</v>
      </c>
      <c r="K31" s="52">
        <f t="shared" si="1"/>
        <v>-1.9678901490737466</v>
      </c>
      <c r="L31" s="74">
        <f t="shared" si="5"/>
        <v>0</v>
      </c>
    </row>
    <row r="32" spans="1:12" x14ac:dyDescent="0.25">
      <c r="A32" s="9">
        <v>4.8</v>
      </c>
      <c r="B32" s="3">
        <v>3.1</v>
      </c>
      <c r="C32" s="3">
        <v>1.6</v>
      </c>
      <c r="D32" s="8">
        <v>0.2</v>
      </c>
      <c r="E32" s="14" t="s">
        <v>12</v>
      </c>
      <c r="F32" s="50" t="s">
        <v>5</v>
      </c>
      <c r="G32" s="14">
        <f t="shared" si="2"/>
        <v>3.0565227233679826</v>
      </c>
      <c r="H32" s="52">
        <f t="shared" si="3"/>
        <v>-1.3283963234750658</v>
      </c>
      <c r="I32" s="52">
        <f t="shared" si="4"/>
        <v>-0.45885632110557195</v>
      </c>
      <c r="J32" s="52">
        <f t="shared" si="0"/>
        <v>-1.8693725161140906</v>
      </c>
      <c r="K32" s="52">
        <f t="shared" si="1"/>
        <v>-1.9678901490737466</v>
      </c>
      <c r="L32" s="74">
        <f t="shared" si="5"/>
        <v>0</v>
      </c>
    </row>
    <row r="33" spans="1:12" x14ac:dyDescent="0.25">
      <c r="A33" s="9">
        <v>5.4</v>
      </c>
      <c r="B33" s="3">
        <v>3.4</v>
      </c>
      <c r="C33" s="3">
        <v>1.5</v>
      </c>
      <c r="D33" s="8">
        <v>0.4</v>
      </c>
      <c r="E33" s="14" t="s">
        <v>13</v>
      </c>
      <c r="F33" s="50" t="s">
        <v>5</v>
      </c>
      <c r="G33" s="14">
        <f t="shared" si="2"/>
        <v>2.6524577199501729</v>
      </c>
      <c r="H33" s="52">
        <f t="shared" si="3"/>
        <v>-0.60381651067048414</v>
      </c>
      <c r="I33" s="52">
        <f t="shared" si="4"/>
        <v>0.22942816055278648</v>
      </c>
      <c r="J33" s="52">
        <f t="shared" si="0"/>
        <v>-1.9260201681175479</v>
      </c>
      <c r="K33" s="52">
        <f t="shared" si="1"/>
        <v>-1.7055047958639133</v>
      </c>
      <c r="L33" s="74">
        <f t="shared" si="5"/>
        <v>0</v>
      </c>
    </row>
    <row r="34" spans="1:12" x14ac:dyDescent="0.25">
      <c r="A34" s="9">
        <v>5.2</v>
      </c>
      <c r="B34" s="3">
        <v>4.0999999999999996</v>
      </c>
      <c r="C34" s="3">
        <v>1.5</v>
      </c>
      <c r="D34" s="8">
        <v>0.1</v>
      </c>
      <c r="E34" s="14" t="s">
        <v>13</v>
      </c>
      <c r="F34" s="50" t="s">
        <v>5</v>
      </c>
      <c r="G34" s="14">
        <f t="shared" si="2"/>
        <v>3.492720050866593</v>
      </c>
      <c r="H34" s="52">
        <f t="shared" ref="H34:H65" si="6">(A34-A$157)/A$154</f>
        <v>-0.84534311493867798</v>
      </c>
      <c r="I34" s="52">
        <f t="shared" ref="I34:I65" si="7">(B34-B$157)/B$154</f>
        <v>1.8354252844222898</v>
      </c>
      <c r="J34" s="52">
        <f t="shared" ref="J34:J65" si="8">(C34-C$157)/C$154</f>
        <v>-1.9260201681175479</v>
      </c>
      <c r="K34" s="52">
        <f t="shared" ref="K34:K65" si="9">(D34-D$157)/D$154</f>
        <v>-2.0990828256786629</v>
      </c>
      <c r="L34" s="74">
        <f t="shared" si="5"/>
        <v>0</v>
      </c>
    </row>
    <row r="35" spans="1:12" x14ac:dyDescent="0.25">
      <c r="A35" s="9">
        <v>5.5</v>
      </c>
      <c r="B35" s="3">
        <v>4.2</v>
      </c>
      <c r="C35" s="3">
        <v>1.4</v>
      </c>
      <c r="D35" s="8">
        <v>0.2</v>
      </c>
      <c r="E35" s="14" t="s">
        <v>13</v>
      </c>
      <c r="F35" s="50" t="s">
        <v>5</v>
      </c>
      <c r="G35" s="14">
        <f t="shared" si="2"/>
        <v>3.5072102125860112</v>
      </c>
      <c r="H35" s="52">
        <f t="shared" si="6"/>
        <v>-0.48305320853638772</v>
      </c>
      <c r="I35" s="52">
        <f t="shared" si="7"/>
        <v>2.0648534449750771</v>
      </c>
      <c r="J35" s="52">
        <f t="shared" si="8"/>
        <v>-1.9826678201210053</v>
      </c>
      <c r="K35" s="52">
        <f t="shared" si="9"/>
        <v>-1.9678901490737466</v>
      </c>
      <c r="L35" s="74">
        <f t="shared" si="5"/>
        <v>0</v>
      </c>
    </row>
    <row r="36" spans="1:12" x14ac:dyDescent="0.25">
      <c r="A36" s="9">
        <v>4.9000000000000004</v>
      </c>
      <c r="B36" s="3">
        <v>3.1</v>
      </c>
      <c r="C36" s="3">
        <v>1.5</v>
      </c>
      <c r="D36" s="8">
        <v>0.2</v>
      </c>
      <c r="E36" s="14" t="s">
        <v>13</v>
      </c>
      <c r="F36" s="50" t="s">
        <v>5</v>
      </c>
      <c r="G36" s="14">
        <f t="shared" si="2"/>
        <v>3.0415574899167526</v>
      </c>
      <c r="H36" s="52">
        <f t="shared" si="6"/>
        <v>-1.2076330213409683</v>
      </c>
      <c r="I36" s="52">
        <f t="shared" si="7"/>
        <v>-0.45885632110557195</v>
      </c>
      <c r="J36" s="52">
        <f t="shared" si="8"/>
        <v>-1.9260201681175479</v>
      </c>
      <c r="K36" s="52">
        <f t="shared" si="9"/>
        <v>-1.9678901490737466</v>
      </c>
      <c r="L36" s="74">
        <f t="shared" si="5"/>
        <v>0</v>
      </c>
    </row>
    <row r="37" spans="1:12" x14ac:dyDescent="0.25">
      <c r="A37" s="9">
        <v>5</v>
      </c>
      <c r="B37" s="3">
        <v>3.2</v>
      </c>
      <c r="C37" s="3">
        <v>1.2</v>
      </c>
      <c r="D37" s="8">
        <v>0.2</v>
      </c>
      <c r="E37" s="14" t="s">
        <v>13</v>
      </c>
      <c r="F37" s="50" t="s">
        <v>5</v>
      </c>
      <c r="G37" s="14">
        <f t="shared" si="2"/>
        <v>3.0821382389355967</v>
      </c>
      <c r="H37" s="52">
        <f t="shared" si="6"/>
        <v>-1.0868697192068717</v>
      </c>
      <c r="I37" s="52">
        <f t="shared" si="7"/>
        <v>-0.22942816055278545</v>
      </c>
      <c r="J37" s="52">
        <f t="shared" si="8"/>
        <v>-2.0959631241279197</v>
      </c>
      <c r="K37" s="52">
        <f t="shared" si="9"/>
        <v>-1.9678901490737466</v>
      </c>
      <c r="L37" s="74">
        <f t="shared" si="5"/>
        <v>0</v>
      </c>
    </row>
    <row r="38" spans="1:12" x14ac:dyDescent="0.25">
      <c r="A38" s="9">
        <v>5.5</v>
      </c>
      <c r="B38" s="3">
        <v>3.5</v>
      </c>
      <c r="C38" s="3">
        <v>1.3</v>
      </c>
      <c r="D38" s="8">
        <v>0.2</v>
      </c>
      <c r="E38" s="14" t="s">
        <v>13</v>
      </c>
      <c r="F38" s="50" t="s">
        <v>5</v>
      </c>
      <c r="G38" s="14">
        <f t="shared" si="2"/>
        <v>2.9112349199890333</v>
      </c>
      <c r="H38" s="52">
        <f t="shared" si="6"/>
        <v>-0.48305320853638772</v>
      </c>
      <c r="I38" s="52">
        <f t="shared" si="7"/>
        <v>0.45885632110557295</v>
      </c>
      <c r="J38" s="52">
        <f t="shared" si="8"/>
        <v>-2.0393154721244628</v>
      </c>
      <c r="K38" s="52">
        <f t="shared" si="9"/>
        <v>-1.9678901490737466</v>
      </c>
      <c r="L38" s="74">
        <f t="shared" si="5"/>
        <v>0</v>
      </c>
    </row>
    <row r="39" spans="1:12" x14ac:dyDescent="0.25">
      <c r="A39" s="9">
        <v>4.9000000000000004</v>
      </c>
      <c r="B39" s="3">
        <v>3.6</v>
      </c>
      <c r="C39" s="3">
        <v>1.4</v>
      </c>
      <c r="D39" s="8">
        <v>0.1</v>
      </c>
      <c r="E39" s="14" t="s">
        <v>13</v>
      </c>
      <c r="F39" s="50" t="s">
        <v>5</v>
      </c>
      <c r="G39" s="14">
        <f t="shared" si="2"/>
        <v>3.2045644689922108</v>
      </c>
      <c r="H39" s="52">
        <f t="shared" si="6"/>
        <v>-1.2076330213409683</v>
      </c>
      <c r="I39" s="52">
        <f t="shared" si="7"/>
        <v>0.68828448165835943</v>
      </c>
      <c r="J39" s="52">
        <f t="shared" si="8"/>
        <v>-1.9826678201210053</v>
      </c>
      <c r="K39" s="52">
        <f t="shared" si="9"/>
        <v>-2.0990828256786629</v>
      </c>
      <c r="L39" s="74">
        <f t="shared" si="5"/>
        <v>0</v>
      </c>
    </row>
    <row r="40" spans="1:12" x14ac:dyDescent="0.25">
      <c r="A40" s="9">
        <v>4.4000000000000004</v>
      </c>
      <c r="B40" s="3">
        <v>3</v>
      </c>
      <c r="C40" s="3">
        <v>1.3</v>
      </c>
      <c r="D40" s="8">
        <v>0.2</v>
      </c>
      <c r="E40" s="14" t="s">
        <v>13</v>
      </c>
      <c r="F40" s="50" t="s">
        <v>5</v>
      </c>
      <c r="G40" s="14">
        <f t="shared" si="2"/>
        <v>3.4331449384469539</v>
      </c>
      <c r="H40" s="52">
        <f t="shared" si="6"/>
        <v>-1.8114495320114523</v>
      </c>
      <c r="I40" s="52">
        <f t="shared" si="7"/>
        <v>-0.68828448165835843</v>
      </c>
      <c r="J40" s="52">
        <f t="shared" si="8"/>
        <v>-2.0393154721244628</v>
      </c>
      <c r="K40" s="52">
        <f t="shared" si="9"/>
        <v>-1.9678901490737466</v>
      </c>
      <c r="L40" s="74">
        <f t="shared" si="5"/>
        <v>0</v>
      </c>
    </row>
    <row r="41" spans="1:12" x14ac:dyDescent="0.25">
      <c r="A41" s="9">
        <v>5.0999999999999996</v>
      </c>
      <c r="B41" s="3">
        <v>3.4</v>
      </c>
      <c r="C41" s="3">
        <v>1.5</v>
      </c>
      <c r="D41" s="8">
        <v>0.2</v>
      </c>
      <c r="E41" s="14" t="s">
        <v>13</v>
      </c>
      <c r="F41" s="50" t="s">
        <v>5</v>
      </c>
      <c r="G41" s="14">
        <f t="shared" si="2"/>
        <v>2.9271392547640898</v>
      </c>
      <c r="H41" s="52">
        <f t="shared" si="6"/>
        <v>-0.96610641707277545</v>
      </c>
      <c r="I41" s="52">
        <f t="shared" si="7"/>
        <v>0.22942816055278648</v>
      </c>
      <c r="J41" s="52">
        <f t="shared" si="8"/>
        <v>-1.9260201681175479</v>
      </c>
      <c r="K41" s="52">
        <f t="shared" si="9"/>
        <v>-1.9678901490737466</v>
      </c>
      <c r="L41" s="74">
        <f t="shared" si="5"/>
        <v>0</v>
      </c>
    </row>
    <row r="42" spans="1:12" x14ac:dyDescent="0.25">
      <c r="A42" s="9">
        <v>5</v>
      </c>
      <c r="B42" s="3">
        <v>3.5</v>
      </c>
      <c r="C42" s="3">
        <v>1.3</v>
      </c>
      <c r="D42" s="8">
        <v>0.3</v>
      </c>
      <c r="E42" s="14" t="s">
        <v>14</v>
      </c>
      <c r="F42" s="50" t="s">
        <v>5</v>
      </c>
      <c r="G42" s="14">
        <f t="shared" si="2"/>
        <v>2.9873232349658738</v>
      </c>
      <c r="H42" s="52">
        <f t="shared" si="6"/>
        <v>-1.0868697192068717</v>
      </c>
      <c r="I42" s="52">
        <f t="shared" si="7"/>
        <v>0.45885632110557295</v>
      </c>
      <c r="J42" s="52">
        <f t="shared" si="8"/>
        <v>-2.0393154721244628</v>
      </c>
      <c r="K42" s="52">
        <f t="shared" si="9"/>
        <v>-1.8366974724688299</v>
      </c>
      <c r="L42" s="74">
        <f t="shared" si="5"/>
        <v>0</v>
      </c>
    </row>
    <row r="43" spans="1:12" x14ac:dyDescent="0.25">
      <c r="A43" s="9">
        <v>4.5</v>
      </c>
      <c r="B43" s="3">
        <v>2.2999999999999998</v>
      </c>
      <c r="C43" s="3">
        <v>1.3</v>
      </c>
      <c r="D43" s="8">
        <v>0.3</v>
      </c>
      <c r="E43" s="14" t="s">
        <v>14</v>
      </c>
      <c r="F43" s="50" t="s">
        <v>5</v>
      </c>
      <c r="G43" s="14">
        <f t="shared" si="2"/>
        <v>3.9565658358708027</v>
      </c>
      <c r="H43" s="52">
        <f t="shared" si="6"/>
        <v>-1.690686229877356</v>
      </c>
      <c r="I43" s="52">
        <f t="shared" si="7"/>
        <v>-2.2942816055278628</v>
      </c>
      <c r="J43" s="52">
        <f t="shared" si="8"/>
        <v>-2.0393154721244628</v>
      </c>
      <c r="K43" s="52">
        <f t="shared" si="9"/>
        <v>-1.8366974724688299</v>
      </c>
      <c r="L43" s="74">
        <f t="shared" si="5"/>
        <v>0</v>
      </c>
    </row>
    <row r="44" spans="1:12" x14ac:dyDescent="0.25">
      <c r="A44" s="9">
        <v>4.4000000000000004</v>
      </c>
      <c r="B44" s="3">
        <v>3.2</v>
      </c>
      <c r="C44" s="3">
        <v>1.3</v>
      </c>
      <c r="D44" s="8">
        <v>0.2</v>
      </c>
      <c r="E44" s="14" t="s">
        <v>14</v>
      </c>
      <c r="F44" s="50" t="s">
        <v>5</v>
      </c>
      <c r="G44" s="14">
        <f t="shared" si="2"/>
        <v>3.3712588037032778</v>
      </c>
      <c r="H44" s="52">
        <f t="shared" si="6"/>
        <v>-1.8114495320114523</v>
      </c>
      <c r="I44" s="52">
        <f t="shared" si="7"/>
        <v>-0.22942816055278545</v>
      </c>
      <c r="J44" s="52">
        <f t="shared" si="8"/>
        <v>-2.0393154721244628</v>
      </c>
      <c r="K44" s="52">
        <f t="shared" si="9"/>
        <v>-1.9678901490737466</v>
      </c>
      <c r="L44" s="74">
        <f t="shared" si="5"/>
        <v>0</v>
      </c>
    </row>
    <row r="45" spans="1:12" x14ac:dyDescent="0.25">
      <c r="A45" s="9">
        <v>5</v>
      </c>
      <c r="B45" s="3">
        <v>3.5</v>
      </c>
      <c r="C45" s="3">
        <v>1.6</v>
      </c>
      <c r="D45" s="8">
        <v>0.6</v>
      </c>
      <c r="E45" s="14" t="s">
        <v>14</v>
      </c>
      <c r="F45" s="50" t="s">
        <v>5</v>
      </c>
      <c r="G45" s="14">
        <f t="shared" si="2"/>
        <v>2.6398829973535411</v>
      </c>
      <c r="H45" s="52">
        <f t="shared" si="6"/>
        <v>-1.0868697192068717</v>
      </c>
      <c r="I45" s="52">
        <f t="shared" si="7"/>
        <v>0.45885632110557295</v>
      </c>
      <c r="J45" s="52">
        <f t="shared" si="8"/>
        <v>-1.8693725161140906</v>
      </c>
      <c r="K45" s="52">
        <f t="shared" si="9"/>
        <v>-1.443119442654081</v>
      </c>
      <c r="L45" s="74">
        <f t="shared" si="5"/>
        <v>0</v>
      </c>
    </row>
    <row r="46" spans="1:12" x14ac:dyDescent="0.25">
      <c r="A46" s="9">
        <v>5.0999999999999996</v>
      </c>
      <c r="B46" s="3">
        <v>3.8</v>
      </c>
      <c r="C46" s="3">
        <v>1.9</v>
      </c>
      <c r="D46" s="8">
        <v>0.4</v>
      </c>
      <c r="E46" s="14" t="s">
        <v>14</v>
      </c>
      <c r="F46" s="50" t="s">
        <v>5</v>
      </c>
      <c r="G46" s="14">
        <f t="shared" si="2"/>
        <v>2.8365650122893711</v>
      </c>
      <c r="H46" s="52">
        <f t="shared" si="6"/>
        <v>-0.96610641707277545</v>
      </c>
      <c r="I46" s="52">
        <f t="shared" si="7"/>
        <v>1.1471408027639314</v>
      </c>
      <c r="J46" s="52">
        <f t="shared" si="8"/>
        <v>-1.6994295601037188</v>
      </c>
      <c r="K46" s="52">
        <f t="shared" si="9"/>
        <v>-1.7055047958639133</v>
      </c>
      <c r="L46" s="74">
        <f t="shared" si="5"/>
        <v>0</v>
      </c>
    </row>
    <row r="47" spans="1:12" x14ac:dyDescent="0.25">
      <c r="A47" s="9">
        <v>4.8</v>
      </c>
      <c r="B47" s="3">
        <v>3</v>
      </c>
      <c r="C47" s="3">
        <v>1.4</v>
      </c>
      <c r="D47" s="8">
        <v>0.3</v>
      </c>
      <c r="E47" s="14" t="s">
        <v>14</v>
      </c>
      <c r="F47" s="50" t="s">
        <v>5</v>
      </c>
      <c r="G47" s="14">
        <f t="shared" si="2"/>
        <v>3.0891425364056211</v>
      </c>
      <c r="H47" s="52">
        <f t="shared" si="6"/>
        <v>-1.3283963234750658</v>
      </c>
      <c r="I47" s="52">
        <f t="shared" si="7"/>
        <v>-0.68828448165835843</v>
      </c>
      <c r="J47" s="52">
        <f t="shared" si="8"/>
        <v>-1.9826678201210053</v>
      </c>
      <c r="K47" s="52">
        <f t="shared" si="9"/>
        <v>-1.8366974724688299</v>
      </c>
      <c r="L47" s="74">
        <f t="shared" si="5"/>
        <v>0</v>
      </c>
    </row>
    <row r="48" spans="1:12" x14ac:dyDescent="0.25">
      <c r="A48" s="9">
        <v>5.0999999999999996</v>
      </c>
      <c r="B48" s="3">
        <v>3.8</v>
      </c>
      <c r="C48" s="3">
        <v>1.6</v>
      </c>
      <c r="D48" s="8">
        <v>0.2</v>
      </c>
      <c r="E48" s="14" t="s">
        <v>14</v>
      </c>
      <c r="F48" s="50" t="s">
        <v>5</v>
      </c>
      <c r="G48" s="14">
        <f t="shared" si="2"/>
        <v>3.1010383540516377</v>
      </c>
      <c r="H48" s="52">
        <f t="shared" si="6"/>
        <v>-0.96610641707277545</v>
      </c>
      <c r="I48" s="52">
        <f t="shared" si="7"/>
        <v>1.1471408027639314</v>
      </c>
      <c r="J48" s="52">
        <f t="shared" si="8"/>
        <v>-1.8693725161140906</v>
      </c>
      <c r="K48" s="52">
        <f t="shared" si="9"/>
        <v>-1.9678901490737466</v>
      </c>
      <c r="L48" s="74">
        <f t="shared" si="5"/>
        <v>0</v>
      </c>
    </row>
    <row r="49" spans="1:12" x14ac:dyDescent="0.25">
      <c r="A49" s="9">
        <v>4.5999999999999996</v>
      </c>
      <c r="B49" s="3">
        <v>3.2</v>
      </c>
      <c r="C49" s="3">
        <v>1.4</v>
      </c>
      <c r="D49" s="8">
        <v>0.2</v>
      </c>
      <c r="E49" s="14" t="s">
        <v>14</v>
      </c>
      <c r="F49" s="50" t="s">
        <v>5</v>
      </c>
      <c r="G49" s="14">
        <f t="shared" si="2"/>
        <v>3.212609313886996</v>
      </c>
      <c r="H49" s="52">
        <f t="shared" si="6"/>
        <v>-1.5699229277432596</v>
      </c>
      <c r="I49" s="52">
        <f t="shared" si="7"/>
        <v>-0.22942816055278545</v>
      </c>
      <c r="J49" s="52">
        <f t="shared" si="8"/>
        <v>-1.9826678201210053</v>
      </c>
      <c r="K49" s="52">
        <f t="shared" si="9"/>
        <v>-1.9678901490737466</v>
      </c>
      <c r="L49" s="74">
        <f t="shared" si="5"/>
        <v>0</v>
      </c>
    </row>
    <row r="50" spans="1:12" x14ac:dyDescent="0.25">
      <c r="A50" s="9">
        <v>5.3</v>
      </c>
      <c r="B50" s="3">
        <v>3.7</v>
      </c>
      <c r="C50" s="3">
        <v>1.5</v>
      </c>
      <c r="D50" s="8">
        <v>0.2</v>
      </c>
      <c r="E50" s="14" t="s">
        <v>14</v>
      </c>
      <c r="F50" s="50" t="s">
        <v>5</v>
      </c>
      <c r="G50" s="14">
        <f t="shared" si="2"/>
        <v>2.9915477140796409</v>
      </c>
      <c r="H50" s="52">
        <f t="shared" si="6"/>
        <v>-0.72457981280458161</v>
      </c>
      <c r="I50" s="52">
        <f t="shared" si="7"/>
        <v>0.9177126422111459</v>
      </c>
      <c r="J50" s="52">
        <f t="shared" si="8"/>
        <v>-1.9260201681175479</v>
      </c>
      <c r="K50" s="52">
        <f t="shared" si="9"/>
        <v>-1.9678901490737466</v>
      </c>
      <c r="L50" s="74">
        <f t="shared" si="5"/>
        <v>0</v>
      </c>
    </row>
    <row r="51" spans="1:12" x14ac:dyDescent="0.25">
      <c r="A51" s="9">
        <v>5</v>
      </c>
      <c r="B51" s="3">
        <v>3.3</v>
      </c>
      <c r="C51" s="3">
        <v>1.4</v>
      </c>
      <c r="D51" s="8">
        <v>0.2</v>
      </c>
      <c r="E51" s="14" t="s">
        <v>14</v>
      </c>
      <c r="F51" s="50" t="s">
        <v>5</v>
      </c>
      <c r="G51" s="14">
        <f t="shared" si="2"/>
        <v>2.997473788091181</v>
      </c>
      <c r="H51" s="52">
        <f t="shared" si="6"/>
        <v>-1.0868697192068717</v>
      </c>
      <c r="I51" s="52">
        <f t="shared" si="7"/>
        <v>0</v>
      </c>
      <c r="J51" s="52">
        <f t="shared" si="8"/>
        <v>-1.9826678201210053</v>
      </c>
      <c r="K51" s="52">
        <f t="shared" si="9"/>
        <v>-1.9678901490737466</v>
      </c>
      <c r="L51" s="74">
        <f t="shared" si="5"/>
        <v>0</v>
      </c>
    </row>
    <row r="52" spans="1:12" x14ac:dyDescent="0.25">
      <c r="A52" s="9">
        <v>7</v>
      </c>
      <c r="B52" s="3">
        <v>3.2</v>
      </c>
      <c r="C52" s="3">
        <v>4.7</v>
      </c>
      <c r="D52" s="8">
        <v>1.4</v>
      </c>
      <c r="E52" s="14" t="s">
        <v>11</v>
      </c>
      <c r="F52" s="50" t="s">
        <v>6</v>
      </c>
      <c r="G52" s="14">
        <f t="shared" si="2"/>
        <v>1.7277191798841565</v>
      </c>
      <c r="H52" s="52">
        <f t="shared" si="6"/>
        <v>1.3283963234750646</v>
      </c>
      <c r="I52" s="52">
        <f t="shared" si="7"/>
        <v>-0.22942816055278545</v>
      </c>
      <c r="J52" s="52">
        <f t="shared" si="8"/>
        <v>-0.11329530400691468</v>
      </c>
      <c r="K52" s="52">
        <f t="shared" si="9"/>
        <v>-0.39357802981474937</v>
      </c>
      <c r="L52" s="74">
        <f t="shared" si="5"/>
        <v>1</v>
      </c>
    </row>
    <row r="53" spans="1:12" x14ac:dyDescent="0.25">
      <c r="A53" s="9">
        <v>6.4</v>
      </c>
      <c r="B53" s="3">
        <v>3.2</v>
      </c>
      <c r="C53" s="3">
        <v>4.5</v>
      </c>
      <c r="D53" s="8">
        <v>1.5</v>
      </c>
      <c r="E53" s="14" t="s">
        <v>11</v>
      </c>
      <c r="F53" s="50" t="s">
        <v>6</v>
      </c>
      <c r="G53" s="14">
        <f t="shared" si="2"/>
        <v>1.2399278352517291</v>
      </c>
      <c r="H53" s="52">
        <f t="shared" si="6"/>
        <v>0.60381651067048414</v>
      </c>
      <c r="I53" s="52">
        <f t="shared" si="7"/>
        <v>-0.22942816055278545</v>
      </c>
      <c r="J53" s="52">
        <f t="shared" si="8"/>
        <v>-0.22659060801382935</v>
      </c>
      <c r="K53" s="52">
        <f t="shared" si="9"/>
        <v>-0.26238535320983281</v>
      </c>
      <c r="L53" s="74">
        <f t="shared" si="5"/>
        <v>1</v>
      </c>
    </row>
    <row r="54" spans="1:12" x14ac:dyDescent="0.25">
      <c r="A54" s="9">
        <v>6.9</v>
      </c>
      <c r="B54" s="3">
        <v>3.1</v>
      </c>
      <c r="C54" s="3">
        <v>4.9000000000000004</v>
      </c>
      <c r="D54" s="8">
        <v>1.5</v>
      </c>
      <c r="E54" s="14" t="s">
        <v>11</v>
      </c>
      <c r="F54" s="50" t="s">
        <v>6</v>
      </c>
      <c r="G54" s="14">
        <f t="shared" si="2"/>
        <v>1.65462162177058</v>
      </c>
      <c r="H54" s="52">
        <f t="shared" si="6"/>
        <v>1.2076330213409683</v>
      </c>
      <c r="I54" s="52">
        <f t="shared" si="7"/>
        <v>-0.45885632110557195</v>
      </c>
      <c r="J54" s="52">
        <f t="shared" si="8"/>
        <v>0</v>
      </c>
      <c r="K54" s="52">
        <f t="shared" si="9"/>
        <v>-0.26238535320983281</v>
      </c>
      <c r="L54" s="74">
        <f t="shared" si="5"/>
        <v>1</v>
      </c>
    </row>
    <row r="55" spans="1:12" x14ac:dyDescent="0.25">
      <c r="A55" s="9">
        <v>5.5</v>
      </c>
      <c r="B55" s="3">
        <v>2.2999999999999998</v>
      </c>
      <c r="C55" s="3">
        <v>4</v>
      </c>
      <c r="D55" s="8">
        <v>1.3</v>
      </c>
      <c r="E55" s="14" t="s">
        <v>11</v>
      </c>
      <c r="F55" s="50" t="s">
        <v>6</v>
      </c>
      <c r="G55" s="14">
        <f t="shared" si="2"/>
        <v>2.6518631670459341</v>
      </c>
      <c r="H55" s="52">
        <f t="shared" si="6"/>
        <v>-0.48305320853638772</v>
      </c>
      <c r="I55" s="52">
        <f t="shared" si="7"/>
        <v>-2.2942816055278628</v>
      </c>
      <c r="J55" s="52">
        <f t="shared" si="8"/>
        <v>-0.50982886803111582</v>
      </c>
      <c r="K55" s="52">
        <f t="shared" si="9"/>
        <v>-0.52477070641966561</v>
      </c>
      <c r="L55" s="74">
        <f t="shared" si="5"/>
        <v>1</v>
      </c>
    </row>
    <row r="56" spans="1:12" x14ac:dyDescent="0.25">
      <c r="A56" s="9">
        <v>6.5</v>
      </c>
      <c r="B56" s="3">
        <v>2.8</v>
      </c>
      <c r="C56" s="3">
        <v>4.5999999999999996</v>
      </c>
      <c r="D56" s="8">
        <v>1.5</v>
      </c>
      <c r="E56" s="14" t="s">
        <v>11</v>
      </c>
      <c r="F56" s="50" t="s">
        <v>6</v>
      </c>
      <c r="G56" s="14">
        <f t="shared" si="2"/>
        <v>1.7142562843304352</v>
      </c>
      <c r="H56" s="52">
        <f t="shared" si="6"/>
        <v>0.7245798128045805</v>
      </c>
      <c r="I56" s="52">
        <f t="shared" si="7"/>
        <v>-1.1471408027639314</v>
      </c>
      <c r="J56" s="52">
        <f t="shared" si="8"/>
        <v>-0.16994295601037226</v>
      </c>
      <c r="K56" s="52">
        <f t="shared" si="9"/>
        <v>-0.26238535320983281</v>
      </c>
      <c r="L56" s="74">
        <f t="shared" si="5"/>
        <v>1</v>
      </c>
    </row>
    <row r="57" spans="1:12" x14ac:dyDescent="0.25">
      <c r="A57" s="9">
        <v>5.7</v>
      </c>
      <c r="B57" s="3">
        <v>2.8</v>
      </c>
      <c r="C57" s="3">
        <v>4.5</v>
      </c>
      <c r="D57" s="8">
        <v>1.3</v>
      </c>
      <c r="E57" s="14" t="s">
        <v>11</v>
      </c>
      <c r="F57" s="50" t="s">
        <v>6</v>
      </c>
      <c r="G57" s="14">
        <f t="shared" si="2"/>
        <v>1.6434703282662189</v>
      </c>
      <c r="H57" s="52">
        <f t="shared" si="6"/>
        <v>-0.24152660426819386</v>
      </c>
      <c r="I57" s="52">
        <f t="shared" si="7"/>
        <v>-1.1471408027639314</v>
      </c>
      <c r="J57" s="52">
        <f t="shared" si="8"/>
        <v>-0.22659060801382935</v>
      </c>
      <c r="K57" s="52">
        <f t="shared" si="9"/>
        <v>-0.52477070641966561</v>
      </c>
      <c r="L57" s="74">
        <f t="shared" si="5"/>
        <v>1</v>
      </c>
    </row>
    <row r="58" spans="1:12" x14ac:dyDescent="0.25">
      <c r="A58" s="9">
        <v>6.3</v>
      </c>
      <c r="B58" s="3">
        <v>3.3</v>
      </c>
      <c r="C58" s="3">
        <v>4.7</v>
      </c>
      <c r="D58" s="8">
        <v>1.6</v>
      </c>
      <c r="E58" s="14" t="s">
        <v>11</v>
      </c>
      <c r="F58" s="50" t="s">
        <v>6</v>
      </c>
      <c r="G58" s="14">
        <f t="shared" si="2"/>
        <v>1.124005225335754</v>
      </c>
      <c r="H58" s="52">
        <f t="shared" si="6"/>
        <v>0.48305320853638661</v>
      </c>
      <c r="I58" s="52">
        <f t="shared" si="7"/>
        <v>0</v>
      </c>
      <c r="J58" s="52">
        <f t="shared" si="8"/>
        <v>-0.11329530400691468</v>
      </c>
      <c r="K58" s="52">
        <f t="shared" si="9"/>
        <v>-0.13119267660491626</v>
      </c>
      <c r="L58" s="74">
        <f t="shared" si="5"/>
        <v>1</v>
      </c>
    </row>
    <row r="59" spans="1:12" x14ac:dyDescent="0.25">
      <c r="A59" s="9">
        <v>4.9000000000000004</v>
      </c>
      <c r="B59" s="3">
        <v>2.4</v>
      </c>
      <c r="C59" s="3">
        <v>3.3</v>
      </c>
      <c r="D59" s="8">
        <v>1</v>
      </c>
      <c r="E59" s="14" t="s">
        <v>11</v>
      </c>
      <c r="F59" s="50" t="s">
        <v>6</v>
      </c>
      <c r="G59" s="14">
        <f t="shared" si="2"/>
        <v>2.8960066510702513</v>
      </c>
      <c r="H59" s="52">
        <f t="shared" si="6"/>
        <v>-1.2076330213409683</v>
      </c>
      <c r="I59" s="52">
        <f t="shared" si="7"/>
        <v>-2.0648534449750762</v>
      </c>
      <c r="J59" s="52">
        <f t="shared" si="8"/>
        <v>-0.90636243205531697</v>
      </c>
      <c r="K59" s="52">
        <f t="shared" si="9"/>
        <v>-0.91834873623441493</v>
      </c>
      <c r="L59" s="74">
        <f t="shared" si="5"/>
        <v>1</v>
      </c>
    </row>
    <row r="60" spans="1:12" x14ac:dyDescent="0.25">
      <c r="A60" s="9">
        <v>6.6</v>
      </c>
      <c r="B60" s="3">
        <v>2.9</v>
      </c>
      <c r="C60" s="3">
        <v>4.5999999999999996</v>
      </c>
      <c r="D60" s="8">
        <v>1.3</v>
      </c>
      <c r="E60" s="14" t="s">
        <v>11</v>
      </c>
      <c r="F60" s="50" t="s">
        <v>6</v>
      </c>
      <c r="G60" s="14">
        <f t="shared" si="2"/>
        <v>1.6914687044879442</v>
      </c>
      <c r="H60" s="52">
        <f t="shared" si="6"/>
        <v>0.84534311493867687</v>
      </c>
      <c r="I60" s="52">
        <f t="shared" si="7"/>
        <v>-0.9177126422111449</v>
      </c>
      <c r="J60" s="52">
        <f t="shared" si="8"/>
        <v>-0.16994295601037226</v>
      </c>
      <c r="K60" s="52">
        <f t="shared" si="9"/>
        <v>-0.52477070641966561</v>
      </c>
      <c r="L60" s="74">
        <f t="shared" si="5"/>
        <v>1</v>
      </c>
    </row>
    <row r="61" spans="1:12" x14ac:dyDescent="0.25">
      <c r="A61" s="9">
        <v>5.2</v>
      </c>
      <c r="B61" s="3">
        <v>2.7</v>
      </c>
      <c r="C61" s="3">
        <v>3.9</v>
      </c>
      <c r="D61" s="8">
        <v>1.4</v>
      </c>
      <c r="E61" s="14" t="s">
        <v>12</v>
      </c>
      <c r="F61" s="50" t="s">
        <v>6</v>
      </c>
      <c r="G61" s="14">
        <f t="shared" si="2"/>
        <v>1.7565154158288585</v>
      </c>
      <c r="H61" s="52">
        <f t="shared" si="6"/>
        <v>-0.84534311493867798</v>
      </c>
      <c r="I61" s="52">
        <f t="shared" si="7"/>
        <v>-1.3765689633167169</v>
      </c>
      <c r="J61" s="52">
        <f t="shared" si="8"/>
        <v>-0.56647652003457316</v>
      </c>
      <c r="K61" s="52">
        <f t="shared" si="9"/>
        <v>-0.39357802981474937</v>
      </c>
      <c r="L61" s="74">
        <f t="shared" si="5"/>
        <v>0</v>
      </c>
    </row>
    <row r="62" spans="1:12" x14ac:dyDescent="0.25">
      <c r="A62" s="9">
        <v>5</v>
      </c>
      <c r="B62" s="3">
        <v>2</v>
      </c>
      <c r="C62" s="3">
        <v>3.5</v>
      </c>
      <c r="D62" s="8">
        <v>1</v>
      </c>
      <c r="E62" s="14" t="s">
        <v>12</v>
      </c>
      <c r="F62" s="50" t="s">
        <v>6</v>
      </c>
      <c r="G62" s="14">
        <f t="shared" si="2"/>
        <v>3.3984270069984492</v>
      </c>
      <c r="H62" s="52">
        <f t="shared" si="6"/>
        <v>-1.0868697192068717</v>
      </c>
      <c r="I62" s="52">
        <f t="shared" si="7"/>
        <v>-2.9825660871862212</v>
      </c>
      <c r="J62" s="52">
        <f t="shared" si="8"/>
        <v>-0.79306712804840229</v>
      </c>
      <c r="K62" s="52">
        <f t="shared" si="9"/>
        <v>-0.91834873623441493</v>
      </c>
      <c r="L62" s="74">
        <f t="shared" si="5"/>
        <v>0</v>
      </c>
    </row>
    <row r="63" spans="1:12" x14ac:dyDescent="0.25">
      <c r="A63" s="9">
        <v>5.9</v>
      </c>
      <c r="B63" s="3">
        <v>3</v>
      </c>
      <c r="C63" s="3">
        <v>4.2</v>
      </c>
      <c r="D63" s="8">
        <v>1.5</v>
      </c>
      <c r="E63" s="14" t="s">
        <v>12</v>
      </c>
      <c r="F63" s="50" t="s">
        <v>6</v>
      </c>
      <c r="G63" s="14">
        <f t="shared" si="2"/>
        <v>0.83655272916206491</v>
      </c>
      <c r="H63" s="52">
        <f t="shared" si="6"/>
        <v>0</v>
      </c>
      <c r="I63" s="52">
        <f t="shared" si="7"/>
        <v>-0.68828448165835843</v>
      </c>
      <c r="J63" s="52">
        <f t="shared" si="8"/>
        <v>-0.39653356402420115</v>
      </c>
      <c r="K63" s="52">
        <f t="shared" si="9"/>
        <v>-0.26238535320983281</v>
      </c>
      <c r="L63" s="74">
        <f t="shared" si="5"/>
        <v>0</v>
      </c>
    </row>
    <row r="64" spans="1:12" x14ac:dyDescent="0.25">
      <c r="A64" s="9">
        <v>6</v>
      </c>
      <c r="B64" s="3">
        <v>2.2000000000000002</v>
      </c>
      <c r="C64" s="3">
        <v>4</v>
      </c>
      <c r="D64" s="8">
        <v>1</v>
      </c>
      <c r="E64" s="14" t="s">
        <v>12</v>
      </c>
      <c r="F64" s="50" t="s">
        <v>6</v>
      </c>
      <c r="G64" s="14">
        <f t="shared" si="2"/>
        <v>2.7362354859504339</v>
      </c>
      <c r="H64" s="52">
        <f t="shared" si="6"/>
        <v>0.12076330213409639</v>
      </c>
      <c r="I64" s="52">
        <f t="shared" si="7"/>
        <v>-2.523709766080648</v>
      </c>
      <c r="J64" s="52">
        <f t="shared" si="8"/>
        <v>-0.50982886803111582</v>
      </c>
      <c r="K64" s="52">
        <f t="shared" si="9"/>
        <v>-0.91834873623441493</v>
      </c>
      <c r="L64" s="74">
        <f t="shared" si="5"/>
        <v>0</v>
      </c>
    </row>
    <row r="65" spans="1:12" x14ac:dyDescent="0.25">
      <c r="A65" s="9">
        <v>6.1</v>
      </c>
      <c r="B65" s="3">
        <v>2.9</v>
      </c>
      <c r="C65" s="3">
        <v>4.7</v>
      </c>
      <c r="D65" s="8">
        <v>1.4</v>
      </c>
      <c r="E65" s="14" t="s">
        <v>12</v>
      </c>
      <c r="F65" s="50" t="s">
        <v>6</v>
      </c>
      <c r="G65" s="14">
        <f t="shared" si="2"/>
        <v>1.0335720031552538</v>
      </c>
      <c r="H65" s="52">
        <f t="shared" si="6"/>
        <v>0.24152660426819278</v>
      </c>
      <c r="I65" s="52">
        <f t="shared" si="7"/>
        <v>-0.9177126422111449</v>
      </c>
      <c r="J65" s="52">
        <f t="shared" si="8"/>
        <v>-0.11329530400691468</v>
      </c>
      <c r="K65" s="52">
        <f t="shared" si="9"/>
        <v>-0.39357802981474937</v>
      </c>
      <c r="L65" s="74">
        <f t="shared" si="5"/>
        <v>0</v>
      </c>
    </row>
    <row r="66" spans="1:12" x14ac:dyDescent="0.25">
      <c r="A66" s="9">
        <v>5.6</v>
      </c>
      <c r="B66" s="3">
        <v>2.9</v>
      </c>
      <c r="C66" s="3">
        <v>3.6</v>
      </c>
      <c r="D66" s="8">
        <v>1.3</v>
      </c>
      <c r="E66" s="14" t="s">
        <v>12</v>
      </c>
      <c r="F66" s="50" t="s">
        <v>6</v>
      </c>
      <c r="G66" s="14">
        <f t="shared" si="2"/>
        <v>1.3383379277931444</v>
      </c>
      <c r="H66" s="52">
        <f t="shared" ref="H66:H97" si="10">(A66-A$157)/A$154</f>
        <v>-0.36228990640229131</v>
      </c>
      <c r="I66" s="52">
        <f t="shared" ref="I66:I97" si="11">(B66-B$157)/B$154</f>
        <v>-0.9177126422111449</v>
      </c>
      <c r="J66" s="52">
        <f t="shared" ref="J66:J97" si="12">(C66-C$157)/C$154</f>
        <v>-0.73641947604494495</v>
      </c>
      <c r="K66" s="52">
        <f t="shared" ref="K66:K97" si="13">(D66-D$157)/D$154</f>
        <v>-0.52477070641966561</v>
      </c>
      <c r="L66" s="74">
        <f t="shared" si="5"/>
        <v>0</v>
      </c>
    </row>
    <row r="67" spans="1:12" x14ac:dyDescent="0.25">
      <c r="A67" s="9">
        <v>6.7</v>
      </c>
      <c r="B67" s="3">
        <v>3.1</v>
      </c>
      <c r="C67" s="3">
        <v>4.4000000000000004</v>
      </c>
      <c r="D67" s="8">
        <v>1.4</v>
      </c>
      <c r="E67" s="14" t="s">
        <v>12</v>
      </c>
      <c r="F67" s="50" t="s">
        <v>6</v>
      </c>
      <c r="G67" s="14">
        <f t="shared" ref="G67:G130" si="14">SQRT(SUMSQ(H67:L67))</f>
        <v>1.1743246186716061</v>
      </c>
      <c r="H67" s="52">
        <f t="shared" si="10"/>
        <v>0.96610641707277434</v>
      </c>
      <c r="I67" s="52">
        <f t="shared" si="11"/>
        <v>-0.45885632110557195</v>
      </c>
      <c r="J67" s="52">
        <f t="shared" si="12"/>
        <v>-0.28323826001728647</v>
      </c>
      <c r="K67" s="52">
        <f t="shared" si="13"/>
        <v>-0.39357802981474937</v>
      </c>
      <c r="L67" s="74">
        <f t="shared" ref="L67:L130" si="15">IF(E67=$E$157,1,0)</f>
        <v>0</v>
      </c>
    </row>
    <row r="68" spans="1:12" x14ac:dyDescent="0.25">
      <c r="A68" s="9">
        <v>5.6</v>
      </c>
      <c r="B68" s="3">
        <v>3</v>
      </c>
      <c r="C68" s="3">
        <v>4.5</v>
      </c>
      <c r="D68" s="8">
        <v>1.5</v>
      </c>
      <c r="E68" s="14" t="s">
        <v>12</v>
      </c>
      <c r="F68" s="50" t="s">
        <v>6</v>
      </c>
      <c r="G68" s="14">
        <f t="shared" si="14"/>
        <v>0.85157435447048413</v>
      </c>
      <c r="H68" s="52">
        <f t="shared" si="10"/>
        <v>-0.36228990640229131</v>
      </c>
      <c r="I68" s="52">
        <f t="shared" si="11"/>
        <v>-0.68828448165835843</v>
      </c>
      <c r="J68" s="52">
        <f t="shared" si="12"/>
        <v>-0.22659060801382935</v>
      </c>
      <c r="K68" s="52">
        <f t="shared" si="13"/>
        <v>-0.26238535320983281</v>
      </c>
      <c r="L68" s="74">
        <f t="shared" si="15"/>
        <v>0</v>
      </c>
    </row>
    <row r="69" spans="1:12" x14ac:dyDescent="0.25">
      <c r="A69" s="9">
        <v>5.8</v>
      </c>
      <c r="B69" s="3">
        <v>2.7</v>
      </c>
      <c r="C69" s="3">
        <v>4.0999999999999996</v>
      </c>
      <c r="D69" s="8">
        <v>1</v>
      </c>
      <c r="E69" s="14" t="s">
        <v>12</v>
      </c>
      <c r="F69" s="50" t="s">
        <v>6</v>
      </c>
      <c r="G69" s="14">
        <f t="shared" si="14"/>
        <v>1.7199603198367239</v>
      </c>
      <c r="H69" s="52">
        <f t="shared" si="10"/>
        <v>-0.12076330213409746</v>
      </c>
      <c r="I69" s="52">
        <f t="shared" si="11"/>
        <v>-1.3765689633167169</v>
      </c>
      <c r="J69" s="52">
        <f t="shared" si="12"/>
        <v>-0.45318121602765871</v>
      </c>
      <c r="K69" s="52">
        <f t="shared" si="13"/>
        <v>-0.91834873623441493</v>
      </c>
      <c r="L69" s="74">
        <f t="shared" si="15"/>
        <v>0</v>
      </c>
    </row>
    <row r="70" spans="1:12" x14ac:dyDescent="0.25">
      <c r="A70" s="9">
        <v>6.2</v>
      </c>
      <c r="B70" s="3">
        <v>2.2000000000000002</v>
      </c>
      <c r="C70" s="3">
        <v>4.5</v>
      </c>
      <c r="D70" s="8">
        <v>1.5</v>
      </c>
      <c r="E70" s="14" t="s">
        <v>12</v>
      </c>
      <c r="F70" s="50" t="s">
        <v>6</v>
      </c>
      <c r="G70" s="14">
        <f t="shared" si="14"/>
        <v>2.5730437883780652</v>
      </c>
      <c r="H70" s="52">
        <f t="shared" si="10"/>
        <v>0.36228990640229025</v>
      </c>
      <c r="I70" s="52">
        <f t="shared" si="11"/>
        <v>-2.523709766080648</v>
      </c>
      <c r="J70" s="52">
        <f t="shared" si="12"/>
        <v>-0.22659060801382935</v>
      </c>
      <c r="K70" s="52">
        <f t="shared" si="13"/>
        <v>-0.26238535320983281</v>
      </c>
      <c r="L70" s="74">
        <f t="shared" si="15"/>
        <v>0</v>
      </c>
    </row>
    <row r="71" spans="1:12" x14ac:dyDescent="0.25">
      <c r="A71" s="9">
        <v>5.6</v>
      </c>
      <c r="B71" s="3">
        <v>2.5</v>
      </c>
      <c r="C71" s="3">
        <v>3.9</v>
      </c>
      <c r="D71" s="8">
        <v>1.1000000000000001</v>
      </c>
      <c r="E71" s="14" t="s">
        <v>12</v>
      </c>
      <c r="F71" s="50" t="s">
        <v>6</v>
      </c>
      <c r="G71" s="14">
        <f t="shared" si="14"/>
        <v>2.1072613176679211</v>
      </c>
      <c r="H71" s="52">
        <f t="shared" si="10"/>
        <v>-0.36228990640229131</v>
      </c>
      <c r="I71" s="52">
        <f t="shared" si="11"/>
        <v>-1.8354252844222898</v>
      </c>
      <c r="J71" s="52">
        <f t="shared" si="12"/>
        <v>-0.56647652003457316</v>
      </c>
      <c r="K71" s="52">
        <f t="shared" si="13"/>
        <v>-0.78715605962949842</v>
      </c>
      <c r="L71" s="74">
        <f t="shared" si="15"/>
        <v>0</v>
      </c>
    </row>
    <row r="72" spans="1:12" x14ac:dyDescent="0.25">
      <c r="A72" s="9">
        <v>5.9</v>
      </c>
      <c r="B72" s="3">
        <v>3.2</v>
      </c>
      <c r="C72" s="3">
        <v>4.8</v>
      </c>
      <c r="D72" s="8">
        <v>1.8</v>
      </c>
      <c r="E72" s="14" t="s">
        <v>12</v>
      </c>
      <c r="F72" s="50" t="s">
        <v>6</v>
      </c>
      <c r="G72" s="14">
        <f t="shared" si="14"/>
        <v>0.27029198235778612</v>
      </c>
      <c r="H72" s="52">
        <f t="shared" si="10"/>
        <v>0</v>
      </c>
      <c r="I72" s="52">
        <f t="shared" si="11"/>
        <v>-0.22942816055278545</v>
      </c>
      <c r="J72" s="52">
        <f t="shared" si="12"/>
        <v>-5.6647652003457588E-2</v>
      </c>
      <c r="K72" s="52">
        <f t="shared" si="13"/>
        <v>0.13119267660491654</v>
      </c>
      <c r="L72" s="74">
        <f t="shared" si="15"/>
        <v>0</v>
      </c>
    </row>
    <row r="73" spans="1:12" x14ac:dyDescent="0.25">
      <c r="A73" s="9">
        <v>6.1</v>
      </c>
      <c r="B73" s="3">
        <v>2.8</v>
      </c>
      <c r="C73" s="3">
        <v>4</v>
      </c>
      <c r="D73" s="8">
        <v>1.3</v>
      </c>
      <c r="E73" s="14" t="s">
        <v>12</v>
      </c>
      <c r="F73" s="50" t="s">
        <v>6</v>
      </c>
      <c r="G73" s="14">
        <f t="shared" si="14"/>
        <v>1.3818744121407289</v>
      </c>
      <c r="H73" s="52">
        <f t="shared" si="10"/>
        <v>0.24152660426819278</v>
      </c>
      <c r="I73" s="52">
        <f t="shared" si="11"/>
        <v>-1.1471408027639314</v>
      </c>
      <c r="J73" s="52">
        <f t="shared" si="12"/>
        <v>-0.50982886803111582</v>
      </c>
      <c r="K73" s="52">
        <f t="shared" si="13"/>
        <v>-0.52477070641966561</v>
      </c>
      <c r="L73" s="74">
        <f t="shared" si="15"/>
        <v>0</v>
      </c>
    </row>
    <row r="74" spans="1:12" x14ac:dyDescent="0.25">
      <c r="A74" s="9">
        <v>6.3</v>
      </c>
      <c r="B74" s="3">
        <v>2.5</v>
      </c>
      <c r="C74" s="3">
        <v>4.9000000000000004</v>
      </c>
      <c r="D74" s="8">
        <v>1.5</v>
      </c>
      <c r="E74" s="14" t="s">
        <v>12</v>
      </c>
      <c r="F74" s="50" t="s">
        <v>6</v>
      </c>
      <c r="G74" s="14">
        <f t="shared" si="14"/>
        <v>1.915978196784345</v>
      </c>
      <c r="H74" s="52">
        <f t="shared" si="10"/>
        <v>0.48305320853638661</v>
      </c>
      <c r="I74" s="52">
        <f t="shared" si="11"/>
        <v>-1.8354252844222898</v>
      </c>
      <c r="J74" s="52">
        <f t="shared" si="12"/>
        <v>0</v>
      </c>
      <c r="K74" s="52">
        <f t="shared" si="13"/>
        <v>-0.26238535320983281</v>
      </c>
      <c r="L74" s="74">
        <f t="shared" si="15"/>
        <v>0</v>
      </c>
    </row>
    <row r="75" spans="1:12" x14ac:dyDescent="0.25">
      <c r="A75" s="9">
        <v>6.1</v>
      </c>
      <c r="B75" s="3">
        <v>2.8</v>
      </c>
      <c r="C75" s="3">
        <v>4.7</v>
      </c>
      <c r="D75" s="8">
        <v>1.2</v>
      </c>
      <c r="E75" s="14" t="s">
        <v>12</v>
      </c>
      <c r="F75" s="50" t="s">
        <v>6</v>
      </c>
      <c r="G75" s="14">
        <f t="shared" si="14"/>
        <v>1.3481064155749258</v>
      </c>
      <c r="H75" s="52">
        <f t="shared" si="10"/>
        <v>0.24152660426819278</v>
      </c>
      <c r="I75" s="52">
        <f t="shared" si="11"/>
        <v>-1.1471408027639314</v>
      </c>
      <c r="J75" s="52">
        <f t="shared" si="12"/>
        <v>-0.11329530400691468</v>
      </c>
      <c r="K75" s="52">
        <f t="shared" si="13"/>
        <v>-0.65596338302458213</v>
      </c>
      <c r="L75" s="74">
        <f t="shared" si="15"/>
        <v>0</v>
      </c>
    </row>
    <row r="76" spans="1:12" x14ac:dyDescent="0.25">
      <c r="A76" s="9">
        <v>6.4</v>
      </c>
      <c r="B76" s="3">
        <v>2.9</v>
      </c>
      <c r="C76" s="3">
        <v>4.3</v>
      </c>
      <c r="D76" s="8">
        <v>1.3</v>
      </c>
      <c r="E76" s="14" t="s">
        <v>12</v>
      </c>
      <c r="F76" s="50" t="s">
        <v>6</v>
      </c>
      <c r="G76" s="14">
        <f t="shared" si="14"/>
        <v>1.2640006328079141</v>
      </c>
      <c r="H76" s="52">
        <f t="shared" si="10"/>
        <v>0.60381651067048414</v>
      </c>
      <c r="I76" s="52">
        <f t="shared" si="11"/>
        <v>-0.9177126422111449</v>
      </c>
      <c r="J76" s="52">
        <f t="shared" si="12"/>
        <v>-0.33988591202074403</v>
      </c>
      <c r="K76" s="52">
        <f t="shared" si="13"/>
        <v>-0.52477070641966561</v>
      </c>
      <c r="L76" s="74">
        <f t="shared" si="15"/>
        <v>0</v>
      </c>
    </row>
    <row r="77" spans="1:12" x14ac:dyDescent="0.25">
      <c r="A77" s="9">
        <v>6.6</v>
      </c>
      <c r="B77" s="3">
        <v>3</v>
      </c>
      <c r="C77" s="3">
        <v>4.4000000000000004</v>
      </c>
      <c r="D77" s="8">
        <v>1.4</v>
      </c>
      <c r="E77" s="14" t="s">
        <v>12</v>
      </c>
      <c r="F77" s="50" t="s">
        <v>6</v>
      </c>
      <c r="G77" s="14">
        <f t="shared" si="14"/>
        <v>1.1930918184098072</v>
      </c>
      <c r="H77" s="52">
        <f t="shared" si="10"/>
        <v>0.84534311493867687</v>
      </c>
      <c r="I77" s="52">
        <f t="shared" si="11"/>
        <v>-0.68828448165835843</v>
      </c>
      <c r="J77" s="52">
        <f t="shared" si="12"/>
        <v>-0.28323826001728647</v>
      </c>
      <c r="K77" s="52">
        <f t="shared" si="13"/>
        <v>-0.39357802981474937</v>
      </c>
      <c r="L77" s="74">
        <f t="shared" si="15"/>
        <v>0</v>
      </c>
    </row>
    <row r="78" spans="1:12" x14ac:dyDescent="0.25">
      <c r="A78" s="9">
        <v>6.8</v>
      </c>
      <c r="B78" s="3">
        <v>2.8</v>
      </c>
      <c r="C78" s="3">
        <v>4.8</v>
      </c>
      <c r="D78" s="8">
        <v>1.4</v>
      </c>
      <c r="E78" s="14" t="s">
        <v>12</v>
      </c>
      <c r="F78" s="50" t="s">
        <v>6</v>
      </c>
      <c r="G78" s="14">
        <f t="shared" si="14"/>
        <v>1.6295184656594301</v>
      </c>
      <c r="H78" s="52">
        <f t="shared" si="10"/>
        <v>1.0868697192068708</v>
      </c>
      <c r="I78" s="52">
        <f t="shared" si="11"/>
        <v>-1.1471408027639314</v>
      </c>
      <c r="J78" s="52">
        <f t="shared" si="12"/>
        <v>-5.6647652003457588E-2</v>
      </c>
      <c r="K78" s="52">
        <f t="shared" si="13"/>
        <v>-0.39357802981474937</v>
      </c>
      <c r="L78" s="74">
        <f t="shared" si="15"/>
        <v>0</v>
      </c>
    </row>
    <row r="79" spans="1:12" x14ac:dyDescent="0.25">
      <c r="A79" s="9">
        <v>6.7</v>
      </c>
      <c r="B79" s="3">
        <v>3</v>
      </c>
      <c r="C79" s="3">
        <v>5</v>
      </c>
      <c r="D79" s="8">
        <v>1.7</v>
      </c>
      <c r="E79" s="14" t="s">
        <v>12</v>
      </c>
      <c r="F79" s="50" t="s">
        <v>6</v>
      </c>
      <c r="G79" s="14">
        <f t="shared" si="14"/>
        <v>1.1875630902307521</v>
      </c>
      <c r="H79" s="52">
        <f t="shared" si="10"/>
        <v>0.96610641707277434</v>
      </c>
      <c r="I79" s="52">
        <f t="shared" si="11"/>
        <v>-0.68828448165835843</v>
      </c>
      <c r="J79" s="52">
        <f t="shared" si="12"/>
        <v>5.6647652003457089E-2</v>
      </c>
      <c r="K79" s="52">
        <f t="shared" si="13"/>
        <v>0</v>
      </c>
      <c r="L79" s="74">
        <f t="shared" si="15"/>
        <v>0</v>
      </c>
    </row>
    <row r="80" spans="1:12" x14ac:dyDescent="0.25">
      <c r="A80" s="9">
        <v>6</v>
      </c>
      <c r="B80" s="3">
        <v>2.9</v>
      </c>
      <c r="C80" s="3">
        <v>4.5</v>
      </c>
      <c r="D80" s="8">
        <v>1.5</v>
      </c>
      <c r="E80" s="14" t="s">
        <v>13</v>
      </c>
      <c r="F80" s="50" t="s">
        <v>6</v>
      </c>
      <c r="G80" s="14">
        <f t="shared" si="14"/>
        <v>0.98841774874575039</v>
      </c>
      <c r="H80" s="52">
        <f t="shared" si="10"/>
        <v>0.12076330213409639</v>
      </c>
      <c r="I80" s="52">
        <f t="shared" si="11"/>
        <v>-0.9177126422111449</v>
      </c>
      <c r="J80" s="52">
        <f t="shared" si="12"/>
        <v>-0.22659060801382935</v>
      </c>
      <c r="K80" s="52">
        <f t="shared" si="13"/>
        <v>-0.26238535320983281</v>
      </c>
      <c r="L80" s="74">
        <f t="shared" si="15"/>
        <v>0</v>
      </c>
    </row>
    <row r="81" spans="1:12" x14ac:dyDescent="0.25">
      <c r="A81" s="9">
        <v>5.7</v>
      </c>
      <c r="B81" s="3">
        <v>2.6</v>
      </c>
      <c r="C81" s="3">
        <v>3.5</v>
      </c>
      <c r="D81" s="8">
        <v>1</v>
      </c>
      <c r="E81" s="14" t="s">
        <v>13</v>
      </c>
      <c r="F81" s="50" t="s">
        <v>6</v>
      </c>
      <c r="G81" s="14">
        <f t="shared" si="14"/>
        <v>2.0272843247509043</v>
      </c>
      <c r="H81" s="52">
        <f t="shared" si="10"/>
        <v>-0.24152660426819386</v>
      </c>
      <c r="I81" s="52">
        <f t="shared" si="11"/>
        <v>-1.6059971238695032</v>
      </c>
      <c r="J81" s="52">
        <f t="shared" si="12"/>
        <v>-0.79306712804840229</v>
      </c>
      <c r="K81" s="52">
        <f t="shared" si="13"/>
        <v>-0.91834873623441493</v>
      </c>
      <c r="L81" s="74">
        <f t="shared" si="15"/>
        <v>0</v>
      </c>
    </row>
    <row r="82" spans="1:12" x14ac:dyDescent="0.25">
      <c r="A82" s="9">
        <v>5.5</v>
      </c>
      <c r="B82" s="3">
        <v>2.4</v>
      </c>
      <c r="C82" s="3">
        <v>3.8</v>
      </c>
      <c r="D82" s="8">
        <v>1.1000000000000001</v>
      </c>
      <c r="E82" s="14" t="s">
        <v>13</v>
      </c>
      <c r="F82" s="50" t="s">
        <v>6</v>
      </c>
      <c r="G82" s="14">
        <f t="shared" si="14"/>
        <v>2.3462434970591306</v>
      </c>
      <c r="H82" s="52">
        <f t="shared" si="10"/>
        <v>-0.48305320853638772</v>
      </c>
      <c r="I82" s="52">
        <f t="shared" si="11"/>
        <v>-2.0648534449750762</v>
      </c>
      <c r="J82" s="52">
        <f t="shared" si="12"/>
        <v>-0.6231241720380305</v>
      </c>
      <c r="K82" s="52">
        <f t="shared" si="13"/>
        <v>-0.78715605962949842</v>
      </c>
      <c r="L82" s="74">
        <f t="shared" si="15"/>
        <v>0</v>
      </c>
    </row>
    <row r="83" spans="1:12" x14ac:dyDescent="0.25">
      <c r="A83" s="9">
        <v>5.5</v>
      </c>
      <c r="B83" s="3">
        <v>2.4</v>
      </c>
      <c r="C83" s="3">
        <v>3.7</v>
      </c>
      <c r="D83" s="8">
        <v>1</v>
      </c>
      <c r="E83" s="14" t="s">
        <v>13</v>
      </c>
      <c r="F83" s="50" t="s">
        <v>6</v>
      </c>
      <c r="G83" s="14">
        <f t="shared" si="14"/>
        <v>2.4088201023751807</v>
      </c>
      <c r="H83" s="52">
        <f t="shared" si="10"/>
        <v>-0.48305320853638772</v>
      </c>
      <c r="I83" s="52">
        <f t="shared" si="11"/>
        <v>-2.0648534449750762</v>
      </c>
      <c r="J83" s="52">
        <f t="shared" si="12"/>
        <v>-0.67977182404148762</v>
      </c>
      <c r="K83" s="52">
        <f t="shared" si="13"/>
        <v>-0.91834873623441493</v>
      </c>
      <c r="L83" s="74">
        <f t="shared" si="15"/>
        <v>0</v>
      </c>
    </row>
    <row r="84" spans="1:12" x14ac:dyDescent="0.25">
      <c r="A84" s="9">
        <v>5.8</v>
      </c>
      <c r="B84" s="3">
        <v>2.7</v>
      </c>
      <c r="C84" s="3">
        <v>3.9</v>
      </c>
      <c r="D84" s="8">
        <v>1.2</v>
      </c>
      <c r="E84" s="14" t="s">
        <v>13</v>
      </c>
      <c r="F84" s="50" t="s">
        <v>6</v>
      </c>
      <c r="G84" s="14">
        <f t="shared" si="14"/>
        <v>1.6311681377248413</v>
      </c>
      <c r="H84" s="52">
        <f t="shared" si="10"/>
        <v>-0.12076330213409746</v>
      </c>
      <c r="I84" s="52">
        <f t="shared" si="11"/>
        <v>-1.3765689633167169</v>
      </c>
      <c r="J84" s="52">
        <f t="shared" si="12"/>
        <v>-0.56647652003457316</v>
      </c>
      <c r="K84" s="52">
        <f t="shared" si="13"/>
        <v>-0.65596338302458213</v>
      </c>
      <c r="L84" s="74">
        <f t="shared" si="15"/>
        <v>0</v>
      </c>
    </row>
    <row r="85" spans="1:12" x14ac:dyDescent="0.25">
      <c r="A85" s="9">
        <v>6</v>
      </c>
      <c r="B85" s="3">
        <v>2.7</v>
      </c>
      <c r="C85" s="3">
        <v>5.0999999999999996</v>
      </c>
      <c r="D85" s="8">
        <v>1.6</v>
      </c>
      <c r="E85" s="14" t="s">
        <v>13</v>
      </c>
      <c r="F85" s="50" t="s">
        <v>6</v>
      </c>
      <c r="G85" s="14">
        <f t="shared" si="14"/>
        <v>1.3926856178671383</v>
      </c>
      <c r="H85" s="52">
        <f t="shared" si="10"/>
        <v>0.12076330213409639</v>
      </c>
      <c r="I85" s="52">
        <f t="shared" si="11"/>
        <v>-1.3765689633167169</v>
      </c>
      <c r="J85" s="52">
        <f t="shared" si="12"/>
        <v>0.11329530400691418</v>
      </c>
      <c r="K85" s="52">
        <f t="shared" si="13"/>
        <v>-0.13119267660491626</v>
      </c>
      <c r="L85" s="74">
        <f t="shared" si="15"/>
        <v>0</v>
      </c>
    </row>
    <row r="86" spans="1:12" x14ac:dyDescent="0.25">
      <c r="A86" s="9">
        <v>5.4</v>
      </c>
      <c r="B86" s="3">
        <v>3</v>
      </c>
      <c r="C86" s="3">
        <v>4.5</v>
      </c>
      <c r="D86" s="8">
        <v>1.5</v>
      </c>
      <c r="E86" s="14" t="s">
        <v>13</v>
      </c>
      <c r="F86" s="50" t="s">
        <v>6</v>
      </c>
      <c r="G86" s="14">
        <f t="shared" si="14"/>
        <v>0.97903998052639285</v>
      </c>
      <c r="H86" s="52">
        <f t="shared" si="10"/>
        <v>-0.60381651067048414</v>
      </c>
      <c r="I86" s="52">
        <f t="shared" si="11"/>
        <v>-0.68828448165835843</v>
      </c>
      <c r="J86" s="52">
        <f t="shared" si="12"/>
        <v>-0.22659060801382935</v>
      </c>
      <c r="K86" s="52">
        <f t="shared" si="13"/>
        <v>-0.26238535320983281</v>
      </c>
      <c r="L86" s="74">
        <f t="shared" si="15"/>
        <v>0</v>
      </c>
    </row>
    <row r="87" spans="1:12" x14ac:dyDescent="0.25">
      <c r="A87" s="9">
        <v>6</v>
      </c>
      <c r="B87" s="3">
        <v>3.4</v>
      </c>
      <c r="C87" s="3">
        <v>4.5</v>
      </c>
      <c r="D87" s="8">
        <v>1.6</v>
      </c>
      <c r="E87" s="14" t="s">
        <v>13</v>
      </c>
      <c r="F87" s="50" t="s">
        <v>6</v>
      </c>
      <c r="G87" s="14">
        <f t="shared" si="14"/>
        <v>0.36847778499090722</v>
      </c>
      <c r="H87" s="52">
        <f t="shared" si="10"/>
        <v>0.12076330213409639</v>
      </c>
      <c r="I87" s="52">
        <f t="shared" si="11"/>
        <v>0.22942816055278648</v>
      </c>
      <c r="J87" s="52">
        <f t="shared" si="12"/>
        <v>-0.22659060801382935</v>
      </c>
      <c r="K87" s="52">
        <f t="shared" si="13"/>
        <v>-0.13119267660491626</v>
      </c>
      <c r="L87" s="74">
        <f t="shared" si="15"/>
        <v>0</v>
      </c>
    </row>
    <row r="88" spans="1:12" x14ac:dyDescent="0.25">
      <c r="A88" s="9">
        <v>6.7</v>
      </c>
      <c r="B88" s="3">
        <v>3.1</v>
      </c>
      <c r="C88" s="3">
        <v>4.7</v>
      </c>
      <c r="D88" s="8">
        <v>1.5</v>
      </c>
      <c r="E88" s="14" t="s">
        <v>13</v>
      </c>
      <c r="F88" s="50" t="s">
        <v>6</v>
      </c>
      <c r="G88" s="14">
        <f t="shared" si="14"/>
        <v>1.1070648725421655</v>
      </c>
      <c r="H88" s="52">
        <f t="shared" si="10"/>
        <v>0.96610641707277434</v>
      </c>
      <c r="I88" s="52">
        <f t="shared" si="11"/>
        <v>-0.45885632110557195</v>
      </c>
      <c r="J88" s="52">
        <f t="shared" si="12"/>
        <v>-0.11329530400691468</v>
      </c>
      <c r="K88" s="52">
        <f t="shared" si="13"/>
        <v>-0.26238535320983281</v>
      </c>
      <c r="L88" s="74">
        <f t="shared" si="15"/>
        <v>0</v>
      </c>
    </row>
    <row r="89" spans="1:12" x14ac:dyDescent="0.25">
      <c r="A89" s="9">
        <v>6.3</v>
      </c>
      <c r="B89" s="3">
        <v>2.2999999999999998</v>
      </c>
      <c r="C89" s="3">
        <v>4.4000000000000004</v>
      </c>
      <c r="D89" s="8">
        <v>1.3</v>
      </c>
      <c r="E89" s="14" t="s">
        <v>14</v>
      </c>
      <c r="F89" s="50" t="s">
        <v>6</v>
      </c>
      <c r="G89" s="14">
        <f t="shared" si="14"/>
        <v>2.4192305995904193</v>
      </c>
      <c r="H89" s="52">
        <f t="shared" si="10"/>
        <v>0.48305320853638661</v>
      </c>
      <c r="I89" s="52">
        <f t="shared" si="11"/>
        <v>-2.2942816055278628</v>
      </c>
      <c r="J89" s="52">
        <f t="shared" si="12"/>
        <v>-0.28323826001728647</v>
      </c>
      <c r="K89" s="52">
        <f t="shared" si="13"/>
        <v>-0.52477070641966561</v>
      </c>
      <c r="L89" s="74">
        <f t="shared" si="15"/>
        <v>0</v>
      </c>
    </row>
    <row r="90" spans="1:12" x14ac:dyDescent="0.25">
      <c r="A90" s="9">
        <v>5.6</v>
      </c>
      <c r="B90" s="3">
        <v>3</v>
      </c>
      <c r="C90" s="3">
        <v>4.0999999999999996</v>
      </c>
      <c r="D90" s="8">
        <v>1.3</v>
      </c>
      <c r="E90" s="14" t="s">
        <v>14</v>
      </c>
      <c r="F90" s="50" t="s">
        <v>6</v>
      </c>
      <c r="G90" s="14">
        <f t="shared" si="14"/>
        <v>1.0419918487441244</v>
      </c>
      <c r="H90" s="52">
        <f t="shared" si="10"/>
        <v>-0.36228990640229131</v>
      </c>
      <c r="I90" s="52">
        <f t="shared" si="11"/>
        <v>-0.68828448165835843</v>
      </c>
      <c r="J90" s="52">
        <f t="shared" si="12"/>
        <v>-0.45318121602765871</v>
      </c>
      <c r="K90" s="52">
        <f t="shared" si="13"/>
        <v>-0.52477070641966561</v>
      </c>
      <c r="L90" s="74">
        <f t="shared" si="15"/>
        <v>0</v>
      </c>
    </row>
    <row r="91" spans="1:12" x14ac:dyDescent="0.25">
      <c r="A91" s="9">
        <v>5.5</v>
      </c>
      <c r="B91" s="3">
        <v>2.5</v>
      </c>
      <c r="C91" s="3">
        <v>4</v>
      </c>
      <c r="D91" s="8">
        <v>1.3</v>
      </c>
      <c r="E91" s="14" t="s">
        <v>14</v>
      </c>
      <c r="F91" s="50" t="s">
        <v>6</v>
      </c>
      <c r="G91" s="14">
        <f t="shared" si="14"/>
        <v>2.0340688646080856</v>
      </c>
      <c r="H91" s="52">
        <f t="shared" si="10"/>
        <v>-0.48305320853638772</v>
      </c>
      <c r="I91" s="52">
        <f t="shared" si="11"/>
        <v>-1.8354252844222898</v>
      </c>
      <c r="J91" s="52">
        <f t="shared" si="12"/>
        <v>-0.50982886803111582</v>
      </c>
      <c r="K91" s="52">
        <f t="shared" si="13"/>
        <v>-0.52477070641966561</v>
      </c>
      <c r="L91" s="74">
        <f t="shared" si="15"/>
        <v>0</v>
      </c>
    </row>
    <row r="92" spans="1:12" x14ac:dyDescent="0.25">
      <c r="A92" s="9">
        <v>5.5</v>
      </c>
      <c r="B92" s="3">
        <v>2.6</v>
      </c>
      <c r="C92" s="3">
        <v>4.4000000000000004</v>
      </c>
      <c r="D92" s="8">
        <v>1.2</v>
      </c>
      <c r="E92" s="14" t="s">
        <v>14</v>
      </c>
      <c r="F92" s="50" t="s">
        <v>6</v>
      </c>
      <c r="G92" s="14">
        <f t="shared" si="14"/>
        <v>1.8229314402799381</v>
      </c>
      <c r="H92" s="52">
        <f t="shared" si="10"/>
        <v>-0.48305320853638772</v>
      </c>
      <c r="I92" s="52">
        <f t="shared" si="11"/>
        <v>-1.6059971238695032</v>
      </c>
      <c r="J92" s="52">
        <f t="shared" si="12"/>
        <v>-0.28323826001728647</v>
      </c>
      <c r="K92" s="52">
        <f t="shared" si="13"/>
        <v>-0.65596338302458213</v>
      </c>
      <c r="L92" s="74">
        <f t="shared" si="15"/>
        <v>0</v>
      </c>
    </row>
    <row r="93" spans="1:12" x14ac:dyDescent="0.25">
      <c r="A93" s="9">
        <v>6.1</v>
      </c>
      <c r="B93" s="3">
        <v>3</v>
      </c>
      <c r="C93" s="3">
        <v>4.5999999999999996</v>
      </c>
      <c r="D93" s="8">
        <v>1.4</v>
      </c>
      <c r="E93" s="14" t="s">
        <v>14</v>
      </c>
      <c r="F93" s="50" t="s">
        <v>6</v>
      </c>
      <c r="G93" s="14">
        <f t="shared" si="14"/>
        <v>0.84608208946380759</v>
      </c>
      <c r="H93" s="52">
        <f t="shared" si="10"/>
        <v>0.24152660426819278</v>
      </c>
      <c r="I93" s="52">
        <f t="shared" si="11"/>
        <v>-0.68828448165835843</v>
      </c>
      <c r="J93" s="52">
        <f t="shared" si="12"/>
        <v>-0.16994295601037226</v>
      </c>
      <c r="K93" s="52">
        <f t="shared" si="13"/>
        <v>-0.39357802981474937</v>
      </c>
      <c r="L93" s="74">
        <f t="shared" si="15"/>
        <v>0</v>
      </c>
    </row>
    <row r="94" spans="1:12" x14ac:dyDescent="0.25">
      <c r="A94" s="9">
        <v>5.8</v>
      </c>
      <c r="B94" s="3">
        <v>2.6</v>
      </c>
      <c r="C94" s="3">
        <v>4</v>
      </c>
      <c r="D94" s="8">
        <v>1.2</v>
      </c>
      <c r="E94" s="14" t="s">
        <v>14</v>
      </c>
      <c r="F94" s="50" t="s">
        <v>6</v>
      </c>
      <c r="G94" s="14">
        <f t="shared" si="14"/>
        <v>1.8121876204097609</v>
      </c>
      <c r="H94" s="52">
        <f t="shared" si="10"/>
        <v>-0.12076330213409746</v>
      </c>
      <c r="I94" s="52">
        <f t="shared" si="11"/>
        <v>-1.6059971238695032</v>
      </c>
      <c r="J94" s="52">
        <f t="shared" si="12"/>
        <v>-0.50982886803111582</v>
      </c>
      <c r="K94" s="52">
        <f t="shared" si="13"/>
        <v>-0.65596338302458213</v>
      </c>
      <c r="L94" s="74">
        <f t="shared" si="15"/>
        <v>0</v>
      </c>
    </row>
    <row r="95" spans="1:12" x14ac:dyDescent="0.25">
      <c r="A95" s="9">
        <v>5</v>
      </c>
      <c r="B95" s="3">
        <v>2.2999999999999998</v>
      </c>
      <c r="C95" s="3">
        <v>3.3</v>
      </c>
      <c r="D95" s="8">
        <v>1</v>
      </c>
      <c r="E95" s="14" t="s">
        <v>14</v>
      </c>
      <c r="F95" s="50" t="s">
        <v>6</v>
      </c>
      <c r="G95" s="14">
        <f t="shared" si="14"/>
        <v>2.8477835471778588</v>
      </c>
      <c r="H95" s="52">
        <f t="shared" si="10"/>
        <v>-1.0868697192068717</v>
      </c>
      <c r="I95" s="52">
        <f t="shared" si="11"/>
        <v>-2.2942816055278628</v>
      </c>
      <c r="J95" s="52">
        <f t="shared" si="12"/>
        <v>-0.90636243205531697</v>
      </c>
      <c r="K95" s="52">
        <f t="shared" si="13"/>
        <v>-0.91834873623441493</v>
      </c>
      <c r="L95" s="74">
        <f t="shared" si="15"/>
        <v>0</v>
      </c>
    </row>
    <row r="96" spans="1:12" x14ac:dyDescent="0.25">
      <c r="A96" s="9">
        <v>5.6</v>
      </c>
      <c r="B96" s="3">
        <v>2.7</v>
      </c>
      <c r="C96" s="3">
        <v>4.2</v>
      </c>
      <c r="D96" s="8">
        <v>1.3</v>
      </c>
      <c r="E96" s="14" t="s">
        <v>14</v>
      </c>
      <c r="F96" s="50" t="s">
        <v>6</v>
      </c>
      <c r="G96" s="14">
        <f t="shared" si="14"/>
        <v>1.5680622592109574</v>
      </c>
      <c r="H96" s="52">
        <f t="shared" si="10"/>
        <v>-0.36228990640229131</v>
      </c>
      <c r="I96" s="52">
        <f t="shared" si="11"/>
        <v>-1.3765689633167169</v>
      </c>
      <c r="J96" s="52">
        <f t="shared" si="12"/>
        <v>-0.39653356402420115</v>
      </c>
      <c r="K96" s="52">
        <f t="shared" si="13"/>
        <v>-0.52477070641966561</v>
      </c>
      <c r="L96" s="74">
        <f t="shared" si="15"/>
        <v>0</v>
      </c>
    </row>
    <row r="97" spans="1:12" x14ac:dyDescent="0.25">
      <c r="A97" s="9">
        <v>5.7</v>
      </c>
      <c r="B97" s="3">
        <v>3</v>
      </c>
      <c r="C97" s="3">
        <v>4.2</v>
      </c>
      <c r="D97" s="8">
        <v>1.2</v>
      </c>
      <c r="E97" s="14" t="s">
        <v>14</v>
      </c>
      <c r="F97" s="50" t="s">
        <v>6</v>
      </c>
      <c r="G97" s="14">
        <f t="shared" si="14"/>
        <v>1.05811032294739</v>
      </c>
      <c r="H97" s="52">
        <f t="shared" si="10"/>
        <v>-0.24152660426819386</v>
      </c>
      <c r="I97" s="52">
        <f t="shared" si="11"/>
        <v>-0.68828448165835843</v>
      </c>
      <c r="J97" s="52">
        <f t="shared" si="12"/>
        <v>-0.39653356402420115</v>
      </c>
      <c r="K97" s="52">
        <f t="shared" si="13"/>
        <v>-0.65596338302458213</v>
      </c>
      <c r="L97" s="74">
        <f t="shared" si="15"/>
        <v>0</v>
      </c>
    </row>
    <row r="98" spans="1:12" x14ac:dyDescent="0.25">
      <c r="A98" s="9">
        <v>5.7</v>
      </c>
      <c r="B98" s="3">
        <v>2.9</v>
      </c>
      <c r="C98" s="3">
        <v>4.2</v>
      </c>
      <c r="D98" s="8">
        <v>1.3</v>
      </c>
      <c r="E98" s="14" t="s">
        <v>14</v>
      </c>
      <c r="F98" s="50" t="s">
        <v>6</v>
      </c>
      <c r="G98" s="14">
        <f t="shared" si="14"/>
        <v>1.1546232095178997</v>
      </c>
      <c r="H98" s="52">
        <f t="shared" ref="H98:H129" si="16">(A98-A$157)/A$154</f>
        <v>-0.24152660426819386</v>
      </c>
      <c r="I98" s="52">
        <f t="shared" ref="I98:I129" si="17">(B98-B$157)/B$154</f>
        <v>-0.9177126422111449</v>
      </c>
      <c r="J98" s="52">
        <f t="shared" ref="J98:J129" si="18">(C98-C$157)/C$154</f>
        <v>-0.39653356402420115</v>
      </c>
      <c r="K98" s="52">
        <f t="shared" ref="K98:K129" si="19">(D98-D$157)/D$154</f>
        <v>-0.52477070641966561</v>
      </c>
      <c r="L98" s="74">
        <f t="shared" si="15"/>
        <v>0</v>
      </c>
    </row>
    <row r="99" spans="1:12" x14ac:dyDescent="0.25">
      <c r="A99" s="9">
        <v>6.2</v>
      </c>
      <c r="B99" s="3">
        <v>2.9</v>
      </c>
      <c r="C99" s="3">
        <v>4.3</v>
      </c>
      <c r="D99" s="8">
        <v>1.3</v>
      </c>
      <c r="E99" s="14" t="s">
        <v>14</v>
      </c>
      <c r="F99" s="50" t="s">
        <v>6</v>
      </c>
      <c r="G99" s="14">
        <f t="shared" si="14"/>
        <v>1.1680570180695413</v>
      </c>
      <c r="H99" s="52">
        <f t="shared" si="16"/>
        <v>0.36228990640229025</v>
      </c>
      <c r="I99" s="52">
        <f t="shared" si="17"/>
        <v>-0.9177126422111449</v>
      </c>
      <c r="J99" s="52">
        <f t="shared" si="18"/>
        <v>-0.33988591202074403</v>
      </c>
      <c r="K99" s="52">
        <f t="shared" si="19"/>
        <v>-0.52477070641966561</v>
      </c>
      <c r="L99" s="74">
        <f t="shared" si="15"/>
        <v>0</v>
      </c>
    </row>
    <row r="100" spans="1:12" x14ac:dyDescent="0.25">
      <c r="A100" s="9">
        <v>5.0999999999999996</v>
      </c>
      <c r="B100" s="3">
        <v>2.5</v>
      </c>
      <c r="C100" s="3">
        <v>3</v>
      </c>
      <c r="D100" s="8">
        <v>1.1000000000000001</v>
      </c>
      <c r="E100" s="14" t="s">
        <v>14</v>
      </c>
      <c r="F100" s="50" t="s">
        <v>6</v>
      </c>
      <c r="G100" s="14">
        <f t="shared" si="14"/>
        <v>2.4658052507034109</v>
      </c>
      <c r="H100" s="52">
        <f t="shared" si="16"/>
        <v>-0.96610641707277545</v>
      </c>
      <c r="I100" s="52">
        <f t="shared" si="17"/>
        <v>-1.8354252844222898</v>
      </c>
      <c r="J100" s="52">
        <f t="shared" si="18"/>
        <v>-1.0763053880656888</v>
      </c>
      <c r="K100" s="52">
        <f t="shared" si="19"/>
        <v>-0.78715605962949842</v>
      </c>
      <c r="L100" s="74">
        <f t="shared" si="15"/>
        <v>0</v>
      </c>
    </row>
    <row r="101" spans="1:12" x14ac:dyDescent="0.25">
      <c r="A101" s="9">
        <v>5.7</v>
      </c>
      <c r="B101" s="3">
        <v>2.8</v>
      </c>
      <c r="C101" s="3">
        <v>4.0999999999999996</v>
      </c>
      <c r="D101" s="8">
        <v>1.3</v>
      </c>
      <c r="E101" s="14" t="s">
        <v>14</v>
      </c>
      <c r="F101" s="50" t="s">
        <v>6</v>
      </c>
      <c r="G101" s="14">
        <f t="shared" si="14"/>
        <v>1.3619928894130482</v>
      </c>
      <c r="H101" s="52">
        <f t="shared" si="16"/>
        <v>-0.24152660426819386</v>
      </c>
      <c r="I101" s="52">
        <f t="shared" si="17"/>
        <v>-1.1471408027639314</v>
      </c>
      <c r="J101" s="52">
        <f t="shared" si="18"/>
        <v>-0.45318121602765871</v>
      </c>
      <c r="K101" s="52">
        <f t="shared" si="19"/>
        <v>-0.52477070641966561</v>
      </c>
      <c r="L101" s="74">
        <f t="shared" si="15"/>
        <v>0</v>
      </c>
    </row>
    <row r="102" spans="1:12" x14ac:dyDescent="0.25">
      <c r="A102" s="9">
        <v>6.3</v>
      </c>
      <c r="B102" s="3">
        <v>3.3</v>
      </c>
      <c r="C102" s="3">
        <v>6</v>
      </c>
      <c r="D102" s="8">
        <v>2.5</v>
      </c>
      <c r="E102" s="14" t="s">
        <v>11</v>
      </c>
      <c r="F102" s="50" t="s">
        <v>7</v>
      </c>
      <c r="G102" s="14">
        <f t="shared" si="14"/>
        <v>1.6502003858077836</v>
      </c>
      <c r="H102" s="52">
        <f t="shared" si="16"/>
        <v>0.48305320853638661</v>
      </c>
      <c r="I102" s="52">
        <f t="shared" si="17"/>
        <v>0</v>
      </c>
      <c r="J102" s="52">
        <f t="shared" si="18"/>
        <v>0.62312417203802994</v>
      </c>
      <c r="K102" s="52">
        <f t="shared" si="19"/>
        <v>1.0495414128393314</v>
      </c>
      <c r="L102" s="74">
        <f t="shared" si="15"/>
        <v>1</v>
      </c>
    </row>
    <row r="103" spans="1:12" x14ac:dyDescent="0.25">
      <c r="A103" s="9">
        <v>5.8</v>
      </c>
      <c r="B103" s="3">
        <v>2.7</v>
      </c>
      <c r="C103" s="3">
        <v>5.0999999999999996</v>
      </c>
      <c r="D103" s="8">
        <v>1.9</v>
      </c>
      <c r="E103" s="14" t="s">
        <v>11</v>
      </c>
      <c r="F103" s="50" t="s">
        <v>7</v>
      </c>
      <c r="G103" s="14">
        <f t="shared" si="14"/>
        <v>1.7295108514832336</v>
      </c>
      <c r="H103" s="52">
        <f t="shared" si="16"/>
        <v>-0.12076330213409746</v>
      </c>
      <c r="I103" s="52">
        <f t="shared" si="17"/>
        <v>-1.3765689633167169</v>
      </c>
      <c r="J103" s="52">
        <f t="shared" si="18"/>
        <v>0.11329530400691418</v>
      </c>
      <c r="K103" s="52">
        <f t="shared" si="19"/>
        <v>0.26238535320983281</v>
      </c>
      <c r="L103" s="74">
        <f t="shared" si="15"/>
        <v>1</v>
      </c>
    </row>
    <row r="104" spans="1:12" x14ac:dyDescent="0.25">
      <c r="A104" s="9">
        <v>7.1</v>
      </c>
      <c r="B104" s="3">
        <v>3</v>
      </c>
      <c r="C104" s="3">
        <v>5.9</v>
      </c>
      <c r="D104" s="8">
        <v>2.1</v>
      </c>
      <c r="E104" s="14" t="s">
        <v>11</v>
      </c>
      <c r="F104" s="50" t="s">
        <v>7</v>
      </c>
      <c r="G104" s="14">
        <f t="shared" si="14"/>
        <v>2.0420771509064179</v>
      </c>
      <c r="H104" s="52">
        <f t="shared" si="16"/>
        <v>1.449159625609161</v>
      </c>
      <c r="I104" s="52">
        <f t="shared" si="17"/>
        <v>-0.68828448165835843</v>
      </c>
      <c r="J104" s="52">
        <f t="shared" si="18"/>
        <v>0.56647652003457294</v>
      </c>
      <c r="K104" s="52">
        <f t="shared" si="19"/>
        <v>0.52477070641966594</v>
      </c>
      <c r="L104" s="74">
        <f t="shared" si="15"/>
        <v>1</v>
      </c>
    </row>
    <row r="105" spans="1:12" x14ac:dyDescent="0.25">
      <c r="A105" s="9">
        <v>6.3</v>
      </c>
      <c r="B105" s="3">
        <v>2.9</v>
      </c>
      <c r="C105" s="3">
        <v>5.6</v>
      </c>
      <c r="D105" s="8">
        <v>1.8</v>
      </c>
      <c r="E105" s="14" t="s">
        <v>11</v>
      </c>
      <c r="F105" s="50" t="s">
        <v>7</v>
      </c>
      <c r="G105" s="14">
        <f t="shared" si="14"/>
        <v>1.4999957605753276</v>
      </c>
      <c r="H105" s="52">
        <f t="shared" si="16"/>
        <v>0.48305320853638661</v>
      </c>
      <c r="I105" s="52">
        <f t="shared" si="17"/>
        <v>-0.9177126422111449</v>
      </c>
      <c r="J105" s="52">
        <f t="shared" si="18"/>
        <v>0.39653356402420059</v>
      </c>
      <c r="K105" s="52">
        <f t="shared" si="19"/>
        <v>0.13119267660491654</v>
      </c>
      <c r="L105" s="74">
        <f t="shared" si="15"/>
        <v>1</v>
      </c>
    </row>
    <row r="106" spans="1:12" x14ac:dyDescent="0.25">
      <c r="A106" s="9">
        <v>6.5</v>
      </c>
      <c r="B106" s="3">
        <v>3</v>
      </c>
      <c r="C106" s="3">
        <v>5.8</v>
      </c>
      <c r="D106" s="8">
        <v>2.2000000000000002</v>
      </c>
      <c r="E106" s="14" t="s">
        <v>11</v>
      </c>
      <c r="F106" s="50" t="s">
        <v>7</v>
      </c>
      <c r="G106" s="14">
        <f t="shared" si="14"/>
        <v>1.6398063505678284</v>
      </c>
      <c r="H106" s="52">
        <f t="shared" si="16"/>
        <v>0.7245798128045805</v>
      </c>
      <c r="I106" s="52">
        <f t="shared" si="17"/>
        <v>-0.68828448165835843</v>
      </c>
      <c r="J106" s="52">
        <f t="shared" si="18"/>
        <v>0.50982886803111527</v>
      </c>
      <c r="K106" s="52">
        <f t="shared" si="19"/>
        <v>0.65596338302458246</v>
      </c>
      <c r="L106" s="74">
        <f t="shared" si="15"/>
        <v>1</v>
      </c>
    </row>
    <row r="107" spans="1:12" x14ac:dyDescent="0.25">
      <c r="A107" s="9">
        <v>7.6</v>
      </c>
      <c r="B107" s="3">
        <v>3</v>
      </c>
      <c r="C107" s="3">
        <v>6.6</v>
      </c>
      <c r="D107" s="8">
        <v>2.1</v>
      </c>
      <c r="E107" s="14" t="s">
        <v>11</v>
      </c>
      <c r="F107" s="50" t="s">
        <v>7</v>
      </c>
      <c r="G107" s="14">
        <f t="shared" si="14"/>
        <v>2.6251131899673386</v>
      </c>
      <c r="H107" s="52">
        <f t="shared" si="16"/>
        <v>2.052976136279645</v>
      </c>
      <c r="I107" s="52">
        <f t="shared" si="17"/>
        <v>-0.68828448165835843</v>
      </c>
      <c r="J107" s="52">
        <f t="shared" si="18"/>
        <v>0.96301008405877353</v>
      </c>
      <c r="K107" s="52">
        <f t="shared" si="19"/>
        <v>0.52477070641966594</v>
      </c>
      <c r="L107" s="74">
        <f t="shared" si="15"/>
        <v>1</v>
      </c>
    </row>
    <row r="108" spans="1:12" x14ac:dyDescent="0.25">
      <c r="A108" s="9">
        <v>4.9000000000000004</v>
      </c>
      <c r="B108" s="3">
        <v>2.5</v>
      </c>
      <c r="C108" s="3">
        <v>4.5</v>
      </c>
      <c r="D108" s="8">
        <v>1.7</v>
      </c>
      <c r="E108" s="14" t="s">
        <v>11</v>
      </c>
      <c r="F108" s="50" t="s">
        <v>7</v>
      </c>
      <c r="G108" s="14">
        <f t="shared" si="14"/>
        <v>2.424563216863985</v>
      </c>
      <c r="H108" s="52">
        <f t="shared" si="16"/>
        <v>-1.2076330213409683</v>
      </c>
      <c r="I108" s="52">
        <f t="shared" si="17"/>
        <v>-1.8354252844222898</v>
      </c>
      <c r="J108" s="52">
        <f t="shared" si="18"/>
        <v>-0.22659060801382935</v>
      </c>
      <c r="K108" s="52">
        <f t="shared" si="19"/>
        <v>0</v>
      </c>
      <c r="L108" s="74">
        <f t="shared" si="15"/>
        <v>1</v>
      </c>
    </row>
    <row r="109" spans="1:12" x14ac:dyDescent="0.25">
      <c r="A109" s="9">
        <v>7.3</v>
      </c>
      <c r="B109" s="3">
        <v>2.9</v>
      </c>
      <c r="C109" s="3">
        <v>6.3</v>
      </c>
      <c r="D109" s="8">
        <v>1.8</v>
      </c>
      <c r="E109" s="14" t="s">
        <v>11</v>
      </c>
      <c r="F109" s="50" t="s">
        <v>7</v>
      </c>
      <c r="G109" s="14">
        <f t="shared" si="14"/>
        <v>2.3123112700405986</v>
      </c>
      <c r="H109" s="52">
        <f t="shared" si="16"/>
        <v>1.6906862298773548</v>
      </c>
      <c r="I109" s="52">
        <f t="shared" si="17"/>
        <v>-0.9177126422111449</v>
      </c>
      <c r="J109" s="52">
        <f t="shared" si="18"/>
        <v>0.79306712804840174</v>
      </c>
      <c r="K109" s="52">
        <f t="shared" si="19"/>
        <v>0.13119267660491654</v>
      </c>
      <c r="L109" s="74">
        <f t="shared" si="15"/>
        <v>1</v>
      </c>
    </row>
    <row r="110" spans="1:12" x14ac:dyDescent="0.25">
      <c r="A110" s="9">
        <v>6.7</v>
      </c>
      <c r="B110" s="3">
        <v>2.5</v>
      </c>
      <c r="C110" s="3">
        <v>5.8</v>
      </c>
      <c r="D110" s="8">
        <v>1.8</v>
      </c>
      <c r="E110" s="14" t="s">
        <v>11</v>
      </c>
      <c r="F110" s="50" t="s">
        <v>7</v>
      </c>
      <c r="G110" s="14">
        <f t="shared" si="14"/>
        <v>2.3620509259705829</v>
      </c>
      <c r="H110" s="52">
        <f t="shared" si="16"/>
        <v>0.96610641707277434</v>
      </c>
      <c r="I110" s="52">
        <f t="shared" si="17"/>
        <v>-1.8354252844222898</v>
      </c>
      <c r="J110" s="52">
        <f t="shared" si="18"/>
        <v>0.50982886803111527</v>
      </c>
      <c r="K110" s="52">
        <f t="shared" si="19"/>
        <v>0.13119267660491654</v>
      </c>
      <c r="L110" s="74">
        <f t="shared" si="15"/>
        <v>1</v>
      </c>
    </row>
    <row r="111" spans="1:12" x14ac:dyDescent="0.25">
      <c r="A111" s="9">
        <v>7.2</v>
      </c>
      <c r="B111" s="3">
        <v>3.6</v>
      </c>
      <c r="C111" s="3">
        <v>6.1</v>
      </c>
      <c r="D111" s="8">
        <v>2.5</v>
      </c>
      <c r="E111" s="14" t="s">
        <v>11</v>
      </c>
      <c r="F111" s="50" t="s">
        <v>7</v>
      </c>
      <c r="G111" s="14">
        <f t="shared" si="14"/>
        <v>2.3456385989259196</v>
      </c>
      <c r="H111" s="52">
        <f t="shared" si="16"/>
        <v>1.5699229277432585</v>
      </c>
      <c r="I111" s="52">
        <f t="shared" si="17"/>
        <v>0.68828448165835943</v>
      </c>
      <c r="J111" s="52">
        <f t="shared" si="18"/>
        <v>0.67977182404148706</v>
      </c>
      <c r="K111" s="52">
        <f t="shared" si="19"/>
        <v>1.0495414128393314</v>
      </c>
      <c r="L111" s="74">
        <f t="shared" si="15"/>
        <v>1</v>
      </c>
    </row>
    <row r="112" spans="1:12" x14ac:dyDescent="0.25">
      <c r="A112" s="9">
        <v>6.5</v>
      </c>
      <c r="B112" s="3">
        <v>3.2</v>
      </c>
      <c r="C112" s="3">
        <v>5.0999999999999996</v>
      </c>
      <c r="D112" s="8">
        <v>2</v>
      </c>
      <c r="E112" s="14" t="s">
        <v>11</v>
      </c>
      <c r="F112" s="50" t="s">
        <v>7</v>
      </c>
      <c r="G112" s="14">
        <f t="shared" si="14"/>
        <v>1.3211331036051721</v>
      </c>
      <c r="H112" s="52">
        <f t="shared" si="16"/>
        <v>0.7245798128045805</v>
      </c>
      <c r="I112" s="52">
        <f t="shared" si="17"/>
        <v>-0.22942816055278545</v>
      </c>
      <c r="J112" s="52">
        <f t="shared" si="18"/>
        <v>0.11329530400691418</v>
      </c>
      <c r="K112" s="52">
        <f t="shared" si="19"/>
        <v>0.39357802981474937</v>
      </c>
      <c r="L112" s="74">
        <f t="shared" si="15"/>
        <v>1</v>
      </c>
    </row>
    <row r="113" spans="1:12" x14ac:dyDescent="0.25">
      <c r="A113" s="9">
        <v>6.4</v>
      </c>
      <c r="B113" s="3">
        <v>2.7</v>
      </c>
      <c r="C113" s="3">
        <v>5.3</v>
      </c>
      <c r="D113" s="8">
        <v>1.9</v>
      </c>
      <c r="E113" s="14" t="s">
        <v>11</v>
      </c>
      <c r="F113" s="50" t="s">
        <v>7</v>
      </c>
      <c r="G113" s="14">
        <f t="shared" si="14"/>
        <v>1.8384030751019389</v>
      </c>
      <c r="H113" s="52">
        <f t="shared" si="16"/>
        <v>0.60381651067048414</v>
      </c>
      <c r="I113" s="52">
        <f t="shared" si="17"/>
        <v>-1.3765689633167169</v>
      </c>
      <c r="J113" s="52">
        <f t="shared" si="18"/>
        <v>0.22659060801382885</v>
      </c>
      <c r="K113" s="52">
        <f t="shared" si="19"/>
        <v>0.26238535320983281</v>
      </c>
      <c r="L113" s="74">
        <f t="shared" si="15"/>
        <v>1</v>
      </c>
    </row>
    <row r="114" spans="1:12" x14ac:dyDescent="0.25">
      <c r="A114" s="9">
        <v>6.8</v>
      </c>
      <c r="B114" s="3">
        <v>3</v>
      </c>
      <c r="C114" s="3">
        <v>5.5</v>
      </c>
      <c r="D114" s="8">
        <v>2.1</v>
      </c>
      <c r="E114" s="14" t="s">
        <v>11</v>
      </c>
      <c r="F114" s="50" t="s">
        <v>7</v>
      </c>
      <c r="G114" s="14">
        <f t="shared" si="14"/>
        <v>1.7452587320299833</v>
      </c>
      <c r="H114" s="52">
        <f t="shared" si="16"/>
        <v>1.0868697192068708</v>
      </c>
      <c r="I114" s="52">
        <f t="shared" si="17"/>
        <v>-0.68828448165835843</v>
      </c>
      <c r="J114" s="52">
        <f t="shared" si="18"/>
        <v>0.33988591202074353</v>
      </c>
      <c r="K114" s="52">
        <f t="shared" si="19"/>
        <v>0.52477070641966594</v>
      </c>
      <c r="L114" s="74">
        <f t="shared" si="15"/>
        <v>1</v>
      </c>
    </row>
    <row r="115" spans="1:12" x14ac:dyDescent="0.25">
      <c r="A115" s="9">
        <v>5.7</v>
      </c>
      <c r="B115" s="3">
        <v>2.5</v>
      </c>
      <c r="C115" s="3">
        <v>5</v>
      </c>
      <c r="D115" s="8">
        <v>2</v>
      </c>
      <c r="E115" s="14" t="s">
        <v>11</v>
      </c>
      <c r="F115" s="50" t="s">
        <v>7</v>
      </c>
      <c r="G115" s="14">
        <f t="shared" si="14"/>
        <v>2.1413158798496621</v>
      </c>
      <c r="H115" s="52">
        <f t="shared" si="16"/>
        <v>-0.24152660426819386</v>
      </c>
      <c r="I115" s="52">
        <f t="shared" si="17"/>
        <v>-1.8354252844222898</v>
      </c>
      <c r="J115" s="52">
        <f t="shared" si="18"/>
        <v>5.6647652003457089E-2</v>
      </c>
      <c r="K115" s="52">
        <f t="shared" si="19"/>
        <v>0.39357802981474937</v>
      </c>
      <c r="L115" s="74">
        <f t="shared" si="15"/>
        <v>1</v>
      </c>
    </row>
    <row r="116" spans="1:12" x14ac:dyDescent="0.25">
      <c r="A116" s="9">
        <v>5.8</v>
      </c>
      <c r="B116" s="3">
        <v>2.8</v>
      </c>
      <c r="C116" s="3">
        <v>5.0999999999999996</v>
      </c>
      <c r="D116" s="8">
        <v>2.4</v>
      </c>
      <c r="E116" s="14" t="s">
        <v>11</v>
      </c>
      <c r="F116" s="50" t="s">
        <v>7</v>
      </c>
      <c r="G116" s="14">
        <f t="shared" si="14"/>
        <v>1.7851375363712385</v>
      </c>
      <c r="H116" s="52">
        <f t="shared" si="16"/>
        <v>-0.12076330213409746</v>
      </c>
      <c r="I116" s="52">
        <f t="shared" si="17"/>
        <v>-1.1471408027639314</v>
      </c>
      <c r="J116" s="52">
        <f t="shared" si="18"/>
        <v>0.11329530400691418</v>
      </c>
      <c r="K116" s="52">
        <f t="shared" si="19"/>
        <v>0.91834873623441493</v>
      </c>
      <c r="L116" s="74">
        <f t="shared" si="15"/>
        <v>1</v>
      </c>
    </row>
    <row r="117" spans="1:12" x14ac:dyDescent="0.25">
      <c r="A117" s="9">
        <v>6.4</v>
      </c>
      <c r="B117" s="3">
        <v>3.2</v>
      </c>
      <c r="C117" s="3">
        <v>5.3</v>
      </c>
      <c r="D117" s="8">
        <v>2.2999999999999998</v>
      </c>
      <c r="E117" s="14" t="s">
        <v>11</v>
      </c>
      <c r="F117" s="50" t="s">
        <v>7</v>
      </c>
      <c r="G117" s="14">
        <f t="shared" si="14"/>
        <v>1.4450569626365697</v>
      </c>
      <c r="H117" s="52">
        <f t="shared" si="16"/>
        <v>0.60381651067048414</v>
      </c>
      <c r="I117" s="52">
        <f t="shared" si="17"/>
        <v>-0.22942816055278545</v>
      </c>
      <c r="J117" s="52">
        <f t="shared" si="18"/>
        <v>0.22659060801382885</v>
      </c>
      <c r="K117" s="52">
        <f t="shared" si="19"/>
        <v>0.78715605962949842</v>
      </c>
      <c r="L117" s="74">
        <f t="shared" si="15"/>
        <v>1</v>
      </c>
    </row>
    <row r="118" spans="1:12" x14ac:dyDescent="0.25">
      <c r="A118" s="9">
        <v>6.5</v>
      </c>
      <c r="B118" s="3">
        <v>3</v>
      </c>
      <c r="C118" s="3">
        <v>5.5</v>
      </c>
      <c r="D118" s="8">
        <v>1.8</v>
      </c>
      <c r="E118" s="14" t="s">
        <v>11</v>
      </c>
      <c r="F118" s="50" t="s">
        <v>7</v>
      </c>
      <c r="G118" s="14">
        <f t="shared" si="14"/>
        <v>1.4599607475547316</v>
      </c>
      <c r="H118" s="52">
        <f t="shared" si="16"/>
        <v>0.7245798128045805</v>
      </c>
      <c r="I118" s="52">
        <f t="shared" si="17"/>
        <v>-0.68828448165835843</v>
      </c>
      <c r="J118" s="52">
        <f t="shared" si="18"/>
        <v>0.33988591202074353</v>
      </c>
      <c r="K118" s="52">
        <f t="shared" si="19"/>
        <v>0.13119267660491654</v>
      </c>
      <c r="L118" s="74">
        <f t="shared" si="15"/>
        <v>1</v>
      </c>
    </row>
    <row r="119" spans="1:12" x14ac:dyDescent="0.25">
      <c r="A119" s="9">
        <v>7.7</v>
      </c>
      <c r="B119" s="3">
        <v>3.8</v>
      </c>
      <c r="C119" s="3">
        <v>6.7</v>
      </c>
      <c r="D119" s="8">
        <v>2.2000000000000002</v>
      </c>
      <c r="E119" s="14" t="s">
        <v>11</v>
      </c>
      <c r="F119" s="50" t="s">
        <v>7</v>
      </c>
      <c r="G119" s="14">
        <f t="shared" si="14"/>
        <v>2.917372966568001</v>
      </c>
      <c r="H119" s="52">
        <f t="shared" si="16"/>
        <v>2.1737394384137425</v>
      </c>
      <c r="I119" s="52">
        <f t="shared" si="17"/>
        <v>1.1471408027639314</v>
      </c>
      <c r="J119" s="52">
        <f t="shared" si="18"/>
        <v>1.0196577360622312</v>
      </c>
      <c r="K119" s="52">
        <f t="shared" si="19"/>
        <v>0.65596338302458246</v>
      </c>
      <c r="L119" s="74">
        <f t="shared" si="15"/>
        <v>1</v>
      </c>
    </row>
    <row r="120" spans="1:12" x14ac:dyDescent="0.25">
      <c r="A120" s="9">
        <v>7.7</v>
      </c>
      <c r="B120" s="3">
        <v>2.6</v>
      </c>
      <c r="C120" s="3">
        <v>6.9</v>
      </c>
      <c r="D120" s="8">
        <v>2.2999999999999998</v>
      </c>
      <c r="E120" s="14" t="s">
        <v>11</v>
      </c>
      <c r="F120" s="50" t="s">
        <v>7</v>
      </c>
      <c r="G120" s="14">
        <f t="shared" si="14"/>
        <v>3.1949283499330257</v>
      </c>
      <c r="H120" s="52">
        <f t="shared" si="16"/>
        <v>2.1737394384137425</v>
      </c>
      <c r="I120" s="52">
        <f t="shared" si="17"/>
        <v>-1.6059971238695032</v>
      </c>
      <c r="J120" s="52">
        <f t="shared" si="18"/>
        <v>1.1329530400691459</v>
      </c>
      <c r="K120" s="52">
        <f t="shared" si="19"/>
        <v>0.78715605962949842</v>
      </c>
      <c r="L120" s="74">
        <f t="shared" si="15"/>
        <v>1</v>
      </c>
    </row>
    <row r="121" spans="1:12" x14ac:dyDescent="0.25">
      <c r="A121" s="9">
        <v>6</v>
      </c>
      <c r="B121" s="3">
        <v>2.2000000000000002</v>
      </c>
      <c r="C121" s="3">
        <v>5</v>
      </c>
      <c r="D121" s="8">
        <v>1.5</v>
      </c>
      <c r="E121" s="14" t="s">
        <v>11</v>
      </c>
      <c r="F121" s="50" t="s">
        <v>7</v>
      </c>
      <c r="G121" s="14">
        <f t="shared" si="14"/>
        <v>2.7305218894214569</v>
      </c>
      <c r="H121" s="52">
        <f t="shared" si="16"/>
        <v>0.12076330213409639</v>
      </c>
      <c r="I121" s="52">
        <f t="shared" si="17"/>
        <v>-2.523709766080648</v>
      </c>
      <c r="J121" s="52">
        <f t="shared" si="18"/>
        <v>5.6647652003457089E-2</v>
      </c>
      <c r="K121" s="52">
        <f t="shared" si="19"/>
        <v>-0.26238535320983281</v>
      </c>
      <c r="L121" s="74">
        <f t="shared" si="15"/>
        <v>1</v>
      </c>
    </row>
    <row r="122" spans="1:12" x14ac:dyDescent="0.25">
      <c r="A122" s="9">
        <v>6.9</v>
      </c>
      <c r="B122" s="3">
        <v>3.2</v>
      </c>
      <c r="C122" s="3">
        <v>5.7</v>
      </c>
      <c r="D122" s="8">
        <v>2.2999999999999998</v>
      </c>
      <c r="E122" s="14" t="s">
        <v>11</v>
      </c>
      <c r="F122" s="50" t="s">
        <v>7</v>
      </c>
      <c r="G122" s="14">
        <f t="shared" si="14"/>
        <v>1.8264727405191394</v>
      </c>
      <c r="H122" s="52">
        <f t="shared" si="16"/>
        <v>1.2076330213409683</v>
      </c>
      <c r="I122" s="52">
        <f t="shared" si="17"/>
        <v>-0.22942816055278545</v>
      </c>
      <c r="J122" s="52">
        <f t="shared" si="18"/>
        <v>0.45318121602765821</v>
      </c>
      <c r="K122" s="52">
        <f t="shared" si="19"/>
        <v>0.78715605962949842</v>
      </c>
      <c r="L122" s="74">
        <f t="shared" si="15"/>
        <v>1</v>
      </c>
    </row>
    <row r="123" spans="1:12" x14ac:dyDescent="0.25">
      <c r="A123" s="9">
        <v>5.6</v>
      </c>
      <c r="B123" s="3">
        <v>2.8</v>
      </c>
      <c r="C123" s="3">
        <v>4.9000000000000004</v>
      </c>
      <c r="D123" s="8">
        <v>2</v>
      </c>
      <c r="E123" s="14" t="s">
        <v>11</v>
      </c>
      <c r="F123" s="50" t="s">
        <v>7</v>
      </c>
      <c r="G123" s="14">
        <f t="shared" si="14"/>
        <v>1.6130993965654186</v>
      </c>
      <c r="H123" s="52">
        <f t="shared" si="16"/>
        <v>-0.36228990640229131</v>
      </c>
      <c r="I123" s="52">
        <f t="shared" si="17"/>
        <v>-1.1471408027639314</v>
      </c>
      <c r="J123" s="52">
        <f t="shared" si="18"/>
        <v>0</v>
      </c>
      <c r="K123" s="52">
        <f t="shared" si="19"/>
        <v>0.39357802981474937</v>
      </c>
      <c r="L123" s="74">
        <f t="shared" si="15"/>
        <v>1</v>
      </c>
    </row>
    <row r="124" spans="1:12" x14ac:dyDescent="0.25">
      <c r="A124" s="9">
        <v>7.7</v>
      </c>
      <c r="B124" s="3">
        <v>2.8</v>
      </c>
      <c r="C124" s="3">
        <v>6.7</v>
      </c>
      <c r="D124" s="8">
        <v>2</v>
      </c>
      <c r="E124" s="14" t="s">
        <v>11</v>
      </c>
      <c r="F124" s="50" t="s">
        <v>7</v>
      </c>
      <c r="G124" s="14">
        <f t="shared" si="14"/>
        <v>2.869787576066491</v>
      </c>
      <c r="H124" s="52">
        <f t="shared" si="16"/>
        <v>2.1737394384137425</v>
      </c>
      <c r="I124" s="52">
        <f t="shared" si="17"/>
        <v>-1.1471408027639314</v>
      </c>
      <c r="J124" s="52">
        <f t="shared" si="18"/>
        <v>1.0196577360622312</v>
      </c>
      <c r="K124" s="52">
        <f t="shared" si="19"/>
        <v>0.39357802981474937</v>
      </c>
      <c r="L124" s="74">
        <f t="shared" si="15"/>
        <v>1</v>
      </c>
    </row>
    <row r="125" spans="1:12" x14ac:dyDescent="0.25">
      <c r="A125" s="9">
        <v>6.3</v>
      </c>
      <c r="B125" s="3">
        <v>2.7</v>
      </c>
      <c r="C125" s="3">
        <v>4.9000000000000004</v>
      </c>
      <c r="D125" s="8">
        <v>1.8</v>
      </c>
      <c r="E125" s="14" t="s">
        <v>11</v>
      </c>
      <c r="F125" s="50" t="s">
        <v>7</v>
      </c>
      <c r="G125" s="14">
        <f t="shared" si="14"/>
        <v>1.7735540678081738</v>
      </c>
      <c r="H125" s="52">
        <f t="shared" si="16"/>
        <v>0.48305320853638661</v>
      </c>
      <c r="I125" s="52">
        <f t="shared" si="17"/>
        <v>-1.3765689633167169</v>
      </c>
      <c r="J125" s="52">
        <f t="shared" si="18"/>
        <v>0</v>
      </c>
      <c r="K125" s="52">
        <f t="shared" si="19"/>
        <v>0.13119267660491654</v>
      </c>
      <c r="L125" s="74">
        <f t="shared" si="15"/>
        <v>1</v>
      </c>
    </row>
    <row r="126" spans="1:12" x14ac:dyDescent="0.25">
      <c r="A126" s="9">
        <v>6.7</v>
      </c>
      <c r="B126" s="3">
        <v>3.3</v>
      </c>
      <c r="C126" s="3">
        <v>5.7</v>
      </c>
      <c r="D126" s="8">
        <v>2.1</v>
      </c>
      <c r="E126" s="14" t="s">
        <v>11</v>
      </c>
      <c r="F126" s="50" t="s">
        <v>7</v>
      </c>
      <c r="G126" s="14">
        <f t="shared" si="14"/>
        <v>1.5537435818003227</v>
      </c>
      <c r="H126" s="52">
        <f t="shared" si="16"/>
        <v>0.96610641707277434</v>
      </c>
      <c r="I126" s="52">
        <f t="shared" si="17"/>
        <v>0</v>
      </c>
      <c r="J126" s="52">
        <f t="shared" si="18"/>
        <v>0.45318121602765821</v>
      </c>
      <c r="K126" s="52">
        <f t="shared" si="19"/>
        <v>0.52477070641966594</v>
      </c>
      <c r="L126" s="74">
        <f t="shared" si="15"/>
        <v>1</v>
      </c>
    </row>
    <row r="127" spans="1:12" x14ac:dyDescent="0.25">
      <c r="A127" s="9">
        <v>7.2</v>
      </c>
      <c r="B127" s="3">
        <v>3.2</v>
      </c>
      <c r="C127" s="3">
        <v>6</v>
      </c>
      <c r="D127" s="8">
        <v>1.8</v>
      </c>
      <c r="E127" s="14" t="s">
        <v>11</v>
      </c>
      <c r="F127" s="50" t="s">
        <v>7</v>
      </c>
      <c r="G127" s="14">
        <f t="shared" si="14"/>
        <v>1.9806035777210547</v>
      </c>
      <c r="H127" s="52">
        <f t="shared" si="16"/>
        <v>1.5699229277432585</v>
      </c>
      <c r="I127" s="52">
        <f t="shared" si="17"/>
        <v>-0.22942816055278545</v>
      </c>
      <c r="J127" s="52">
        <f t="shared" si="18"/>
        <v>0.62312417203802994</v>
      </c>
      <c r="K127" s="52">
        <f t="shared" si="19"/>
        <v>0.13119267660491654</v>
      </c>
      <c r="L127" s="74">
        <f t="shared" si="15"/>
        <v>1</v>
      </c>
    </row>
    <row r="128" spans="1:12" x14ac:dyDescent="0.25">
      <c r="A128" s="9">
        <v>6.2</v>
      </c>
      <c r="B128" s="3">
        <v>2.8</v>
      </c>
      <c r="C128" s="3">
        <v>4.8</v>
      </c>
      <c r="D128" s="8">
        <v>1.8</v>
      </c>
      <c r="E128" s="14" t="s">
        <v>11</v>
      </c>
      <c r="F128" s="50" t="s">
        <v>7</v>
      </c>
      <c r="G128" s="14">
        <f t="shared" si="14"/>
        <v>1.5708616974511551</v>
      </c>
      <c r="H128" s="52">
        <f t="shared" si="16"/>
        <v>0.36228990640229025</v>
      </c>
      <c r="I128" s="52">
        <f t="shared" si="17"/>
        <v>-1.1471408027639314</v>
      </c>
      <c r="J128" s="52">
        <f t="shared" si="18"/>
        <v>-5.6647652003457588E-2</v>
      </c>
      <c r="K128" s="52">
        <f t="shared" si="19"/>
        <v>0.13119267660491654</v>
      </c>
      <c r="L128" s="74">
        <f t="shared" si="15"/>
        <v>1</v>
      </c>
    </row>
    <row r="129" spans="1:12" x14ac:dyDescent="0.25">
      <c r="A129" s="9">
        <v>6.1</v>
      </c>
      <c r="B129" s="3">
        <v>3</v>
      </c>
      <c r="C129" s="3">
        <v>4.9000000000000004</v>
      </c>
      <c r="D129" s="8">
        <v>1.8</v>
      </c>
      <c r="E129" s="14" t="s">
        <v>11</v>
      </c>
      <c r="F129" s="50" t="s">
        <v>7</v>
      </c>
      <c r="G129" s="14">
        <f t="shared" si="14"/>
        <v>1.2447016295706379</v>
      </c>
      <c r="H129" s="52">
        <f t="shared" si="16"/>
        <v>0.24152660426819278</v>
      </c>
      <c r="I129" s="52">
        <f t="shared" si="17"/>
        <v>-0.68828448165835843</v>
      </c>
      <c r="J129" s="52">
        <f t="shared" si="18"/>
        <v>0</v>
      </c>
      <c r="K129" s="52">
        <f t="shared" si="19"/>
        <v>0.13119267660491654</v>
      </c>
      <c r="L129" s="74">
        <f t="shared" si="15"/>
        <v>1</v>
      </c>
    </row>
    <row r="130" spans="1:12" x14ac:dyDescent="0.25">
      <c r="A130" s="9">
        <v>6.4</v>
      </c>
      <c r="B130" s="3">
        <v>2.8</v>
      </c>
      <c r="C130" s="3">
        <v>5.6</v>
      </c>
      <c r="D130" s="8">
        <v>2.1</v>
      </c>
      <c r="E130" s="14" t="s">
        <v>11</v>
      </c>
      <c r="F130" s="50" t="s">
        <v>7</v>
      </c>
      <c r="G130" s="14">
        <f t="shared" si="14"/>
        <v>1.7644119591631897</v>
      </c>
      <c r="H130" s="52">
        <f t="shared" ref="H130:H151" si="20">(A130-A$157)/A$154</f>
        <v>0.60381651067048414</v>
      </c>
      <c r="I130" s="52">
        <f t="shared" ref="I130:I151" si="21">(B130-B$157)/B$154</f>
        <v>-1.1471408027639314</v>
      </c>
      <c r="J130" s="52">
        <f t="shared" ref="J130:J151" si="22">(C130-C$157)/C$154</f>
        <v>0.39653356402420059</v>
      </c>
      <c r="K130" s="52">
        <f t="shared" ref="K130:K151" si="23">(D130-D$157)/D$154</f>
        <v>0.52477070641966594</v>
      </c>
      <c r="L130" s="74">
        <f t="shared" si="15"/>
        <v>1</v>
      </c>
    </row>
    <row r="131" spans="1:12" x14ac:dyDescent="0.25">
      <c r="A131" s="9">
        <v>7.2</v>
      </c>
      <c r="B131" s="3">
        <v>3</v>
      </c>
      <c r="C131" s="3">
        <v>5.8</v>
      </c>
      <c r="D131" s="8">
        <v>1.6</v>
      </c>
      <c r="E131" s="14" t="s">
        <v>11</v>
      </c>
      <c r="F131" s="50" t="s">
        <v>7</v>
      </c>
      <c r="G131" s="14">
        <f t="shared" ref="G131:G150" si="24">SQRT(SUMSQ(H131:L131))</f>
        <v>2.0531757157677299</v>
      </c>
      <c r="H131" s="52">
        <f t="shared" si="20"/>
        <v>1.5699229277432585</v>
      </c>
      <c r="I131" s="52">
        <f t="shared" si="21"/>
        <v>-0.68828448165835843</v>
      </c>
      <c r="J131" s="52">
        <f t="shared" si="22"/>
        <v>0.50982886803111527</v>
      </c>
      <c r="K131" s="52">
        <f t="shared" si="23"/>
        <v>-0.13119267660491626</v>
      </c>
      <c r="L131" s="74">
        <f t="shared" ref="L131:L151" si="25">IF(E131=$E$157,1,0)</f>
        <v>1</v>
      </c>
    </row>
    <row r="132" spans="1:12" x14ac:dyDescent="0.25">
      <c r="A132" s="9">
        <v>7.4</v>
      </c>
      <c r="B132" s="3">
        <v>2.8</v>
      </c>
      <c r="C132" s="3">
        <v>6.1</v>
      </c>
      <c r="D132" s="8">
        <v>1.9</v>
      </c>
      <c r="E132" s="14" t="s">
        <v>12</v>
      </c>
      <c r="F132" s="50" t="s">
        <v>7</v>
      </c>
      <c r="G132" s="14">
        <f t="shared" si="24"/>
        <v>2.2645567413359564</v>
      </c>
      <c r="H132" s="52">
        <f t="shared" si="20"/>
        <v>1.8114495320114523</v>
      </c>
      <c r="I132" s="52">
        <f t="shared" si="21"/>
        <v>-1.1471408027639314</v>
      </c>
      <c r="J132" s="52">
        <f t="shared" si="22"/>
        <v>0.67977182404148706</v>
      </c>
      <c r="K132" s="52">
        <f t="shared" si="23"/>
        <v>0.26238535320983281</v>
      </c>
      <c r="L132" s="74">
        <f t="shared" si="25"/>
        <v>0</v>
      </c>
    </row>
    <row r="133" spans="1:12" x14ac:dyDescent="0.25">
      <c r="A133" s="9">
        <v>7.9</v>
      </c>
      <c r="B133" s="3">
        <v>3.8</v>
      </c>
      <c r="C133" s="3">
        <v>6.4</v>
      </c>
      <c r="D133" s="8">
        <v>2</v>
      </c>
      <c r="E133" s="14" t="s">
        <v>12</v>
      </c>
      <c r="F133" s="50" t="s">
        <v>7</v>
      </c>
      <c r="G133" s="14">
        <f t="shared" si="24"/>
        <v>2.8330832940966948</v>
      </c>
      <c r="H133" s="52">
        <f t="shared" si="20"/>
        <v>2.4152660426819366</v>
      </c>
      <c r="I133" s="52">
        <f t="shared" si="21"/>
        <v>1.1471408027639314</v>
      </c>
      <c r="J133" s="52">
        <f t="shared" si="22"/>
        <v>0.8497147800518593</v>
      </c>
      <c r="K133" s="52">
        <f t="shared" si="23"/>
        <v>0.39357802981474937</v>
      </c>
      <c r="L133" s="74">
        <f t="shared" si="25"/>
        <v>0</v>
      </c>
    </row>
    <row r="134" spans="1:12" x14ac:dyDescent="0.25">
      <c r="A134" s="9">
        <v>6.4</v>
      </c>
      <c r="B134" s="3">
        <v>2.8</v>
      </c>
      <c r="C134" s="3">
        <v>5.6</v>
      </c>
      <c r="D134" s="8">
        <v>2.2000000000000002</v>
      </c>
      <c r="E134" s="14" t="s">
        <v>12</v>
      </c>
      <c r="F134" s="50" t="s">
        <v>7</v>
      </c>
      <c r="G134" s="14">
        <f t="shared" si="24"/>
        <v>1.5060057195080454</v>
      </c>
      <c r="H134" s="52">
        <f t="shared" si="20"/>
        <v>0.60381651067048414</v>
      </c>
      <c r="I134" s="52">
        <f t="shared" si="21"/>
        <v>-1.1471408027639314</v>
      </c>
      <c r="J134" s="52">
        <f t="shared" si="22"/>
        <v>0.39653356402420059</v>
      </c>
      <c r="K134" s="52">
        <f t="shared" si="23"/>
        <v>0.65596338302458246</v>
      </c>
      <c r="L134" s="74">
        <f t="shared" si="25"/>
        <v>0</v>
      </c>
    </row>
    <row r="135" spans="1:12" x14ac:dyDescent="0.25">
      <c r="A135" s="9">
        <v>6.3</v>
      </c>
      <c r="B135" s="3">
        <v>2.8</v>
      </c>
      <c r="C135" s="3">
        <v>5.0999999999999996</v>
      </c>
      <c r="D135" s="8">
        <v>1.5</v>
      </c>
      <c r="E135" s="14" t="s">
        <v>12</v>
      </c>
      <c r="F135" s="50" t="s">
        <v>7</v>
      </c>
      <c r="G135" s="14">
        <f t="shared" si="24"/>
        <v>1.2770882205753222</v>
      </c>
      <c r="H135" s="52">
        <f t="shared" si="20"/>
        <v>0.48305320853638661</v>
      </c>
      <c r="I135" s="52">
        <f t="shared" si="21"/>
        <v>-1.1471408027639314</v>
      </c>
      <c r="J135" s="52">
        <f t="shared" si="22"/>
        <v>0.11329530400691418</v>
      </c>
      <c r="K135" s="52">
        <f t="shared" si="23"/>
        <v>-0.26238535320983281</v>
      </c>
      <c r="L135" s="74">
        <f t="shared" si="25"/>
        <v>0</v>
      </c>
    </row>
    <row r="136" spans="1:12" x14ac:dyDescent="0.25">
      <c r="A136" s="9">
        <v>6.1</v>
      </c>
      <c r="B136" s="3">
        <v>2.6</v>
      </c>
      <c r="C136" s="3">
        <v>5.6</v>
      </c>
      <c r="D136" s="8">
        <v>1.4</v>
      </c>
      <c r="E136" s="14" t="s">
        <v>12</v>
      </c>
      <c r="F136" s="50" t="s">
        <v>7</v>
      </c>
      <c r="G136" s="14">
        <f t="shared" si="24"/>
        <v>1.7174703477489897</v>
      </c>
      <c r="H136" s="52">
        <f t="shared" si="20"/>
        <v>0.24152660426819278</v>
      </c>
      <c r="I136" s="52">
        <f t="shared" si="21"/>
        <v>-1.6059971238695032</v>
      </c>
      <c r="J136" s="52">
        <f t="shared" si="22"/>
        <v>0.39653356402420059</v>
      </c>
      <c r="K136" s="52">
        <f t="shared" si="23"/>
        <v>-0.39357802981474937</v>
      </c>
      <c r="L136" s="74">
        <f t="shared" si="25"/>
        <v>0</v>
      </c>
    </row>
    <row r="137" spans="1:12" x14ac:dyDescent="0.25">
      <c r="A137" s="9">
        <v>7.7</v>
      </c>
      <c r="B137" s="3">
        <v>3</v>
      </c>
      <c r="C137" s="3">
        <v>6.1</v>
      </c>
      <c r="D137" s="8">
        <v>2.2999999999999998</v>
      </c>
      <c r="E137" s="14" t="s">
        <v>12</v>
      </c>
      <c r="F137" s="50" t="s">
        <v>7</v>
      </c>
      <c r="G137" s="14">
        <f t="shared" si="24"/>
        <v>2.5061091494145131</v>
      </c>
      <c r="H137" s="52">
        <f t="shared" si="20"/>
        <v>2.1737394384137425</v>
      </c>
      <c r="I137" s="52">
        <f t="shared" si="21"/>
        <v>-0.68828448165835843</v>
      </c>
      <c r="J137" s="52">
        <f t="shared" si="22"/>
        <v>0.67977182404148706</v>
      </c>
      <c r="K137" s="52">
        <f t="shared" si="23"/>
        <v>0.78715605962949842</v>
      </c>
      <c r="L137" s="74">
        <f t="shared" si="25"/>
        <v>0</v>
      </c>
    </row>
    <row r="138" spans="1:12" x14ac:dyDescent="0.25">
      <c r="A138" s="9">
        <v>6.3</v>
      </c>
      <c r="B138" s="3">
        <v>3.4</v>
      </c>
      <c r="C138" s="3">
        <v>5.6</v>
      </c>
      <c r="D138" s="8">
        <v>2.4</v>
      </c>
      <c r="E138" s="14" t="s">
        <v>12</v>
      </c>
      <c r="F138" s="50" t="s">
        <v>7</v>
      </c>
      <c r="G138" s="14">
        <f t="shared" si="24"/>
        <v>1.134275518502015</v>
      </c>
      <c r="H138" s="52">
        <f t="shared" si="20"/>
        <v>0.48305320853638661</v>
      </c>
      <c r="I138" s="52">
        <f t="shared" si="21"/>
        <v>0.22942816055278648</v>
      </c>
      <c r="J138" s="52">
        <f t="shared" si="22"/>
        <v>0.39653356402420059</v>
      </c>
      <c r="K138" s="52">
        <f t="shared" si="23"/>
        <v>0.91834873623441493</v>
      </c>
      <c r="L138" s="74">
        <f t="shared" si="25"/>
        <v>0</v>
      </c>
    </row>
    <row r="139" spans="1:12" x14ac:dyDescent="0.25">
      <c r="A139" s="9">
        <v>6.4</v>
      </c>
      <c r="B139" s="3">
        <v>3.1</v>
      </c>
      <c r="C139" s="3">
        <v>5.5</v>
      </c>
      <c r="D139" s="8">
        <v>1.8</v>
      </c>
      <c r="E139" s="14" t="s">
        <v>12</v>
      </c>
      <c r="F139" s="50" t="s">
        <v>7</v>
      </c>
      <c r="G139" s="14">
        <f t="shared" si="24"/>
        <v>0.84135453499803126</v>
      </c>
      <c r="H139" s="52">
        <f t="shared" si="20"/>
        <v>0.60381651067048414</v>
      </c>
      <c r="I139" s="52">
        <f t="shared" si="21"/>
        <v>-0.45885632110557195</v>
      </c>
      <c r="J139" s="52">
        <f t="shared" si="22"/>
        <v>0.33988591202074353</v>
      </c>
      <c r="K139" s="52">
        <f t="shared" si="23"/>
        <v>0.13119267660491654</v>
      </c>
      <c r="L139" s="74">
        <f t="shared" si="25"/>
        <v>0</v>
      </c>
    </row>
    <row r="140" spans="1:12" x14ac:dyDescent="0.25">
      <c r="A140" s="9">
        <v>6</v>
      </c>
      <c r="B140" s="3">
        <v>3</v>
      </c>
      <c r="C140" s="3">
        <v>4.8</v>
      </c>
      <c r="D140" s="8">
        <v>1.8</v>
      </c>
      <c r="E140" s="14" t="s">
        <v>12</v>
      </c>
      <c r="F140" s="50" t="s">
        <v>7</v>
      </c>
      <c r="G140" s="14">
        <f>SQRT(SUMSQ(H140:L140))</f>
        <v>0.7132599650241932</v>
      </c>
      <c r="H140" s="52">
        <f t="shared" si="20"/>
        <v>0.12076330213409639</v>
      </c>
      <c r="I140" s="52">
        <f t="shared" si="21"/>
        <v>-0.68828448165835843</v>
      </c>
      <c r="J140" s="52">
        <f t="shared" si="22"/>
        <v>-5.6647652003457588E-2</v>
      </c>
      <c r="K140" s="52">
        <f t="shared" si="23"/>
        <v>0.13119267660491654</v>
      </c>
      <c r="L140" s="74">
        <f t="shared" si="25"/>
        <v>0</v>
      </c>
    </row>
    <row r="141" spans="1:12" x14ac:dyDescent="0.25">
      <c r="A141" s="9">
        <v>6.9</v>
      </c>
      <c r="B141" s="3">
        <v>3.1</v>
      </c>
      <c r="C141" s="3">
        <v>5.4</v>
      </c>
      <c r="D141" s="8">
        <v>2.1</v>
      </c>
      <c r="E141" s="14" t="s">
        <v>12</v>
      </c>
      <c r="F141" s="50" t="s">
        <v>7</v>
      </c>
      <c r="G141" s="14">
        <f t="shared" si="24"/>
        <v>1.4228614984971202</v>
      </c>
      <c r="H141" s="52">
        <f t="shared" si="20"/>
        <v>1.2076330213409683</v>
      </c>
      <c r="I141" s="52">
        <f t="shared" si="21"/>
        <v>-0.45885632110557195</v>
      </c>
      <c r="J141" s="52">
        <f t="shared" si="22"/>
        <v>0.28323826001728647</v>
      </c>
      <c r="K141" s="52">
        <f t="shared" si="23"/>
        <v>0.52477070641966594</v>
      </c>
      <c r="L141" s="74">
        <f t="shared" si="25"/>
        <v>0</v>
      </c>
    </row>
    <row r="142" spans="1:12" x14ac:dyDescent="0.25">
      <c r="A142" s="9">
        <v>6.7</v>
      </c>
      <c r="B142" s="3">
        <v>3.1</v>
      </c>
      <c r="C142" s="3">
        <v>5.6</v>
      </c>
      <c r="D142" s="8">
        <v>2.4</v>
      </c>
      <c r="E142" s="14" t="s">
        <v>12</v>
      </c>
      <c r="F142" s="50" t="s">
        <v>7</v>
      </c>
      <c r="G142" s="14">
        <f t="shared" si="24"/>
        <v>1.4644159249573923</v>
      </c>
      <c r="H142" s="52">
        <f t="shared" si="20"/>
        <v>0.96610641707277434</v>
      </c>
      <c r="I142" s="52">
        <f t="shared" si="21"/>
        <v>-0.45885632110557195</v>
      </c>
      <c r="J142" s="52">
        <f t="shared" si="22"/>
        <v>0.39653356402420059</v>
      </c>
      <c r="K142" s="52">
        <f t="shared" si="23"/>
        <v>0.91834873623441493</v>
      </c>
      <c r="L142" s="74">
        <f t="shared" si="25"/>
        <v>0</v>
      </c>
    </row>
    <row r="143" spans="1:12" x14ac:dyDescent="0.25">
      <c r="A143" s="9">
        <v>6.9</v>
      </c>
      <c r="B143" s="3">
        <v>3.1</v>
      </c>
      <c r="C143" s="3">
        <v>5.0999999999999996</v>
      </c>
      <c r="D143" s="8">
        <v>2.2999999999999998</v>
      </c>
      <c r="E143" s="14" t="s">
        <v>12</v>
      </c>
      <c r="F143" s="50" t="s">
        <v>7</v>
      </c>
      <c r="G143" s="14">
        <f t="shared" si="24"/>
        <v>1.5170290457908553</v>
      </c>
      <c r="H143" s="52">
        <f t="shared" si="20"/>
        <v>1.2076330213409683</v>
      </c>
      <c r="I143" s="52">
        <f t="shared" si="21"/>
        <v>-0.45885632110557195</v>
      </c>
      <c r="J143" s="52">
        <f t="shared" si="22"/>
        <v>0.11329530400691418</v>
      </c>
      <c r="K143" s="52">
        <f t="shared" si="23"/>
        <v>0.78715605962949842</v>
      </c>
      <c r="L143" s="74">
        <f t="shared" si="25"/>
        <v>0</v>
      </c>
    </row>
    <row r="144" spans="1:12" x14ac:dyDescent="0.25">
      <c r="A144" s="9">
        <v>5.8</v>
      </c>
      <c r="B144" s="3">
        <v>2.7</v>
      </c>
      <c r="C144" s="3">
        <v>5.0999999999999996</v>
      </c>
      <c r="D144" s="8">
        <v>1.9</v>
      </c>
      <c r="E144" s="14" t="s">
        <v>12</v>
      </c>
      <c r="F144" s="50" t="s">
        <v>7</v>
      </c>
      <c r="G144" s="14">
        <f t="shared" si="24"/>
        <v>1.411101621215942</v>
      </c>
      <c r="H144" s="52">
        <f t="shared" si="20"/>
        <v>-0.12076330213409746</v>
      </c>
      <c r="I144" s="52">
        <f t="shared" si="21"/>
        <v>-1.3765689633167169</v>
      </c>
      <c r="J144" s="52">
        <f t="shared" si="22"/>
        <v>0.11329530400691418</v>
      </c>
      <c r="K144" s="52">
        <f t="shared" si="23"/>
        <v>0.26238535320983281</v>
      </c>
      <c r="L144" s="74">
        <f t="shared" si="25"/>
        <v>0</v>
      </c>
    </row>
    <row r="145" spans="1:14" x14ac:dyDescent="0.25">
      <c r="A145" s="9">
        <v>6.8</v>
      </c>
      <c r="B145" s="3">
        <v>3.2</v>
      </c>
      <c r="C145" s="3">
        <v>5.9</v>
      </c>
      <c r="D145" s="8">
        <v>2.2999999999999998</v>
      </c>
      <c r="E145" s="14" t="s">
        <v>12</v>
      </c>
      <c r="F145" s="50" t="s">
        <v>7</v>
      </c>
      <c r="G145" s="14">
        <f t="shared" si="24"/>
        <v>1.4745960047909308</v>
      </c>
      <c r="H145" s="52">
        <f t="shared" si="20"/>
        <v>1.0868697192068708</v>
      </c>
      <c r="I145" s="52">
        <f t="shared" si="21"/>
        <v>-0.22942816055278545</v>
      </c>
      <c r="J145" s="52">
        <f t="shared" si="22"/>
        <v>0.56647652003457294</v>
      </c>
      <c r="K145" s="52">
        <f t="shared" si="23"/>
        <v>0.78715605962949842</v>
      </c>
      <c r="L145" s="74">
        <f t="shared" si="25"/>
        <v>0</v>
      </c>
    </row>
    <row r="146" spans="1:14" x14ac:dyDescent="0.25">
      <c r="A146" s="9">
        <v>6.7</v>
      </c>
      <c r="B146" s="3">
        <v>3.3</v>
      </c>
      <c r="C146" s="3">
        <v>5.7</v>
      </c>
      <c r="D146" s="8">
        <v>2.5</v>
      </c>
      <c r="E146" s="14" t="s">
        <v>12</v>
      </c>
      <c r="F146" s="50" t="s">
        <v>7</v>
      </c>
      <c r="G146" s="14">
        <f t="shared" si="24"/>
        <v>1.4967538210855786</v>
      </c>
      <c r="H146" s="52">
        <f t="shared" si="20"/>
        <v>0.96610641707277434</v>
      </c>
      <c r="I146" s="52">
        <f t="shared" si="21"/>
        <v>0</v>
      </c>
      <c r="J146" s="52">
        <f t="shared" si="22"/>
        <v>0.45318121602765821</v>
      </c>
      <c r="K146" s="52">
        <f t="shared" si="23"/>
        <v>1.0495414128393314</v>
      </c>
      <c r="L146" s="74">
        <f t="shared" si="25"/>
        <v>0</v>
      </c>
    </row>
    <row r="147" spans="1:14" x14ac:dyDescent="0.25">
      <c r="A147" s="9">
        <v>6.7</v>
      </c>
      <c r="B147" s="3">
        <v>3</v>
      </c>
      <c r="C147" s="3">
        <v>5.2</v>
      </c>
      <c r="D147" s="8">
        <v>2.2999999999999998</v>
      </c>
      <c r="E147" s="14" t="s">
        <v>12</v>
      </c>
      <c r="F147" s="50" t="s">
        <v>7</v>
      </c>
      <c r="G147" s="14">
        <f t="shared" si="24"/>
        <v>1.4337337295711121</v>
      </c>
      <c r="H147" s="52">
        <f t="shared" si="20"/>
        <v>0.96610641707277434</v>
      </c>
      <c r="I147" s="52">
        <f t="shared" si="21"/>
        <v>-0.68828448165835843</v>
      </c>
      <c r="J147" s="52">
        <f t="shared" si="22"/>
        <v>0.16994295601037177</v>
      </c>
      <c r="K147" s="52">
        <f t="shared" si="23"/>
        <v>0.78715605962949842</v>
      </c>
      <c r="L147" s="74">
        <f t="shared" si="25"/>
        <v>0</v>
      </c>
    </row>
    <row r="148" spans="1:14" x14ac:dyDescent="0.25">
      <c r="A148" s="9">
        <v>6.3</v>
      </c>
      <c r="B148" s="3">
        <v>2.5</v>
      </c>
      <c r="C148" s="3">
        <v>5</v>
      </c>
      <c r="D148" s="8">
        <v>1.9</v>
      </c>
      <c r="E148" s="14" t="s">
        <v>12</v>
      </c>
      <c r="F148" s="50" t="s">
        <v>7</v>
      </c>
      <c r="G148" s="14">
        <f t="shared" si="24"/>
        <v>1.9168154337417296</v>
      </c>
      <c r="H148" s="52">
        <f t="shared" si="20"/>
        <v>0.48305320853638661</v>
      </c>
      <c r="I148" s="52">
        <f t="shared" si="21"/>
        <v>-1.8354252844222898</v>
      </c>
      <c r="J148" s="52">
        <f t="shared" si="22"/>
        <v>5.6647652003457089E-2</v>
      </c>
      <c r="K148" s="52">
        <f t="shared" si="23"/>
        <v>0.26238535320983281</v>
      </c>
      <c r="L148" s="74">
        <f t="shared" si="25"/>
        <v>0</v>
      </c>
    </row>
    <row r="149" spans="1:14" x14ac:dyDescent="0.25">
      <c r="A149" s="9">
        <v>6.5</v>
      </c>
      <c r="B149" s="3">
        <v>3</v>
      </c>
      <c r="C149" s="3">
        <v>5.2</v>
      </c>
      <c r="D149" s="8">
        <v>2</v>
      </c>
      <c r="E149" s="14" t="s">
        <v>12</v>
      </c>
      <c r="F149" s="50" t="s">
        <v>7</v>
      </c>
      <c r="G149" s="14">
        <f t="shared" si="24"/>
        <v>1.0874445763651768</v>
      </c>
      <c r="H149" s="52">
        <f t="shared" si="20"/>
        <v>0.7245798128045805</v>
      </c>
      <c r="I149" s="52">
        <f t="shared" si="21"/>
        <v>-0.68828448165835843</v>
      </c>
      <c r="J149" s="52">
        <f t="shared" si="22"/>
        <v>0.16994295601037177</v>
      </c>
      <c r="K149" s="52">
        <f t="shared" si="23"/>
        <v>0.39357802981474937</v>
      </c>
      <c r="L149" s="74">
        <f t="shared" si="25"/>
        <v>0</v>
      </c>
    </row>
    <row r="150" spans="1:14" x14ac:dyDescent="0.25">
      <c r="A150" s="9">
        <v>6.2</v>
      </c>
      <c r="B150" s="3">
        <v>3.4</v>
      </c>
      <c r="C150" s="3">
        <v>5.4</v>
      </c>
      <c r="D150" s="8">
        <v>2.2999999999999998</v>
      </c>
      <c r="E150" s="14" t="s">
        <v>12</v>
      </c>
      <c r="F150" s="50" t="s">
        <v>7</v>
      </c>
      <c r="G150" s="14">
        <f t="shared" si="24"/>
        <v>0.94006905665736806</v>
      </c>
      <c r="H150" s="52">
        <f t="shared" si="20"/>
        <v>0.36228990640229025</v>
      </c>
      <c r="I150" s="52">
        <f t="shared" si="21"/>
        <v>0.22942816055278648</v>
      </c>
      <c r="J150" s="52">
        <f t="shared" si="22"/>
        <v>0.28323826001728647</v>
      </c>
      <c r="K150" s="52">
        <f t="shared" si="23"/>
        <v>0.78715605962949842</v>
      </c>
      <c r="L150" s="74">
        <f t="shared" si="25"/>
        <v>0</v>
      </c>
    </row>
    <row r="151" spans="1:14" ht="15.75" thickBot="1" x14ac:dyDescent="0.3">
      <c r="A151" s="11">
        <v>5.9</v>
      </c>
      <c r="B151" s="10">
        <v>3</v>
      </c>
      <c r="C151" s="10">
        <v>5.0999999999999996</v>
      </c>
      <c r="D151" s="12">
        <v>1.8</v>
      </c>
      <c r="E151" s="7" t="s">
        <v>14</v>
      </c>
      <c r="F151" s="51" t="s">
        <v>7</v>
      </c>
      <c r="G151" s="7">
        <f>SQRT(SUMSQ(H151:L151))</f>
        <v>0.70977663528500035</v>
      </c>
      <c r="H151" s="75">
        <f t="shared" si="20"/>
        <v>0</v>
      </c>
      <c r="I151" s="75">
        <f t="shared" si="21"/>
        <v>-0.68828448165835843</v>
      </c>
      <c r="J151" s="75">
        <f t="shared" si="22"/>
        <v>0.11329530400691418</v>
      </c>
      <c r="K151" s="75">
        <f t="shared" si="23"/>
        <v>0.13119267660491654</v>
      </c>
      <c r="L151" s="76">
        <f t="shared" si="25"/>
        <v>0</v>
      </c>
    </row>
    <row r="153" spans="1:14" ht="15.75" thickBot="1" x14ac:dyDescent="0.3">
      <c r="A153" s="66" t="s">
        <v>57</v>
      </c>
    </row>
    <row r="154" spans="1:14" ht="15.75" thickTop="1" x14ac:dyDescent="0.25">
      <c r="A154" s="65">
        <f>_xlfn.STDEV.S(A2:A151)</f>
        <v>0.82806612797784351</v>
      </c>
      <c r="B154" s="64">
        <f>_xlfn.STDEV.S(B2:B151)</f>
        <v>0.43586628493668389</v>
      </c>
      <c r="C154" s="64">
        <f>_xlfn.STDEV.S(C2:C151)</f>
        <v>1.7652982332594624</v>
      </c>
      <c r="D154" s="64">
        <f>_xlfn.STDEV.S(D2:D151)</f>
        <v>0.76223766896034584</v>
      </c>
      <c r="H154" s="62" t="s">
        <v>49</v>
      </c>
      <c r="I154" s="62" t="s">
        <v>54</v>
      </c>
      <c r="J154" s="62" t="s">
        <v>55</v>
      </c>
      <c r="K154" s="62" t="s">
        <v>56</v>
      </c>
      <c r="L154" s="62" t="s">
        <v>5</v>
      </c>
      <c r="M154" s="62" t="s">
        <v>6</v>
      </c>
      <c r="N154" s="62" t="s">
        <v>7</v>
      </c>
    </row>
    <row r="155" spans="1:14" x14ac:dyDescent="0.25">
      <c r="G155" s="61">
        <v>1</v>
      </c>
      <c r="H155" s="53">
        <f>SMALL($G$2:$G$151,G155)</f>
        <v>0.27029198235778612</v>
      </c>
      <c r="I155" s="53">
        <f>COUNTIF($G$1:$G$151,H155)</f>
        <v>1</v>
      </c>
      <c r="J155" s="53" t="str">
        <f ca="1">OFFSET($F$1,MATCH(H155,$G$2:$G$151,0),0)</f>
        <v>versicolor</v>
      </c>
      <c r="K155" s="58">
        <f ca="1">MAX(L155:N155)</f>
        <v>2</v>
      </c>
      <c r="L155" s="55">
        <f ca="1">COUNTIF($J$155:$J$157,L154)</f>
        <v>0</v>
      </c>
      <c r="M155" s="56">
        <f ca="1">COUNTIF($J$155:$J$157,M154)</f>
        <v>2</v>
      </c>
      <c r="N155" s="57">
        <f t="shared" ref="N155" ca="1" si="26">COUNTIF($J$155:$J$157,N154)</f>
        <v>1</v>
      </c>
    </row>
    <row r="156" spans="1:14" ht="15.75" thickBot="1" x14ac:dyDescent="0.3">
      <c r="A156" s="66" t="s">
        <v>48</v>
      </c>
      <c r="G156" s="61">
        <v>2</v>
      </c>
      <c r="H156" s="15">
        <f>SMALL($G$2:$G$151,G156)</f>
        <v>0.36847778499090722</v>
      </c>
      <c r="I156" s="15">
        <f t="shared" ref="I156:I157" si="27">COUNTIF($G$1:$G$151,H156)</f>
        <v>1</v>
      </c>
      <c r="J156" s="15" t="str">
        <f t="shared" ref="J156:J157" ca="1" si="28">OFFSET($F$1,MATCH(H156,$G$2:$G$151,0),0)</f>
        <v>versicolor</v>
      </c>
    </row>
    <row r="157" spans="1:14" ht="16.5" thickTop="1" thickBot="1" x14ac:dyDescent="0.3">
      <c r="A157" s="67">
        <v>5.9</v>
      </c>
      <c r="B157" s="59">
        <v>3.3</v>
      </c>
      <c r="C157" s="59">
        <v>4.9000000000000004</v>
      </c>
      <c r="D157" s="59">
        <v>1.7</v>
      </c>
      <c r="E157" s="59" t="s">
        <v>11</v>
      </c>
      <c r="F157" s="60" t="str">
        <f ca="1">OFFSET($K$154,0,MATCH(K155,L155:N155,0))</f>
        <v>versicolor</v>
      </c>
      <c r="G157" s="63">
        <v>3</v>
      </c>
      <c r="H157" s="54">
        <f>SMALL($G$2:$G$151,G157)</f>
        <v>0.70977663528500035</v>
      </c>
      <c r="I157" s="54">
        <f t="shared" si="27"/>
        <v>1</v>
      </c>
      <c r="J157" s="54" t="str">
        <f t="shared" ca="1" si="28"/>
        <v>virginica</v>
      </c>
    </row>
    <row r="158" spans="1:14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NaiwnyBayes</vt:lpstr>
      <vt:lpstr>NaiwnyBayes(bootstrapping)</vt:lpstr>
      <vt:lpstr>NN3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2020-05-23T12:32:56Z</dcterms:created>
  <dcterms:modified xsi:type="dcterms:W3CDTF">2020-07-01T22:11:16Z</dcterms:modified>
</cp:coreProperties>
</file>