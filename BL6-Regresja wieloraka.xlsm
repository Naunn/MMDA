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1FB648EA-C92C-4341-A610-7E09E9F69DB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rys" sheetId="1" r:id="rId1"/>
    <sheet name="Wzrost" sheetId="2" r:id="rId2"/>
  </sheets>
  <definedNames>
    <definedName name="_a" localSheetId="1">Wzrost!$M$2</definedName>
    <definedName name="_a1" localSheetId="1">Wzrost!$Q$2</definedName>
    <definedName name="_b" localSheetId="1">Wzrost!$M$3</definedName>
    <definedName name="_b1" localSheetId="1">Wzrost!$Q$3</definedName>
    <definedName name="_c" localSheetId="1">Wzrost!$M$4</definedName>
    <definedName name="_c1" localSheetId="1">Wzrost!$Q$4</definedName>
    <definedName name="_d" localSheetId="1">Wzrost!$M$5</definedName>
    <definedName name="_d1" localSheetId="1">Wzrost!$Q$5</definedName>
    <definedName name="solver_adj" localSheetId="0" hidden="1">Irys!$K$2:$K$5</definedName>
    <definedName name="solver_adj" localSheetId="1" hidden="1">Wzrost!$M$2:$M$5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2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2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Irys!$K$9</definedName>
    <definedName name="solver_opt" localSheetId="1" hidden="1">Wzrost!$M$10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2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" i="1" l="1"/>
  <c r="T14" i="2"/>
  <c r="T10" i="2"/>
  <c r="K7" i="1" l="1"/>
  <c r="G2" i="1"/>
  <c r="H2" i="1" s="1"/>
  <c r="S8" i="2" l="1"/>
  <c r="U14" i="2"/>
  <c r="T13" i="2"/>
  <c r="T12" i="2"/>
  <c r="T11" i="2"/>
  <c r="T8" i="2"/>
  <c r="U8" i="2"/>
  <c r="V8" i="2"/>
  <c r="T7" i="2"/>
  <c r="U7" i="2"/>
  <c r="V7" i="2"/>
  <c r="S7" i="2"/>
  <c r="Q2" i="2" l="1" a="1"/>
  <c r="Q2" i="2" s="1"/>
  <c r="G2" i="2"/>
  <c r="H2" i="2" s="1"/>
  <c r="M12" i="2" a="1"/>
  <c r="M12" i="2" s="1"/>
  <c r="S2" i="2" a="1"/>
  <c r="S3" i="2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M11" i="2" l="1" a="1"/>
  <c r="M11" i="2" s="1"/>
  <c r="M14" i="2" s="1"/>
  <c r="Q5" i="2"/>
  <c r="Q4" i="2"/>
  <c r="Q3" i="2"/>
  <c r="I7" i="2" s="1"/>
  <c r="V6" i="2"/>
  <c r="V4" i="2"/>
  <c r="V2" i="2"/>
  <c r="U6" i="2"/>
  <c r="U4" i="2"/>
  <c r="U2" i="2"/>
  <c r="T6" i="2"/>
  <c r="T4" i="2"/>
  <c r="T2" i="2"/>
  <c r="S6" i="2"/>
  <c r="S4" i="2"/>
  <c r="S2" i="2"/>
  <c r="V5" i="2"/>
  <c r="V3" i="2"/>
  <c r="U5" i="2"/>
  <c r="U3" i="2"/>
  <c r="T5" i="2"/>
  <c r="T3" i="2"/>
  <c r="S5" i="2"/>
  <c r="U12" i="1" a="1"/>
  <c r="U12" i="1" s="1"/>
  <c r="M8" i="2"/>
  <c r="M7" i="2"/>
  <c r="Q12" i="2" s="1" a="1"/>
  <c r="Q12" i="2" s="1"/>
  <c r="I16" i="2" l="1"/>
  <c r="I30" i="2"/>
  <c r="I6" i="2"/>
  <c r="I12" i="2"/>
  <c r="J12" i="2" s="1"/>
  <c r="I2" i="2"/>
  <c r="J2" i="2" s="1"/>
  <c r="I25" i="2"/>
  <c r="J25" i="2" s="1"/>
  <c r="I28" i="2"/>
  <c r="J28" i="2" s="1"/>
  <c r="I18" i="2"/>
  <c r="J18" i="2" s="1"/>
  <c r="I11" i="2"/>
  <c r="I20" i="2"/>
  <c r="J20" i="2" s="1"/>
  <c r="I17" i="2"/>
  <c r="J17" i="2" s="1"/>
  <c r="I10" i="2"/>
  <c r="J10" i="2" s="1"/>
  <c r="I4" i="2"/>
  <c r="J4" i="2" s="1"/>
  <c r="I9" i="2"/>
  <c r="J9" i="2" s="1"/>
  <c r="I31" i="2"/>
  <c r="J31" i="2" s="1"/>
  <c r="I21" i="2"/>
  <c r="I19" i="2"/>
  <c r="I8" i="2"/>
  <c r="J8" i="2" s="1"/>
  <c r="I23" i="2"/>
  <c r="J23" i="2" s="1"/>
  <c r="I14" i="2"/>
  <c r="J14" i="2" s="1"/>
  <c r="I13" i="2"/>
  <c r="J13" i="2" s="1"/>
  <c r="I3" i="2"/>
  <c r="J3" i="2" s="1"/>
  <c r="I22" i="2"/>
  <c r="J22" i="2" s="1"/>
  <c r="I15" i="2"/>
  <c r="J15" i="2" s="1"/>
  <c r="I24" i="2"/>
  <c r="I29" i="2"/>
  <c r="J29" i="2" s="1"/>
  <c r="I5" i="2"/>
  <c r="J5" i="2" s="1"/>
  <c r="I26" i="2"/>
  <c r="J26" i="2" s="1"/>
  <c r="I27" i="2"/>
  <c r="J27" i="2" s="1"/>
  <c r="H24" i="2"/>
  <c r="H12" i="2"/>
  <c r="H11" i="2"/>
  <c r="H22" i="2"/>
  <c r="H6" i="2"/>
  <c r="H30" i="2"/>
  <c r="H19" i="2"/>
  <c r="H3" i="2"/>
  <c r="H29" i="2"/>
  <c r="H14" i="2"/>
  <c r="H28" i="2"/>
  <c r="H13" i="2"/>
  <c r="H21" i="2"/>
  <c r="H5" i="2"/>
  <c r="H20" i="2"/>
  <c r="H4" i="2"/>
  <c r="H16" i="2"/>
  <c r="H8" i="2"/>
  <c r="H31" i="2"/>
  <c r="H23" i="2"/>
  <c r="H15" i="2"/>
  <c r="H18" i="2"/>
  <c r="H10" i="2"/>
  <c r="H25" i="2"/>
  <c r="H17" i="2"/>
  <c r="H9" i="2"/>
  <c r="V13" i="1"/>
  <c r="W13" i="1"/>
  <c r="X16" i="1"/>
  <c r="X14" i="1"/>
  <c r="X12" i="1"/>
  <c r="X15" i="1"/>
  <c r="U15" i="1"/>
  <c r="W16" i="1"/>
  <c r="W14" i="1"/>
  <c r="W12" i="1"/>
  <c r="X13" i="1"/>
  <c r="W15" i="1"/>
  <c r="U13" i="1"/>
  <c r="V16" i="1"/>
  <c r="V14" i="1"/>
  <c r="V12" i="1"/>
  <c r="V15" i="1"/>
  <c r="U16" i="1"/>
  <c r="U14" i="1"/>
  <c r="J11" i="2"/>
  <c r="J6" i="2"/>
  <c r="J7" i="2"/>
  <c r="J16" i="2"/>
  <c r="J24" i="2"/>
  <c r="J30" i="2"/>
  <c r="H26" i="2"/>
  <c r="H27" i="2"/>
  <c r="J19" i="2"/>
  <c r="J21" i="2"/>
  <c r="Q10" i="2" l="1"/>
  <c r="H7" i="2"/>
  <c r="M10" i="2" s="1"/>
  <c r="Q11" i="2" a="1"/>
  <c r="Q11" i="2" s="1"/>
  <c r="Q14" i="2" s="1"/>
  <c r="Q15" i="2" l="1"/>
  <c r="R12" i="2"/>
  <c r="N12" i="2"/>
  <c r="M15" i="2"/>
  <c r="S9" i="1" l="1"/>
  <c r="R9" i="1"/>
  <c r="Q9" i="1"/>
  <c r="R8" i="1"/>
  <c r="S8" i="1"/>
  <c r="Q8" i="1"/>
  <c r="Q7" i="1"/>
  <c r="R7" i="1"/>
  <c r="S7" i="1"/>
  <c r="P7" i="1"/>
  <c r="O2" i="1" a="1"/>
  <c r="O2" i="1" s="1"/>
  <c r="G102" i="1" l="1"/>
  <c r="G99" i="1"/>
  <c r="G4" i="1"/>
  <c r="Q3" i="1"/>
  <c r="O5" i="1"/>
  <c r="O3" i="1"/>
  <c r="R3" i="1"/>
  <c r="P5" i="1"/>
  <c r="R4" i="1"/>
  <c r="R2" i="1"/>
  <c r="Q4" i="1"/>
  <c r="Q2" i="1"/>
  <c r="R5" i="1"/>
  <c r="P4" i="1"/>
  <c r="P2" i="1"/>
  <c r="Q12" i="1" s="1" a="1"/>
  <c r="Q5" i="1"/>
  <c r="P3" i="1"/>
  <c r="O4" i="1"/>
  <c r="Q12" i="1" l="1"/>
  <c r="Q15" i="1"/>
  <c r="Q13" i="1"/>
  <c r="Q14" i="1"/>
  <c r="G8" i="1"/>
  <c r="G109" i="1"/>
  <c r="G107" i="1"/>
  <c r="G143" i="1"/>
  <c r="G101" i="1"/>
  <c r="G35" i="1"/>
  <c r="G90" i="1"/>
  <c r="G136" i="1"/>
  <c r="G135" i="1"/>
  <c r="G71" i="1"/>
  <c r="G7" i="1"/>
  <c r="G17" i="1"/>
  <c r="G6" i="1"/>
  <c r="G93" i="1"/>
  <c r="G29" i="1"/>
  <c r="G145" i="1"/>
  <c r="G70" i="1"/>
  <c r="G108" i="1"/>
  <c r="G44" i="1"/>
  <c r="G51" i="1"/>
  <c r="G81" i="1"/>
  <c r="G60" i="1"/>
  <c r="G43" i="1"/>
  <c r="G15" i="1"/>
  <c r="G18" i="1"/>
  <c r="G30" i="1"/>
  <c r="G34" i="1"/>
  <c r="G10" i="1"/>
  <c r="G14" i="1"/>
  <c r="G91" i="1"/>
  <c r="G27" i="1"/>
  <c r="G129" i="1"/>
  <c r="G56" i="1"/>
  <c r="G58" i="1"/>
  <c r="G120" i="1"/>
  <c r="G127" i="1"/>
  <c r="G63" i="1"/>
  <c r="G26" i="1"/>
  <c r="G150" i="1"/>
  <c r="G149" i="1"/>
  <c r="G85" i="1"/>
  <c r="G21" i="1"/>
  <c r="G113" i="1"/>
  <c r="G46" i="1"/>
  <c r="G100" i="1"/>
  <c r="G36" i="1"/>
  <c r="G82" i="1"/>
  <c r="G151" i="1"/>
  <c r="G54" i="1"/>
  <c r="G74" i="1"/>
  <c r="G62" i="1"/>
  <c r="G50" i="1"/>
  <c r="G79" i="1"/>
  <c r="G86" i="1"/>
  <c r="G114" i="1"/>
  <c r="G64" i="1"/>
  <c r="G137" i="1"/>
  <c r="G147" i="1"/>
  <c r="G83" i="1"/>
  <c r="G19" i="1"/>
  <c r="G73" i="1"/>
  <c r="G40" i="1"/>
  <c r="G42" i="1"/>
  <c r="G112" i="1"/>
  <c r="G119" i="1"/>
  <c r="G55" i="1"/>
  <c r="G146" i="1"/>
  <c r="G126" i="1"/>
  <c r="G141" i="1"/>
  <c r="G77" i="1"/>
  <c r="G13" i="1"/>
  <c r="G89" i="1"/>
  <c r="G22" i="1"/>
  <c r="G92" i="1"/>
  <c r="G28" i="1"/>
  <c r="G88" i="1"/>
  <c r="G87" i="1"/>
  <c r="G118" i="1"/>
  <c r="G72" i="1"/>
  <c r="G38" i="1"/>
  <c r="G116" i="1"/>
  <c r="G97" i="1"/>
  <c r="G139" i="1"/>
  <c r="G75" i="1"/>
  <c r="G11" i="1"/>
  <c r="G144" i="1"/>
  <c r="G32" i="1"/>
  <c r="G105" i="1"/>
  <c r="G96" i="1"/>
  <c r="G111" i="1"/>
  <c r="G47" i="1"/>
  <c r="G98" i="1"/>
  <c r="G110" i="1"/>
  <c r="G133" i="1"/>
  <c r="G69" i="1"/>
  <c r="G5" i="1"/>
  <c r="G57" i="1"/>
  <c r="G148" i="1"/>
  <c r="G84" i="1"/>
  <c r="G20" i="1"/>
  <c r="G115" i="1"/>
  <c r="G23" i="1"/>
  <c r="G124" i="1"/>
  <c r="G130" i="1"/>
  <c r="G41" i="1"/>
  <c r="G52" i="1"/>
  <c r="G49" i="1"/>
  <c r="G131" i="1"/>
  <c r="G67" i="1"/>
  <c r="G3" i="1"/>
  <c r="G128" i="1"/>
  <c r="G24" i="1"/>
  <c r="G65" i="1"/>
  <c r="G80" i="1"/>
  <c r="G103" i="1"/>
  <c r="G39" i="1"/>
  <c r="G66" i="1"/>
  <c r="G94" i="1"/>
  <c r="G125" i="1"/>
  <c r="G61" i="1"/>
  <c r="G138" i="1"/>
  <c r="G9" i="1"/>
  <c r="G140" i="1"/>
  <c r="G76" i="1"/>
  <c r="G12" i="1"/>
  <c r="G25" i="1"/>
  <c r="G45" i="1"/>
  <c r="G37" i="1"/>
  <c r="G134" i="1"/>
  <c r="G123" i="1"/>
  <c r="G59" i="1"/>
  <c r="G122" i="1"/>
  <c r="G104" i="1"/>
  <c r="G16" i="1"/>
  <c r="G33" i="1"/>
  <c r="G48" i="1"/>
  <c r="G95" i="1"/>
  <c r="G31" i="1"/>
  <c r="G121" i="1"/>
  <c r="G78" i="1"/>
  <c r="G117" i="1"/>
  <c r="G53" i="1"/>
  <c r="G106" i="1"/>
  <c r="G142" i="1"/>
  <c r="G132" i="1"/>
  <c r="G68" i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K11" i="1" l="1" a="1"/>
  <c r="K11" i="1" s="1"/>
  <c r="K10" i="1" a="1"/>
  <c r="K10" i="1" s="1"/>
  <c r="V8" i="1" s="1"/>
  <c r="K9" i="1"/>
  <c r="K8" i="1" s="1"/>
  <c r="K14" i="1" l="1"/>
  <c r="V9" i="1"/>
  <c r="K13" i="1"/>
  <c r="U2" i="1" a="1"/>
  <c r="U3" i="1" s="1"/>
  <c r="L11" i="1"/>
  <c r="V3" i="1" l="1"/>
  <c r="R13" i="1" s="1"/>
  <c r="S13" i="1" s="1"/>
  <c r="X5" i="1"/>
  <c r="R15" i="1" s="1"/>
  <c r="S15" i="1" s="1"/>
  <c r="U5" i="1"/>
  <c r="X2" i="1"/>
  <c r="V2" i="1"/>
  <c r="V5" i="1"/>
  <c r="W4" i="1"/>
  <c r="R14" i="1" s="1"/>
  <c r="S14" i="1" s="1"/>
  <c r="V4" i="1"/>
  <c r="W3" i="1"/>
  <c r="W5" i="1"/>
  <c r="U2" i="1"/>
  <c r="S12" i="1" s="1"/>
  <c r="X3" i="1"/>
  <c r="U4" i="1"/>
  <c r="W2" i="1"/>
  <c r="X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<sst xmlns="http://schemas.openxmlformats.org/spreadsheetml/2006/main" count="241" uniqueCount="73">
  <si>
    <t>Wwolny</t>
  </si>
  <si>
    <t>Sepal.Length</t>
  </si>
  <si>
    <t>Sepal.Width</t>
  </si>
  <si>
    <t>Petal.Width</t>
  </si>
  <si>
    <t>Petal.Length</t>
  </si>
  <si>
    <t>Species</t>
  </si>
  <si>
    <t>Prognoza</t>
  </si>
  <si>
    <t>Eps</t>
  </si>
  <si>
    <t>Solver</t>
  </si>
  <si>
    <t>setosa</t>
  </si>
  <si>
    <t>d</t>
  </si>
  <si>
    <t>XTX</t>
  </si>
  <si>
    <t>c</t>
  </si>
  <si>
    <t>b</t>
  </si>
  <si>
    <t>a</t>
  </si>
  <si>
    <t>śr P.L.</t>
  </si>
  <si>
    <t>Spr.</t>
  </si>
  <si>
    <t>Suma</t>
  </si>
  <si>
    <t>War Eps</t>
  </si>
  <si>
    <t>S.kwadr</t>
  </si>
  <si>
    <t>SSE</t>
  </si>
  <si>
    <t>S.ilocz</t>
  </si>
  <si>
    <t>SSR</t>
  </si>
  <si>
    <t>SST</t>
  </si>
  <si>
    <t>=</t>
  </si>
  <si>
    <t>R^2</t>
  </si>
  <si>
    <t>R^2 skor</t>
  </si>
  <si>
    <t>Regresja wieloraka (metoda numeryczna) z przyrównaniem do rozwiązania solvera</t>
  </si>
  <si>
    <t>Możemy zaobserwować, że metoda wieloraka jest widocznie precyzyjniejsza niż użycie solvera.</t>
  </si>
  <si>
    <t>V =</t>
  </si>
  <si>
    <t>versicolor</t>
  </si>
  <si>
    <t>virginica</t>
  </si>
  <si>
    <t>Stat test</t>
  </si>
  <si>
    <t>p-wartość</t>
  </si>
  <si>
    <t>Zauważmy, że dla jakiejkolwiek sensownej wartości alfa, odrzucamy hipotezę o zerowości któregokolwiek ze zmiennych objaśniających</t>
  </si>
  <si>
    <t>Test F</t>
  </si>
  <si>
    <t>Metoda oddzielnego liczenia niezerowności zmiennych objasniających</t>
  </si>
  <si>
    <t>Regresja jako całość (Test F)</t>
  </si>
  <si>
    <t>F</t>
  </si>
  <si>
    <t>Zauważmy, że w przypadku regresji jako całości (testu F) również odrzucamy hipotezę o zerowości którejkolwiek ze zmiennych objaśniających</t>
  </si>
  <si>
    <t>Matka</t>
  </si>
  <si>
    <t>Ojciec</t>
  </si>
  <si>
    <t>Dziecko</t>
  </si>
  <si>
    <t>a =</t>
  </si>
  <si>
    <t>a1 =</t>
  </si>
  <si>
    <t>Średnia Dz</t>
  </si>
  <si>
    <t>b =</t>
  </si>
  <si>
    <t>b1 =</t>
  </si>
  <si>
    <t>c =</t>
  </si>
  <si>
    <t>c1 =</t>
  </si>
  <si>
    <t>Średnia O</t>
  </si>
  <si>
    <t>d =</t>
  </si>
  <si>
    <t>d1 =</t>
  </si>
  <si>
    <t>Metoda numeryczna</t>
  </si>
  <si>
    <t>Metoda analityczna</t>
  </si>
  <si>
    <t>EpsN</t>
  </si>
  <si>
    <t>PrognozaN</t>
  </si>
  <si>
    <t>PrognozaA</t>
  </si>
  <si>
    <t>EpsA</t>
  </si>
  <si>
    <t>Gotowa funkcja</t>
  </si>
  <si>
    <t>Ojciec^2</t>
  </si>
  <si>
    <t>Ojciec^3</t>
  </si>
  <si>
    <t>Test T</t>
  </si>
  <si>
    <t>Wnioski</t>
  </si>
  <si>
    <t>Skorzystawszy z gotowej funkcji (wbudowanej formuły excela) widzimy, że nasz model regresji wielorakiej jest bardzo precyzyjny</t>
  </si>
  <si>
    <t>dopasowanie R^2</t>
  </si>
  <si>
    <t>statystyka testowa</t>
  </si>
  <si>
    <t>wartości współczynników</t>
  </si>
  <si>
    <t>standardowe wartości błedu</t>
  </si>
  <si>
    <t>błąd oceny W</t>
  </si>
  <si>
    <t>st. Swobody</t>
  </si>
  <si>
    <t>Wariancja współczynnika</t>
  </si>
  <si>
    <t>Kowariancje między współczynnikami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</si>
</sst>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0000%"/>
    <numFmt numFmtId="165" formatCode="0.00000"/>
    <numFmt numFmtId="166" formatCode="0.0000000"/>
    <numFmt numFmtId="167" formatCode="_-* #,##0.000000_-;\-* #,##0.000000_-;_-* &quot;-&quot;??_-;_-@_-"/>
    <numFmt numFmtId="168" formatCode="0.000000"/>
  </numFmts>
  <fonts count="1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indexed="6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78">
    <xf numFmtId="0" fontId="0" fillId="0" borderId="0" xfId="0"/>
    <xf numFmtId="0" fontId="16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6" fillId="0" borderId="10" xfId="0" applyFont="1" applyBorder="1"/>
    <xf numFmtId="0" fontId="16" fillId="0" borderId="15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16" fillId="0" borderId="23" xfId="0" applyFont="1" applyBorder="1"/>
    <xf numFmtId="0" fontId="16" fillId="0" borderId="13" xfId="0" applyFont="1" applyBorder="1"/>
    <xf numFmtId="0" fontId="16" fillId="0" borderId="24" xfId="0" applyFont="1" applyBorder="1"/>
    <xf numFmtId="0" fontId="16" fillId="0" borderId="14" xfId="0" applyFont="1" applyBorder="1"/>
    <xf numFmtId="0" fontId="16" fillId="0" borderId="16" xfId="0" applyFont="1" applyBorder="1"/>
    <xf numFmtId="0" fontId="16" fillId="0" borderId="12" xfId="0" applyFont="1" applyBorder="1"/>
    <xf numFmtId="0" fontId="16" fillId="0" borderId="20" xfId="0" applyFont="1" applyBorder="1"/>
    <xf numFmtId="0" fontId="16" fillId="0" borderId="0" xfId="0" applyFont="1" applyAlignment="1">
      <alignment horizontal="right"/>
    </xf>
    <xf numFmtId="164" fontId="0" fillId="0" borderId="14" xfId="1" applyNumberFormat="1" applyFont="1" applyBorder="1"/>
    <xf numFmtId="165" fontId="0" fillId="0" borderId="14" xfId="0" applyNumberFormat="1" applyBorder="1"/>
    <xf numFmtId="166" fontId="0" fillId="0" borderId="18" xfId="0" applyNumberFormat="1" applyBorder="1"/>
    <xf numFmtId="0" fontId="16" fillId="0" borderId="25" xfId="0" applyFont="1" applyBorder="1"/>
    <xf numFmtId="0" fontId="0" fillId="0" borderId="0" xfId="0" applyAlignment="1"/>
    <xf numFmtId="0" fontId="0" fillId="0" borderId="10" xfId="0" applyBorder="1"/>
    <xf numFmtId="165" fontId="0" fillId="0" borderId="22" xfId="0" applyNumberFormat="1" applyBorder="1"/>
    <xf numFmtId="0" fontId="0" fillId="0" borderId="0" xfId="0" applyAlignment="1">
      <alignment horizontal="right"/>
    </xf>
    <xf numFmtId="165" fontId="0" fillId="0" borderId="26" xfId="0" applyNumberFormat="1" applyBorder="1"/>
    <xf numFmtId="0" fontId="0" fillId="0" borderId="27" xfId="0" applyBorder="1"/>
    <xf numFmtId="164" fontId="1" fillId="5" borderId="14" xfId="10" applyNumberFormat="1" applyFont="1" applyBorder="1"/>
    <xf numFmtId="0" fontId="1" fillId="10" borderId="13" xfId="20" applyFont="1" applyBorder="1"/>
    <xf numFmtId="0" fontId="1" fillId="4" borderId="13" xfId="9" applyFont="1" applyBorder="1"/>
    <xf numFmtId="0" fontId="1" fillId="2" borderId="13" xfId="7" applyFont="1" applyBorder="1"/>
    <xf numFmtId="0" fontId="1" fillId="3" borderId="13" xfId="8" applyFont="1" applyBorder="1"/>
    <xf numFmtId="0" fontId="1" fillId="3" borderId="16" xfId="8" applyFont="1" applyBorder="1"/>
    <xf numFmtId="0" fontId="1" fillId="2" borderId="17" xfId="7" applyFont="1" applyBorder="1"/>
    <xf numFmtId="0" fontId="1" fillId="4" borderId="17" xfId="9" applyFont="1" applyBorder="1"/>
    <xf numFmtId="167" fontId="0" fillId="0" borderId="14" xfId="43" applyNumberFormat="1" applyFont="1" applyBorder="1" applyAlignment="1">
      <alignment horizontal="center"/>
    </xf>
    <xf numFmtId="168" fontId="0" fillId="0" borderId="26" xfId="0" applyNumberFormat="1" applyBorder="1" applyAlignment="1">
      <alignment horizontal="center"/>
    </xf>
    <xf numFmtId="165" fontId="0" fillId="0" borderId="18" xfId="0" applyNumberFormat="1" applyBorder="1"/>
    <xf numFmtId="165" fontId="0" fillId="0" borderId="19" xfId="0" applyNumberFormat="1" applyBorder="1"/>
    <xf numFmtId="0" fontId="16" fillId="0" borderId="12" xfId="0" applyFont="1" applyBorder="1" applyAlignment="1">
      <alignment horizontal="right"/>
    </xf>
    <xf numFmtId="0" fontId="16" fillId="0" borderId="20" xfId="0" applyFont="1" applyBorder="1" applyAlignment="1">
      <alignment horizontal="right"/>
    </xf>
    <xf numFmtId="0" fontId="16" fillId="0" borderId="28" xfId="0" applyFont="1" applyBorder="1"/>
    <xf numFmtId="0" fontId="0" fillId="0" borderId="28" xfId="0" applyBorder="1"/>
    <xf numFmtId="0" fontId="16" fillId="0" borderId="29" xfId="0" applyFont="1" applyBorder="1"/>
    <xf numFmtId="0" fontId="16" fillId="0" borderId="0" xfId="0" applyFont="1" applyBorder="1"/>
    <xf numFmtId="0" fontId="1" fillId="10" borderId="30" xfId="20" applyFont="1" applyBorder="1"/>
    <xf numFmtId="0" fontId="16" fillId="0" borderId="21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4" xfId="0" applyBorder="1" applyAlignment="1">
      <alignment horizontal="center"/>
    </xf>
    <xf numFmtId="0" fontId="15" fillId="0" borderId="0" xfId="17" applyBorder="1" applyAlignment="1">
      <alignment horizontal="right"/>
    </xf>
    <xf numFmtId="0" fontId="15" fillId="0" borderId="0" xfId="17" applyAlignment="1">
      <alignment horizontal="right"/>
    </xf>
    <xf numFmtId="0" fontId="15" fillId="0" borderId="0" xfId="17" applyAlignment="1">
      <alignment horizontal="left"/>
    </xf>
    <xf numFmtId="0" fontId="15" fillId="0" borderId="0" xfId="17"/>
    <xf numFmtId="0" fontId="16" fillId="0" borderId="1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16" fillId="0" borderId="19" xfId="0" applyFont="1" applyBorder="1" applyAlignment="1">
      <alignment horizontal="right" vertical="center"/>
    </xf>
    <xf numFmtId="0" fontId="6" fillId="2" borderId="12" xfId="7" applyBorder="1"/>
    <xf numFmtId="0" fontId="6" fillId="2" borderId="0" xfId="7" applyBorder="1"/>
    <xf numFmtId="0" fontId="6" fillId="2" borderId="19" xfId="7" applyBorder="1"/>
    <xf numFmtId="0" fontId="9" fillId="5" borderId="31" xfId="10" applyBorder="1"/>
    <xf numFmtId="0" fontId="6" fillId="2" borderId="17" xfId="7" applyBorder="1"/>
    <xf numFmtId="0" fontId="6" fillId="2" borderId="18" xfId="7" applyBorder="1"/>
    <xf numFmtId="0" fontId="9" fillId="5" borderId="4" xfId="10" applyBorder="1"/>
    <xf numFmtId="0" fontId="6" fillId="2" borderId="20" xfId="7" applyBorder="1"/>
    <xf numFmtId="0" fontId="6" fillId="2" borderId="21" xfId="7" applyBorder="1"/>
    <xf numFmtId="0" fontId="9" fillId="5" borderId="32" xfId="10" applyBorder="1"/>
  </cellXfs>
  <cellStyles count="44">
    <cellStyle name="20% — akcent 1" xfId="20" builtinId="30" customBuiltin="1"/>
    <cellStyle name="20% — akcent 2" xfId="24" builtinId="34" customBuiltin="1"/>
    <cellStyle name="20% — akcent 3" xfId="28" builtinId="38" customBuiltin="1"/>
    <cellStyle name="20% — akcent 4" xfId="32" builtinId="42" customBuiltin="1"/>
    <cellStyle name="20% — akcent 5" xfId="36" builtinId="46" customBuiltin="1"/>
    <cellStyle name="20% — akcent 6" xfId="40" builtinId="50" customBuiltin="1"/>
    <cellStyle name="40% — akcent 1" xfId="21" builtinId="31" customBuiltin="1"/>
    <cellStyle name="40% — akcent 2" xfId="25" builtinId="35" customBuiltin="1"/>
    <cellStyle name="40% — akcent 3" xfId="29" builtinId="39" customBuiltin="1"/>
    <cellStyle name="40% — akcent 4" xfId="33" builtinId="43" customBuiltin="1"/>
    <cellStyle name="40% — akcent 5" xfId="37" builtinId="47" customBuiltin="1"/>
    <cellStyle name="40% — akcent 6" xfId="41" builtinId="51" customBuiltin="1"/>
    <cellStyle name="60% — akcent 1" xfId="22" builtinId="32" customBuiltin="1"/>
    <cellStyle name="60% — akcent 2" xfId="26" builtinId="36" customBuiltin="1"/>
    <cellStyle name="60% — akcent 3" xfId="30" builtinId="40" customBuiltin="1"/>
    <cellStyle name="60% — akcent 4" xfId="34" builtinId="44" customBuiltin="1"/>
    <cellStyle name="60% — akcent 5" xfId="38" builtinId="48" customBuiltin="1"/>
    <cellStyle name="60% — akcent 6" xfId="42" builtinId="52" customBuiltin="1"/>
    <cellStyle name="Akcent 1" xfId="19" builtinId="29" customBuiltin="1"/>
    <cellStyle name="Akcent 2" xfId="23" builtinId="33" customBuiltin="1"/>
    <cellStyle name="Akcent 3" xfId="27" builtinId="37" customBuiltin="1"/>
    <cellStyle name="Akcent 4" xfId="31" builtinId="41" customBuiltin="1"/>
    <cellStyle name="Akcent 5" xfId="35" builtinId="45" customBuiltin="1"/>
    <cellStyle name="Akcent 6" xfId="39" builtinId="49" customBuiltin="1"/>
    <cellStyle name="Dane wejściowe" xfId="10" builtinId="20" customBuiltin="1"/>
    <cellStyle name="Dane wyjściowe" xfId="11" builtinId="21" customBuiltin="1"/>
    <cellStyle name="Dobry" xfId="7" builtinId="26" customBuiltin="1"/>
    <cellStyle name="Dziesiętny" xfId="43" builtinId="3"/>
    <cellStyle name="Komórka połączona" xfId="13" builtinId="24" customBuiltin="1"/>
    <cellStyle name="Komórka zaznaczona" xfId="14" builtinId="23" customBuiltin="1"/>
    <cellStyle name="Nagłówek 1" xfId="3" builtinId="16" customBuiltin="1"/>
    <cellStyle name="Nagłówek 2" xfId="4" builtinId="17" customBuiltin="1"/>
    <cellStyle name="Nagłówek 3" xfId="5" builtinId="18" customBuiltin="1"/>
    <cellStyle name="Nagłówek 4" xfId="6" builtinId="19" customBuiltin="1"/>
    <cellStyle name="Neutralny" xfId="9" builtinId="28" customBuiltin="1"/>
    <cellStyle name="Normalny" xfId="0" builtinId="0"/>
    <cellStyle name="Obliczenia" xfId="12" builtinId="22" customBuiltin="1"/>
    <cellStyle name="Procentowy" xfId="1" builtinId="5"/>
    <cellStyle name="Suma" xfId="18" builtinId="25" customBuiltin="1"/>
    <cellStyle name="Tekst objaśnienia" xfId="17" builtinId="53" customBuiltin="1"/>
    <cellStyle name="Tekst ostrzeżenia" xfId="15" builtinId="11" customBuiltin="1"/>
    <cellStyle name="Tytuł" xfId="2" builtinId="15" customBuiltin="1"/>
    <cellStyle name="Uwaga" xfId="16" builtinId="10" customBuiltin="1"/>
    <cellStyle name="Zły" xfId="8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37441058998060023"/>
                  <c:y val="-0.258892923857968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Wzrost!$C$2:$C$31</c:f>
              <c:numCache>
                <c:formatCode>General</c:formatCode>
                <c:ptCount val="30"/>
                <c:pt idx="0">
                  <c:v>184</c:v>
                </c:pt>
                <c:pt idx="1">
                  <c:v>190</c:v>
                </c:pt>
                <c:pt idx="2">
                  <c:v>171</c:v>
                </c:pt>
                <c:pt idx="3">
                  <c:v>185</c:v>
                </c:pt>
                <c:pt idx="4">
                  <c:v>185</c:v>
                </c:pt>
                <c:pt idx="5">
                  <c:v>172</c:v>
                </c:pt>
                <c:pt idx="6">
                  <c:v>170</c:v>
                </c:pt>
                <c:pt idx="7">
                  <c:v>178</c:v>
                </c:pt>
                <c:pt idx="8">
                  <c:v>175</c:v>
                </c:pt>
                <c:pt idx="9">
                  <c:v>177</c:v>
                </c:pt>
                <c:pt idx="10">
                  <c:v>179</c:v>
                </c:pt>
                <c:pt idx="11">
                  <c:v>174</c:v>
                </c:pt>
                <c:pt idx="12">
                  <c:v>172</c:v>
                </c:pt>
                <c:pt idx="13">
                  <c:v>173</c:v>
                </c:pt>
                <c:pt idx="14">
                  <c:v>189</c:v>
                </c:pt>
                <c:pt idx="15">
                  <c:v>187</c:v>
                </c:pt>
                <c:pt idx="16">
                  <c:v>174</c:v>
                </c:pt>
                <c:pt idx="17">
                  <c:v>173</c:v>
                </c:pt>
                <c:pt idx="18">
                  <c:v>179</c:v>
                </c:pt>
                <c:pt idx="19">
                  <c:v>175</c:v>
                </c:pt>
                <c:pt idx="20">
                  <c:v>186</c:v>
                </c:pt>
                <c:pt idx="21">
                  <c:v>182</c:v>
                </c:pt>
                <c:pt idx="22">
                  <c:v>191</c:v>
                </c:pt>
                <c:pt idx="23">
                  <c:v>180</c:v>
                </c:pt>
                <c:pt idx="24">
                  <c:v>183</c:v>
                </c:pt>
                <c:pt idx="25">
                  <c:v>182</c:v>
                </c:pt>
                <c:pt idx="26">
                  <c:v>177</c:v>
                </c:pt>
                <c:pt idx="27">
                  <c:v>176</c:v>
                </c:pt>
                <c:pt idx="28">
                  <c:v>169</c:v>
                </c:pt>
                <c:pt idx="29">
                  <c:v>186</c:v>
                </c:pt>
              </c:numCache>
            </c:numRef>
          </c:xVal>
          <c:yVal>
            <c:numRef>
              <c:f>Wzrost!$F$2:$F$31</c:f>
              <c:numCache>
                <c:formatCode>General</c:formatCode>
                <c:ptCount val="30"/>
                <c:pt idx="0">
                  <c:v>79</c:v>
                </c:pt>
                <c:pt idx="1">
                  <c:v>80</c:v>
                </c:pt>
                <c:pt idx="2">
                  <c:v>75</c:v>
                </c:pt>
                <c:pt idx="3">
                  <c:v>78</c:v>
                </c:pt>
                <c:pt idx="4">
                  <c:v>81</c:v>
                </c:pt>
                <c:pt idx="5">
                  <c:v>73</c:v>
                </c:pt>
                <c:pt idx="6">
                  <c:v>72</c:v>
                </c:pt>
                <c:pt idx="7">
                  <c:v>75</c:v>
                </c:pt>
                <c:pt idx="8">
                  <c:v>76</c:v>
                </c:pt>
                <c:pt idx="9">
                  <c:v>75</c:v>
                </c:pt>
                <c:pt idx="10">
                  <c:v>79</c:v>
                </c:pt>
                <c:pt idx="11">
                  <c:v>76</c:v>
                </c:pt>
                <c:pt idx="12">
                  <c:v>72</c:v>
                </c:pt>
                <c:pt idx="13">
                  <c:v>72</c:v>
                </c:pt>
                <c:pt idx="14">
                  <c:v>79</c:v>
                </c:pt>
                <c:pt idx="15">
                  <c:v>77</c:v>
                </c:pt>
                <c:pt idx="16">
                  <c:v>77</c:v>
                </c:pt>
                <c:pt idx="17">
                  <c:v>75</c:v>
                </c:pt>
                <c:pt idx="18">
                  <c:v>76</c:v>
                </c:pt>
                <c:pt idx="19">
                  <c:v>75</c:v>
                </c:pt>
                <c:pt idx="20">
                  <c:v>80</c:v>
                </c:pt>
                <c:pt idx="21">
                  <c:v>76</c:v>
                </c:pt>
                <c:pt idx="22">
                  <c:v>76</c:v>
                </c:pt>
                <c:pt idx="23">
                  <c:v>78</c:v>
                </c:pt>
                <c:pt idx="24">
                  <c:v>78</c:v>
                </c:pt>
                <c:pt idx="25">
                  <c:v>75</c:v>
                </c:pt>
                <c:pt idx="26">
                  <c:v>73</c:v>
                </c:pt>
                <c:pt idx="27">
                  <c:v>74</c:v>
                </c:pt>
                <c:pt idx="28">
                  <c:v>73</c:v>
                </c:pt>
                <c:pt idx="29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D-4A8A-963F-2402B1749F14}"/>
            </c:ext>
          </c:extLst>
        </c:ser>
        <c:ser>
          <c:idx val="1"/>
          <c:order val="1"/>
          <c:tx>
            <c:strRef>
              <c:f>Wzrost!$I$1</c:f>
              <c:strCache>
                <c:ptCount val="1"/>
                <c:pt idx="0">
                  <c:v>PrognozaA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Wzrost!$C$2:$C$31</c:f>
              <c:numCache>
                <c:formatCode>General</c:formatCode>
                <c:ptCount val="30"/>
                <c:pt idx="0">
                  <c:v>184</c:v>
                </c:pt>
                <c:pt idx="1">
                  <c:v>190</c:v>
                </c:pt>
                <c:pt idx="2">
                  <c:v>171</c:v>
                </c:pt>
                <c:pt idx="3">
                  <c:v>185</c:v>
                </c:pt>
                <c:pt idx="4">
                  <c:v>185</c:v>
                </c:pt>
                <c:pt idx="5">
                  <c:v>172</c:v>
                </c:pt>
                <c:pt idx="6">
                  <c:v>170</c:v>
                </c:pt>
                <c:pt idx="7">
                  <c:v>178</c:v>
                </c:pt>
                <c:pt idx="8">
                  <c:v>175</c:v>
                </c:pt>
                <c:pt idx="9">
                  <c:v>177</c:v>
                </c:pt>
                <c:pt idx="10">
                  <c:v>179</c:v>
                </c:pt>
                <c:pt idx="11">
                  <c:v>174</c:v>
                </c:pt>
                <c:pt idx="12">
                  <c:v>172</c:v>
                </c:pt>
                <c:pt idx="13">
                  <c:v>173</c:v>
                </c:pt>
                <c:pt idx="14">
                  <c:v>189</c:v>
                </c:pt>
                <c:pt idx="15">
                  <c:v>187</c:v>
                </c:pt>
                <c:pt idx="16">
                  <c:v>174</c:v>
                </c:pt>
                <c:pt idx="17">
                  <c:v>173</c:v>
                </c:pt>
                <c:pt idx="18">
                  <c:v>179</c:v>
                </c:pt>
                <c:pt idx="19">
                  <c:v>175</c:v>
                </c:pt>
                <c:pt idx="20">
                  <c:v>186</c:v>
                </c:pt>
                <c:pt idx="21">
                  <c:v>182</c:v>
                </c:pt>
                <c:pt idx="22">
                  <c:v>191</c:v>
                </c:pt>
                <c:pt idx="23">
                  <c:v>180</c:v>
                </c:pt>
                <c:pt idx="24">
                  <c:v>183</c:v>
                </c:pt>
                <c:pt idx="25">
                  <c:v>182</c:v>
                </c:pt>
                <c:pt idx="26">
                  <c:v>177</c:v>
                </c:pt>
                <c:pt idx="27">
                  <c:v>176</c:v>
                </c:pt>
                <c:pt idx="28">
                  <c:v>169</c:v>
                </c:pt>
                <c:pt idx="29">
                  <c:v>186</c:v>
                </c:pt>
              </c:numCache>
            </c:numRef>
          </c:xVal>
          <c:yVal>
            <c:numRef>
              <c:f>Wzrost!$I$2:$I$31</c:f>
              <c:numCache>
                <c:formatCode>General</c:formatCode>
                <c:ptCount val="30"/>
                <c:pt idx="0">
                  <c:v>78.34203542047544</c:v>
                </c:pt>
                <c:pt idx="1">
                  <c:v>78.244188815930102</c:v>
                </c:pt>
                <c:pt idx="2">
                  <c:v>73.324833650123765</c:v>
                </c:pt>
                <c:pt idx="3">
                  <c:v>78.557680999612785</c:v>
                </c:pt>
                <c:pt idx="4">
                  <c:v>78.557680999612785</c:v>
                </c:pt>
                <c:pt idx="5">
                  <c:v>73.57571697475214</c:v>
                </c:pt>
                <c:pt idx="6">
                  <c:v>73.146899153656705</c:v>
                </c:pt>
                <c:pt idx="7">
                  <c:v>76.007666922141652</c:v>
                </c:pt>
                <c:pt idx="8">
                  <c:v>74.657975026213535</c:v>
                </c:pt>
                <c:pt idx="9">
                  <c:v>75.546068900457612</c:v>
                </c:pt>
                <c:pt idx="10">
                  <c:v>76.466554348022328</c:v>
                </c:pt>
                <c:pt idx="11">
                  <c:v>74.253096151933278</c:v>
                </c:pt>
                <c:pt idx="12">
                  <c:v>73.57571697475214</c:v>
                </c:pt>
                <c:pt idx="13">
                  <c:v>73.888740638401941</c:v>
                </c:pt>
                <c:pt idx="14">
                  <c:v>78.528478227042797</c:v>
                </c:pt>
                <c:pt idx="15">
                  <c:v>78.743053609428898</c:v>
                </c:pt>
                <c:pt idx="16">
                  <c:v>74.253096151933278</c:v>
                </c:pt>
                <c:pt idx="17">
                  <c:v>73.888740638401941</c:v>
                </c:pt>
                <c:pt idx="18">
                  <c:v>76.466554348022328</c:v>
                </c:pt>
                <c:pt idx="19">
                  <c:v>74.657975026213535</c:v>
                </c:pt>
                <c:pt idx="20">
                  <c:v>78.694956558978447</c:v>
                </c:pt>
                <c:pt idx="21">
                  <c:v>77.718868159430713</c:v>
                </c:pt>
                <c:pt idx="22">
                  <c:v>77.827486939357186</c:v>
                </c:pt>
                <c:pt idx="23">
                  <c:v>76.911922688952473</c:v>
                </c:pt>
                <c:pt idx="24">
                  <c:v>78.058828310702665</c:v>
                </c:pt>
                <c:pt idx="25">
                  <c:v>77.718868159430713</c:v>
                </c:pt>
                <c:pt idx="26">
                  <c:v>75.546068900457612</c:v>
                </c:pt>
                <c:pt idx="27">
                  <c:v>75.092568772102823</c:v>
                </c:pt>
                <c:pt idx="28">
                  <c:v>73.052721974476299</c:v>
                </c:pt>
                <c:pt idx="29">
                  <c:v>78.694956558978447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3D-4A8A-963F-2402B1749F14}"/>
            </c:ext>
          </c:extLst>
        </c:ser>
        <c:ser>
          <c:idx val="2"/>
          <c:order val="2"/>
          <c:tx>
            <c:strRef>
              <c:f>Wzrost!$G$1</c:f>
              <c:strCache>
                <c:ptCount val="1"/>
                <c:pt idx="0">
                  <c:v>PrognozaN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Wzrost!$C$2:$C$31</c:f>
              <c:numCache>
                <c:formatCode>General</c:formatCode>
                <c:ptCount val="30"/>
                <c:pt idx="0">
                  <c:v>184</c:v>
                </c:pt>
                <c:pt idx="1">
                  <c:v>190</c:v>
                </c:pt>
                <c:pt idx="2">
                  <c:v>171</c:v>
                </c:pt>
                <c:pt idx="3">
                  <c:v>185</c:v>
                </c:pt>
                <c:pt idx="4">
                  <c:v>185</c:v>
                </c:pt>
                <c:pt idx="5">
                  <c:v>172</c:v>
                </c:pt>
                <c:pt idx="6">
                  <c:v>170</c:v>
                </c:pt>
                <c:pt idx="7">
                  <c:v>178</c:v>
                </c:pt>
                <c:pt idx="8">
                  <c:v>175</c:v>
                </c:pt>
                <c:pt idx="9">
                  <c:v>177</c:v>
                </c:pt>
                <c:pt idx="10">
                  <c:v>179</c:v>
                </c:pt>
                <c:pt idx="11">
                  <c:v>174</c:v>
                </c:pt>
                <c:pt idx="12">
                  <c:v>172</c:v>
                </c:pt>
                <c:pt idx="13">
                  <c:v>173</c:v>
                </c:pt>
                <c:pt idx="14">
                  <c:v>189</c:v>
                </c:pt>
                <c:pt idx="15">
                  <c:v>187</c:v>
                </c:pt>
                <c:pt idx="16">
                  <c:v>174</c:v>
                </c:pt>
                <c:pt idx="17">
                  <c:v>173</c:v>
                </c:pt>
                <c:pt idx="18">
                  <c:v>179</c:v>
                </c:pt>
                <c:pt idx="19">
                  <c:v>175</c:v>
                </c:pt>
                <c:pt idx="20">
                  <c:v>186</c:v>
                </c:pt>
                <c:pt idx="21">
                  <c:v>182</c:v>
                </c:pt>
                <c:pt idx="22">
                  <c:v>191</c:v>
                </c:pt>
                <c:pt idx="23">
                  <c:v>180</c:v>
                </c:pt>
                <c:pt idx="24">
                  <c:v>183</c:v>
                </c:pt>
                <c:pt idx="25">
                  <c:v>182</c:v>
                </c:pt>
                <c:pt idx="26">
                  <c:v>177</c:v>
                </c:pt>
                <c:pt idx="27">
                  <c:v>176</c:v>
                </c:pt>
                <c:pt idx="28">
                  <c:v>169</c:v>
                </c:pt>
                <c:pt idx="29">
                  <c:v>186</c:v>
                </c:pt>
              </c:numCache>
            </c:numRef>
          </c:xVal>
          <c:yVal>
            <c:numRef>
              <c:f>Wzrost!$G$2:$G$31</c:f>
              <c:numCache>
                <c:formatCode>General</c:formatCode>
                <c:ptCount val="30"/>
                <c:pt idx="0">
                  <c:v>77.930769678382561</c:v>
                </c:pt>
                <c:pt idx="1">
                  <c:v>78.670860568721267</c:v>
                </c:pt>
                <c:pt idx="2">
                  <c:v>73.15229724185356</c:v>
                </c:pt>
                <c:pt idx="3">
                  <c:v>78.123889567222889</c:v>
                </c:pt>
                <c:pt idx="4">
                  <c:v>78.123889567222889</c:v>
                </c:pt>
                <c:pt idx="5">
                  <c:v>73.657144737654519</c:v>
                </c:pt>
                <c:pt idx="6">
                  <c:v>72.626771492935646</c:v>
                </c:pt>
                <c:pt idx="7">
                  <c:v>76.225580048425755</c:v>
                </c:pt>
                <c:pt idx="8">
                  <c:v>75.042902286966708</c:v>
                </c:pt>
                <c:pt idx="9">
                  <c:v>75.854704452043464</c:v>
                </c:pt>
                <c:pt idx="10">
                  <c:v>76.572476598118797</c:v>
                </c:pt>
                <c:pt idx="11">
                  <c:v>74.602918802150114</c:v>
                </c:pt>
                <c:pt idx="12">
                  <c:v>73.657144737654519</c:v>
                </c:pt>
                <c:pt idx="13">
                  <c:v>74.140842438399673</c:v>
                </c:pt>
                <c:pt idx="14">
                  <c:v>78.618855300578346</c:v>
                </c:pt>
                <c:pt idx="15">
                  <c:v>78.427818282179445</c:v>
                </c:pt>
                <c:pt idx="16">
                  <c:v>74.602918802150114</c:v>
                </c:pt>
                <c:pt idx="17">
                  <c:v>74.140842438399673</c:v>
                </c:pt>
                <c:pt idx="18">
                  <c:v>76.572476598118797</c:v>
                </c:pt>
                <c:pt idx="19">
                  <c:v>75.042902286966708</c:v>
                </c:pt>
                <c:pt idx="20">
                  <c:v>78.289729615801392</c:v>
                </c:pt>
                <c:pt idx="21">
                  <c:v>77.464576547672849</c:v>
                </c:pt>
                <c:pt idx="22">
                  <c:v>78.693228286908337</c:v>
                </c:pt>
                <c:pt idx="23">
                  <c:v>76.894922559183513</c:v>
                </c:pt>
                <c:pt idx="24">
                  <c:v>77.710841491219597</c:v>
                </c:pt>
                <c:pt idx="25">
                  <c:v>77.464576547672849</c:v>
                </c:pt>
                <c:pt idx="26">
                  <c:v>75.854704452043464</c:v>
                </c:pt>
                <c:pt idx="27">
                  <c:v>75.460321350910888</c:v>
                </c:pt>
                <c:pt idx="28">
                  <c:v>72.081039032839684</c:v>
                </c:pt>
                <c:pt idx="29">
                  <c:v>78.289729615801392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3D-4A8A-963F-2402B1749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620559"/>
        <c:axId val="1224503631"/>
      </c:scatterChart>
      <c:valAx>
        <c:axId val="1337620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24503631"/>
        <c:crosses val="autoZero"/>
        <c:crossBetween val="midCat"/>
      </c:valAx>
      <c:valAx>
        <c:axId val="122450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37620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12</xdr:row>
      <xdr:rowOff>57150</xdr:rowOff>
    </xdr:from>
    <xdr:to>
      <xdr:col>12</xdr:col>
      <xdr:colOff>428625</xdr:colOff>
      <xdr:row>13</xdr:row>
      <xdr:rowOff>123825</xdr:rowOff>
    </xdr:to>
    <xdr:sp macro="[0]!Makro1" textlink="">
      <xdr:nvSpPr>
        <xdr:cNvPr id="2" name="Prostokąt 1">
          <a:extLst>
            <a:ext uri="{FF2B5EF4-FFF2-40B4-BE49-F238E27FC236}">
              <a16:creationId xmlns:a16="http://schemas.microsoft.com/office/drawing/2014/main" id="{F5C5A8D1-0EC0-42E6-B3CD-3D06C3F26656}"/>
            </a:ext>
          </a:extLst>
        </xdr:cNvPr>
        <xdr:cNvSpPr/>
      </xdr:nvSpPr>
      <xdr:spPr>
        <a:xfrm>
          <a:off x="7067550" y="2381250"/>
          <a:ext cx="895350" cy="2571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/>
            <a:t>Solver</a:t>
          </a:r>
        </a:p>
      </xdr:txBody>
    </xdr:sp>
    <xdr:clientData/>
  </xdr:twoCellAnchor>
  <xdr:twoCellAnchor>
    <xdr:from>
      <xdr:col>12</xdr:col>
      <xdr:colOff>523875</xdr:colOff>
      <xdr:row>12</xdr:row>
      <xdr:rowOff>57150</xdr:rowOff>
    </xdr:from>
    <xdr:to>
      <xdr:col>14</xdr:col>
      <xdr:colOff>200025</xdr:colOff>
      <xdr:row>13</xdr:row>
      <xdr:rowOff>123825</xdr:rowOff>
    </xdr:to>
    <xdr:sp macro="[0]!Makro2" textlink="">
      <xdr:nvSpPr>
        <xdr:cNvPr id="3" name="Prostokąt 2">
          <a:extLst>
            <a:ext uri="{FF2B5EF4-FFF2-40B4-BE49-F238E27FC236}">
              <a16:creationId xmlns:a16="http://schemas.microsoft.com/office/drawing/2014/main" id="{FEC920ED-3869-4360-A83D-707215D56385}"/>
            </a:ext>
          </a:extLst>
        </xdr:cNvPr>
        <xdr:cNvSpPr/>
      </xdr:nvSpPr>
      <xdr:spPr>
        <a:xfrm>
          <a:off x="8058150" y="2381250"/>
          <a:ext cx="895350" cy="2571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/>
            <a:t>R. wieloraka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19049</xdr:colOff>
      <xdr:row>15</xdr:row>
      <xdr:rowOff>128587</xdr:rowOff>
    </xdr:from>
    <xdr:to>
      <xdr:col>19</xdr:col>
      <xdr:colOff>285749</xdr:colOff>
      <xdr:row>34</xdr:row>
      <xdr:rowOff>142875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85F6964-B324-4588-AE2F-3C8552C6A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151"/>
  <sheetViews>
    <sheetView tabSelected="1" topLeftCell="C1" workbookViewId="0">
      <selection activeCell="X22" sqref="X22"/>
    </sheetView>
  </sheetViews>
  <sheetFormatPr defaultRowHeight="15" x14ac:dyDescent="0.25"/>
  <cols>
    <col min="1" max="1" width="8.42578125" style="56" bestFit="1" customWidth="1"/>
    <col min="2" max="2" width="12.42578125" style="56" bestFit="1" customWidth="1"/>
    <col min="3" max="3" width="12" style="56" bestFit="1" customWidth="1"/>
    <col min="4" max="4" width="11.7109375" style="56" bestFit="1" customWidth="1"/>
    <col min="5" max="5" width="12.140625" style="56" bestFit="1" customWidth="1"/>
    <col min="6" max="6" width="9.7109375" style="56" bestFit="1" customWidth="1"/>
    <col min="7" max="7" width="12" style="56" bestFit="1" customWidth="1"/>
    <col min="8" max="8" width="12.7109375" style="56" bestFit="1" customWidth="1"/>
    <col min="11" max="11" width="11.28515625" customWidth="1"/>
    <col min="12" max="12" width="10.28515625" customWidth="1"/>
    <col min="16" max="16" width="8.7109375" customWidth="1"/>
    <col min="19" max="19" width="9.7109375" customWidth="1"/>
    <col min="20" max="20" width="18.5703125" bestFit="1" customWidth="1"/>
    <col min="21" max="21" width="10.5703125" customWidth="1"/>
    <col min="22" max="22" width="12" bestFit="1" customWidth="1"/>
    <col min="25" max="25" width="27.140625" bestFit="1" customWidth="1"/>
  </cols>
  <sheetData>
    <row r="1" spans="1:25" x14ac:dyDescent="0.25">
      <c r="A1" s="54" t="s">
        <v>0</v>
      </c>
      <c r="B1" s="54" t="s">
        <v>1</v>
      </c>
      <c r="C1" s="54" t="s">
        <v>2</v>
      </c>
      <c r="D1" s="54" t="s">
        <v>3</v>
      </c>
      <c r="E1" s="55" t="s">
        <v>4</v>
      </c>
      <c r="F1" s="54" t="s">
        <v>5</v>
      </c>
      <c r="G1" s="54" t="s">
        <v>6</v>
      </c>
      <c r="H1" s="54" t="s">
        <v>7</v>
      </c>
      <c r="L1" s="1" t="s">
        <v>8</v>
      </c>
      <c r="U1" s="63" t="s">
        <v>71</v>
      </c>
    </row>
    <row r="2" spans="1:25" ht="15.75" thickBot="1" x14ac:dyDescent="0.3">
      <c r="A2" s="56">
        <v>1</v>
      </c>
      <c r="B2" s="56">
        <v>5.0999999999999996</v>
      </c>
      <c r="C2" s="56">
        <v>3.5</v>
      </c>
      <c r="D2" s="56">
        <v>0.2</v>
      </c>
      <c r="E2" s="57">
        <v>1.4</v>
      </c>
      <c r="F2" s="56" t="s">
        <v>9</v>
      </c>
      <c r="G2" s="56">
        <f>D2*$K$5+C2*$K$4+B2*$K$3+$K$2</f>
        <v>1.4842100305842871</v>
      </c>
      <c r="H2" s="56">
        <f>(G2-E2)</f>
        <v>8.4210030584287221E-2</v>
      </c>
      <c r="J2" s="17" t="s">
        <v>10</v>
      </c>
      <c r="K2" s="15">
        <v>-0.26271119757441802</v>
      </c>
      <c r="L2" s="15">
        <v>-0.26234005152214401</v>
      </c>
      <c r="N2" s="5" t="s">
        <v>11</v>
      </c>
      <c r="O2" s="7">
        <f t="array" ref="O2:R5">MMULT(TRANSPOSE(A2:D151),A2:D151)</f>
        <v>150</v>
      </c>
      <c r="P2" s="8">
        <v>876.50000000000023</v>
      </c>
      <c r="Q2" s="8">
        <v>458.60000000000014</v>
      </c>
      <c r="R2" s="9">
        <v>179.90000000000012</v>
      </c>
      <c r="T2" s="67" t="s">
        <v>29</v>
      </c>
      <c r="U2" s="71">
        <f t="array" ref="U2:X5">K8*MINVERSE(O2:R5)</f>
        <v>8.845037745717152E-2</v>
      </c>
      <c r="V2" s="72">
        <v>-1.1758953795181723E-2</v>
      </c>
      <c r="W2" s="72">
        <v>-9.0381066679724592E-3</v>
      </c>
      <c r="X2" s="73">
        <v>7.1471629860715789E-3</v>
      </c>
    </row>
    <row r="3" spans="1:25" ht="15.75" thickTop="1" x14ac:dyDescent="0.25">
      <c r="A3" s="56">
        <v>1</v>
      </c>
      <c r="B3" s="56">
        <v>4.9000000000000004</v>
      </c>
      <c r="C3" s="56">
        <v>3</v>
      </c>
      <c r="D3" s="56">
        <v>0.2</v>
      </c>
      <c r="E3" s="57">
        <v>1.4</v>
      </c>
      <c r="F3" s="56" t="s">
        <v>9</v>
      </c>
      <c r="G3" s="56">
        <f t="shared" ref="G3:G66" si="0">D3*$K$5+C3*$K$4+B3*$K$3+$K$2</f>
        <v>1.6613885600120293</v>
      </c>
      <c r="H3" s="56">
        <f t="shared" ref="H3:H66" si="1">(G3-E3)</f>
        <v>0.26138856001202937</v>
      </c>
      <c r="J3" s="18" t="s">
        <v>12</v>
      </c>
      <c r="K3" s="3">
        <v>0.72913844629338254</v>
      </c>
      <c r="L3" s="3">
        <v>0.72905548530282771</v>
      </c>
      <c r="O3" s="2">
        <v>876.50000000000023</v>
      </c>
      <c r="P3" s="10">
        <v>5223.8499999999976</v>
      </c>
      <c r="Q3" s="10">
        <v>2673.4300000000003</v>
      </c>
      <c r="R3" s="11">
        <v>1128.1400000000003</v>
      </c>
      <c r="T3" s="67"/>
      <c r="U3" s="68">
        <v>-1.1758953795181777E-2</v>
      </c>
      <c r="V3" s="74">
        <v>3.4011628057234685E-3</v>
      </c>
      <c r="W3" s="69">
        <v>-1.3573047341947037E-3</v>
      </c>
      <c r="X3" s="70">
        <v>-3.3063711997646625E-3</v>
      </c>
    </row>
    <row r="4" spans="1:25" x14ac:dyDescent="0.25">
      <c r="A4" s="56">
        <v>1</v>
      </c>
      <c r="B4" s="56">
        <v>4.7</v>
      </c>
      <c r="C4" s="56">
        <v>3.2</v>
      </c>
      <c r="D4" s="56">
        <v>0.2</v>
      </c>
      <c r="E4" s="57">
        <v>1.3</v>
      </c>
      <c r="F4" s="56" t="s">
        <v>9</v>
      </c>
      <c r="G4" s="56">
        <f t="shared" si="0"/>
        <v>1.3863583832787851</v>
      </c>
      <c r="H4" s="56">
        <f t="shared" si="1"/>
        <v>8.6358383278785089E-2</v>
      </c>
      <c r="J4" s="18" t="s">
        <v>13</v>
      </c>
      <c r="K4" s="3">
        <v>-0.64601243737283554</v>
      </c>
      <c r="L4" s="3">
        <v>-0.64600277255812533</v>
      </c>
      <c r="O4" s="2">
        <v>458.60000000000014</v>
      </c>
      <c r="P4" s="10">
        <v>2673.4300000000003</v>
      </c>
      <c r="Q4" s="10">
        <v>1430.399999999999</v>
      </c>
      <c r="R4" s="11">
        <v>531.8900000000001</v>
      </c>
      <c r="T4" s="67"/>
      <c r="U4" s="68">
        <v>-9.0381066679723898E-3</v>
      </c>
      <c r="V4" s="69">
        <v>-1.3573047341947188E-3</v>
      </c>
      <c r="W4" s="74">
        <v>4.691901153452048E-3</v>
      </c>
      <c r="X4" s="70">
        <v>2.1883698207027218E-3</v>
      </c>
    </row>
    <row r="5" spans="1:25" x14ac:dyDescent="0.25">
      <c r="A5" s="56">
        <v>1</v>
      </c>
      <c r="B5" s="56">
        <v>4.5999999999999996</v>
      </c>
      <c r="C5" s="56">
        <v>3.1</v>
      </c>
      <c r="D5" s="56">
        <v>0.2</v>
      </c>
      <c r="E5" s="57">
        <v>1.5</v>
      </c>
      <c r="F5" s="56" t="s">
        <v>9</v>
      </c>
      <c r="G5" s="56">
        <f t="shared" si="0"/>
        <v>1.3780457823867298</v>
      </c>
      <c r="H5" s="56">
        <f t="shared" si="1"/>
        <v>-0.12195421761327019</v>
      </c>
      <c r="J5" s="19" t="s">
        <v>14</v>
      </c>
      <c r="K5" s="16">
        <v>1.4467934143368948</v>
      </c>
      <c r="L5" s="16">
        <v>1.4468656903921657</v>
      </c>
      <c r="O5" s="12">
        <v>179.90000000000012</v>
      </c>
      <c r="P5" s="13">
        <v>1128.1400000000003</v>
      </c>
      <c r="Q5" s="13">
        <v>531.8900000000001</v>
      </c>
      <c r="R5" s="14">
        <v>302.3300000000001</v>
      </c>
      <c r="T5" s="67"/>
      <c r="U5" s="75">
        <v>7.1471629860716448E-3</v>
      </c>
      <c r="V5" s="76">
        <v>-3.306371199764666E-3</v>
      </c>
      <c r="W5" s="76">
        <v>2.1883698207027071E-3</v>
      </c>
      <c r="X5" s="77">
        <v>4.5712813168911695E-3</v>
      </c>
    </row>
    <row r="6" spans="1:25" x14ac:dyDescent="0.25">
      <c r="A6" s="56">
        <v>1</v>
      </c>
      <c r="B6" s="56">
        <v>5</v>
      </c>
      <c r="C6" s="56">
        <v>3.6</v>
      </c>
      <c r="D6" s="56">
        <v>0.2</v>
      </c>
      <c r="E6" s="57">
        <v>1.4</v>
      </c>
      <c r="F6" s="56" t="s">
        <v>9</v>
      </c>
      <c r="G6" s="56">
        <f t="shared" si="0"/>
        <v>1.3466949422176655</v>
      </c>
      <c r="H6" s="56">
        <f t="shared" si="1"/>
        <v>-5.3305057782334409E-2</v>
      </c>
      <c r="U6" s="63" t="s">
        <v>72</v>
      </c>
    </row>
    <row r="7" spans="1:25" ht="15.75" thickBot="1" x14ac:dyDescent="0.3">
      <c r="A7" s="56">
        <v>1</v>
      </c>
      <c r="B7" s="56">
        <v>5.4</v>
      </c>
      <c r="C7" s="56">
        <v>3.9</v>
      </c>
      <c r="D7" s="56">
        <v>0.4</v>
      </c>
      <c r="E7" s="57">
        <v>1.7</v>
      </c>
      <c r="F7" s="56" t="s">
        <v>9</v>
      </c>
      <c r="G7" s="56">
        <f t="shared" si="0"/>
        <v>1.7339052723905477</v>
      </c>
      <c r="H7" s="56">
        <f t="shared" si="1"/>
        <v>3.3905272390547747E-2</v>
      </c>
      <c r="J7" s="20" t="s">
        <v>15</v>
      </c>
      <c r="K7" s="4">
        <f>AVERAGE(E2:E151)</f>
        <v>3.7580000000000027</v>
      </c>
      <c r="N7" s="6" t="s">
        <v>16</v>
      </c>
      <c r="O7" s="28" t="s">
        <v>17</v>
      </c>
      <c r="P7" s="7">
        <f>SUM(A2:A151)</f>
        <v>150</v>
      </c>
      <c r="Q7" s="8">
        <f t="shared" ref="Q7:S7" si="2">SUM(B2:B151)</f>
        <v>876.50000000000023</v>
      </c>
      <c r="R7" s="8">
        <f t="shared" si="2"/>
        <v>458.60000000000014</v>
      </c>
      <c r="S7" s="9">
        <f t="shared" si="2"/>
        <v>179.90000000000012</v>
      </c>
      <c r="U7" s="1" t="s">
        <v>35</v>
      </c>
    </row>
    <row r="8" spans="1:25" ht="15.75" thickTop="1" x14ac:dyDescent="0.25">
      <c r="A8" s="56">
        <v>1</v>
      </c>
      <c r="B8" s="56">
        <v>4.5999999999999996</v>
      </c>
      <c r="C8" s="56">
        <v>3.4</v>
      </c>
      <c r="D8" s="56">
        <v>0.3</v>
      </c>
      <c r="E8" s="57">
        <v>1.4</v>
      </c>
      <c r="F8" s="56" t="s">
        <v>9</v>
      </c>
      <c r="G8" s="56">
        <f t="shared" si="0"/>
        <v>1.328921392608569</v>
      </c>
      <c r="H8" s="56">
        <f t="shared" si="1"/>
        <v>-7.1078607391430904E-2</v>
      </c>
      <c r="J8" s="20" t="s">
        <v>18</v>
      </c>
      <c r="K8" s="4">
        <f>K9/(O2-4)</f>
        <v>0.10173252036104935</v>
      </c>
      <c r="O8" s="28" t="s">
        <v>19</v>
      </c>
      <c r="P8" s="2"/>
      <c r="Q8" s="10">
        <f>SUMSQ(B2:B151)</f>
        <v>5223.8499999999976</v>
      </c>
      <c r="R8" s="10">
        <f t="shared" ref="R8:S8" si="3">SUMSQ(C2:C151)</f>
        <v>1430.399999999999</v>
      </c>
      <c r="S8" s="11">
        <f t="shared" si="3"/>
        <v>302.3300000000001</v>
      </c>
      <c r="U8" s="1" t="s">
        <v>38</v>
      </c>
      <c r="V8">
        <f>(K10/3)/(K9/(O2-4))</f>
        <v>1472.7262250462036</v>
      </c>
    </row>
    <row r="9" spans="1:25" x14ac:dyDescent="0.25">
      <c r="A9" s="56">
        <v>1</v>
      </c>
      <c r="B9" s="56">
        <v>5</v>
      </c>
      <c r="C9" s="56">
        <v>3.4</v>
      </c>
      <c r="D9" s="56">
        <v>0.2</v>
      </c>
      <c r="E9" s="57">
        <v>1.5</v>
      </c>
      <c r="F9" s="56" t="s">
        <v>9</v>
      </c>
      <c r="G9" s="56">
        <f t="shared" si="0"/>
        <v>1.4758974296922331</v>
      </c>
      <c r="H9" s="56">
        <f t="shared" si="1"/>
        <v>-2.4102570307766857E-2</v>
      </c>
      <c r="J9" s="21" t="s">
        <v>20</v>
      </c>
      <c r="K9" s="27">
        <f>SUMSQ(H2:H151)</f>
        <v>14.852947972713205</v>
      </c>
      <c r="O9" s="28" t="s">
        <v>21</v>
      </c>
      <c r="P9" s="12"/>
      <c r="Q9" s="13">
        <f>SUMPRODUCT(B2:B151,C2:C151)</f>
        <v>2673.4300000000003</v>
      </c>
      <c r="R9" s="13">
        <f>SUMPRODUCT(B2:B151,D2:D151)</f>
        <v>1128.1400000000003</v>
      </c>
      <c r="S9" s="14">
        <f>SUMPRODUCT(C2:C151,D2:D151)</f>
        <v>531.8900000000001</v>
      </c>
      <c r="U9" s="1" t="s">
        <v>33</v>
      </c>
      <c r="V9">
        <f>_xlfn.F.DIST.RT(V8,3,O2-4)</f>
        <v>6.9768680234648601E-109</v>
      </c>
    </row>
    <row r="10" spans="1:25" x14ac:dyDescent="0.25">
      <c r="A10" s="56">
        <v>1</v>
      </c>
      <c r="B10" s="56">
        <v>4.4000000000000004</v>
      </c>
      <c r="C10" s="56">
        <v>2.9</v>
      </c>
      <c r="D10" s="56">
        <v>0.2</v>
      </c>
      <c r="E10" s="57">
        <v>1.4</v>
      </c>
      <c r="F10" s="56" t="s">
        <v>9</v>
      </c>
      <c r="G10" s="56">
        <f t="shared" si="0"/>
        <v>1.3614205806026214</v>
      </c>
      <c r="H10" s="56">
        <f t="shared" si="1"/>
        <v>-3.8579419397378523E-2</v>
      </c>
      <c r="J10" s="22" t="s">
        <v>22</v>
      </c>
      <c r="K10" s="11" cm="1">
        <f t="array" ref="K10">SUM((G2:G151-K7)^2)</f>
        <v>449.47245202729277</v>
      </c>
    </row>
    <row r="11" spans="1:25" x14ac:dyDescent="0.25">
      <c r="A11" s="56">
        <v>1</v>
      </c>
      <c r="B11" s="56">
        <v>4.9000000000000004</v>
      </c>
      <c r="C11" s="56">
        <v>3.1</v>
      </c>
      <c r="D11" s="56">
        <v>0.1</v>
      </c>
      <c r="E11" s="57">
        <v>1.5</v>
      </c>
      <c r="F11" s="56" t="s">
        <v>9</v>
      </c>
      <c r="G11" s="56">
        <f t="shared" si="0"/>
        <v>1.4521079748410559</v>
      </c>
      <c r="H11" s="56">
        <f t="shared" si="1"/>
        <v>-4.7892025158944085E-2</v>
      </c>
      <c r="J11" s="23" t="s">
        <v>23</v>
      </c>
      <c r="K11" s="31" cm="1">
        <f t="array" ref="K11">SUM((E2:E151-K7)^2)</f>
        <v>464.32540000000012</v>
      </c>
      <c r="L11" s="26">
        <f>SUM(K9:K10)</f>
        <v>464.32540000000597</v>
      </c>
      <c r="R11" s="55" t="s">
        <v>32</v>
      </c>
      <c r="S11" s="55" t="s">
        <v>33</v>
      </c>
      <c r="U11" s="1" t="s">
        <v>59</v>
      </c>
    </row>
    <row r="12" spans="1:25" x14ac:dyDescent="0.25">
      <c r="A12" s="56">
        <v>1</v>
      </c>
      <c r="B12" s="56">
        <v>5.4</v>
      </c>
      <c r="C12" s="56">
        <v>3.7</v>
      </c>
      <c r="D12" s="56">
        <v>0.2</v>
      </c>
      <c r="E12" s="57">
        <v>1.5</v>
      </c>
      <c r="F12" s="56" t="s">
        <v>9</v>
      </c>
      <c r="G12" s="56">
        <f t="shared" si="0"/>
        <v>1.5737490769977356</v>
      </c>
      <c r="H12" s="56">
        <f t="shared" si="1"/>
        <v>7.3749076997735585E-2</v>
      </c>
      <c r="O12" s="24" t="s">
        <v>10</v>
      </c>
      <c r="P12" s="66" t="s">
        <v>24</v>
      </c>
      <c r="Q12" s="36">
        <f t="array" ref="Q12:Q15">MMULT(MMULT(MINVERSE(O2:R5),TRANSPOSE(A2:D151)),E2:E151)</f>
        <v>-0.26271119757441802</v>
      </c>
      <c r="R12">
        <f>Q12/SQRT(U2)</f>
        <v>-0.88334171256880123</v>
      </c>
      <c r="S12">
        <f>_xlfn.T.DIST.2T(ABS(R12),O2-4)</f>
        <v>0.37850388216241504</v>
      </c>
      <c r="U12" s="40">
        <f t="array" ref="U12:X16">LINEST(E2:E151,B2:D151,TRUE,TRUE)</f>
        <v>1.4467934143369958</v>
      </c>
      <c r="V12" s="41">
        <v>-0.64601243737278069</v>
      </c>
      <c r="W12" s="42">
        <v>0.72913844629327951</v>
      </c>
      <c r="X12" s="53">
        <v>-0.26271119757418426</v>
      </c>
      <c r="Y12" s="62" t="s">
        <v>67</v>
      </c>
    </row>
    <row r="13" spans="1:25" x14ac:dyDescent="0.25">
      <c r="A13" s="56">
        <v>1</v>
      </c>
      <c r="B13" s="56">
        <v>4.8</v>
      </c>
      <c r="C13" s="56">
        <v>3.4</v>
      </c>
      <c r="D13" s="56">
        <v>0.2</v>
      </c>
      <c r="E13" s="57">
        <v>1.6</v>
      </c>
      <c r="F13" s="56" t="s">
        <v>9</v>
      </c>
      <c r="G13" s="56">
        <f t="shared" si="0"/>
        <v>1.3300697404335566</v>
      </c>
      <c r="H13" s="56">
        <f t="shared" si="1"/>
        <v>-0.26993025956644345</v>
      </c>
      <c r="J13" s="20" t="s">
        <v>25</v>
      </c>
      <c r="K13" s="35">
        <f>K10/K11</f>
        <v>0.96801176939123434</v>
      </c>
      <c r="O13" s="24" t="s">
        <v>12</v>
      </c>
      <c r="P13" s="66"/>
      <c r="Q13" s="37">
        <v>0.72913844629338254</v>
      </c>
      <c r="R13">
        <f>Q13/SQRT(V3)</f>
        <v>12.502483438804127</v>
      </c>
      <c r="S13">
        <f>_xlfn.T.DIST.2T(ABS(R13),O2-4)</f>
        <v>7.6569804540680039E-25</v>
      </c>
      <c r="U13" s="2">
        <v>6.7611251407519404E-2</v>
      </c>
      <c r="V13" s="10">
        <v>6.8497453627501037E-2</v>
      </c>
      <c r="W13" s="10">
        <v>5.8319489072891188E-2</v>
      </c>
      <c r="X13" s="11">
        <v>0.29740608174205679</v>
      </c>
      <c r="Y13" s="62" t="s">
        <v>68</v>
      </c>
    </row>
    <row r="14" spans="1:25" x14ac:dyDescent="0.25">
      <c r="A14" s="56">
        <v>1</v>
      </c>
      <c r="B14" s="56">
        <v>4.8</v>
      </c>
      <c r="C14" s="56">
        <v>3</v>
      </c>
      <c r="D14" s="56">
        <v>0.1</v>
      </c>
      <c r="E14" s="57">
        <v>1.4</v>
      </c>
      <c r="F14" s="56" t="s">
        <v>9</v>
      </c>
      <c r="G14" s="56">
        <f t="shared" si="0"/>
        <v>1.443795373949001</v>
      </c>
      <c r="H14" s="56">
        <f t="shared" si="1"/>
        <v>4.3795373949001126E-2</v>
      </c>
      <c r="J14" s="20" t="s">
        <v>26</v>
      </c>
      <c r="K14" s="25">
        <f>1-K9/(O2-4)/K11*(O2-1)</f>
        <v>0.96735447698145238</v>
      </c>
      <c r="O14" s="24" t="s">
        <v>13</v>
      </c>
      <c r="P14" s="66"/>
      <c r="Q14" s="38">
        <v>-0.64601243737283554</v>
      </c>
      <c r="R14">
        <f>Q14/SQRT(W4)</f>
        <v>-9.431189090413735</v>
      </c>
      <c r="S14">
        <f>_xlfn.T.DIST.2T(ABS(R14),O2-4)</f>
        <v>8.7530286566398649E-17</v>
      </c>
      <c r="T14" s="60" t="s">
        <v>65</v>
      </c>
      <c r="U14" s="2">
        <v>0.9680117693912218</v>
      </c>
      <c r="V14" s="10">
        <v>0.31895535794378715</v>
      </c>
      <c r="W14" s="10" t="e">
        <v>#N/A</v>
      </c>
      <c r="X14" s="11" t="e">
        <v>#N/A</v>
      </c>
      <c r="Y14" s="62" t="s">
        <v>69</v>
      </c>
    </row>
    <row r="15" spans="1:25" x14ac:dyDescent="0.25">
      <c r="A15" s="56">
        <v>1</v>
      </c>
      <c r="B15" s="56">
        <v>4.3</v>
      </c>
      <c r="C15" s="56">
        <v>3</v>
      </c>
      <c r="D15" s="56">
        <v>0.1</v>
      </c>
      <c r="E15" s="57">
        <v>1.1000000000000001</v>
      </c>
      <c r="F15" s="56" t="s">
        <v>9</v>
      </c>
      <c r="G15" s="56">
        <f t="shared" si="0"/>
        <v>1.0792261508023098</v>
      </c>
      <c r="H15" s="56">
        <f t="shared" si="1"/>
        <v>-2.0773849197690319E-2</v>
      </c>
      <c r="O15" s="24" t="s">
        <v>14</v>
      </c>
      <c r="P15" s="66"/>
      <c r="Q15" s="39">
        <v>1.4467934143368948</v>
      </c>
      <c r="R15">
        <f>Q15/SQRT(X5)</f>
        <v>21.398707821815734</v>
      </c>
      <c r="S15">
        <f>_xlfn.T.DIST.2T(ABS(R15),O2-4)</f>
        <v>7.332476564404068E-47</v>
      </c>
      <c r="T15" s="61" t="s">
        <v>66</v>
      </c>
      <c r="U15" s="2">
        <v>1472.7262250461838</v>
      </c>
      <c r="V15" s="10">
        <v>146</v>
      </c>
      <c r="W15" s="10" t="e">
        <v>#N/A</v>
      </c>
      <c r="X15" s="11" t="e">
        <v>#N/A</v>
      </c>
      <c r="Y15" s="62" t="s">
        <v>70</v>
      </c>
    </row>
    <row r="16" spans="1:25" x14ac:dyDescent="0.25">
      <c r="A16" s="56">
        <v>1</v>
      </c>
      <c r="B16" s="56">
        <v>5.8</v>
      </c>
      <c r="C16" s="56">
        <v>4</v>
      </c>
      <c r="D16" s="56">
        <v>0.2</v>
      </c>
      <c r="E16" s="57">
        <v>1.2</v>
      </c>
      <c r="F16" s="56" t="s">
        <v>9</v>
      </c>
      <c r="G16" s="56">
        <f t="shared" si="0"/>
        <v>1.6716007243032376</v>
      </c>
      <c r="H16" s="56">
        <f t="shared" si="1"/>
        <v>0.47160072430323763</v>
      </c>
      <c r="T16" s="61" t="s">
        <v>22</v>
      </c>
      <c r="U16" s="12">
        <v>449.47245202728692</v>
      </c>
      <c r="V16" s="13">
        <v>14.852947972713212</v>
      </c>
      <c r="W16" s="13" t="e">
        <v>#N/A</v>
      </c>
      <c r="X16" s="14" t="e">
        <v>#N/A</v>
      </c>
      <c r="Y16" s="62" t="s">
        <v>20</v>
      </c>
    </row>
    <row r="17" spans="1:22" ht="15.75" thickBot="1" x14ac:dyDescent="0.3">
      <c r="A17" s="56">
        <v>1</v>
      </c>
      <c r="B17" s="56">
        <v>5.7</v>
      </c>
      <c r="C17" s="56">
        <v>4.4000000000000004</v>
      </c>
      <c r="D17" s="56">
        <v>0.4</v>
      </c>
      <c r="E17" s="57">
        <v>1.5</v>
      </c>
      <c r="F17" s="56" t="s">
        <v>9</v>
      </c>
      <c r="G17" s="56">
        <f t="shared" si="0"/>
        <v>1.6296405875921445</v>
      </c>
      <c r="H17" s="56">
        <f t="shared" si="1"/>
        <v>0.12964058759214447</v>
      </c>
      <c r="J17" s="64" t="s">
        <v>27</v>
      </c>
      <c r="K17" s="64"/>
      <c r="L17" s="64"/>
      <c r="M17" s="64"/>
      <c r="N17" s="64"/>
      <c r="O17" s="64"/>
      <c r="P17" s="64"/>
      <c r="Q17" s="64"/>
      <c r="R17" s="64"/>
      <c r="S17" s="64"/>
    </row>
    <row r="18" spans="1:22" ht="15.75" thickTop="1" x14ac:dyDescent="0.25">
      <c r="A18" s="56">
        <v>1</v>
      </c>
      <c r="B18" s="56">
        <v>5.4</v>
      </c>
      <c r="C18" s="56">
        <v>3.9</v>
      </c>
      <c r="D18" s="56">
        <v>0.4</v>
      </c>
      <c r="E18" s="57">
        <v>1.3</v>
      </c>
      <c r="F18" s="56" t="s">
        <v>9</v>
      </c>
      <c r="G18" s="56">
        <f t="shared" si="0"/>
        <v>1.7339052723905477</v>
      </c>
      <c r="H18" s="56">
        <f t="shared" si="1"/>
        <v>0.43390527239054766</v>
      </c>
      <c r="J18" s="65" t="s">
        <v>28</v>
      </c>
      <c r="K18" s="65"/>
      <c r="L18" s="65"/>
      <c r="M18" s="65"/>
      <c r="N18" s="65"/>
      <c r="O18" s="65"/>
      <c r="P18" s="65"/>
      <c r="Q18" s="65"/>
      <c r="R18" s="65"/>
      <c r="S18" s="65"/>
    </row>
    <row r="19" spans="1:22" x14ac:dyDescent="0.25">
      <c r="A19" s="56">
        <v>1</v>
      </c>
      <c r="B19" s="56">
        <v>5.0999999999999996</v>
      </c>
      <c r="C19" s="56">
        <v>3.5</v>
      </c>
      <c r="D19" s="56">
        <v>0.3</v>
      </c>
      <c r="E19" s="57">
        <v>1.4</v>
      </c>
      <c r="F19" s="56" t="s">
        <v>9</v>
      </c>
      <c r="G19" s="56">
        <f t="shared" si="0"/>
        <v>1.6288893720179765</v>
      </c>
      <c r="H19" s="56">
        <f t="shared" si="1"/>
        <v>0.22888937201797654</v>
      </c>
    </row>
    <row r="20" spans="1:22" ht="15.75" thickBot="1" x14ac:dyDescent="0.3">
      <c r="A20" s="56">
        <v>1</v>
      </c>
      <c r="B20" s="56">
        <v>5.7</v>
      </c>
      <c r="C20" s="56">
        <v>3.8</v>
      </c>
      <c r="D20" s="56">
        <v>0.3</v>
      </c>
      <c r="E20" s="57">
        <v>1.7</v>
      </c>
      <c r="F20" s="56" t="s">
        <v>9</v>
      </c>
      <c r="G20" s="56">
        <f t="shared" si="0"/>
        <v>1.8725687085821563</v>
      </c>
      <c r="H20" s="56">
        <f t="shared" si="1"/>
        <v>0.17256870858215634</v>
      </c>
      <c r="J20" s="5" t="s">
        <v>36</v>
      </c>
      <c r="K20" s="30"/>
      <c r="L20" s="30"/>
      <c r="M20" s="30"/>
      <c r="N20" s="30"/>
      <c r="O20" s="30"/>
      <c r="P20" s="30"/>
      <c r="Q20" s="29"/>
      <c r="R20" s="29"/>
      <c r="S20" s="29"/>
      <c r="T20" s="29"/>
      <c r="U20" s="29"/>
      <c r="V20" s="29"/>
    </row>
    <row r="21" spans="1:22" ht="15.75" thickTop="1" x14ac:dyDescent="0.25">
      <c r="A21" s="56">
        <v>1</v>
      </c>
      <c r="B21" s="56">
        <v>5.0999999999999996</v>
      </c>
      <c r="C21" s="56">
        <v>3.8</v>
      </c>
      <c r="D21" s="56">
        <v>0.3</v>
      </c>
      <c r="E21" s="57">
        <v>1.5</v>
      </c>
      <c r="F21" s="56" t="s">
        <v>9</v>
      </c>
      <c r="G21" s="56">
        <f t="shared" si="0"/>
        <v>1.4350856408061259</v>
      </c>
      <c r="H21" s="56">
        <f t="shared" si="1"/>
        <v>-6.4914359193874116E-2</v>
      </c>
      <c r="J21" s="29" t="s">
        <v>34</v>
      </c>
      <c r="K21" s="29"/>
      <c r="L21" s="29"/>
      <c r="M21" s="29"/>
      <c r="N21" s="29"/>
      <c r="O21" s="29"/>
      <c r="P21" s="29"/>
    </row>
    <row r="22" spans="1:22" x14ac:dyDescent="0.25">
      <c r="A22" s="56">
        <v>1</v>
      </c>
      <c r="B22" s="56">
        <v>5.4</v>
      </c>
      <c r="C22" s="56">
        <v>3.4</v>
      </c>
      <c r="D22" s="56">
        <v>0.2</v>
      </c>
      <c r="E22" s="57">
        <v>1.7</v>
      </c>
      <c r="F22" s="56" t="s">
        <v>9</v>
      </c>
      <c r="G22" s="56">
        <f t="shared" si="0"/>
        <v>1.7675528082095866</v>
      </c>
      <c r="H22" s="56">
        <f t="shared" si="1"/>
        <v>6.7552808209586646E-2</v>
      </c>
    </row>
    <row r="23" spans="1:22" ht="15.75" thickBot="1" x14ac:dyDescent="0.3">
      <c r="A23" s="56">
        <v>1</v>
      </c>
      <c r="B23" s="56">
        <v>5.0999999999999996</v>
      </c>
      <c r="C23" s="56">
        <v>3.7</v>
      </c>
      <c r="D23" s="56">
        <v>0.4</v>
      </c>
      <c r="E23" s="57">
        <v>1.5</v>
      </c>
      <c r="F23" s="56" t="s">
        <v>9</v>
      </c>
      <c r="G23" s="56">
        <f t="shared" si="0"/>
        <v>1.6443662259770988</v>
      </c>
      <c r="H23" s="56">
        <f t="shared" si="1"/>
        <v>0.14436622597709881</v>
      </c>
      <c r="J23" s="5" t="s">
        <v>37</v>
      </c>
      <c r="K23" s="30"/>
      <c r="L23" s="30"/>
    </row>
    <row r="24" spans="1:22" ht="15.75" thickTop="1" x14ac:dyDescent="0.25">
      <c r="A24" s="56">
        <v>1</v>
      </c>
      <c r="B24" s="56">
        <v>4.5999999999999996</v>
      </c>
      <c r="C24" s="56">
        <v>3.6</v>
      </c>
      <c r="D24" s="56">
        <v>0.2</v>
      </c>
      <c r="E24" s="57">
        <v>1</v>
      </c>
      <c r="F24" s="56" t="s">
        <v>9</v>
      </c>
      <c r="G24" s="56">
        <f t="shared" si="0"/>
        <v>1.055039563700312</v>
      </c>
      <c r="H24" s="56">
        <f t="shared" si="1"/>
        <v>5.5039563700312044E-2</v>
      </c>
      <c r="J24" t="s">
        <v>39</v>
      </c>
    </row>
    <row r="25" spans="1:22" x14ac:dyDescent="0.25">
      <c r="A25" s="56">
        <v>1</v>
      </c>
      <c r="B25" s="56">
        <v>5.0999999999999996</v>
      </c>
      <c r="C25" s="56">
        <v>3.3</v>
      </c>
      <c r="D25" s="56">
        <v>0.5</v>
      </c>
      <c r="E25" s="57">
        <v>1.7</v>
      </c>
      <c r="F25" s="56" t="s">
        <v>9</v>
      </c>
      <c r="G25" s="56">
        <f t="shared" si="0"/>
        <v>2.0474505423599227</v>
      </c>
      <c r="H25" s="56">
        <f t="shared" si="1"/>
        <v>0.34745054235992279</v>
      </c>
    </row>
    <row r="26" spans="1:22" ht="15.75" thickBot="1" x14ac:dyDescent="0.3">
      <c r="A26" s="56">
        <v>1</v>
      </c>
      <c r="B26" s="56">
        <v>4.8</v>
      </c>
      <c r="C26" s="56">
        <v>3.4</v>
      </c>
      <c r="D26" s="56">
        <v>0.2</v>
      </c>
      <c r="E26" s="57">
        <v>1.9</v>
      </c>
      <c r="F26" s="56" t="s">
        <v>9</v>
      </c>
      <c r="G26" s="56">
        <f t="shared" si="0"/>
        <v>1.3300697404335566</v>
      </c>
      <c r="H26" s="56">
        <f t="shared" si="1"/>
        <v>-0.56993025956644328</v>
      </c>
      <c r="J26" s="34" t="s">
        <v>64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</row>
    <row r="27" spans="1:22" x14ac:dyDescent="0.25">
      <c r="A27" s="56">
        <v>1</v>
      </c>
      <c r="B27" s="56">
        <v>5</v>
      </c>
      <c r="C27" s="56">
        <v>3</v>
      </c>
      <c r="D27" s="56">
        <v>0.2</v>
      </c>
      <c r="E27" s="57">
        <v>1.6</v>
      </c>
      <c r="F27" s="56" t="s">
        <v>9</v>
      </c>
      <c r="G27" s="56">
        <f t="shared" si="0"/>
        <v>1.7343024046413671</v>
      </c>
      <c r="H27" s="56">
        <f t="shared" si="1"/>
        <v>0.134302404641367</v>
      </c>
    </row>
    <row r="28" spans="1:22" x14ac:dyDescent="0.25">
      <c r="A28" s="56">
        <v>1</v>
      </c>
      <c r="B28" s="56">
        <v>5</v>
      </c>
      <c r="C28" s="56">
        <v>3.4</v>
      </c>
      <c r="D28" s="56">
        <v>0.4</v>
      </c>
      <c r="E28" s="57">
        <v>1.6</v>
      </c>
      <c r="F28" s="56" t="s">
        <v>9</v>
      </c>
      <c r="G28" s="56">
        <f t="shared" si="0"/>
        <v>1.7652561125596118</v>
      </c>
      <c r="H28" s="56">
        <f t="shared" si="1"/>
        <v>0.1652561125596117</v>
      </c>
    </row>
    <row r="29" spans="1:22" x14ac:dyDescent="0.25">
      <c r="A29" s="56">
        <v>1</v>
      </c>
      <c r="B29" s="56">
        <v>5.2</v>
      </c>
      <c r="C29" s="56">
        <v>3.5</v>
      </c>
      <c r="D29" s="56">
        <v>0.2</v>
      </c>
      <c r="E29" s="57">
        <v>1.5</v>
      </c>
      <c r="F29" s="56" t="s">
        <v>9</v>
      </c>
      <c r="G29" s="56">
        <f t="shared" si="0"/>
        <v>1.5571238752136258</v>
      </c>
      <c r="H29" s="56">
        <f t="shared" si="1"/>
        <v>5.712387521362583E-2</v>
      </c>
    </row>
    <row r="30" spans="1:22" x14ac:dyDescent="0.25">
      <c r="A30" s="56">
        <v>1</v>
      </c>
      <c r="B30" s="56">
        <v>5.2</v>
      </c>
      <c r="C30" s="56">
        <v>3.4</v>
      </c>
      <c r="D30" s="56">
        <v>0.2</v>
      </c>
      <c r="E30" s="57">
        <v>1.4</v>
      </c>
      <c r="F30" s="56" t="s">
        <v>9</v>
      </c>
      <c r="G30" s="56">
        <f t="shared" si="0"/>
        <v>1.6217251189509096</v>
      </c>
      <c r="H30" s="56">
        <f t="shared" si="1"/>
        <v>0.22172511895090974</v>
      </c>
    </row>
    <row r="31" spans="1:22" x14ac:dyDescent="0.25">
      <c r="A31" s="56">
        <v>1</v>
      </c>
      <c r="B31" s="56">
        <v>4.7</v>
      </c>
      <c r="C31" s="56">
        <v>3.2</v>
      </c>
      <c r="D31" s="56">
        <v>0.2</v>
      </c>
      <c r="E31" s="57">
        <v>1.6</v>
      </c>
      <c r="F31" s="56" t="s">
        <v>9</v>
      </c>
      <c r="G31" s="56">
        <f t="shared" si="0"/>
        <v>1.3863583832787851</v>
      </c>
      <c r="H31" s="56">
        <f t="shared" si="1"/>
        <v>-0.21364161672121496</v>
      </c>
    </row>
    <row r="32" spans="1:22" x14ac:dyDescent="0.25">
      <c r="A32" s="56">
        <v>1</v>
      </c>
      <c r="B32" s="56">
        <v>4.8</v>
      </c>
      <c r="C32" s="56">
        <v>3.1</v>
      </c>
      <c r="D32" s="56">
        <v>0.2</v>
      </c>
      <c r="E32" s="57">
        <v>1.6</v>
      </c>
      <c r="F32" s="56" t="s">
        <v>9</v>
      </c>
      <c r="G32" s="56">
        <f t="shared" si="0"/>
        <v>1.5238734716454068</v>
      </c>
      <c r="H32" s="56">
        <f t="shared" si="1"/>
        <v>-7.6126528354593326E-2</v>
      </c>
    </row>
    <row r="33" spans="1:8" x14ac:dyDescent="0.25">
      <c r="A33" s="56">
        <v>1</v>
      </c>
      <c r="B33" s="56">
        <v>5.4</v>
      </c>
      <c r="C33" s="56">
        <v>3.4</v>
      </c>
      <c r="D33" s="56">
        <v>0.4</v>
      </c>
      <c r="E33" s="57">
        <v>1.5</v>
      </c>
      <c r="F33" s="56" t="s">
        <v>9</v>
      </c>
      <c r="G33" s="56">
        <f t="shared" si="0"/>
        <v>2.0569114910769657</v>
      </c>
      <c r="H33" s="56">
        <f t="shared" si="1"/>
        <v>0.55691149107696569</v>
      </c>
    </row>
    <row r="34" spans="1:8" x14ac:dyDescent="0.25">
      <c r="A34" s="56">
        <v>1</v>
      </c>
      <c r="B34" s="56">
        <v>5.2</v>
      </c>
      <c r="C34" s="56">
        <v>4.0999999999999996</v>
      </c>
      <c r="D34" s="56">
        <v>0.1</v>
      </c>
      <c r="E34" s="57">
        <v>1.5</v>
      </c>
      <c r="F34" s="56" t="s">
        <v>9</v>
      </c>
      <c r="G34" s="56">
        <f t="shared" si="0"/>
        <v>1.0248370713562349</v>
      </c>
      <c r="H34" s="56">
        <f t="shared" si="1"/>
        <v>-0.47516292864376508</v>
      </c>
    </row>
    <row r="35" spans="1:8" x14ac:dyDescent="0.25">
      <c r="A35" s="56">
        <v>1</v>
      </c>
      <c r="B35" s="56">
        <v>5.5</v>
      </c>
      <c r="C35" s="56">
        <v>4.2</v>
      </c>
      <c r="D35" s="56">
        <v>0.2</v>
      </c>
      <c r="E35" s="57">
        <v>1.4</v>
      </c>
      <c r="F35" s="56" t="s">
        <v>9</v>
      </c>
      <c r="G35" s="56">
        <f t="shared" si="0"/>
        <v>1.3236567029406552</v>
      </c>
      <c r="H35" s="56">
        <f t="shared" si="1"/>
        <v>-7.6343297059344728E-2</v>
      </c>
    </row>
    <row r="36" spans="1:8" x14ac:dyDescent="0.25">
      <c r="A36" s="56">
        <v>1</v>
      </c>
      <c r="B36" s="56">
        <v>4.9000000000000004</v>
      </c>
      <c r="C36" s="56">
        <v>3.1</v>
      </c>
      <c r="D36" s="56">
        <v>0.2</v>
      </c>
      <c r="E36" s="57">
        <v>1.5</v>
      </c>
      <c r="F36" s="56" t="s">
        <v>9</v>
      </c>
      <c r="G36" s="56">
        <f t="shared" si="0"/>
        <v>1.5967873162747455</v>
      </c>
      <c r="H36" s="56">
        <f t="shared" si="1"/>
        <v>9.6787316274745461E-2</v>
      </c>
    </row>
    <row r="37" spans="1:8" x14ac:dyDescent="0.25">
      <c r="A37" s="56">
        <v>1</v>
      </c>
      <c r="B37" s="56">
        <v>5</v>
      </c>
      <c r="C37" s="56">
        <v>3.2</v>
      </c>
      <c r="D37" s="56">
        <v>0.2</v>
      </c>
      <c r="E37" s="57">
        <v>1.2</v>
      </c>
      <c r="F37" s="56" t="s">
        <v>9</v>
      </c>
      <c r="G37" s="56">
        <f t="shared" si="0"/>
        <v>1.6050999171667999</v>
      </c>
      <c r="H37" s="56">
        <f t="shared" si="1"/>
        <v>0.40509991716679994</v>
      </c>
    </row>
    <row r="38" spans="1:8" x14ac:dyDescent="0.25">
      <c r="A38" s="56">
        <v>1</v>
      </c>
      <c r="B38" s="56">
        <v>5.5</v>
      </c>
      <c r="C38" s="56">
        <v>3.5</v>
      </c>
      <c r="D38" s="56">
        <v>0.2</v>
      </c>
      <c r="E38" s="57">
        <v>1.3</v>
      </c>
      <c r="F38" s="56" t="s">
        <v>9</v>
      </c>
      <c r="G38" s="56">
        <f t="shared" si="0"/>
        <v>1.7758654091016401</v>
      </c>
      <c r="H38" s="56">
        <f t="shared" si="1"/>
        <v>0.4758654091016401</v>
      </c>
    </row>
    <row r="39" spans="1:8" x14ac:dyDescent="0.25">
      <c r="A39" s="56">
        <v>1</v>
      </c>
      <c r="B39" s="56">
        <v>4.9000000000000004</v>
      </c>
      <c r="C39" s="56">
        <v>3.6</v>
      </c>
      <c r="D39" s="56">
        <v>0.1</v>
      </c>
      <c r="E39" s="57">
        <v>1.4</v>
      </c>
      <c r="F39" s="56" t="s">
        <v>9</v>
      </c>
      <c r="G39" s="56">
        <f t="shared" si="0"/>
        <v>1.1291017561546379</v>
      </c>
      <c r="H39" s="56">
        <f t="shared" si="1"/>
        <v>-0.27089824384536199</v>
      </c>
    </row>
    <row r="40" spans="1:8" x14ac:dyDescent="0.25">
      <c r="A40" s="56">
        <v>1</v>
      </c>
      <c r="B40" s="56">
        <v>4.4000000000000004</v>
      </c>
      <c r="C40" s="56">
        <v>3</v>
      </c>
      <c r="D40" s="56">
        <v>0.2</v>
      </c>
      <c r="E40" s="57">
        <v>1.3</v>
      </c>
      <c r="F40" s="56" t="s">
        <v>9</v>
      </c>
      <c r="G40" s="56">
        <f t="shared" si="0"/>
        <v>1.296819336865338</v>
      </c>
      <c r="H40" s="56">
        <f t="shared" si="1"/>
        <v>-3.1806631346620318E-3</v>
      </c>
    </row>
    <row r="41" spans="1:8" x14ac:dyDescent="0.25">
      <c r="A41" s="56">
        <v>1</v>
      </c>
      <c r="B41" s="56">
        <v>5.0999999999999996</v>
      </c>
      <c r="C41" s="56">
        <v>3.4</v>
      </c>
      <c r="D41" s="56">
        <v>0.2</v>
      </c>
      <c r="E41" s="57">
        <v>1.5</v>
      </c>
      <c r="F41" s="56" t="s">
        <v>9</v>
      </c>
      <c r="G41" s="56">
        <f t="shared" si="0"/>
        <v>1.548811274321571</v>
      </c>
      <c r="H41" s="56">
        <f t="shared" si="1"/>
        <v>4.8811274321570952E-2</v>
      </c>
    </row>
    <row r="42" spans="1:8" x14ac:dyDescent="0.25">
      <c r="A42" s="56">
        <v>1</v>
      </c>
      <c r="B42" s="56">
        <v>5</v>
      </c>
      <c r="C42" s="56">
        <v>3.5</v>
      </c>
      <c r="D42" s="56">
        <v>0.3</v>
      </c>
      <c r="E42" s="57">
        <v>1.3</v>
      </c>
      <c r="F42" s="56" t="s">
        <v>9</v>
      </c>
      <c r="G42" s="56">
        <f t="shared" si="0"/>
        <v>1.5559755273886386</v>
      </c>
      <c r="H42" s="56">
        <f t="shared" si="1"/>
        <v>0.2559755273886386</v>
      </c>
    </row>
    <row r="43" spans="1:8" x14ac:dyDescent="0.25">
      <c r="A43" s="56">
        <v>1</v>
      </c>
      <c r="B43" s="56">
        <v>4.5</v>
      </c>
      <c r="C43" s="56">
        <v>2.2999999999999998</v>
      </c>
      <c r="D43" s="56">
        <v>0.3</v>
      </c>
      <c r="E43" s="57">
        <v>1.3</v>
      </c>
      <c r="F43" s="56" t="s">
        <v>9</v>
      </c>
      <c r="G43" s="56">
        <f t="shared" si="0"/>
        <v>1.9666212290893501</v>
      </c>
      <c r="H43" s="56">
        <f t="shared" si="1"/>
        <v>0.66662122908935006</v>
      </c>
    </row>
    <row r="44" spans="1:8" x14ac:dyDescent="0.25">
      <c r="A44" s="56">
        <v>1</v>
      </c>
      <c r="B44" s="56">
        <v>4.4000000000000004</v>
      </c>
      <c r="C44" s="56">
        <v>3.2</v>
      </c>
      <c r="D44" s="56">
        <v>0.2</v>
      </c>
      <c r="E44" s="57">
        <v>1.3</v>
      </c>
      <c r="F44" s="56" t="s">
        <v>9</v>
      </c>
      <c r="G44" s="56">
        <f t="shared" si="0"/>
        <v>1.1676168493907708</v>
      </c>
      <c r="H44" s="56">
        <f t="shared" si="1"/>
        <v>-0.13238315060922923</v>
      </c>
    </row>
    <row r="45" spans="1:8" x14ac:dyDescent="0.25">
      <c r="A45" s="56">
        <v>1</v>
      </c>
      <c r="B45" s="56">
        <v>5</v>
      </c>
      <c r="C45" s="56">
        <v>3.5</v>
      </c>
      <c r="D45" s="56">
        <v>0.6</v>
      </c>
      <c r="E45" s="57">
        <v>1.6</v>
      </c>
      <c r="F45" s="56" t="s">
        <v>9</v>
      </c>
      <c r="G45" s="56">
        <f t="shared" si="0"/>
        <v>1.9900135516897071</v>
      </c>
      <c r="H45" s="56">
        <f t="shared" si="1"/>
        <v>0.39001355168970697</v>
      </c>
    </row>
    <row r="46" spans="1:8" x14ac:dyDescent="0.25">
      <c r="A46" s="56">
        <v>1</v>
      </c>
      <c r="B46" s="56">
        <v>5.0999999999999996</v>
      </c>
      <c r="C46" s="56">
        <v>3.8</v>
      </c>
      <c r="D46" s="56">
        <v>0.4</v>
      </c>
      <c r="E46" s="57">
        <v>1.9</v>
      </c>
      <c r="F46" s="56" t="s">
        <v>9</v>
      </c>
      <c r="G46" s="56">
        <f t="shared" si="0"/>
        <v>1.5797649822398154</v>
      </c>
      <c r="H46" s="56">
        <f t="shared" si="1"/>
        <v>-0.32023501776018448</v>
      </c>
    </row>
    <row r="47" spans="1:8" x14ac:dyDescent="0.25">
      <c r="A47" s="56">
        <v>1</v>
      </c>
      <c r="B47" s="56">
        <v>4.8</v>
      </c>
      <c r="C47" s="56">
        <v>3</v>
      </c>
      <c r="D47" s="56">
        <v>0.3</v>
      </c>
      <c r="E47" s="57">
        <v>1.4</v>
      </c>
      <c r="F47" s="56" t="s">
        <v>9</v>
      </c>
      <c r="G47" s="56">
        <f t="shared" si="0"/>
        <v>1.7331540568163799</v>
      </c>
      <c r="H47" s="56">
        <f t="shared" si="1"/>
        <v>0.33315405681638</v>
      </c>
    </row>
    <row r="48" spans="1:8" x14ac:dyDescent="0.25">
      <c r="A48" s="56">
        <v>1</v>
      </c>
      <c r="B48" s="56">
        <v>5.0999999999999996</v>
      </c>
      <c r="C48" s="56">
        <v>3.8</v>
      </c>
      <c r="D48" s="56">
        <v>0.2</v>
      </c>
      <c r="E48" s="57">
        <v>1.6</v>
      </c>
      <c r="F48" s="56" t="s">
        <v>9</v>
      </c>
      <c r="G48" s="56">
        <f t="shared" si="0"/>
        <v>1.2904062993724366</v>
      </c>
      <c r="H48" s="56">
        <f t="shared" si="1"/>
        <v>-0.30959370062756353</v>
      </c>
    </row>
    <row r="49" spans="1:8" x14ac:dyDescent="0.25">
      <c r="A49" s="56">
        <v>1</v>
      </c>
      <c r="B49" s="56">
        <v>4.5999999999999996</v>
      </c>
      <c r="C49" s="56">
        <v>3.2</v>
      </c>
      <c r="D49" s="56">
        <v>0.2</v>
      </c>
      <c r="E49" s="57">
        <v>1.4</v>
      </c>
      <c r="F49" s="56" t="s">
        <v>9</v>
      </c>
      <c r="G49" s="56">
        <f t="shared" si="0"/>
        <v>1.3134445386494464</v>
      </c>
      <c r="H49" s="56">
        <f t="shared" si="1"/>
        <v>-8.6555461350553475E-2</v>
      </c>
    </row>
    <row r="50" spans="1:8" x14ac:dyDescent="0.25">
      <c r="A50" s="56">
        <v>1</v>
      </c>
      <c r="B50" s="56">
        <v>5.3</v>
      </c>
      <c r="C50" s="56">
        <v>3.7</v>
      </c>
      <c r="D50" s="56">
        <v>0.2</v>
      </c>
      <c r="E50" s="57">
        <v>1.5</v>
      </c>
      <c r="F50" s="56" t="s">
        <v>9</v>
      </c>
      <c r="G50" s="56">
        <f t="shared" si="0"/>
        <v>1.5008352323683969</v>
      </c>
      <c r="H50" s="56">
        <f t="shared" si="1"/>
        <v>8.3523236839688764E-4</v>
      </c>
    </row>
    <row r="51" spans="1:8" x14ac:dyDescent="0.25">
      <c r="A51" s="56">
        <v>1</v>
      </c>
      <c r="B51" s="56">
        <v>5</v>
      </c>
      <c r="C51" s="56">
        <v>3.3</v>
      </c>
      <c r="D51" s="56">
        <v>0.2</v>
      </c>
      <c r="E51" s="57">
        <v>1.4</v>
      </c>
      <c r="F51" s="56" t="s">
        <v>9</v>
      </c>
      <c r="G51" s="56">
        <f t="shared" si="0"/>
        <v>1.5404986734295165</v>
      </c>
      <c r="H51" s="56">
        <f t="shared" si="1"/>
        <v>0.14049867342951661</v>
      </c>
    </row>
    <row r="52" spans="1:8" x14ac:dyDescent="0.25">
      <c r="A52" s="56">
        <v>1</v>
      </c>
      <c r="B52" s="56">
        <v>7</v>
      </c>
      <c r="C52" s="56">
        <v>3.2</v>
      </c>
      <c r="D52" s="56">
        <v>1.4</v>
      </c>
      <c r="E52" s="57">
        <v>4.7</v>
      </c>
      <c r="F52" s="56" t="s">
        <v>30</v>
      </c>
      <c r="G52" s="56">
        <f t="shared" si="0"/>
        <v>4.7995289069578391</v>
      </c>
      <c r="H52" s="56">
        <f t="shared" si="1"/>
        <v>9.9528906957838892E-2</v>
      </c>
    </row>
    <row r="53" spans="1:8" x14ac:dyDescent="0.25">
      <c r="A53" s="56">
        <v>1</v>
      </c>
      <c r="B53" s="56">
        <v>6.4</v>
      </c>
      <c r="C53" s="56">
        <v>3.2</v>
      </c>
      <c r="D53" s="56">
        <v>1.5</v>
      </c>
      <c r="E53" s="57">
        <v>4.5</v>
      </c>
      <c r="F53" s="56" t="s">
        <v>30</v>
      </c>
      <c r="G53" s="56">
        <f t="shared" si="0"/>
        <v>4.5067251806154989</v>
      </c>
      <c r="H53" s="56">
        <f t="shared" si="1"/>
        <v>6.7251806154988714E-3</v>
      </c>
    </row>
    <row r="54" spans="1:8" x14ac:dyDescent="0.25">
      <c r="A54" s="56">
        <v>1</v>
      </c>
      <c r="B54" s="56">
        <v>6.9</v>
      </c>
      <c r="C54" s="56">
        <v>3.1</v>
      </c>
      <c r="D54" s="56">
        <v>1.5</v>
      </c>
      <c r="E54" s="57">
        <v>4.9000000000000004</v>
      </c>
      <c r="F54" s="56" t="s">
        <v>30</v>
      </c>
      <c r="G54" s="56">
        <f t="shared" si="0"/>
        <v>4.935895647499474</v>
      </c>
      <c r="H54" s="56">
        <f t="shared" si="1"/>
        <v>3.5895647499473604E-2</v>
      </c>
    </row>
    <row r="55" spans="1:8" x14ac:dyDescent="0.25">
      <c r="A55" s="56">
        <v>1</v>
      </c>
      <c r="B55" s="56">
        <v>5.5</v>
      </c>
      <c r="C55" s="56">
        <v>2.2999999999999998</v>
      </c>
      <c r="D55" s="56">
        <v>1.3</v>
      </c>
      <c r="E55" s="57">
        <v>4</v>
      </c>
      <c r="F55" s="56" t="s">
        <v>30</v>
      </c>
      <c r="G55" s="56">
        <f t="shared" si="0"/>
        <v>4.1425530897196277</v>
      </c>
      <c r="H55" s="56">
        <f t="shared" si="1"/>
        <v>0.14255308971962766</v>
      </c>
    </row>
    <row r="56" spans="1:8" x14ac:dyDescent="0.25">
      <c r="A56" s="56">
        <v>1</v>
      </c>
      <c r="B56" s="56">
        <v>6.5</v>
      </c>
      <c r="C56" s="56">
        <v>2.8</v>
      </c>
      <c r="D56" s="56">
        <v>1.5</v>
      </c>
      <c r="E56" s="57">
        <v>4.5999999999999996</v>
      </c>
      <c r="F56" s="56" t="s">
        <v>30</v>
      </c>
      <c r="G56" s="56">
        <f t="shared" si="0"/>
        <v>4.838044000193972</v>
      </c>
      <c r="H56" s="56">
        <f t="shared" si="1"/>
        <v>0.23804400019397232</v>
      </c>
    </row>
    <row r="57" spans="1:8" x14ac:dyDescent="0.25">
      <c r="A57" s="56">
        <v>1</v>
      </c>
      <c r="B57" s="56">
        <v>5.7</v>
      </c>
      <c r="C57" s="56">
        <v>2.8</v>
      </c>
      <c r="D57" s="56">
        <v>1.3</v>
      </c>
      <c r="E57" s="57">
        <v>4.5</v>
      </c>
      <c r="F57" s="56" t="s">
        <v>30</v>
      </c>
      <c r="G57" s="56">
        <f t="shared" si="0"/>
        <v>3.9653745602918868</v>
      </c>
      <c r="H57" s="56">
        <f t="shared" si="1"/>
        <v>-0.53462543970811316</v>
      </c>
    </row>
    <row r="58" spans="1:8" x14ac:dyDescent="0.25">
      <c r="A58" s="56">
        <v>1</v>
      </c>
      <c r="B58" s="56">
        <v>6.3</v>
      </c>
      <c r="C58" s="56">
        <v>3.3</v>
      </c>
      <c r="D58" s="56">
        <v>1.6</v>
      </c>
      <c r="E58" s="57">
        <v>4.7</v>
      </c>
      <c r="F58" s="56" t="s">
        <v>30</v>
      </c>
      <c r="G58" s="56">
        <f t="shared" si="0"/>
        <v>4.513889433682567</v>
      </c>
      <c r="H58" s="56">
        <f t="shared" si="1"/>
        <v>-0.18611056631743317</v>
      </c>
    </row>
    <row r="59" spans="1:8" x14ac:dyDescent="0.25">
      <c r="A59" s="56">
        <v>1</v>
      </c>
      <c r="B59" s="56">
        <v>4.9000000000000004</v>
      </c>
      <c r="C59" s="56">
        <v>2.4</v>
      </c>
      <c r="D59" s="56">
        <v>1</v>
      </c>
      <c r="E59" s="57">
        <v>3.3</v>
      </c>
      <c r="F59" s="56" t="s">
        <v>30</v>
      </c>
      <c r="G59" s="56">
        <f t="shared" si="0"/>
        <v>3.2064307539052463</v>
      </c>
      <c r="H59" s="56">
        <f t="shared" si="1"/>
        <v>-9.3569246094753478E-2</v>
      </c>
    </row>
    <row r="60" spans="1:8" x14ac:dyDescent="0.25">
      <c r="A60" s="56">
        <v>1</v>
      </c>
      <c r="B60" s="56">
        <v>6.6</v>
      </c>
      <c r="C60" s="56">
        <v>2.9</v>
      </c>
      <c r="D60" s="56">
        <v>1.3</v>
      </c>
      <c r="E60" s="57">
        <v>4.5999999999999996</v>
      </c>
      <c r="F60" s="56" t="s">
        <v>30</v>
      </c>
      <c r="G60" s="56">
        <f t="shared" si="0"/>
        <v>4.5569979182186477</v>
      </c>
      <c r="H60" s="56">
        <f t="shared" si="1"/>
        <v>-4.3002081781351897E-2</v>
      </c>
    </row>
    <row r="61" spans="1:8" x14ac:dyDescent="0.25">
      <c r="A61" s="56">
        <v>1</v>
      </c>
      <c r="B61" s="56">
        <v>5.2</v>
      </c>
      <c r="C61" s="56">
        <v>2.7</v>
      </c>
      <c r="D61" s="56">
        <v>1.4</v>
      </c>
      <c r="E61" s="57">
        <v>3.9</v>
      </c>
      <c r="F61" s="56" t="s">
        <v>30</v>
      </c>
      <c r="G61" s="56">
        <f t="shared" si="0"/>
        <v>3.8100859223161678</v>
      </c>
      <c r="H61" s="56">
        <f t="shared" si="1"/>
        <v>-8.9914077683832083E-2</v>
      </c>
    </row>
    <row r="62" spans="1:8" x14ac:dyDescent="0.25">
      <c r="A62" s="56">
        <v>1</v>
      </c>
      <c r="B62" s="56">
        <v>5</v>
      </c>
      <c r="C62" s="56">
        <v>2</v>
      </c>
      <c r="D62" s="56">
        <v>1</v>
      </c>
      <c r="E62" s="57">
        <v>3.5</v>
      </c>
      <c r="F62" s="56" t="s">
        <v>30</v>
      </c>
      <c r="G62" s="56">
        <f t="shared" si="0"/>
        <v>3.5377495734837185</v>
      </c>
      <c r="H62" s="56">
        <f t="shared" si="1"/>
        <v>3.7749573483718546E-2</v>
      </c>
    </row>
    <row r="63" spans="1:8" x14ac:dyDescent="0.25">
      <c r="A63" s="56">
        <v>1</v>
      </c>
      <c r="B63" s="56">
        <v>5.9</v>
      </c>
      <c r="C63" s="56">
        <v>3</v>
      </c>
      <c r="D63" s="56">
        <v>1.5</v>
      </c>
      <c r="E63" s="57">
        <v>4.2</v>
      </c>
      <c r="F63" s="56" t="s">
        <v>30</v>
      </c>
      <c r="G63" s="56">
        <f t="shared" si="0"/>
        <v>4.2713584449433748</v>
      </c>
      <c r="H63" s="56">
        <f t="shared" si="1"/>
        <v>7.1358444943374622E-2</v>
      </c>
    </row>
    <row r="64" spans="1:8" x14ac:dyDescent="0.25">
      <c r="A64" s="56">
        <v>1</v>
      </c>
      <c r="B64" s="56">
        <v>6</v>
      </c>
      <c r="C64" s="56">
        <v>2.2000000000000002</v>
      </c>
      <c r="D64" s="56">
        <v>1</v>
      </c>
      <c r="E64" s="57">
        <v>4</v>
      </c>
      <c r="F64" s="56" t="s">
        <v>30</v>
      </c>
      <c r="G64" s="56">
        <f t="shared" si="0"/>
        <v>4.1376855323025339</v>
      </c>
      <c r="H64" s="56">
        <f t="shared" si="1"/>
        <v>0.13768553230253389</v>
      </c>
    </row>
    <row r="65" spans="1:8" x14ac:dyDescent="0.25">
      <c r="A65" s="56">
        <v>1</v>
      </c>
      <c r="B65" s="56">
        <v>6.1</v>
      </c>
      <c r="C65" s="56">
        <v>2.9</v>
      </c>
      <c r="D65" s="56">
        <v>1.4</v>
      </c>
      <c r="E65" s="57">
        <v>4.7</v>
      </c>
      <c r="F65" s="56" t="s">
        <v>30</v>
      </c>
      <c r="G65" s="56">
        <f t="shared" si="0"/>
        <v>4.3371080365056454</v>
      </c>
      <c r="H65" s="56">
        <f t="shared" si="1"/>
        <v>-0.36289196349435482</v>
      </c>
    </row>
    <row r="66" spans="1:8" x14ac:dyDescent="0.25">
      <c r="A66" s="56">
        <v>1</v>
      </c>
      <c r="B66" s="56">
        <v>5.6</v>
      </c>
      <c r="C66" s="56">
        <v>2.9</v>
      </c>
      <c r="D66" s="56">
        <v>1.3</v>
      </c>
      <c r="E66" s="57">
        <v>3.6</v>
      </c>
      <c r="F66" s="56" t="s">
        <v>30</v>
      </c>
      <c r="G66" s="56">
        <f t="shared" si="0"/>
        <v>3.8278594719252639</v>
      </c>
      <c r="H66" s="56">
        <f t="shared" si="1"/>
        <v>0.22785947192526379</v>
      </c>
    </row>
    <row r="67" spans="1:8" x14ac:dyDescent="0.25">
      <c r="A67" s="56">
        <v>1</v>
      </c>
      <c r="B67" s="56">
        <v>6.7</v>
      </c>
      <c r="C67" s="56">
        <v>3.1</v>
      </c>
      <c r="D67" s="56">
        <v>1.4</v>
      </c>
      <c r="E67" s="57">
        <v>4.4000000000000004</v>
      </c>
      <c r="F67" s="56" t="s">
        <v>30</v>
      </c>
      <c r="G67" s="56">
        <f t="shared" ref="G67:G130" si="4">D67*$K$5+C67*$K$4+B67*$K$3+$K$2</f>
        <v>4.6453886168071081</v>
      </c>
      <c r="H67" s="56">
        <f t="shared" ref="H67:H130" si="5">(G67-E67)</f>
        <v>0.24538861680710777</v>
      </c>
    </row>
    <row r="68" spans="1:8" x14ac:dyDescent="0.25">
      <c r="A68" s="56">
        <v>1</v>
      </c>
      <c r="B68" s="56">
        <v>5.6</v>
      </c>
      <c r="C68" s="56">
        <v>3</v>
      </c>
      <c r="D68" s="56">
        <v>1.5</v>
      </c>
      <c r="E68" s="57">
        <v>4.5</v>
      </c>
      <c r="F68" s="56" t="s">
        <v>30</v>
      </c>
      <c r="G68" s="56">
        <f t="shared" si="4"/>
        <v>4.0526169110553605</v>
      </c>
      <c r="H68" s="56">
        <f t="shared" si="5"/>
        <v>-0.44738308894463952</v>
      </c>
    </row>
    <row r="69" spans="1:8" x14ac:dyDescent="0.25">
      <c r="A69" s="56">
        <v>1</v>
      </c>
      <c r="B69" s="56">
        <v>5.8</v>
      </c>
      <c r="C69" s="56">
        <v>2.7</v>
      </c>
      <c r="D69" s="56">
        <v>1</v>
      </c>
      <c r="E69" s="57">
        <v>4.0999999999999996</v>
      </c>
      <c r="F69" s="56" t="s">
        <v>30</v>
      </c>
      <c r="G69" s="56">
        <f t="shared" si="4"/>
        <v>3.6688516243574392</v>
      </c>
      <c r="H69" s="56">
        <f t="shared" si="5"/>
        <v>-0.43114837564256048</v>
      </c>
    </row>
    <row r="70" spans="1:8" x14ac:dyDescent="0.25">
      <c r="A70" s="56">
        <v>1</v>
      </c>
      <c r="B70" s="56">
        <v>6.2</v>
      </c>
      <c r="C70" s="56">
        <v>2.2000000000000002</v>
      </c>
      <c r="D70" s="56">
        <v>1.5</v>
      </c>
      <c r="E70" s="57">
        <v>4.5</v>
      </c>
      <c r="F70" s="56" t="s">
        <v>30</v>
      </c>
      <c r="G70" s="56">
        <f t="shared" si="4"/>
        <v>5.0069099287296579</v>
      </c>
      <c r="H70" s="56">
        <f t="shared" si="5"/>
        <v>0.5069099287296579</v>
      </c>
    </row>
    <row r="71" spans="1:8" x14ac:dyDescent="0.25">
      <c r="A71" s="56">
        <v>1</v>
      </c>
      <c r="B71" s="56">
        <v>5.6</v>
      </c>
      <c r="C71" s="56">
        <v>2.5</v>
      </c>
      <c r="D71" s="56">
        <v>1.1000000000000001</v>
      </c>
      <c r="E71" s="57">
        <v>3.9</v>
      </c>
      <c r="F71" s="56" t="s">
        <v>30</v>
      </c>
      <c r="G71" s="56">
        <f t="shared" si="4"/>
        <v>3.7969057640070196</v>
      </c>
      <c r="H71" s="56">
        <f t="shared" si="5"/>
        <v>-0.10309423599298029</v>
      </c>
    </row>
    <row r="72" spans="1:8" x14ac:dyDescent="0.25">
      <c r="A72" s="56">
        <v>1</v>
      </c>
      <c r="B72" s="56">
        <v>5.9</v>
      </c>
      <c r="C72" s="56">
        <v>3.2</v>
      </c>
      <c r="D72" s="56">
        <v>1.8</v>
      </c>
      <c r="E72" s="57">
        <v>4.8</v>
      </c>
      <c r="F72" s="56" t="s">
        <v>30</v>
      </c>
      <c r="G72" s="56">
        <f t="shared" si="4"/>
        <v>4.5761939817698769</v>
      </c>
      <c r="H72" s="56">
        <f t="shared" si="5"/>
        <v>-0.22380601823012292</v>
      </c>
    </row>
    <row r="73" spans="1:8" x14ac:dyDescent="0.25">
      <c r="A73" s="56">
        <v>1</v>
      </c>
      <c r="B73" s="56">
        <v>6.1</v>
      </c>
      <c r="C73" s="56">
        <v>2.8</v>
      </c>
      <c r="D73" s="56">
        <v>1.3</v>
      </c>
      <c r="E73" s="57">
        <v>4</v>
      </c>
      <c r="F73" s="56" t="s">
        <v>30</v>
      </c>
      <c r="G73" s="56">
        <f t="shared" si="4"/>
        <v>4.2570299388092394</v>
      </c>
      <c r="H73" s="56">
        <f t="shared" si="5"/>
        <v>0.25702993880923941</v>
      </c>
    </row>
    <row r="74" spans="1:8" x14ac:dyDescent="0.25">
      <c r="A74" s="56">
        <v>1</v>
      </c>
      <c r="B74" s="56">
        <v>6.3</v>
      </c>
      <c r="C74" s="56">
        <v>2.5</v>
      </c>
      <c r="D74" s="56">
        <v>1.5</v>
      </c>
      <c r="E74" s="57">
        <v>4.9000000000000004</v>
      </c>
      <c r="F74" s="56" t="s">
        <v>30</v>
      </c>
      <c r="G74" s="56">
        <f t="shared" si="4"/>
        <v>4.8860200421471456</v>
      </c>
      <c r="H74" s="56">
        <f t="shared" si="5"/>
        <v>-1.3979957852854774E-2</v>
      </c>
    </row>
    <row r="75" spans="1:8" x14ac:dyDescent="0.25">
      <c r="A75" s="56">
        <v>1</v>
      </c>
      <c r="B75" s="56">
        <v>6.1</v>
      </c>
      <c r="C75" s="56">
        <v>2.8</v>
      </c>
      <c r="D75" s="56">
        <v>1.2</v>
      </c>
      <c r="E75" s="57">
        <v>4.7</v>
      </c>
      <c r="F75" s="56" t="s">
        <v>30</v>
      </c>
      <c r="G75" s="56">
        <f t="shared" si="4"/>
        <v>4.1123505973755501</v>
      </c>
      <c r="H75" s="56">
        <f t="shared" si="5"/>
        <v>-0.58764940262445009</v>
      </c>
    </row>
    <row r="76" spans="1:8" x14ac:dyDescent="0.25">
      <c r="A76" s="56">
        <v>1</v>
      </c>
      <c r="B76" s="56">
        <v>6.4</v>
      </c>
      <c r="C76" s="56">
        <v>2.9</v>
      </c>
      <c r="D76" s="56">
        <v>1.3</v>
      </c>
      <c r="E76" s="57">
        <v>4.3</v>
      </c>
      <c r="F76" s="56" t="s">
        <v>30</v>
      </c>
      <c r="G76" s="56">
        <f t="shared" si="4"/>
        <v>4.4111702289599704</v>
      </c>
      <c r="H76" s="56">
        <f t="shared" si="5"/>
        <v>0.11117022895997053</v>
      </c>
    </row>
    <row r="77" spans="1:8" x14ac:dyDescent="0.25">
      <c r="A77" s="56">
        <v>1</v>
      </c>
      <c r="B77" s="56">
        <v>6.6</v>
      </c>
      <c r="C77" s="56">
        <v>3</v>
      </c>
      <c r="D77" s="56">
        <v>1.4</v>
      </c>
      <c r="E77" s="57">
        <v>4.4000000000000004</v>
      </c>
      <c r="F77" s="56" t="s">
        <v>30</v>
      </c>
      <c r="G77" s="56">
        <f t="shared" si="4"/>
        <v>4.6370760159150537</v>
      </c>
      <c r="H77" s="56">
        <f t="shared" si="5"/>
        <v>0.23707601591505334</v>
      </c>
    </row>
    <row r="78" spans="1:8" x14ac:dyDescent="0.25">
      <c r="A78" s="56">
        <v>1</v>
      </c>
      <c r="B78" s="56">
        <v>6.8</v>
      </c>
      <c r="C78" s="56">
        <v>2.8</v>
      </c>
      <c r="D78" s="56">
        <v>1.4</v>
      </c>
      <c r="E78" s="57">
        <v>4.8</v>
      </c>
      <c r="F78" s="56" t="s">
        <v>30</v>
      </c>
      <c r="G78" s="56">
        <f t="shared" si="4"/>
        <v>4.912106192648297</v>
      </c>
      <c r="H78" s="56">
        <f t="shared" si="5"/>
        <v>0.11210619264829713</v>
      </c>
    </row>
    <row r="79" spans="1:8" x14ac:dyDescent="0.25">
      <c r="A79" s="56">
        <v>1</v>
      </c>
      <c r="B79" s="56">
        <v>6.7</v>
      </c>
      <c r="C79" s="56">
        <v>3</v>
      </c>
      <c r="D79" s="56">
        <v>1.7</v>
      </c>
      <c r="E79" s="57">
        <v>5</v>
      </c>
      <c r="F79" s="56" t="s">
        <v>30</v>
      </c>
      <c r="G79" s="56">
        <f t="shared" si="4"/>
        <v>5.1440278848454604</v>
      </c>
      <c r="H79" s="56">
        <f t="shared" si="5"/>
        <v>0.14402788484546036</v>
      </c>
    </row>
    <row r="80" spans="1:8" x14ac:dyDescent="0.25">
      <c r="A80" s="56">
        <v>1</v>
      </c>
      <c r="B80" s="56">
        <v>6</v>
      </c>
      <c r="C80" s="56">
        <v>2.9</v>
      </c>
      <c r="D80" s="56">
        <v>1.5</v>
      </c>
      <c r="E80" s="57">
        <v>4.5</v>
      </c>
      <c r="F80" s="56" t="s">
        <v>30</v>
      </c>
      <c r="G80" s="56">
        <f t="shared" si="4"/>
        <v>4.4088735333099969</v>
      </c>
      <c r="H80" s="56">
        <f t="shared" si="5"/>
        <v>-9.1126466690003127E-2</v>
      </c>
    </row>
    <row r="81" spans="1:8" x14ac:dyDescent="0.25">
      <c r="A81" s="56">
        <v>1</v>
      </c>
      <c r="B81" s="56">
        <v>5.7</v>
      </c>
      <c r="C81" s="56">
        <v>2.6</v>
      </c>
      <c r="D81" s="56">
        <v>1</v>
      </c>
      <c r="E81" s="57">
        <v>3.5</v>
      </c>
      <c r="F81" s="56" t="s">
        <v>30</v>
      </c>
      <c r="G81" s="56">
        <f t="shared" si="4"/>
        <v>3.6605390234653852</v>
      </c>
      <c r="H81" s="56">
        <f t="shared" si="5"/>
        <v>0.16053902346538518</v>
      </c>
    </row>
    <row r="82" spans="1:8" x14ac:dyDescent="0.25">
      <c r="A82" s="56">
        <v>1</v>
      </c>
      <c r="B82" s="56">
        <v>5.5</v>
      </c>
      <c r="C82" s="56">
        <v>2.4</v>
      </c>
      <c r="D82" s="56">
        <v>1.1000000000000001</v>
      </c>
      <c r="E82" s="57">
        <v>3.8</v>
      </c>
      <c r="F82" s="56" t="s">
        <v>30</v>
      </c>
      <c r="G82" s="56">
        <f t="shared" si="4"/>
        <v>3.7885931631149643</v>
      </c>
      <c r="H82" s="56">
        <f t="shared" si="5"/>
        <v>-1.1406836885035521E-2</v>
      </c>
    </row>
    <row r="83" spans="1:8" x14ac:dyDescent="0.25">
      <c r="A83" s="56">
        <v>1</v>
      </c>
      <c r="B83" s="56">
        <v>5.5</v>
      </c>
      <c r="C83" s="56">
        <v>2.4</v>
      </c>
      <c r="D83" s="56">
        <v>1</v>
      </c>
      <c r="E83" s="57">
        <v>3.7</v>
      </c>
      <c r="F83" s="56" t="s">
        <v>30</v>
      </c>
      <c r="G83" s="56">
        <f t="shared" si="4"/>
        <v>3.643913821681275</v>
      </c>
      <c r="H83" s="56">
        <f t="shared" si="5"/>
        <v>-5.6086178318725199E-2</v>
      </c>
    </row>
    <row r="84" spans="1:8" x14ac:dyDescent="0.25">
      <c r="A84" s="56">
        <v>1</v>
      </c>
      <c r="B84" s="56">
        <v>5.8</v>
      </c>
      <c r="C84" s="56">
        <v>2.7</v>
      </c>
      <c r="D84" s="56">
        <v>1.2</v>
      </c>
      <c r="E84" s="57">
        <v>3.9</v>
      </c>
      <c r="F84" s="56" t="s">
        <v>30</v>
      </c>
      <c r="G84" s="56">
        <f t="shared" si="4"/>
        <v>3.9582103072248178</v>
      </c>
      <c r="H84" s="56">
        <f t="shared" si="5"/>
        <v>5.8210307224817903E-2</v>
      </c>
    </row>
    <row r="85" spans="1:8" x14ac:dyDescent="0.25">
      <c r="A85" s="56">
        <v>1</v>
      </c>
      <c r="B85" s="56">
        <v>6</v>
      </c>
      <c r="C85" s="56">
        <v>2.7</v>
      </c>
      <c r="D85" s="56">
        <v>1.6</v>
      </c>
      <c r="E85" s="57">
        <v>5.0999999999999996</v>
      </c>
      <c r="F85" s="56" t="s">
        <v>30</v>
      </c>
      <c r="G85" s="56">
        <f t="shared" si="4"/>
        <v>4.6827553622182529</v>
      </c>
      <c r="H85" s="56">
        <f t="shared" si="5"/>
        <v>-0.4172446377817467</v>
      </c>
    </row>
    <row r="86" spans="1:8" x14ac:dyDescent="0.25">
      <c r="A86" s="56">
        <v>1</v>
      </c>
      <c r="B86" s="56">
        <v>5.4</v>
      </c>
      <c r="C86" s="56">
        <v>3</v>
      </c>
      <c r="D86" s="56">
        <v>1.5</v>
      </c>
      <c r="E86" s="57">
        <v>4.5</v>
      </c>
      <c r="F86" s="56" t="s">
        <v>30</v>
      </c>
      <c r="G86" s="56">
        <f t="shared" si="4"/>
        <v>3.9067892217966835</v>
      </c>
      <c r="H86" s="56">
        <f t="shared" si="5"/>
        <v>-0.59321077820331647</v>
      </c>
    </row>
    <row r="87" spans="1:8" x14ac:dyDescent="0.25">
      <c r="A87" s="56">
        <v>1</v>
      </c>
      <c r="B87" s="56">
        <v>6</v>
      </c>
      <c r="C87" s="56">
        <v>3.4</v>
      </c>
      <c r="D87" s="56">
        <v>1.6</v>
      </c>
      <c r="E87" s="57">
        <v>4.5</v>
      </c>
      <c r="F87" s="56" t="s">
        <v>30</v>
      </c>
      <c r="G87" s="56">
        <f t="shared" si="4"/>
        <v>4.2305466560572684</v>
      </c>
      <c r="H87" s="56">
        <f t="shared" si="5"/>
        <v>-0.26945334394273157</v>
      </c>
    </row>
    <row r="88" spans="1:8" x14ac:dyDescent="0.25">
      <c r="A88" s="56">
        <v>1</v>
      </c>
      <c r="B88" s="56">
        <v>6.7</v>
      </c>
      <c r="C88" s="56">
        <v>3.1</v>
      </c>
      <c r="D88" s="56">
        <v>1.5</v>
      </c>
      <c r="E88" s="57">
        <v>4.7</v>
      </c>
      <c r="F88" s="56" t="s">
        <v>30</v>
      </c>
      <c r="G88" s="56">
        <f t="shared" si="4"/>
        <v>4.7900679582407975</v>
      </c>
      <c r="H88" s="56">
        <f t="shared" si="5"/>
        <v>9.0067958240797275E-2</v>
      </c>
    </row>
    <row r="89" spans="1:8" x14ac:dyDescent="0.25">
      <c r="A89" s="56">
        <v>1</v>
      </c>
      <c r="B89" s="56">
        <v>6.3</v>
      </c>
      <c r="C89" s="56">
        <v>2.2999999999999998</v>
      </c>
      <c r="D89" s="56">
        <v>1.3</v>
      </c>
      <c r="E89" s="57">
        <v>4.4000000000000004</v>
      </c>
      <c r="F89" s="56" t="s">
        <v>30</v>
      </c>
      <c r="G89" s="56">
        <f t="shared" si="4"/>
        <v>4.7258638467543337</v>
      </c>
      <c r="H89" s="56">
        <f t="shared" si="5"/>
        <v>0.32586384675433333</v>
      </c>
    </row>
    <row r="90" spans="1:8" x14ac:dyDescent="0.25">
      <c r="A90" s="56">
        <v>1</v>
      </c>
      <c r="B90" s="56">
        <v>5.6</v>
      </c>
      <c r="C90" s="56">
        <v>3</v>
      </c>
      <c r="D90" s="56">
        <v>1.3</v>
      </c>
      <c r="E90" s="57">
        <v>4.0999999999999996</v>
      </c>
      <c r="F90" s="56" t="s">
        <v>30</v>
      </c>
      <c r="G90" s="56">
        <f t="shared" si="4"/>
        <v>3.7632582281879805</v>
      </c>
      <c r="H90" s="56">
        <f t="shared" si="5"/>
        <v>-0.33674177181201914</v>
      </c>
    </row>
    <row r="91" spans="1:8" x14ac:dyDescent="0.25">
      <c r="A91" s="56">
        <v>1</v>
      </c>
      <c r="B91" s="56">
        <v>5.5</v>
      </c>
      <c r="C91" s="56">
        <v>2.5</v>
      </c>
      <c r="D91" s="56">
        <v>1.3</v>
      </c>
      <c r="E91" s="57">
        <v>4</v>
      </c>
      <c r="F91" s="56" t="s">
        <v>30</v>
      </c>
      <c r="G91" s="56">
        <f t="shared" si="4"/>
        <v>4.01335060224506</v>
      </c>
      <c r="H91" s="56">
        <f t="shared" si="5"/>
        <v>1.3350602245060017E-2</v>
      </c>
    </row>
    <row r="92" spans="1:8" x14ac:dyDescent="0.25">
      <c r="A92" s="56">
        <v>1</v>
      </c>
      <c r="B92" s="56">
        <v>5.5</v>
      </c>
      <c r="C92" s="56">
        <v>2.6</v>
      </c>
      <c r="D92" s="56">
        <v>1.2</v>
      </c>
      <c r="E92" s="57">
        <v>4.4000000000000004</v>
      </c>
      <c r="F92" s="56" t="s">
        <v>30</v>
      </c>
      <c r="G92" s="56">
        <f t="shared" si="4"/>
        <v>3.8040700170740869</v>
      </c>
      <c r="H92" s="56">
        <f t="shared" si="5"/>
        <v>-0.59592998292591348</v>
      </c>
    </row>
    <row r="93" spans="1:8" x14ac:dyDescent="0.25">
      <c r="A93" s="56">
        <v>1</v>
      </c>
      <c r="B93" s="56">
        <v>6.1</v>
      </c>
      <c r="C93" s="56">
        <v>3</v>
      </c>
      <c r="D93" s="56">
        <v>1.4</v>
      </c>
      <c r="E93" s="57">
        <v>4.5999999999999996</v>
      </c>
      <c r="F93" s="56" t="s">
        <v>30</v>
      </c>
      <c r="G93" s="56">
        <f t="shared" si="4"/>
        <v>4.272506792768362</v>
      </c>
      <c r="H93" s="56">
        <f t="shared" si="5"/>
        <v>-0.32749320723163766</v>
      </c>
    </row>
    <row r="94" spans="1:8" x14ac:dyDescent="0.25">
      <c r="A94" s="56">
        <v>1</v>
      </c>
      <c r="B94" s="56">
        <v>5.8</v>
      </c>
      <c r="C94" s="56">
        <v>2.6</v>
      </c>
      <c r="D94" s="56">
        <v>1.2</v>
      </c>
      <c r="E94" s="57">
        <v>4</v>
      </c>
      <c r="F94" s="56" t="s">
        <v>30</v>
      </c>
      <c r="G94" s="56">
        <f t="shared" si="4"/>
        <v>4.0228115509621025</v>
      </c>
      <c r="H94" s="56">
        <f t="shared" si="5"/>
        <v>2.2811550962102523E-2</v>
      </c>
    </row>
    <row r="95" spans="1:8" x14ac:dyDescent="0.25">
      <c r="A95" s="56">
        <v>1</v>
      </c>
      <c r="B95" s="56">
        <v>5</v>
      </c>
      <c r="C95" s="56">
        <v>2.2999999999999998</v>
      </c>
      <c r="D95" s="56">
        <v>1</v>
      </c>
      <c r="E95" s="57">
        <v>3.3</v>
      </c>
      <c r="F95" s="56" t="s">
        <v>30</v>
      </c>
      <c r="G95" s="56">
        <f t="shared" si="4"/>
        <v>3.3439458422718675</v>
      </c>
      <c r="H95" s="56">
        <f t="shared" si="5"/>
        <v>4.3945842271867708E-2</v>
      </c>
    </row>
    <row r="96" spans="1:8" x14ac:dyDescent="0.25">
      <c r="A96" s="56">
        <v>1</v>
      </c>
      <c r="B96" s="56">
        <v>5.6</v>
      </c>
      <c r="C96" s="56">
        <v>2.7</v>
      </c>
      <c r="D96" s="56">
        <v>1.3</v>
      </c>
      <c r="E96" s="57">
        <v>4.2</v>
      </c>
      <c r="F96" s="56" t="s">
        <v>30</v>
      </c>
      <c r="G96" s="56">
        <f t="shared" si="4"/>
        <v>3.9570619593998315</v>
      </c>
      <c r="H96" s="56">
        <f t="shared" si="5"/>
        <v>-0.24293804060016866</v>
      </c>
    </row>
    <row r="97" spans="1:8" x14ac:dyDescent="0.25">
      <c r="A97" s="56">
        <v>1</v>
      </c>
      <c r="B97" s="56">
        <v>5.7</v>
      </c>
      <c r="C97" s="56">
        <v>3</v>
      </c>
      <c r="D97" s="56">
        <v>1.2</v>
      </c>
      <c r="E97" s="57">
        <v>4.2</v>
      </c>
      <c r="F97" s="56" t="s">
        <v>30</v>
      </c>
      <c r="G97" s="56">
        <f t="shared" si="4"/>
        <v>3.6914927313836299</v>
      </c>
      <c r="H97" s="56">
        <f t="shared" si="5"/>
        <v>-0.5085072686163703</v>
      </c>
    </row>
    <row r="98" spans="1:8" x14ac:dyDescent="0.25">
      <c r="A98" s="56">
        <v>1</v>
      </c>
      <c r="B98" s="56">
        <v>5.7</v>
      </c>
      <c r="C98" s="56">
        <v>2.9</v>
      </c>
      <c r="D98" s="56">
        <v>1.3</v>
      </c>
      <c r="E98" s="57">
        <v>4.2</v>
      </c>
      <c r="F98" s="56" t="s">
        <v>30</v>
      </c>
      <c r="G98" s="56">
        <f t="shared" si="4"/>
        <v>3.9007733165546026</v>
      </c>
      <c r="H98" s="56">
        <f t="shared" si="5"/>
        <v>-0.2992266834453976</v>
      </c>
    </row>
    <row r="99" spans="1:8" x14ac:dyDescent="0.25">
      <c r="A99" s="56">
        <v>1</v>
      </c>
      <c r="B99" s="56">
        <v>6.2</v>
      </c>
      <c r="C99" s="56">
        <v>2.9</v>
      </c>
      <c r="D99" s="56">
        <v>1.3</v>
      </c>
      <c r="E99" s="57">
        <v>4.3</v>
      </c>
      <c r="F99" s="56" t="s">
        <v>30</v>
      </c>
      <c r="G99" s="56">
        <f t="shared" si="4"/>
        <v>4.2653425397012947</v>
      </c>
      <c r="H99" s="56">
        <f t="shared" si="5"/>
        <v>-3.4657460298705089E-2</v>
      </c>
    </row>
    <row r="100" spans="1:8" x14ac:dyDescent="0.25">
      <c r="A100" s="56">
        <v>1</v>
      </c>
      <c r="B100" s="56">
        <v>5.0999999999999996</v>
      </c>
      <c r="C100" s="56">
        <v>2.5</v>
      </c>
      <c r="D100" s="56">
        <v>1.1000000000000001</v>
      </c>
      <c r="E100" s="57">
        <v>3</v>
      </c>
      <c r="F100" s="56" t="s">
        <v>30</v>
      </c>
      <c r="G100" s="56">
        <f t="shared" si="4"/>
        <v>3.4323365408603279</v>
      </c>
      <c r="H100" s="56">
        <f t="shared" si="5"/>
        <v>0.43233654086032791</v>
      </c>
    </row>
    <row r="101" spans="1:8" x14ac:dyDescent="0.25">
      <c r="A101" s="56">
        <v>1</v>
      </c>
      <c r="B101" s="56">
        <v>5.7</v>
      </c>
      <c r="C101" s="56">
        <v>2.8</v>
      </c>
      <c r="D101" s="56">
        <v>1.3</v>
      </c>
      <c r="E101" s="57">
        <v>4.0999999999999996</v>
      </c>
      <c r="F101" s="56" t="s">
        <v>30</v>
      </c>
      <c r="G101" s="56">
        <f t="shared" si="4"/>
        <v>3.9653745602918868</v>
      </c>
      <c r="H101" s="56">
        <f t="shared" si="5"/>
        <v>-0.1346254397081128</v>
      </c>
    </row>
    <row r="102" spans="1:8" x14ac:dyDescent="0.25">
      <c r="A102" s="56">
        <v>1</v>
      </c>
      <c r="B102" s="56">
        <v>6.3</v>
      </c>
      <c r="C102" s="56">
        <v>3.3</v>
      </c>
      <c r="D102" s="56">
        <v>2.5</v>
      </c>
      <c r="E102" s="57">
        <v>6</v>
      </c>
      <c r="F102" s="56" t="s">
        <v>31</v>
      </c>
      <c r="G102" s="56">
        <f t="shared" si="4"/>
        <v>5.8160035065857718</v>
      </c>
      <c r="H102" s="56">
        <f t="shared" si="5"/>
        <v>-0.18399649341422819</v>
      </c>
    </row>
    <row r="103" spans="1:8" x14ac:dyDescent="0.25">
      <c r="A103" s="56">
        <v>1</v>
      </c>
      <c r="B103" s="56">
        <v>5.8</v>
      </c>
      <c r="C103" s="56">
        <v>2.7</v>
      </c>
      <c r="D103" s="56">
        <v>1.9</v>
      </c>
      <c r="E103" s="57">
        <v>5.0999999999999996</v>
      </c>
      <c r="F103" s="56" t="s">
        <v>31</v>
      </c>
      <c r="G103" s="56">
        <f t="shared" si="4"/>
        <v>4.9709656972606444</v>
      </c>
      <c r="H103" s="56">
        <f t="shared" si="5"/>
        <v>-0.12903430273935523</v>
      </c>
    </row>
    <row r="104" spans="1:8" x14ac:dyDescent="0.25">
      <c r="A104" s="56">
        <v>1</v>
      </c>
      <c r="B104" s="56">
        <v>7.1</v>
      </c>
      <c r="C104" s="56">
        <v>3</v>
      </c>
      <c r="D104" s="56">
        <v>2.1</v>
      </c>
      <c r="E104" s="57">
        <v>5.9</v>
      </c>
      <c r="F104" s="56" t="s">
        <v>31</v>
      </c>
      <c r="G104" s="56">
        <f t="shared" si="4"/>
        <v>6.0144006290975707</v>
      </c>
      <c r="H104" s="56">
        <f t="shared" si="5"/>
        <v>0.11440062909757032</v>
      </c>
    </row>
    <row r="105" spans="1:8" x14ac:dyDescent="0.25">
      <c r="A105" s="56">
        <v>1</v>
      </c>
      <c r="B105" s="56">
        <v>6.3</v>
      </c>
      <c r="C105" s="56">
        <v>2.9</v>
      </c>
      <c r="D105" s="56">
        <v>1.8</v>
      </c>
      <c r="E105" s="57">
        <v>5.6</v>
      </c>
      <c r="F105" s="56" t="s">
        <v>31</v>
      </c>
      <c r="G105" s="56">
        <f t="shared" si="4"/>
        <v>5.0616530914990792</v>
      </c>
      <c r="H105" s="56">
        <f t="shared" si="5"/>
        <v>-0.53834690850092048</v>
      </c>
    </row>
    <row r="106" spans="1:8" x14ac:dyDescent="0.25">
      <c r="A106" s="56">
        <v>1</v>
      </c>
      <c r="B106" s="56">
        <v>6.5</v>
      </c>
      <c r="C106" s="56">
        <v>3</v>
      </c>
      <c r="D106" s="56">
        <v>2.2000000000000002</v>
      </c>
      <c r="E106" s="57">
        <v>5.8</v>
      </c>
      <c r="F106" s="56" t="s">
        <v>31</v>
      </c>
      <c r="G106" s="56">
        <f t="shared" si="4"/>
        <v>5.7215969027552314</v>
      </c>
      <c r="H106" s="56">
        <f t="shared" si="5"/>
        <v>-7.840309724476846E-2</v>
      </c>
    </row>
    <row r="107" spans="1:8" x14ac:dyDescent="0.25">
      <c r="A107" s="56">
        <v>1</v>
      </c>
      <c r="B107" s="56">
        <v>7.6</v>
      </c>
      <c r="C107" s="56">
        <v>3</v>
      </c>
      <c r="D107" s="56">
        <v>2.1</v>
      </c>
      <c r="E107" s="57">
        <v>6.6</v>
      </c>
      <c r="F107" s="56" t="s">
        <v>31</v>
      </c>
      <c r="G107" s="56">
        <f t="shared" si="4"/>
        <v>6.3789698522442624</v>
      </c>
      <c r="H107" s="56">
        <f t="shared" si="5"/>
        <v>-0.22103014775573726</v>
      </c>
    </row>
    <row r="108" spans="1:8" x14ac:dyDescent="0.25">
      <c r="A108" s="56">
        <v>1</v>
      </c>
      <c r="B108" s="56">
        <v>4.9000000000000004</v>
      </c>
      <c r="C108" s="56">
        <v>2.5</v>
      </c>
      <c r="D108" s="56">
        <v>1.7</v>
      </c>
      <c r="E108" s="57">
        <v>4.5</v>
      </c>
      <c r="F108" s="56" t="s">
        <v>31</v>
      </c>
      <c r="G108" s="56">
        <f t="shared" si="4"/>
        <v>4.1545849002037896</v>
      </c>
      <c r="H108" s="56">
        <f t="shared" si="5"/>
        <v>-0.34541509979621043</v>
      </c>
    </row>
    <row r="109" spans="1:8" x14ac:dyDescent="0.25">
      <c r="A109" s="56">
        <v>1</v>
      </c>
      <c r="B109" s="56">
        <v>7.3</v>
      </c>
      <c r="C109" s="56">
        <v>2.9</v>
      </c>
      <c r="D109" s="56">
        <v>1.8</v>
      </c>
      <c r="E109" s="57">
        <v>6.3</v>
      </c>
      <c r="F109" s="56" t="s">
        <v>31</v>
      </c>
      <c r="G109" s="56">
        <f t="shared" si="4"/>
        <v>5.7907915377924617</v>
      </c>
      <c r="H109" s="56">
        <f t="shared" si="5"/>
        <v>-0.50920846220753813</v>
      </c>
    </row>
    <row r="110" spans="1:8" x14ac:dyDescent="0.25">
      <c r="A110" s="56">
        <v>1</v>
      </c>
      <c r="B110" s="56">
        <v>6.7</v>
      </c>
      <c r="C110" s="56">
        <v>2.5</v>
      </c>
      <c r="D110" s="56">
        <v>1.8</v>
      </c>
      <c r="E110" s="57">
        <v>5.8</v>
      </c>
      <c r="F110" s="56" t="s">
        <v>31</v>
      </c>
      <c r="G110" s="56">
        <f t="shared" si="4"/>
        <v>5.6117134449655675</v>
      </c>
      <c r="H110" s="56">
        <f t="shared" si="5"/>
        <v>-0.18828655503443237</v>
      </c>
    </row>
    <row r="111" spans="1:8" x14ac:dyDescent="0.25">
      <c r="A111" s="56">
        <v>1</v>
      </c>
      <c r="B111" s="56">
        <v>7.2</v>
      </c>
      <c r="C111" s="56">
        <v>3.6</v>
      </c>
      <c r="D111" s="56">
        <v>2.5</v>
      </c>
      <c r="E111" s="57">
        <v>6.1</v>
      </c>
      <c r="F111" s="56" t="s">
        <v>31</v>
      </c>
      <c r="G111" s="56">
        <f t="shared" si="4"/>
        <v>6.2784243770379655</v>
      </c>
      <c r="H111" s="56">
        <f t="shared" si="5"/>
        <v>0.17842437703796588</v>
      </c>
    </row>
    <row r="112" spans="1:8" x14ac:dyDescent="0.25">
      <c r="A112" s="56">
        <v>1</v>
      </c>
      <c r="B112" s="56">
        <v>6.5</v>
      </c>
      <c r="C112" s="56">
        <v>3.2</v>
      </c>
      <c r="D112" s="56">
        <v>2</v>
      </c>
      <c r="E112" s="57">
        <v>5.0999999999999996</v>
      </c>
      <c r="F112" s="56" t="s">
        <v>31</v>
      </c>
      <c r="G112" s="56">
        <f t="shared" si="4"/>
        <v>5.3030357324132851</v>
      </c>
      <c r="H112" s="56">
        <f t="shared" si="5"/>
        <v>0.20303573241328543</v>
      </c>
    </row>
    <row r="113" spans="1:8" x14ac:dyDescent="0.25">
      <c r="A113" s="56">
        <v>1</v>
      </c>
      <c r="B113" s="56">
        <v>6.4</v>
      </c>
      <c r="C113" s="56">
        <v>2.7</v>
      </c>
      <c r="D113" s="56">
        <v>1.9</v>
      </c>
      <c r="E113" s="57">
        <v>5.3</v>
      </c>
      <c r="F113" s="56" t="s">
        <v>31</v>
      </c>
      <c r="G113" s="56">
        <f t="shared" si="4"/>
        <v>5.4084487650366748</v>
      </c>
      <c r="H113" s="56">
        <f t="shared" si="5"/>
        <v>0.108448765036675</v>
      </c>
    </row>
    <row r="114" spans="1:8" x14ac:dyDescent="0.25">
      <c r="A114" s="56">
        <v>1</v>
      </c>
      <c r="B114" s="56">
        <v>6.8</v>
      </c>
      <c r="C114" s="56">
        <v>3</v>
      </c>
      <c r="D114" s="56">
        <v>2.1</v>
      </c>
      <c r="E114" s="57">
        <v>5.5</v>
      </c>
      <c r="F114" s="56" t="s">
        <v>31</v>
      </c>
      <c r="G114" s="56">
        <f t="shared" si="4"/>
        <v>5.7956590952095564</v>
      </c>
      <c r="H114" s="56">
        <f t="shared" si="5"/>
        <v>0.29565909520955636</v>
      </c>
    </row>
    <row r="115" spans="1:8" x14ac:dyDescent="0.25">
      <c r="A115" s="56">
        <v>1</v>
      </c>
      <c r="B115" s="56">
        <v>5.7</v>
      </c>
      <c r="C115" s="56">
        <v>2.5</v>
      </c>
      <c r="D115" s="56">
        <v>2</v>
      </c>
      <c r="E115" s="57">
        <v>5</v>
      </c>
      <c r="F115" s="56" t="s">
        <v>31</v>
      </c>
      <c r="G115" s="56">
        <f t="shared" si="4"/>
        <v>5.1719336815395645</v>
      </c>
      <c r="H115" s="56">
        <f t="shared" si="5"/>
        <v>0.17193368153956445</v>
      </c>
    </row>
    <row r="116" spans="1:8" x14ac:dyDescent="0.25">
      <c r="A116" s="56">
        <v>1</v>
      </c>
      <c r="B116" s="56">
        <v>5.8</v>
      </c>
      <c r="C116" s="56">
        <v>2.8</v>
      </c>
      <c r="D116" s="56">
        <v>2.4</v>
      </c>
      <c r="E116" s="57">
        <v>5.0999999999999996</v>
      </c>
      <c r="F116" s="56" t="s">
        <v>31</v>
      </c>
      <c r="G116" s="56">
        <f t="shared" si="4"/>
        <v>5.6297611606918094</v>
      </c>
      <c r="H116" s="56">
        <f t="shared" si="5"/>
        <v>0.52976116069180978</v>
      </c>
    </row>
    <row r="117" spans="1:8" x14ac:dyDescent="0.25">
      <c r="A117" s="56">
        <v>1</v>
      </c>
      <c r="B117" s="56">
        <v>6.4</v>
      </c>
      <c r="C117" s="56">
        <v>3.2</v>
      </c>
      <c r="D117" s="56">
        <v>2.2999999999999998</v>
      </c>
      <c r="E117" s="57">
        <v>5.3</v>
      </c>
      <c r="F117" s="56" t="s">
        <v>31</v>
      </c>
      <c r="G117" s="56">
        <f t="shared" si="4"/>
        <v>5.6641599120850143</v>
      </c>
      <c r="H117" s="56">
        <f t="shared" si="5"/>
        <v>0.36415991208501453</v>
      </c>
    </row>
    <row r="118" spans="1:8" x14ac:dyDescent="0.25">
      <c r="A118" s="56">
        <v>1</v>
      </c>
      <c r="B118" s="56">
        <v>6.5</v>
      </c>
      <c r="C118" s="56">
        <v>3</v>
      </c>
      <c r="D118" s="56">
        <v>1.8</v>
      </c>
      <c r="E118" s="57">
        <v>5.5</v>
      </c>
      <c r="F118" s="56" t="s">
        <v>31</v>
      </c>
      <c r="G118" s="56">
        <f t="shared" si="4"/>
        <v>5.1428795370204732</v>
      </c>
      <c r="H118" s="56">
        <f t="shared" si="5"/>
        <v>-0.35712046297952682</v>
      </c>
    </row>
    <row r="119" spans="1:8" x14ac:dyDescent="0.25">
      <c r="A119" s="56">
        <v>1</v>
      </c>
      <c r="B119" s="56">
        <v>7.7</v>
      </c>
      <c r="C119" s="56">
        <v>3.8</v>
      </c>
      <c r="D119" s="56">
        <v>2.2000000000000002</v>
      </c>
      <c r="E119" s="57">
        <v>6.7</v>
      </c>
      <c r="F119" s="56" t="s">
        <v>31</v>
      </c>
      <c r="G119" s="56">
        <f t="shared" si="4"/>
        <v>6.0797530884090216</v>
      </c>
      <c r="H119" s="56">
        <f t="shared" si="5"/>
        <v>-0.62024691159097856</v>
      </c>
    </row>
    <row r="120" spans="1:8" x14ac:dyDescent="0.25">
      <c r="A120" s="56">
        <v>1</v>
      </c>
      <c r="B120" s="56">
        <v>7.7</v>
      </c>
      <c r="C120" s="56">
        <v>2.6</v>
      </c>
      <c r="D120" s="56">
        <v>2.2999999999999998</v>
      </c>
      <c r="E120" s="57">
        <v>6.9</v>
      </c>
      <c r="F120" s="56" t="s">
        <v>31</v>
      </c>
      <c r="G120" s="56">
        <f t="shared" si="4"/>
        <v>6.9996473546901132</v>
      </c>
      <c r="H120" s="56">
        <f t="shared" si="5"/>
        <v>9.9647354690112877E-2</v>
      </c>
    </row>
    <row r="121" spans="1:8" x14ac:dyDescent="0.25">
      <c r="A121" s="56">
        <v>1</v>
      </c>
      <c r="B121" s="56">
        <v>6</v>
      </c>
      <c r="C121" s="56">
        <v>2.2000000000000002</v>
      </c>
      <c r="D121" s="56">
        <v>1.5</v>
      </c>
      <c r="E121" s="57">
        <v>5</v>
      </c>
      <c r="F121" s="56" t="s">
        <v>31</v>
      </c>
      <c r="G121" s="56">
        <f t="shared" si="4"/>
        <v>4.8610822394709814</v>
      </c>
      <c r="H121" s="56">
        <f t="shared" si="5"/>
        <v>-0.13891776052901861</v>
      </c>
    </row>
    <row r="122" spans="1:8" x14ac:dyDescent="0.25">
      <c r="A122" s="56">
        <v>1</v>
      </c>
      <c r="B122" s="56">
        <v>6.9</v>
      </c>
      <c r="C122" s="56">
        <v>3.2</v>
      </c>
      <c r="D122" s="56">
        <v>2.2999999999999998</v>
      </c>
      <c r="E122" s="57">
        <v>5.7</v>
      </c>
      <c r="F122" s="56" t="s">
        <v>31</v>
      </c>
      <c r="G122" s="56">
        <f t="shared" si="4"/>
        <v>6.0287291352317061</v>
      </c>
      <c r="H122" s="56">
        <f t="shared" si="5"/>
        <v>0.32872913523170588</v>
      </c>
    </row>
    <row r="123" spans="1:8" x14ac:dyDescent="0.25">
      <c r="A123" s="56">
        <v>1</v>
      </c>
      <c r="B123" s="56">
        <v>5.6</v>
      </c>
      <c r="C123" s="56">
        <v>2.8</v>
      </c>
      <c r="D123" s="56">
        <v>2</v>
      </c>
      <c r="E123" s="57">
        <v>4.9000000000000004</v>
      </c>
      <c r="F123" s="56" t="s">
        <v>31</v>
      </c>
      <c r="G123" s="56">
        <f t="shared" si="4"/>
        <v>4.9052161056983747</v>
      </c>
      <c r="H123" s="56">
        <f t="shared" si="5"/>
        <v>5.2161056983743848E-3</v>
      </c>
    </row>
    <row r="124" spans="1:8" x14ac:dyDescent="0.25">
      <c r="A124" s="56">
        <v>1</v>
      </c>
      <c r="B124" s="56">
        <v>7.7</v>
      </c>
      <c r="C124" s="56">
        <v>2.8</v>
      </c>
      <c r="D124" s="56">
        <v>2</v>
      </c>
      <c r="E124" s="57">
        <v>6.7</v>
      </c>
      <c r="F124" s="56" t="s">
        <v>31</v>
      </c>
      <c r="G124" s="56">
        <f t="shared" si="4"/>
        <v>6.4364068429144785</v>
      </c>
      <c r="H124" s="56">
        <f t="shared" si="5"/>
        <v>-0.26359315708552167</v>
      </c>
    </row>
    <row r="125" spans="1:8" x14ac:dyDescent="0.25">
      <c r="A125" s="56">
        <v>1</v>
      </c>
      <c r="B125" s="56">
        <v>6.3</v>
      </c>
      <c r="C125" s="56">
        <v>2.7</v>
      </c>
      <c r="D125" s="56">
        <v>1.8</v>
      </c>
      <c r="E125" s="57">
        <v>4.9000000000000004</v>
      </c>
      <c r="F125" s="56" t="s">
        <v>31</v>
      </c>
      <c r="G125" s="56">
        <f t="shared" si="4"/>
        <v>5.1908555789736459</v>
      </c>
      <c r="H125" s="56">
        <f t="shared" si="5"/>
        <v>0.29085557897364556</v>
      </c>
    </row>
    <row r="126" spans="1:8" x14ac:dyDescent="0.25">
      <c r="A126" s="56">
        <v>1</v>
      </c>
      <c r="B126" s="56">
        <v>6.7</v>
      </c>
      <c r="C126" s="56">
        <v>3.3</v>
      </c>
      <c r="D126" s="56">
        <v>2.1</v>
      </c>
      <c r="E126" s="57">
        <v>5.7</v>
      </c>
      <c r="F126" s="56" t="s">
        <v>31</v>
      </c>
      <c r="G126" s="56">
        <f t="shared" si="4"/>
        <v>5.5289415193683675</v>
      </c>
      <c r="H126" s="56">
        <f t="shared" si="5"/>
        <v>-0.17105848063163265</v>
      </c>
    </row>
    <row r="127" spans="1:8" x14ac:dyDescent="0.25">
      <c r="A127" s="56">
        <v>1</v>
      </c>
      <c r="B127" s="56">
        <v>7.2</v>
      </c>
      <c r="C127" s="56">
        <v>3.2</v>
      </c>
      <c r="D127" s="56">
        <v>1.8</v>
      </c>
      <c r="E127" s="57">
        <v>6</v>
      </c>
      <c r="F127" s="56" t="s">
        <v>31</v>
      </c>
      <c r="G127" s="56">
        <f t="shared" si="4"/>
        <v>5.5240739619512729</v>
      </c>
      <c r="H127" s="56">
        <f t="shared" si="5"/>
        <v>-0.47592603804872713</v>
      </c>
    </row>
    <row r="128" spans="1:8" x14ac:dyDescent="0.25">
      <c r="A128" s="56">
        <v>1</v>
      </c>
      <c r="B128" s="56">
        <v>6.2</v>
      </c>
      <c r="C128" s="56">
        <v>2.8</v>
      </c>
      <c r="D128" s="56">
        <v>1.8</v>
      </c>
      <c r="E128" s="57">
        <v>4.8</v>
      </c>
      <c r="F128" s="56" t="s">
        <v>31</v>
      </c>
      <c r="G128" s="56">
        <f t="shared" si="4"/>
        <v>5.0533404906070247</v>
      </c>
      <c r="H128" s="56">
        <f t="shared" si="5"/>
        <v>0.2533404906070249</v>
      </c>
    </row>
    <row r="129" spans="1:8" x14ac:dyDescent="0.25">
      <c r="A129" s="56">
        <v>1</v>
      </c>
      <c r="B129" s="56">
        <v>6.1</v>
      </c>
      <c r="C129" s="56">
        <v>3</v>
      </c>
      <c r="D129" s="56">
        <v>1.8</v>
      </c>
      <c r="E129" s="57">
        <v>4.9000000000000004</v>
      </c>
      <c r="F129" s="56" t="s">
        <v>31</v>
      </c>
      <c r="G129" s="56">
        <f t="shared" si="4"/>
        <v>4.8512241585031193</v>
      </c>
      <c r="H129" s="56">
        <f t="shared" si="5"/>
        <v>-4.8775841496881078E-2</v>
      </c>
    </row>
    <row r="130" spans="1:8" x14ac:dyDescent="0.25">
      <c r="A130" s="56">
        <v>1</v>
      </c>
      <c r="B130" s="56">
        <v>6.4</v>
      </c>
      <c r="C130" s="56">
        <v>2.8</v>
      </c>
      <c r="D130" s="56">
        <v>2.1</v>
      </c>
      <c r="E130" s="57">
        <v>5.6</v>
      </c>
      <c r="F130" s="56" t="s">
        <v>31</v>
      </c>
      <c r="G130" s="56">
        <f t="shared" si="4"/>
        <v>5.633206204166771</v>
      </c>
      <c r="H130" s="56">
        <f t="shared" si="5"/>
        <v>3.3206204166771336E-2</v>
      </c>
    </row>
    <row r="131" spans="1:8" x14ac:dyDescent="0.25">
      <c r="A131" s="56">
        <v>1</v>
      </c>
      <c r="B131" s="56">
        <v>7.2</v>
      </c>
      <c r="C131" s="56">
        <v>3</v>
      </c>
      <c r="D131" s="56">
        <v>1.6</v>
      </c>
      <c r="E131" s="57">
        <v>5.8</v>
      </c>
      <c r="F131" s="56" t="s">
        <v>31</v>
      </c>
      <c r="G131" s="56">
        <f t="shared" ref="G131:G151" si="6">D131*$K$5+C131*$K$4+B131*$K$3+$K$2</f>
        <v>5.3639177665584619</v>
      </c>
      <c r="H131" s="56">
        <f t="shared" ref="H131:H151" si="7">(G131-E131)</f>
        <v>-0.43608223344153796</v>
      </c>
    </row>
    <row r="132" spans="1:8" x14ac:dyDescent="0.25">
      <c r="A132" s="56">
        <v>1</v>
      </c>
      <c r="B132" s="56">
        <v>7.4</v>
      </c>
      <c r="C132" s="56">
        <v>2.8</v>
      </c>
      <c r="D132" s="56">
        <v>1.9</v>
      </c>
      <c r="E132" s="57">
        <v>6.1</v>
      </c>
      <c r="F132" s="56" t="s">
        <v>31</v>
      </c>
      <c r="G132" s="56">
        <f t="shared" si="6"/>
        <v>6.072985967592774</v>
      </c>
      <c r="H132" s="56">
        <f t="shared" si="7"/>
        <v>-2.7014032407225663E-2</v>
      </c>
    </row>
    <row r="133" spans="1:8" x14ac:dyDescent="0.25">
      <c r="A133" s="56">
        <v>1</v>
      </c>
      <c r="B133" s="56">
        <v>7.9</v>
      </c>
      <c r="C133" s="56">
        <v>3.8</v>
      </c>
      <c r="D133" s="56">
        <v>2</v>
      </c>
      <c r="E133" s="57">
        <v>6.4</v>
      </c>
      <c r="F133" s="56" t="s">
        <v>31</v>
      </c>
      <c r="G133" s="56">
        <f t="shared" si="6"/>
        <v>5.9362220948003195</v>
      </c>
      <c r="H133" s="56">
        <f t="shared" si="7"/>
        <v>-0.46377790519968087</v>
      </c>
    </row>
    <row r="134" spans="1:8" x14ac:dyDescent="0.25">
      <c r="A134" s="56">
        <v>1</v>
      </c>
      <c r="B134" s="56">
        <v>6.4</v>
      </c>
      <c r="C134" s="56">
        <v>2.8</v>
      </c>
      <c r="D134" s="56">
        <v>2.2000000000000002</v>
      </c>
      <c r="E134" s="57">
        <v>5.6</v>
      </c>
      <c r="F134" s="56" t="s">
        <v>31</v>
      </c>
      <c r="G134" s="56">
        <f t="shared" si="6"/>
        <v>5.7778855456004594</v>
      </c>
      <c r="H134" s="56">
        <f t="shared" si="7"/>
        <v>0.17788554560045977</v>
      </c>
    </row>
    <row r="135" spans="1:8" x14ac:dyDescent="0.25">
      <c r="A135" s="56">
        <v>1</v>
      </c>
      <c r="B135" s="56">
        <v>6.3</v>
      </c>
      <c r="C135" s="56">
        <v>2.8</v>
      </c>
      <c r="D135" s="56">
        <v>1.5</v>
      </c>
      <c r="E135" s="57">
        <v>5.0999999999999996</v>
      </c>
      <c r="F135" s="56" t="s">
        <v>31</v>
      </c>
      <c r="G135" s="56">
        <f t="shared" si="6"/>
        <v>4.6922163109352946</v>
      </c>
      <c r="H135" s="56">
        <f t="shared" si="7"/>
        <v>-0.40778368906470508</v>
      </c>
    </row>
    <row r="136" spans="1:8" x14ac:dyDescent="0.25">
      <c r="A136" s="56">
        <v>1</v>
      </c>
      <c r="B136" s="56">
        <v>6.1</v>
      </c>
      <c r="C136" s="56">
        <v>2.6</v>
      </c>
      <c r="D136" s="56">
        <v>1.4</v>
      </c>
      <c r="E136" s="57">
        <v>5.6</v>
      </c>
      <c r="F136" s="56" t="s">
        <v>31</v>
      </c>
      <c r="G136" s="56">
        <f t="shared" si="6"/>
        <v>4.5309117677174955</v>
      </c>
      <c r="H136" s="56">
        <f t="shared" si="7"/>
        <v>-1.0690882322825042</v>
      </c>
    </row>
    <row r="137" spans="1:8" x14ac:dyDescent="0.25">
      <c r="A137" s="56">
        <v>1</v>
      </c>
      <c r="B137" s="56">
        <v>7.7</v>
      </c>
      <c r="C137" s="56">
        <v>3</v>
      </c>
      <c r="D137" s="56">
        <v>2.2999999999999998</v>
      </c>
      <c r="E137" s="57">
        <v>6.1</v>
      </c>
      <c r="F137" s="56" t="s">
        <v>31</v>
      </c>
      <c r="G137" s="56">
        <f t="shared" si="6"/>
        <v>6.7412423797409788</v>
      </c>
      <c r="H137" s="56">
        <f t="shared" si="7"/>
        <v>0.6412423797409792</v>
      </c>
    </row>
    <row r="138" spans="1:8" x14ac:dyDescent="0.25">
      <c r="A138" s="56">
        <v>1</v>
      </c>
      <c r="B138" s="56">
        <v>6.3</v>
      </c>
      <c r="C138" s="56">
        <v>3.4</v>
      </c>
      <c r="D138" s="56">
        <v>2.4</v>
      </c>
      <c r="E138" s="57">
        <v>5.6</v>
      </c>
      <c r="F138" s="56" t="s">
        <v>31</v>
      </c>
      <c r="G138" s="56">
        <f t="shared" si="6"/>
        <v>5.6067229214147991</v>
      </c>
      <c r="H138" s="56">
        <f t="shared" si="7"/>
        <v>6.7229214147994654E-3</v>
      </c>
    </row>
    <row r="139" spans="1:8" x14ac:dyDescent="0.25">
      <c r="A139" s="56">
        <v>1</v>
      </c>
      <c r="B139" s="56">
        <v>6.4</v>
      </c>
      <c r="C139" s="56">
        <v>3.1</v>
      </c>
      <c r="D139" s="56">
        <v>1.8</v>
      </c>
      <c r="E139" s="57">
        <v>5.5</v>
      </c>
      <c r="F139" s="56" t="s">
        <v>31</v>
      </c>
      <c r="G139" s="56">
        <f t="shared" si="6"/>
        <v>5.0053644486538511</v>
      </c>
      <c r="H139" s="56">
        <f t="shared" si="7"/>
        <v>-0.49463555134614889</v>
      </c>
    </row>
    <row r="140" spans="1:8" x14ac:dyDescent="0.25">
      <c r="A140" s="56">
        <v>1</v>
      </c>
      <c r="B140" s="56">
        <v>6</v>
      </c>
      <c r="C140" s="56">
        <v>3</v>
      </c>
      <c r="D140" s="56">
        <v>1.8</v>
      </c>
      <c r="E140" s="57">
        <v>4.8</v>
      </c>
      <c r="F140" s="56" t="s">
        <v>31</v>
      </c>
      <c r="G140" s="56">
        <f t="shared" si="6"/>
        <v>4.7783103138737815</v>
      </c>
      <c r="H140" s="56">
        <f t="shared" si="7"/>
        <v>-2.1689686126218355E-2</v>
      </c>
    </row>
    <row r="141" spans="1:8" x14ac:dyDescent="0.25">
      <c r="A141" s="56">
        <v>1</v>
      </c>
      <c r="B141" s="56">
        <v>6.9</v>
      </c>
      <c r="C141" s="56">
        <v>3.1</v>
      </c>
      <c r="D141" s="56">
        <v>2.1</v>
      </c>
      <c r="E141" s="57">
        <v>5.4</v>
      </c>
      <c r="F141" s="56" t="s">
        <v>31</v>
      </c>
      <c r="G141" s="56">
        <f t="shared" si="6"/>
        <v>5.8039716961016117</v>
      </c>
      <c r="H141" s="56">
        <f t="shared" si="7"/>
        <v>0.40397169610161132</v>
      </c>
    </row>
    <row r="142" spans="1:8" x14ac:dyDescent="0.25">
      <c r="A142" s="56">
        <v>1</v>
      </c>
      <c r="B142" s="56">
        <v>6.7</v>
      </c>
      <c r="C142" s="56">
        <v>3.1</v>
      </c>
      <c r="D142" s="56">
        <v>2.4</v>
      </c>
      <c r="E142" s="57">
        <v>5.6</v>
      </c>
      <c r="F142" s="56" t="s">
        <v>31</v>
      </c>
      <c r="G142" s="56">
        <f t="shared" si="6"/>
        <v>6.0921820311440031</v>
      </c>
      <c r="H142" s="56">
        <f t="shared" si="7"/>
        <v>0.4921820311440035</v>
      </c>
    </row>
    <row r="143" spans="1:8" x14ac:dyDescent="0.25">
      <c r="A143" s="56">
        <v>1</v>
      </c>
      <c r="B143" s="56">
        <v>6.9</v>
      </c>
      <c r="C143" s="56">
        <v>3.1</v>
      </c>
      <c r="D143" s="56">
        <v>2.2999999999999998</v>
      </c>
      <c r="E143" s="57">
        <v>5.0999999999999996</v>
      </c>
      <c r="F143" s="56" t="s">
        <v>31</v>
      </c>
      <c r="G143" s="56">
        <f t="shared" si="6"/>
        <v>6.0933303789689894</v>
      </c>
      <c r="H143" s="56">
        <f t="shared" si="7"/>
        <v>0.99333037896898979</v>
      </c>
    </row>
    <row r="144" spans="1:8" x14ac:dyDescent="0.25">
      <c r="A144" s="56">
        <v>1</v>
      </c>
      <c r="B144" s="56">
        <v>5.8</v>
      </c>
      <c r="C144" s="56">
        <v>2.7</v>
      </c>
      <c r="D144" s="56">
        <v>1.9</v>
      </c>
      <c r="E144" s="57">
        <v>5.0999999999999996</v>
      </c>
      <c r="F144" s="56" t="s">
        <v>31</v>
      </c>
      <c r="G144" s="56">
        <f t="shared" si="6"/>
        <v>4.9709656972606444</v>
      </c>
      <c r="H144" s="56">
        <f t="shared" si="7"/>
        <v>-0.12903430273935523</v>
      </c>
    </row>
    <row r="145" spans="1:8" x14ac:dyDescent="0.25">
      <c r="A145" s="56">
        <v>1</v>
      </c>
      <c r="B145" s="56">
        <v>6.8</v>
      </c>
      <c r="C145" s="56">
        <v>3.2</v>
      </c>
      <c r="D145" s="56">
        <v>2.2999999999999998</v>
      </c>
      <c r="E145" s="57">
        <v>5.9</v>
      </c>
      <c r="F145" s="56" t="s">
        <v>31</v>
      </c>
      <c r="G145" s="56">
        <f t="shared" si="6"/>
        <v>5.9558152906023674</v>
      </c>
      <c r="H145" s="56">
        <f t="shared" si="7"/>
        <v>5.5815290602367007E-2</v>
      </c>
    </row>
    <row r="146" spans="1:8" x14ac:dyDescent="0.25">
      <c r="A146" s="56">
        <v>1</v>
      </c>
      <c r="B146" s="56">
        <v>6.7</v>
      </c>
      <c r="C146" s="56">
        <v>3.3</v>
      </c>
      <c r="D146" s="56">
        <v>2.5</v>
      </c>
      <c r="E146" s="57">
        <v>5.7</v>
      </c>
      <c r="F146" s="56" t="s">
        <v>31</v>
      </c>
      <c r="G146" s="56">
        <f t="shared" si="6"/>
        <v>6.1076588851031257</v>
      </c>
      <c r="H146" s="56">
        <f t="shared" si="7"/>
        <v>0.40765888510312553</v>
      </c>
    </row>
    <row r="147" spans="1:8" x14ac:dyDescent="0.25">
      <c r="A147" s="56">
        <v>1</v>
      </c>
      <c r="B147" s="56">
        <v>6.7</v>
      </c>
      <c r="C147" s="56">
        <v>3</v>
      </c>
      <c r="D147" s="56">
        <v>2.2999999999999998</v>
      </c>
      <c r="E147" s="57">
        <v>5.2</v>
      </c>
      <c r="F147" s="56" t="s">
        <v>31</v>
      </c>
      <c r="G147" s="56">
        <f t="shared" si="6"/>
        <v>6.0121039334475972</v>
      </c>
      <c r="H147" s="56">
        <f t="shared" si="7"/>
        <v>0.81210393344759702</v>
      </c>
    </row>
    <row r="148" spans="1:8" x14ac:dyDescent="0.25">
      <c r="A148" s="56">
        <v>1</v>
      </c>
      <c r="B148" s="56">
        <v>6.3</v>
      </c>
      <c r="C148" s="56">
        <v>2.5</v>
      </c>
      <c r="D148" s="56">
        <v>1.9</v>
      </c>
      <c r="E148" s="57">
        <v>5</v>
      </c>
      <c r="F148" s="56" t="s">
        <v>31</v>
      </c>
      <c r="G148" s="56">
        <f t="shared" si="6"/>
        <v>5.4647374078819029</v>
      </c>
      <c r="H148" s="56">
        <f t="shared" si="7"/>
        <v>0.46473740788190288</v>
      </c>
    </row>
    <row r="149" spans="1:8" x14ac:dyDescent="0.25">
      <c r="A149" s="56">
        <v>1</v>
      </c>
      <c r="B149" s="56">
        <v>6.5</v>
      </c>
      <c r="C149" s="56">
        <v>3</v>
      </c>
      <c r="D149" s="56">
        <v>2</v>
      </c>
      <c r="E149" s="57">
        <v>5.2</v>
      </c>
      <c r="F149" s="56" t="s">
        <v>31</v>
      </c>
      <c r="G149" s="56">
        <f t="shared" si="6"/>
        <v>5.4322382198878527</v>
      </c>
      <c r="H149" s="56">
        <f t="shared" si="7"/>
        <v>0.23223821988785254</v>
      </c>
    </row>
    <row r="150" spans="1:8" x14ac:dyDescent="0.25">
      <c r="A150" s="56">
        <v>1</v>
      </c>
      <c r="B150" s="56">
        <v>6.2</v>
      </c>
      <c r="C150" s="56">
        <v>3.4</v>
      </c>
      <c r="D150" s="56">
        <v>2.2999999999999998</v>
      </c>
      <c r="E150" s="57">
        <v>5.4</v>
      </c>
      <c r="F150" s="56" t="s">
        <v>31</v>
      </c>
      <c r="G150" s="56">
        <f t="shared" si="6"/>
        <v>5.3891297353517711</v>
      </c>
      <c r="H150" s="56">
        <f t="shared" si="7"/>
        <v>-1.0870264648229266E-2</v>
      </c>
    </row>
    <row r="151" spans="1:8" x14ac:dyDescent="0.25">
      <c r="A151" s="56">
        <v>1</v>
      </c>
      <c r="B151" s="56">
        <v>5.9</v>
      </c>
      <c r="C151" s="56">
        <v>3</v>
      </c>
      <c r="D151" s="56">
        <v>1.8</v>
      </c>
      <c r="E151" s="58">
        <v>5.0999999999999996</v>
      </c>
      <c r="F151" s="56" t="s">
        <v>31</v>
      </c>
      <c r="G151" s="56">
        <f t="shared" si="6"/>
        <v>4.7053964692444437</v>
      </c>
      <c r="H151" s="56">
        <f t="shared" si="7"/>
        <v>-0.39460353075555599</v>
      </c>
    </row>
  </sheetData>
  <mergeCells count="4">
    <mergeCell ref="J17:S17"/>
    <mergeCell ref="J18:S18"/>
    <mergeCell ref="P12:P15"/>
    <mergeCell ref="T2:T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05A0-CE4D-4D1A-A066-46A7F51D6BED}">
  <dimension ref="A1:W31"/>
  <sheetViews>
    <sheetView topLeftCell="F1" workbookViewId="0">
      <selection activeCell="X12" sqref="X12"/>
    </sheetView>
  </sheetViews>
  <sheetFormatPr defaultRowHeight="15" x14ac:dyDescent="0.25"/>
  <cols>
    <col min="7" max="7" width="11.140625" style="56" customWidth="1"/>
    <col min="8" max="8" width="8.140625" style="56" customWidth="1"/>
    <col min="9" max="9" width="10.7109375" style="56" customWidth="1"/>
    <col min="10" max="10" width="9.140625" style="56"/>
    <col min="12" max="12" width="10.28515625" customWidth="1"/>
    <col min="13" max="13" width="11.28515625" customWidth="1"/>
    <col min="14" max="14" width="9.5703125" bestFit="1" customWidth="1"/>
    <col min="17" max="17" width="10.42578125" customWidth="1"/>
    <col min="18" max="18" width="9.7109375" customWidth="1"/>
    <col min="20" max="20" width="10" customWidth="1"/>
    <col min="21" max="21" width="12.140625" customWidth="1"/>
    <col min="22" max="22" width="8.140625" customWidth="1"/>
    <col min="23" max="23" width="10.140625" customWidth="1"/>
  </cols>
  <sheetData>
    <row r="1" spans="1:23" ht="15.75" thickBot="1" x14ac:dyDescent="0.3">
      <c r="A1" t="s">
        <v>0</v>
      </c>
      <c r="B1" s="15" t="s">
        <v>40</v>
      </c>
      <c r="C1" s="15" t="s">
        <v>41</v>
      </c>
      <c r="D1" s="15" t="s">
        <v>60</v>
      </c>
      <c r="E1" s="15" t="s">
        <v>61</v>
      </c>
      <c r="F1" s="4" t="s">
        <v>42</v>
      </c>
      <c r="G1" s="59" t="s">
        <v>56</v>
      </c>
      <c r="H1" s="59" t="s">
        <v>55</v>
      </c>
      <c r="I1" s="59" t="s">
        <v>57</v>
      </c>
      <c r="J1" s="59" t="s">
        <v>58</v>
      </c>
      <c r="L1" s="49" t="s">
        <v>53</v>
      </c>
      <c r="M1" s="50"/>
      <c r="P1" s="49" t="s">
        <v>54</v>
      </c>
      <c r="Q1" s="50"/>
      <c r="S1" s="49" t="s">
        <v>59</v>
      </c>
      <c r="T1" s="50"/>
    </row>
    <row r="2" spans="1:23" ht="15.75" thickTop="1" x14ac:dyDescent="0.25">
      <c r="A2">
        <v>1</v>
      </c>
      <c r="B2" s="7">
        <v>172</v>
      </c>
      <c r="C2" s="8">
        <v>184</v>
      </c>
      <c r="D2" s="8">
        <f>C2^2</f>
        <v>33856</v>
      </c>
      <c r="E2" s="9">
        <f>C2^3</f>
        <v>6229504</v>
      </c>
      <c r="F2" s="9">
        <v>79</v>
      </c>
      <c r="G2" s="56">
        <f t="shared" ref="G2:G31" si="0">_a*E2+_b*D2+_c*C2+_d</f>
        <v>77.930769678382561</v>
      </c>
      <c r="H2" s="56">
        <f>(F2-G2)</f>
        <v>1.0692303216174395</v>
      </c>
      <c r="I2" s="56">
        <f t="shared" ref="I2:I31" si="1">_a1*E2+_b1*D2+_c1*C2+_d1</f>
        <v>78.34203542047544</v>
      </c>
      <c r="J2" s="56">
        <f>(F2-I2)</f>
        <v>0.65796457952455967</v>
      </c>
      <c r="L2" s="47" t="s">
        <v>43</v>
      </c>
      <c r="M2" s="11">
        <v>-7.8590323150917095E-5</v>
      </c>
      <c r="P2" s="47" t="s">
        <v>44</v>
      </c>
      <c r="Q2" s="11">
        <f t="array" ref="Q2:Q5">TRANSPOSE(S2:V2)</f>
        <v>-1.8014148563413822E-3</v>
      </c>
      <c r="S2" s="2">
        <f t="array" ref="S2:V6">LINEST(F2:F31,C2:E31,TRUE,TRUE)</f>
        <v>-1.8014148563413822E-3</v>
      </c>
      <c r="T2" s="10">
        <v>0.96060023538272932</v>
      </c>
      <c r="U2" s="8">
        <v>-170.28355473265196</v>
      </c>
      <c r="V2" s="9">
        <v>10110.35559034882</v>
      </c>
    </row>
    <row r="3" spans="1:23" x14ac:dyDescent="0.25">
      <c r="A3">
        <v>1</v>
      </c>
      <c r="B3" s="2">
        <v>168</v>
      </c>
      <c r="C3" s="10">
        <v>190</v>
      </c>
      <c r="D3" s="10">
        <f t="shared" ref="D3:D31" si="2">C3^2</f>
        <v>36100</v>
      </c>
      <c r="E3" s="11">
        <f t="shared" ref="E3:E31" si="3">C3^3</f>
        <v>6859000</v>
      </c>
      <c r="F3" s="11">
        <v>80</v>
      </c>
      <c r="G3" s="56">
        <f t="shared" si="0"/>
        <v>78.670860568721267</v>
      </c>
      <c r="H3" s="56">
        <f t="shared" ref="H3:H31" si="4">(F3-G3)</f>
        <v>1.3291394312787332</v>
      </c>
      <c r="I3" s="56">
        <f t="shared" si="1"/>
        <v>78.244188815930102</v>
      </c>
      <c r="J3" s="56">
        <f t="shared" ref="J3:J31" si="5">(F3-I3)</f>
        <v>1.7558111840698984</v>
      </c>
      <c r="L3" s="47" t="s">
        <v>46</v>
      </c>
      <c r="M3" s="11">
        <v>2.9977709217945743E-2</v>
      </c>
      <c r="P3" s="47" t="s">
        <v>47</v>
      </c>
      <c r="Q3" s="11">
        <v>0.96060023538272932</v>
      </c>
      <c r="S3" s="2">
        <v>1.3317955557351096E-3</v>
      </c>
      <c r="T3" s="10">
        <v>0.71915785634538643</v>
      </c>
      <c r="U3" s="10">
        <v>129.36713304445004</v>
      </c>
      <c r="V3" s="11">
        <v>7752.4174378813332</v>
      </c>
    </row>
    <row r="4" spans="1:23" x14ac:dyDescent="0.25">
      <c r="A4">
        <v>1</v>
      </c>
      <c r="B4" s="2">
        <v>170</v>
      </c>
      <c r="C4" s="10">
        <v>171</v>
      </c>
      <c r="D4" s="10">
        <f t="shared" si="2"/>
        <v>29241</v>
      </c>
      <c r="E4" s="11">
        <f t="shared" si="3"/>
        <v>5000211</v>
      </c>
      <c r="F4" s="11">
        <v>75</v>
      </c>
      <c r="G4" s="56">
        <f t="shared" si="0"/>
        <v>73.15229724185356</v>
      </c>
      <c r="H4" s="56">
        <f t="shared" si="4"/>
        <v>1.8477027581464398</v>
      </c>
      <c r="I4" s="56">
        <f t="shared" si="1"/>
        <v>73.324833650123765</v>
      </c>
      <c r="J4" s="56">
        <f t="shared" si="5"/>
        <v>1.6751663498762355</v>
      </c>
      <c r="L4" s="47" t="s">
        <v>48</v>
      </c>
      <c r="M4" s="11">
        <v>-2.8429324220869439</v>
      </c>
      <c r="P4" s="47" t="s">
        <v>49</v>
      </c>
      <c r="Q4" s="11">
        <v>-170.28355473265196</v>
      </c>
      <c r="S4" s="2">
        <v>0.63646848431722491</v>
      </c>
      <c r="T4" s="10">
        <v>1.6361795032243913</v>
      </c>
      <c r="U4" s="10" t="e">
        <v>#N/A</v>
      </c>
      <c r="V4" s="11" t="e">
        <v>#N/A</v>
      </c>
    </row>
    <row r="5" spans="1:23" x14ac:dyDescent="0.25">
      <c r="A5">
        <v>1</v>
      </c>
      <c r="B5" s="2">
        <v>170</v>
      </c>
      <c r="C5" s="10">
        <v>185</v>
      </c>
      <c r="D5" s="10">
        <f t="shared" si="2"/>
        <v>34225</v>
      </c>
      <c r="E5" s="11">
        <f t="shared" si="3"/>
        <v>6331625</v>
      </c>
      <c r="F5" s="11">
        <v>78</v>
      </c>
      <c r="G5" s="56">
        <f t="shared" si="0"/>
        <v>78.123889567222889</v>
      </c>
      <c r="H5" s="56">
        <f t="shared" si="4"/>
        <v>-0.12388956722288924</v>
      </c>
      <c r="I5" s="56">
        <f t="shared" si="1"/>
        <v>78.557680999612785</v>
      </c>
      <c r="J5" s="56">
        <f t="shared" si="5"/>
        <v>-0.55768099961278494</v>
      </c>
      <c r="L5" s="48" t="s">
        <v>51</v>
      </c>
      <c r="M5" s="14">
        <v>75.683744489539848</v>
      </c>
      <c r="P5" s="48" t="s">
        <v>52</v>
      </c>
      <c r="Q5" s="14">
        <v>10110.35559034882</v>
      </c>
      <c r="S5" s="2">
        <v>15.173540558253482</v>
      </c>
      <c r="T5" s="10">
        <v>26</v>
      </c>
      <c r="U5" s="10" t="e">
        <v>#N/A</v>
      </c>
      <c r="V5" s="11" t="e">
        <v>#N/A</v>
      </c>
    </row>
    <row r="6" spans="1:23" x14ac:dyDescent="0.25">
      <c r="A6">
        <v>1</v>
      </c>
      <c r="B6" s="2">
        <v>173</v>
      </c>
      <c r="C6" s="10">
        <v>185</v>
      </c>
      <c r="D6" s="10">
        <f t="shared" si="2"/>
        <v>34225</v>
      </c>
      <c r="E6" s="11">
        <f t="shared" si="3"/>
        <v>6331625</v>
      </c>
      <c r="F6" s="11">
        <v>81</v>
      </c>
      <c r="G6" s="56">
        <f t="shared" si="0"/>
        <v>78.123889567222889</v>
      </c>
      <c r="H6" s="56">
        <f t="shared" si="4"/>
        <v>2.8761104327771108</v>
      </c>
      <c r="I6" s="56">
        <f t="shared" si="1"/>
        <v>78.557680999612785</v>
      </c>
      <c r="J6" s="56">
        <f t="shared" si="5"/>
        <v>2.4423190003872151</v>
      </c>
      <c r="L6" s="32"/>
      <c r="P6" s="32"/>
      <c r="S6" s="12">
        <v>121.86249913060469</v>
      </c>
      <c r="T6" s="13">
        <v>69.604167536062008</v>
      </c>
      <c r="U6" s="13" t="e">
        <v>#N/A</v>
      </c>
      <c r="V6" s="14" t="e">
        <v>#N/A</v>
      </c>
    </row>
    <row r="7" spans="1:23" ht="15.75" thickBot="1" x14ac:dyDescent="0.3">
      <c r="A7">
        <v>1</v>
      </c>
      <c r="B7" s="2">
        <v>162</v>
      </c>
      <c r="C7" s="10">
        <v>172</v>
      </c>
      <c r="D7" s="10">
        <f t="shared" si="2"/>
        <v>29584</v>
      </c>
      <c r="E7" s="11">
        <f t="shared" si="3"/>
        <v>5088448</v>
      </c>
      <c r="F7" s="11">
        <v>73</v>
      </c>
      <c r="G7" s="56">
        <f t="shared" si="0"/>
        <v>73.657144737654519</v>
      </c>
      <c r="H7" s="56">
        <f t="shared" si="4"/>
        <v>-0.65714473765451942</v>
      </c>
      <c r="I7" s="56">
        <f t="shared" si="1"/>
        <v>73.57571697475214</v>
      </c>
      <c r="J7" s="56">
        <f t="shared" si="5"/>
        <v>-0.57571697475214023</v>
      </c>
      <c r="L7" s="20" t="s">
        <v>45</v>
      </c>
      <c r="M7" s="26">
        <f>AVERAGE(F2:F31)</f>
        <v>76.13333333333334</v>
      </c>
      <c r="R7" s="49" t="s">
        <v>62</v>
      </c>
      <c r="S7">
        <f>S2/S3</f>
        <v>-1.352621165151026</v>
      </c>
      <c r="T7">
        <f t="shared" ref="T7:V7" si="6">T2/T3</f>
        <v>1.335729321326341</v>
      </c>
      <c r="U7">
        <f t="shared" si="6"/>
        <v>-1.3162814288706792</v>
      </c>
      <c r="V7">
        <f t="shared" si="6"/>
        <v>1.3041552098247033</v>
      </c>
    </row>
    <row r="8" spans="1:23" ht="16.5" thickTop="1" thickBot="1" x14ac:dyDescent="0.3">
      <c r="A8">
        <v>1</v>
      </c>
      <c r="B8" s="2">
        <v>159</v>
      </c>
      <c r="C8" s="10">
        <v>170</v>
      </c>
      <c r="D8" s="10">
        <f t="shared" si="2"/>
        <v>28900</v>
      </c>
      <c r="E8" s="11">
        <f t="shared" si="3"/>
        <v>4913000</v>
      </c>
      <c r="F8" s="11">
        <v>72</v>
      </c>
      <c r="G8" s="56">
        <f t="shared" si="0"/>
        <v>72.626771492935646</v>
      </c>
      <c r="H8" s="56">
        <f t="shared" si="4"/>
        <v>-0.62677149293564582</v>
      </c>
      <c r="I8" s="56">
        <f t="shared" si="1"/>
        <v>73.146899153656705</v>
      </c>
      <c r="J8" s="56">
        <f t="shared" si="5"/>
        <v>-1.1468991536567046</v>
      </c>
      <c r="L8" s="20" t="s">
        <v>50</v>
      </c>
      <c r="M8" s="4">
        <f>AVERAGE(C2:C31)</f>
        <v>179.13333333333333</v>
      </c>
      <c r="R8" s="51" t="s">
        <v>33</v>
      </c>
      <c r="S8">
        <f>_xlfn.T.DIST.2T(ABS(S7),$T$5)</f>
        <v>0.18782394268504518</v>
      </c>
      <c r="T8">
        <f t="shared" ref="T8:V8" si="7">_xlfn.T.DIST.2T(ABS(T7),$T$5)</f>
        <v>0.19321342060382185</v>
      </c>
      <c r="U8">
        <f t="shared" si="7"/>
        <v>0.19956646475083342</v>
      </c>
      <c r="V8">
        <f t="shared" si="7"/>
        <v>0.20360876184269211</v>
      </c>
    </row>
    <row r="9" spans="1:23" ht="15.75" thickTop="1" x14ac:dyDescent="0.25">
      <c r="A9">
        <v>1</v>
      </c>
      <c r="B9" s="2">
        <v>164</v>
      </c>
      <c r="C9" s="10">
        <v>178</v>
      </c>
      <c r="D9" s="10">
        <f t="shared" si="2"/>
        <v>31684</v>
      </c>
      <c r="E9" s="11">
        <f t="shared" si="3"/>
        <v>5639752</v>
      </c>
      <c r="F9" s="11">
        <v>75</v>
      </c>
      <c r="G9" s="56">
        <f t="shared" si="0"/>
        <v>76.225580048425755</v>
      </c>
      <c r="H9" s="56">
        <f t="shared" si="4"/>
        <v>-1.2255800484257549</v>
      </c>
      <c r="I9" s="56">
        <f t="shared" si="1"/>
        <v>76.007666922141652</v>
      </c>
      <c r="J9" s="56">
        <f t="shared" si="5"/>
        <v>-1.0076669221416523</v>
      </c>
    </row>
    <row r="10" spans="1:23" ht="15.75" thickBot="1" x14ac:dyDescent="0.3">
      <c r="A10">
        <v>1</v>
      </c>
      <c r="B10" s="2">
        <v>169</v>
      </c>
      <c r="C10" s="10">
        <v>175</v>
      </c>
      <c r="D10" s="10">
        <f t="shared" si="2"/>
        <v>30625</v>
      </c>
      <c r="E10" s="11">
        <f t="shared" si="3"/>
        <v>5359375</v>
      </c>
      <c r="F10" s="11">
        <v>76</v>
      </c>
      <c r="G10" s="56">
        <f t="shared" si="0"/>
        <v>75.042902286966708</v>
      </c>
      <c r="H10" s="56">
        <f t="shared" si="4"/>
        <v>0.95709771303329205</v>
      </c>
      <c r="I10" s="56">
        <f t="shared" si="1"/>
        <v>74.657975026213535</v>
      </c>
      <c r="J10" s="56">
        <f t="shared" si="5"/>
        <v>1.3420249737864651</v>
      </c>
      <c r="L10" s="21" t="s">
        <v>20</v>
      </c>
      <c r="M10" s="45">
        <f>SUMSQ(H2:H31)</f>
        <v>74.089494921944365</v>
      </c>
      <c r="P10" s="21" t="s">
        <v>20</v>
      </c>
      <c r="Q10" s="9">
        <f>SUMSQ(J2:J31)</f>
        <v>69.604167536096796</v>
      </c>
      <c r="S10" s="49" t="s">
        <v>63</v>
      </c>
      <c r="T10" s="4" t="str">
        <f>IF(S8&gt;0.05,"Współczynnik a może być zerowy","Współczynnik a jest różny od zera")</f>
        <v>Współczynnik a może być zerowy</v>
      </c>
      <c r="U10" s="4"/>
      <c r="V10" s="4"/>
      <c r="W10" s="10"/>
    </row>
    <row r="11" spans="1:23" ht="15.75" thickTop="1" x14ac:dyDescent="0.25">
      <c r="A11">
        <v>1</v>
      </c>
      <c r="B11" s="2">
        <v>167</v>
      </c>
      <c r="C11" s="10">
        <v>177</v>
      </c>
      <c r="D11" s="10">
        <f t="shared" si="2"/>
        <v>31329</v>
      </c>
      <c r="E11" s="11">
        <f t="shared" si="3"/>
        <v>5545233</v>
      </c>
      <c r="F11" s="11">
        <v>75</v>
      </c>
      <c r="G11" s="56">
        <f t="shared" si="0"/>
        <v>75.854704452043464</v>
      </c>
      <c r="H11" s="56">
        <f t="shared" si="4"/>
        <v>-0.8547044520434639</v>
      </c>
      <c r="I11" s="56">
        <f t="shared" si="1"/>
        <v>75.546068900457612</v>
      </c>
      <c r="J11" s="56">
        <f t="shared" si="5"/>
        <v>-0.54606890045761247</v>
      </c>
      <c r="L11" s="22" t="s">
        <v>22</v>
      </c>
      <c r="M11" s="46" cm="1">
        <f t="array" ref="M11">SUM((G2:G31-M7)^2)</f>
        <v>117.37458429830541</v>
      </c>
      <c r="P11" s="22" t="s">
        <v>22</v>
      </c>
      <c r="Q11" s="11" cm="1">
        <f t="array" ref="Q11">SUM((I2:I31-M7)^2)</f>
        <v>121.86249913051846</v>
      </c>
      <c r="T11" s="4" t="str">
        <f>IF(T8&gt;0.05,"Współczynnik b może być zerowy","Współczynnik b jest różny od zera")</f>
        <v>Współczynnik b może być zerowy</v>
      </c>
      <c r="U11" s="4"/>
      <c r="V11" s="4"/>
      <c r="W11" s="10"/>
    </row>
    <row r="12" spans="1:23" x14ac:dyDescent="0.25">
      <c r="A12">
        <v>1</v>
      </c>
      <c r="B12" s="2">
        <v>177</v>
      </c>
      <c r="C12" s="10">
        <v>179</v>
      </c>
      <c r="D12" s="10">
        <f t="shared" si="2"/>
        <v>32041</v>
      </c>
      <c r="E12" s="11">
        <f t="shared" si="3"/>
        <v>5735339</v>
      </c>
      <c r="F12" s="11">
        <v>79</v>
      </c>
      <c r="G12" s="56">
        <f t="shared" si="0"/>
        <v>76.572476598118797</v>
      </c>
      <c r="H12" s="56">
        <f t="shared" si="4"/>
        <v>2.4275234018812029</v>
      </c>
      <c r="I12" s="56">
        <f t="shared" si="1"/>
        <v>76.466554348022328</v>
      </c>
      <c r="J12" s="56">
        <f t="shared" si="5"/>
        <v>2.5334456519776722</v>
      </c>
      <c r="L12" s="23" t="s">
        <v>23</v>
      </c>
      <c r="M12" s="31" cm="1">
        <f t="array" ref="M12">SUM((F2:F31-M7)^2)</f>
        <v>191.4666666666667</v>
      </c>
      <c r="N12" s="33">
        <f>SUM(M10:M11)</f>
        <v>191.46407922024977</v>
      </c>
      <c r="P12" s="23" t="s">
        <v>23</v>
      </c>
      <c r="Q12" s="14" cm="1">
        <f t="array" ref="Q12">SUM((F2:F31-M7)^2)</f>
        <v>191.4666666666667</v>
      </c>
      <c r="R12" s="4">
        <f>SUM(Q10:Q11)</f>
        <v>191.46666666661525</v>
      </c>
      <c r="T12" s="4" t="str">
        <f>IF(U8&gt;0.05,"Współczynnik c może być zerowy","Współczynnik c jest różny od zera")</f>
        <v>Współczynnik c może być zerowy</v>
      </c>
      <c r="U12" s="4"/>
      <c r="V12" s="4"/>
      <c r="W12" s="10"/>
    </row>
    <row r="13" spans="1:23" x14ac:dyDescent="0.25">
      <c r="A13">
        <v>1</v>
      </c>
      <c r="B13" s="2">
        <v>172</v>
      </c>
      <c r="C13" s="10">
        <v>174</v>
      </c>
      <c r="D13" s="10">
        <f t="shared" si="2"/>
        <v>30276</v>
      </c>
      <c r="E13" s="11">
        <f t="shared" si="3"/>
        <v>5268024</v>
      </c>
      <c r="F13" s="11">
        <v>76</v>
      </c>
      <c r="G13" s="56">
        <f t="shared" si="0"/>
        <v>74.602918802150114</v>
      </c>
      <c r="H13" s="56">
        <f t="shared" si="4"/>
        <v>1.3970811978498858</v>
      </c>
      <c r="I13" s="56">
        <f t="shared" si="1"/>
        <v>74.253096151933278</v>
      </c>
      <c r="J13" s="56">
        <f t="shared" si="5"/>
        <v>1.7469038480667223</v>
      </c>
      <c r="T13" s="4" t="str">
        <f>IF(V8&gt;0.05,"Współczynnik d może być zerowy","Współczynnik d jest różny od zera")</f>
        <v>Współczynnik d może być zerowy</v>
      </c>
      <c r="U13" s="4"/>
      <c r="V13" s="4"/>
      <c r="W13" s="10"/>
    </row>
    <row r="14" spans="1:23" ht="15.75" thickBot="1" x14ac:dyDescent="0.3">
      <c r="A14">
        <v>1</v>
      </c>
      <c r="B14" s="2">
        <v>159</v>
      </c>
      <c r="C14" s="10">
        <v>172</v>
      </c>
      <c r="D14" s="10">
        <f t="shared" si="2"/>
        <v>29584</v>
      </c>
      <c r="E14" s="11">
        <f t="shared" si="3"/>
        <v>5088448</v>
      </c>
      <c r="F14" s="11">
        <v>72</v>
      </c>
      <c r="G14" s="56">
        <f t="shared" si="0"/>
        <v>73.657144737654519</v>
      </c>
      <c r="H14" s="56">
        <f t="shared" si="4"/>
        <v>-1.6571447376545194</v>
      </c>
      <c r="I14" s="56">
        <f t="shared" si="1"/>
        <v>73.57571697475214</v>
      </c>
      <c r="J14" s="56">
        <f t="shared" si="5"/>
        <v>-1.5757169747521402</v>
      </c>
      <c r="L14" s="20" t="s">
        <v>25</v>
      </c>
      <c r="M14" s="43">
        <f>M11/M12</f>
        <v>0.61302881771399054</v>
      </c>
      <c r="P14" s="20" t="s">
        <v>25</v>
      </c>
      <c r="Q14" s="44">
        <f>Q11/Q12</f>
        <v>0.63646848431677461</v>
      </c>
      <c r="S14" s="49" t="s">
        <v>35</v>
      </c>
      <c r="T14" s="13">
        <f>S5</f>
        <v>15.173540558253482</v>
      </c>
      <c r="U14" s="13">
        <f>_xlfn.F.DIST.RT(T14,3,T5)</f>
        <v>6.5946301002546247E-6</v>
      </c>
    </row>
    <row r="15" spans="1:23" ht="15.75" thickTop="1" x14ac:dyDescent="0.25">
      <c r="A15">
        <v>1</v>
      </c>
      <c r="B15" s="2">
        <v>160</v>
      </c>
      <c r="C15" s="10">
        <v>173</v>
      </c>
      <c r="D15" s="10">
        <f t="shared" si="2"/>
        <v>29929</v>
      </c>
      <c r="E15" s="11">
        <f t="shared" si="3"/>
        <v>5177717</v>
      </c>
      <c r="F15" s="11">
        <v>72</v>
      </c>
      <c r="G15" s="56">
        <f t="shared" si="0"/>
        <v>74.140842438399673</v>
      </c>
      <c r="H15" s="56">
        <f t="shared" si="4"/>
        <v>-2.1408424383996731</v>
      </c>
      <c r="I15" s="56">
        <f t="shared" si="1"/>
        <v>73.888740638401941</v>
      </c>
      <c r="J15" s="56">
        <f t="shared" si="5"/>
        <v>-1.8887406384019414</v>
      </c>
      <c r="L15" s="20" t="s">
        <v>26</v>
      </c>
      <c r="M15" s="43">
        <f>1-M10/27/M12*29</f>
        <v>0.58437880053845825</v>
      </c>
      <c r="P15" s="20" t="s">
        <v>26</v>
      </c>
      <c r="Q15" s="43">
        <f>1-Q10/27/Q12*29</f>
        <v>0.60954022389608342</v>
      </c>
      <c r="S15" s="52"/>
    </row>
    <row r="16" spans="1:23" x14ac:dyDescent="0.25">
      <c r="A16">
        <v>1</v>
      </c>
      <c r="B16" s="2">
        <v>168</v>
      </c>
      <c r="C16" s="10">
        <v>189</v>
      </c>
      <c r="D16" s="10">
        <f t="shared" si="2"/>
        <v>35721</v>
      </c>
      <c r="E16" s="11">
        <f t="shared" si="3"/>
        <v>6751269</v>
      </c>
      <c r="F16" s="11">
        <v>79</v>
      </c>
      <c r="G16" s="56">
        <f t="shared" si="0"/>
        <v>78.618855300578346</v>
      </c>
      <c r="H16" s="56">
        <f t="shared" si="4"/>
        <v>0.38114469942165385</v>
      </c>
      <c r="I16" s="56">
        <f t="shared" si="1"/>
        <v>78.528478227042797</v>
      </c>
      <c r="J16" s="56">
        <f t="shared" si="5"/>
        <v>0.47152177295720321</v>
      </c>
    </row>
    <row r="17" spans="1:10" x14ac:dyDescent="0.25">
      <c r="A17">
        <v>1</v>
      </c>
      <c r="B17" s="2">
        <v>166</v>
      </c>
      <c r="C17" s="10">
        <v>187</v>
      </c>
      <c r="D17" s="10">
        <f t="shared" si="2"/>
        <v>34969</v>
      </c>
      <c r="E17" s="11">
        <f t="shared" si="3"/>
        <v>6539203</v>
      </c>
      <c r="F17" s="11">
        <v>77</v>
      </c>
      <c r="G17" s="56">
        <f t="shared" si="0"/>
        <v>78.427818282179445</v>
      </c>
      <c r="H17" s="56">
        <f t="shared" si="4"/>
        <v>-1.4278182821794445</v>
      </c>
      <c r="I17" s="56">
        <f t="shared" si="1"/>
        <v>78.743053609428898</v>
      </c>
      <c r="J17" s="56">
        <f t="shared" si="5"/>
        <v>-1.7430536094288982</v>
      </c>
    </row>
    <row r="18" spans="1:10" x14ac:dyDescent="0.25">
      <c r="A18">
        <v>1</v>
      </c>
      <c r="B18" s="2">
        <v>172</v>
      </c>
      <c r="C18" s="10">
        <v>174</v>
      </c>
      <c r="D18" s="10">
        <f t="shared" si="2"/>
        <v>30276</v>
      </c>
      <c r="E18" s="11">
        <f t="shared" si="3"/>
        <v>5268024</v>
      </c>
      <c r="F18" s="11">
        <v>77</v>
      </c>
      <c r="G18" s="56">
        <f t="shared" si="0"/>
        <v>74.602918802150114</v>
      </c>
      <c r="H18" s="56">
        <f t="shared" si="4"/>
        <v>2.3970811978498858</v>
      </c>
      <c r="I18" s="56">
        <f t="shared" si="1"/>
        <v>74.253096151933278</v>
      </c>
      <c r="J18" s="56">
        <f t="shared" si="5"/>
        <v>2.7469038480667223</v>
      </c>
    </row>
    <row r="19" spans="1:10" x14ac:dyDescent="0.25">
      <c r="A19">
        <v>1</v>
      </c>
      <c r="B19" s="2">
        <v>164</v>
      </c>
      <c r="C19" s="10">
        <v>173</v>
      </c>
      <c r="D19" s="10">
        <f t="shared" si="2"/>
        <v>29929</v>
      </c>
      <c r="E19" s="11">
        <f t="shared" si="3"/>
        <v>5177717</v>
      </c>
      <c r="F19" s="11">
        <v>75</v>
      </c>
      <c r="G19" s="56">
        <f t="shared" si="0"/>
        <v>74.140842438399673</v>
      </c>
      <c r="H19" s="56">
        <f t="shared" si="4"/>
        <v>0.85915756160032686</v>
      </c>
      <c r="I19" s="56">
        <f t="shared" si="1"/>
        <v>73.888740638401941</v>
      </c>
      <c r="J19" s="56">
        <f t="shared" si="5"/>
        <v>1.1112593615980586</v>
      </c>
    </row>
    <row r="20" spans="1:10" x14ac:dyDescent="0.25">
      <c r="A20">
        <v>1</v>
      </c>
      <c r="B20" s="2">
        <v>171</v>
      </c>
      <c r="C20" s="10">
        <v>179</v>
      </c>
      <c r="D20" s="10">
        <f t="shared" si="2"/>
        <v>32041</v>
      </c>
      <c r="E20" s="11">
        <f t="shared" si="3"/>
        <v>5735339</v>
      </c>
      <c r="F20" s="11">
        <v>76</v>
      </c>
      <c r="G20" s="56">
        <f t="shared" si="0"/>
        <v>76.572476598118797</v>
      </c>
      <c r="H20" s="56">
        <f t="shared" si="4"/>
        <v>-0.57247659811879714</v>
      </c>
      <c r="I20" s="56">
        <f t="shared" si="1"/>
        <v>76.466554348022328</v>
      </c>
      <c r="J20" s="56">
        <f t="shared" si="5"/>
        <v>-0.46655434802232776</v>
      </c>
    </row>
    <row r="21" spans="1:10" x14ac:dyDescent="0.25">
      <c r="A21">
        <v>1</v>
      </c>
      <c r="B21" s="2">
        <v>161</v>
      </c>
      <c r="C21" s="10">
        <v>175</v>
      </c>
      <c r="D21" s="10">
        <f t="shared" si="2"/>
        <v>30625</v>
      </c>
      <c r="E21" s="11">
        <f t="shared" si="3"/>
        <v>5359375</v>
      </c>
      <c r="F21" s="11">
        <v>75</v>
      </c>
      <c r="G21" s="56">
        <f t="shared" si="0"/>
        <v>75.042902286966708</v>
      </c>
      <c r="H21" s="56">
        <f t="shared" si="4"/>
        <v>-4.2902286966707948E-2</v>
      </c>
      <c r="I21" s="56">
        <f t="shared" si="1"/>
        <v>74.657975026213535</v>
      </c>
      <c r="J21" s="56">
        <f t="shared" si="5"/>
        <v>0.34202497378646513</v>
      </c>
    </row>
    <row r="22" spans="1:10" x14ac:dyDescent="0.25">
      <c r="A22">
        <v>1</v>
      </c>
      <c r="B22" s="2">
        <v>172</v>
      </c>
      <c r="C22" s="10">
        <v>186</v>
      </c>
      <c r="D22" s="10">
        <f t="shared" si="2"/>
        <v>34596</v>
      </c>
      <c r="E22" s="11">
        <f t="shared" si="3"/>
        <v>6434856</v>
      </c>
      <c r="F22" s="11">
        <v>80</v>
      </c>
      <c r="G22" s="56">
        <f t="shared" si="0"/>
        <v>78.289729615801392</v>
      </c>
      <c r="H22" s="56">
        <f t="shared" si="4"/>
        <v>1.7102703841986084</v>
      </c>
      <c r="I22" s="56">
        <f t="shared" si="1"/>
        <v>78.694956558978447</v>
      </c>
      <c r="J22" s="56">
        <f t="shared" si="5"/>
        <v>1.305043441021553</v>
      </c>
    </row>
    <row r="23" spans="1:10" x14ac:dyDescent="0.25">
      <c r="A23">
        <v>1</v>
      </c>
      <c r="B23" s="2">
        <v>166</v>
      </c>
      <c r="C23" s="10">
        <v>182</v>
      </c>
      <c r="D23" s="10">
        <f t="shared" si="2"/>
        <v>33124</v>
      </c>
      <c r="E23" s="11">
        <f t="shared" si="3"/>
        <v>6028568</v>
      </c>
      <c r="F23" s="11">
        <v>76</v>
      </c>
      <c r="G23" s="56">
        <f t="shared" si="0"/>
        <v>77.464576547672849</v>
      </c>
      <c r="H23" s="56">
        <f t="shared" si="4"/>
        <v>-1.4645765476728485</v>
      </c>
      <c r="I23" s="56">
        <f t="shared" si="1"/>
        <v>77.718868159430713</v>
      </c>
      <c r="J23" s="56">
        <f t="shared" si="5"/>
        <v>-1.7188681594307127</v>
      </c>
    </row>
    <row r="24" spans="1:10" x14ac:dyDescent="0.25">
      <c r="A24">
        <v>1</v>
      </c>
      <c r="B24" s="2">
        <v>156</v>
      </c>
      <c r="C24" s="10">
        <v>191</v>
      </c>
      <c r="D24" s="10">
        <f t="shared" si="2"/>
        <v>36481</v>
      </c>
      <c r="E24" s="11">
        <f t="shared" si="3"/>
        <v>6967871</v>
      </c>
      <c r="F24" s="11">
        <v>76</v>
      </c>
      <c r="G24" s="56">
        <f t="shared" si="0"/>
        <v>78.693228286908337</v>
      </c>
      <c r="H24" s="56">
        <f t="shared" si="4"/>
        <v>-2.6932282869083366</v>
      </c>
      <c r="I24" s="56">
        <f t="shared" si="1"/>
        <v>77.827486939357186</v>
      </c>
      <c r="J24" s="56">
        <f t="shared" si="5"/>
        <v>-1.8274869393571862</v>
      </c>
    </row>
    <row r="25" spans="1:10" x14ac:dyDescent="0.25">
      <c r="A25">
        <v>1</v>
      </c>
      <c r="B25" s="2">
        <v>172</v>
      </c>
      <c r="C25" s="10">
        <v>180</v>
      </c>
      <c r="D25" s="10">
        <f t="shared" si="2"/>
        <v>32400</v>
      </c>
      <c r="E25" s="11">
        <f t="shared" si="3"/>
        <v>5832000</v>
      </c>
      <c r="F25" s="11">
        <v>78</v>
      </c>
      <c r="G25" s="56">
        <f t="shared" si="0"/>
        <v>76.894922559183513</v>
      </c>
      <c r="H25" s="56">
        <f t="shared" si="4"/>
        <v>1.105077440816487</v>
      </c>
      <c r="I25" s="56">
        <f t="shared" si="1"/>
        <v>76.911922688952473</v>
      </c>
      <c r="J25" s="56">
        <f t="shared" si="5"/>
        <v>1.0880773110475275</v>
      </c>
    </row>
    <row r="26" spans="1:10" x14ac:dyDescent="0.25">
      <c r="A26">
        <v>1</v>
      </c>
      <c r="B26" s="2">
        <v>170</v>
      </c>
      <c r="C26" s="10">
        <v>183</v>
      </c>
      <c r="D26" s="10">
        <f t="shared" si="2"/>
        <v>33489</v>
      </c>
      <c r="E26" s="11">
        <f t="shared" si="3"/>
        <v>6128487</v>
      </c>
      <c r="F26" s="11">
        <v>78</v>
      </c>
      <c r="G26" s="56">
        <f t="shared" si="0"/>
        <v>77.710841491219597</v>
      </c>
      <c r="H26" s="56">
        <f t="shared" si="4"/>
        <v>0.28915850878040317</v>
      </c>
      <c r="I26" s="56">
        <f t="shared" si="1"/>
        <v>78.058828310702665</v>
      </c>
      <c r="J26" s="56">
        <f t="shared" si="5"/>
        <v>-5.8828310702665476E-2</v>
      </c>
    </row>
    <row r="27" spans="1:10" x14ac:dyDescent="0.25">
      <c r="A27">
        <v>1</v>
      </c>
      <c r="B27" s="2">
        <v>157</v>
      </c>
      <c r="C27" s="10">
        <v>182</v>
      </c>
      <c r="D27" s="10">
        <f t="shared" si="2"/>
        <v>33124</v>
      </c>
      <c r="E27" s="11">
        <f t="shared" si="3"/>
        <v>6028568</v>
      </c>
      <c r="F27" s="11">
        <v>75</v>
      </c>
      <c r="G27" s="56">
        <f t="shared" si="0"/>
        <v>77.464576547672849</v>
      </c>
      <c r="H27" s="56">
        <f t="shared" si="4"/>
        <v>-2.4645765476728485</v>
      </c>
      <c r="I27" s="56">
        <f t="shared" si="1"/>
        <v>77.718868159430713</v>
      </c>
      <c r="J27" s="56">
        <f t="shared" si="5"/>
        <v>-2.7188681594307127</v>
      </c>
    </row>
    <row r="28" spans="1:10" x14ac:dyDescent="0.25">
      <c r="A28">
        <v>1</v>
      </c>
      <c r="B28" s="2">
        <v>159</v>
      </c>
      <c r="C28" s="10">
        <v>177</v>
      </c>
      <c r="D28" s="10">
        <f t="shared" si="2"/>
        <v>31329</v>
      </c>
      <c r="E28" s="11">
        <f t="shared" si="3"/>
        <v>5545233</v>
      </c>
      <c r="F28" s="11">
        <v>73</v>
      </c>
      <c r="G28" s="56">
        <f t="shared" si="0"/>
        <v>75.854704452043464</v>
      </c>
      <c r="H28" s="56">
        <f t="shared" si="4"/>
        <v>-2.8547044520434639</v>
      </c>
      <c r="I28" s="56">
        <f t="shared" si="1"/>
        <v>75.546068900457612</v>
      </c>
      <c r="J28" s="56">
        <f t="shared" si="5"/>
        <v>-2.5460689004576125</v>
      </c>
    </row>
    <row r="29" spans="1:10" x14ac:dyDescent="0.25">
      <c r="A29">
        <v>1</v>
      </c>
      <c r="B29" s="2">
        <v>163</v>
      </c>
      <c r="C29" s="10">
        <v>176</v>
      </c>
      <c r="D29" s="10">
        <f t="shared" si="2"/>
        <v>30976</v>
      </c>
      <c r="E29" s="11">
        <f t="shared" si="3"/>
        <v>5451776</v>
      </c>
      <c r="F29" s="11">
        <v>74</v>
      </c>
      <c r="G29" s="56">
        <f t="shared" si="0"/>
        <v>75.460321350910888</v>
      </c>
      <c r="H29" s="56">
        <f t="shared" si="4"/>
        <v>-1.4603213509108883</v>
      </c>
      <c r="I29" s="56">
        <f t="shared" si="1"/>
        <v>75.092568772102823</v>
      </c>
      <c r="J29" s="56">
        <f t="shared" si="5"/>
        <v>-1.0925687721028225</v>
      </c>
    </row>
    <row r="30" spans="1:10" x14ac:dyDescent="0.25">
      <c r="A30">
        <v>1</v>
      </c>
      <c r="B30" s="2">
        <v>164</v>
      </c>
      <c r="C30" s="10">
        <v>169</v>
      </c>
      <c r="D30" s="10">
        <f t="shared" si="2"/>
        <v>28561</v>
      </c>
      <c r="E30" s="11">
        <f t="shared" si="3"/>
        <v>4826809</v>
      </c>
      <c r="F30" s="11">
        <v>73</v>
      </c>
      <c r="G30" s="56">
        <f t="shared" si="0"/>
        <v>72.081039032839684</v>
      </c>
      <c r="H30" s="56">
        <f t="shared" si="4"/>
        <v>0.9189609671603165</v>
      </c>
      <c r="I30" s="56">
        <f t="shared" si="1"/>
        <v>73.052721974476299</v>
      </c>
      <c r="J30" s="56">
        <f t="shared" si="5"/>
        <v>-5.2721974476298783E-2</v>
      </c>
    </row>
    <row r="31" spans="1:10" x14ac:dyDescent="0.25">
      <c r="A31">
        <v>1</v>
      </c>
      <c r="B31" s="12">
        <v>171</v>
      </c>
      <c r="C31" s="13">
        <v>186</v>
      </c>
      <c r="D31" s="13">
        <f t="shared" si="2"/>
        <v>34596</v>
      </c>
      <c r="E31" s="14">
        <f t="shared" si="3"/>
        <v>6434856</v>
      </c>
      <c r="F31" s="14">
        <v>79</v>
      </c>
      <c r="G31" s="56">
        <f t="shared" si="0"/>
        <v>78.289729615801392</v>
      </c>
      <c r="H31" s="56">
        <f t="shared" si="4"/>
        <v>0.71027038419860844</v>
      </c>
      <c r="I31" s="56">
        <f t="shared" si="1"/>
        <v>78.694956558978447</v>
      </c>
      <c r="J31" s="56">
        <f t="shared" si="5"/>
        <v>0.30504344102155301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8</vt:i4>
      </vt:variant>
    </vt:vector>
  </HeadingPairs>
  <TitlesOfParts>
    <vt:vector size="10" baseType="lpstr">
      <vt:lpstr>Irys</vt:lpstr>
      <vt:lpstr>Wzrost</vt:lpstr>
      <vt:lpstr>Wzrost!_a</vt:lpstr>
      <vt:lpstr>Wzrost!_a1</vt:lpstr>
      <vt:lpstr>Wzrost!_b</vt:lpstr>
      <vt:lpstr>Wzrost!_b1</vt:lpstr>
      <vt:lpstr>Wzrost!_c</vt:lpstr>
      <vt:lpstr>Wzrost!_c1</vt:lpstr>
      <vt:lpstr>Wzrost!_d</vt:lpstr>
      <vt:lpstr>Wzrost!_d1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2020-04-26T15:59:30Z</dcterms:created>
  <dcterms:modified xsi:type="dcterms:W3CDTF">2020-06-28T11:56:36Z</dcterms:modified>
</cp:coreProperties>
</file>