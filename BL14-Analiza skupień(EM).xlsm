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BF52F1C6-0D86-4630-9084-2DDFB53F21A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2-grupy(EM)" sheetId="1" r:id="rId1"/>
    <sheet name="4-grupy(EM)" sheetId="4" r:id="rId2"/>
  </sheets>
  <functionGroups builtInGroupCount="19"/>
  <definedNames>
    <definedName name="_m1" localSheetId="1">'4-grupy(EM)'!$O$2</definedName>
    <definedName name="_m2" localSheetId="1">'4-grupy(EM)'!$O$3</definedName>
    <definedName name="_m3" localSheetId="1">'4-grupy(EM)'!$O$4</definedName>
    <definedName name="_m4" localSheetId="1">'4-grupy(EM)'!$O$5</definedName>
    <definedName name="_n1" localSheetId="0">'2-grupy(EM)'!$M$2</definedName>
    <definedName name="_n2" localSheetId="0">'2-grupy(EM)'!$M$3</definedName>
    <definedName name="_pl1_2" localSheetId="0">OFFSET('2-grupy(EM)'!$Q$2,0,0,'2-grupy(EM)'!_n1,1)</definedName>
    <definedName name="_pl1_4" localSheetId="1">OFFSET('4-grupy(EM)'!$S$2,0,0,'4-grupy(EM)'!_m1,1)</definedName>
    <definedName name="_pl2_2" localSheetId="0">OFFSET('2-grupy(EM)'!$Q$2,'2-grupy(EM)'!_n1,0,'2-grupy(EM)'!_n2,1)</definedName>
    <definedName name="_pl2_4" localSheetId="1">OFFSET('4-grupy(EM)'!$S$2,'4-grupy(EM)'!_m1,0,'4-grupy(EM)'!_m2,1)</definedName>
    <definedName name="_pl3_4" localSheetId="1">OFFSET('4-grupy(EM)'!$S$2,'4-grupy(EM)'!_m1+'4-grupy(EM)'!_m2,0,'4-grupy(EM)'!_m3,1)</definedName>
    <definedName name="_pl4_4" localSheetId="1">OFFSET('4-grupy(EM)'!$S$2,'4-grupy(EM)'!_m1+'4-grupy(EM)'!_m2+'4-grupy(EM)'!_m3,0,'4-grupy(EM)'!_m4,1)</definedName>
    <definedName name="_pw1_2" localSheetId="0">OFFSET('2-grupy(EM)'!$R$2,0,0,'2-grupy(EM)'!_n1,1)</definedName>
    <definedName name="_pw1_4" localSheetId="1">OFFSET('4-grupy(EM)'!$T$2,0,0,'4-grupy(EM)'!_m1,1)</definedName>
    <definedName name="_pw2_2" localSheetId="0">OFFSET('2-grupy(EM)'!$R$2,'2-grupy(EM)'!_n1,0,'2-grupy(EM)'!_n2,1)</definedName>
    <definedName name="_pw2_4" localSheetId="1">OFFSET('4-grupy(EM)'!$T$2,'4-grupy(EM)'!_m1,0,'4-grupy(EM)'!_m2,1)</definedName>
    <definedName name="_pw3_4" localSheetId="1">OFFSET('4-grupy(EM)'!$T$2,'4-grupy(EM)'!_m1+'4-grupy(EM)'!_m2,0,'4-grupy(EM)'!_m3,1)</definedName>
    <definedName name="_pw4_4" localSheetId="1">OFFSET('4-grupy(EM)'!$T$2,'4-grupy(EM)'!_m1+'4-grupy(EM)'!_m2+'4-grupy(EM)'!_m3,0,'4-grupy(EM)'!_m4,1)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1" i="1" l="1"/>
  <c r="M11" i="1"/>
  <c r="N7" i="1"/>
  <c r="M7" i="1"/>
  <c r="G2" i="1" a="1"/>
  <c r="G114" i="4" a="1"/>
  <c r="G138" i="4" a="1"/>
  <c r="G74" i="4" a="1"/>
  <c r="G102" i="4" a="1"/>
  <c r="G31" i="4" a="1"/>
  <c r="G101" i="4" a="1"/>
  <c r="G78" i="4" a="1"/>
  <c r="G89" i="4" a="1"/>
  <c r="G105" i="4" a="1"/>
  <c r="G16" i="4" a="1"/>
  <c r="G24" i="4" a="1"/>
  <c r="G88" i="4" a="1"/>
  <c r="G49" i="4" a="1"/>
  <c r="G97" i="4" a="1"/>
  <c r="G113" i="4" a="1"/>
  <c r="G140" i="4" a="1"/>
  <c r="G23" i="4" a="1"/>
  <c r="G42" i="4" a="1"/>
  <c r="G19" i="4" a="1"/>
  <c r="G61" i="4" a="1"/>
  <c r="G128" i="4" a="1"/>
  <c r="G34" i="4" a="1"/>
  <c r="G124" i="4" a="1"/>
  <c r="G22" i="4" a="1"/>
  <c r="G130" i="4" a="1"/>
  <c r="G8" i="4" a="1"/>
  <c r="G143" i="4" a="1"/>
  <c r="G98" i="4" a="1"/>
  <c r="G40" i="4" a="1"/>
  <c r="G86" i="4" a="1"/>
  <c r="G94" i="4" a="1"/>
  <c r="G67" i="4" a="1"/>
  <c r="G12" i="4" a="1"/>
  <c r="G52" i="4" a="1"/>
  <c r="G136" i="4" a="1"/>
  <c r="G87" i="4" a="1"/>
  <c r="G37" i="4" a="1"/>
  <c r="G95" i="4" a="1"/>
  <c r="G76" i="4" a="1"/>
  <c r="G48" i="4" a="1"/>
  <c r="G127" i="4" a="1"/>
  <c r="G66" i="4" a="1"/>
  <c r="G90" i="4" a="1"/>
  <c r="G85" i="4" a="1"/>
  <c r="G4" i="4" a="1"/>
  <c r="G117" i="4" a="1"/>
  <c r="G26" i="4" a="1"/>
  <c r="G44" i="4" a="1"/>
  <c r="G45" i="4" a="1"/>
  <c r="G64" i="4" a="1"/>
  <c r="G120" i="4" a="1"/>
  <c r="G118" i="4" a="1"/>
  <c r="G135" i="4" a="1"/>
  <c r="G107" i="4" a="1"/>
  <c r="G137" i="4" a="1"/>
  <c r="G68" i="4" a="1"/>
  <c r="G115" i="4" a="1"/>
  <c r="G18" i="4" a="1"/>
  <c r="G82" i="4" a="1"/>
  <c r="G11" i="4" a="1"/>
  <c r="G141" i="4" a="1"/>
  <c r="G123" i="4" a="1"/>
  <c r="G139" i="4" a="1"/>
  <c r="G69" i="4" a="1"/>
  <c r="G50" i="4" a="1"/>
  <c r="G7" i="4" a="1"/>
  <c r="G129" i="4" a="1"/>
  <c r="G83" i="4" a="1"/>
  <c r="G33" i="4" a="1"/>
  <c r="G39" i="4" a="1"/>
  <c r="G100" i="4" a="1"/>
  <c r="G145" i="4" a="1"/>
  <c r="G103" i="4" a="1"/>
  <c r="G119" i="4" a="1"/>
  <c r="G109" i="4" a="1"/>
  <c r="G142" i="4" a="1"/>
  <c r="G56" i="4" a="1"/>
  <c r="G57" i="4" a="1"/>
  <c r="G54" i="4" a="1"/>
  <c r="G53" i="4" a="1"/>
  <c r="G75" i="4" a="1"/>
  <c r="G150" i="4" a="1"/>
  <c r="G144" i="4" a="1"/>
  <c r="G20" i="4" a="1"/>
  <c r="G122" i="4" a="1"/>
  <c r="G65" i="4" a="1"/>
  <c r="G77" i="4" a="1"/>
  <c r="G59" i="4" a="1"/>
  <c r="G46" i="4" a="1"/>
  <c r="G25" i="4" a="1"/>
  <c r="G134" i="4" a="1"/>
  <c r="G51" i="4" a="1"/>
  <c r="G71" i="4" a="1"/>
  <c r="G79" i="4" a="1"/>
  <c r="G81" i="4" a="1"/>
  <c r="G15" i="4" a="1"/>
  <c r="G106" i="4" a="1"/>
  <c r="G111" i="4" a="1"/>
  <c r="G17" i="4" a="1"/>
  <c r="G99" i="4" a="1"/>
  <c r="G47" i="4" a="1"/>
  <c r="G73" i="4" a="1"/>
  <c r="G58" i="4" a="1"/>
  <c r="G38" i="4" a="1"/>
  <c r="G43" i="4" a="1"/>
  <c r="G91" i="4" a="1"/>
  <c r="G5" i="4" a="1"/>
  <c r="G6" i="4" a="1"/>
  <c r="G10" i="4" a="1"/>
  <c r="G112" i="4" a="1"/>
  <c r="G116" i="4" a="1"/>
  <c r="G93" i="4" a="1"/>
  <c r="G92" i="4" a="1"/>
  <c r="G131" i="4" a="1"/>
  <c r="G55" i="4" a="1"/>
  <c r="G147" i="4" a="1"/>
  <c r="G133" i="4" a="1"/>
  <c r="G63" i="4" a="1"/>
  <c r="G41" i="4" a="1"/>
  <c r="G21" i="4" a="1"/>
  <c r="G126" i="4" a="1"/>
  <c r="G132" i="4" a="1"/>
  <c r="G30" i="4" a="1"/>
  <c r="G149" i="4" a="1"/>
  <c r="G13" i="4" a="1"/>
  <c r="G125" i="4" a="1"/>
  <c r="G32" i="4" a="1"/>
  <c r="G151" i="4" a="1"/>
  <c r="G29" i="4" a="1"/>
  <c r="G36" i="4" a="1"/>
  <c r="G148" i="4" a="1"/>
  <c r="G84" i="4" a="1"/>
  <c r="G60" i="4" a="1"/>
  <c r="G28" i="4" a="1"/>
  <c r="G146" i="4" a="1"/>
  <c r="G14" i="4" a="1"/>
  <c r="G72" i="4" a="1"/>
  <c r="G110" i="4" a="1"/>
  <c r="G70" i="4" a="1"/>
  <c r="G108" i="4" a="1"/>
  <c r="G104" i="4" a="1"/>
  <c r="G9" i="4" a="1"/>
  <c r="G121" i="4" a="1"/>
  <c r="G35" i="4" a="1"/>
  <c r="G96" i="4" a="1"/>
  <c r="G80" i="4" a="1"/>
  <c r="G62" i="4" a="1"/>
  <c r="G27" i="4" a="1"/>
  <c r="G3" i="4" a="1"/>
  <c r="G2" i="1" l="1"/>
  <c r="G123" i="4"/>
  <c r="G122" i="4"/>
  <c r="G121" i="4"/>
  <c r="G117" i="4"/>
  <c r="G90" i="4"/>
  <c r="G124" i="4"/>
  <c r="G130" i="4"/>
  <c r="G115" i="4"/>
  <c r="G106" i="4"/>
  <c r="G82" i="4"/>
  <c r="G144" i="4"/>
  <c r="G142" i="4"/>
  <c r="G138" i="4"/>
  <c r="G136" i="4"/>
  <c r="G132" i="4"/>
  <c r="G129" i="4"/>
  <c r="G118" i="4"/>
  <c r="G113" i="4"/>
  <c r="G74" i="4"/>
  <c r="G148" i="4"/>
  <c r="G140" i="4"/>
  <c r="G134" i="4"/>
  <c r="G128" i="4"/>
  <c r="G108" i="4"/>
  <c r="G146" i="4"/>
  <c r="G127" i="4"/>
  <c r="G119" i="4"/>
  <c r="G116" i="4"/>
  <c r="G151" i="4"/>
  <c r="G150" i="4"/>
  <c r="G126" i="4"/>
  <c r="G114" i="4"/>
  <c r="G110" i="4"/>
  <c r="G149" i="4"/>
  <c r="G147" i="4"/>
  <c r="G145" i="4"/>
  <c r="G143" i="4"/>
  <c r="G141" i="4"/>
  <c r="G139" i="4"/>
  <c r="G137" i="4"/>
  <c r="G135" i="4"/>
  <c r="G133" i="4"/>
  <c r="G131" i="4"/>
  <c r="G125" i="4"/>
  <c r="G120" i="4"/>
  <c r="G112" i="4"/>
  <c r="G91" i="4"/>
  <c r="G83" i="4"/>
  <c r="G75" i="4"/>
  <c r="G17" i="4"/>
  <c r="G111" i="4"/>
  <c r="G109" i="4"/>
  <c r="G107" i="4"/>
  <c r="G105" i="4"/>
  <c r="G103" i="4"/>
  <c r="G101" i="4"/>
  <c r="G99" i="4"/>
  <c r="G97" i="4"/>
  <c r="G95" i="4"/>
  <c r="G89" i="4"/>
  <c r="G81" i="4"/>
  <c r="G88" i="4"/>
  <c r="G80" i="4"/>
  <c r="G35" i="4"/>
  <c r="G87" i="4"/>
  <c r="G79" i="4"/>
  <c r="G51" i="4"/>
  <c r="G34" i="4"/>
  <c r="G94" i="4"/>
  <c r="G86" i="4"/>
  <c r="G78" i="4"/>
  <c r="G50" i="4"/>
  <c r="G104" i="4"/>
  <c r="G102" i="4"/>
  <c r="G100" i="4"/>
  <c r="G98" i="4"/>
  <c r="G96" i="4"/>
  <c r="G93" i="4"/>
  <c r="G85" i="4"/>
  <c r="G77" i="4"/>
  <c r="G92" i="4"/>
  <c r="G84" i="4"/>
  <c r="G76" i="4"/>
  <c r="G53" i="4"/>
  <c r="G52" i="4"/>
  <c r="G37" i="4"/>
  <c r="G36" i="4"/>
  <c r="G27" i="4"/>
  <c r="G15" i="4"/>
  <c r="G72" i="4"/>
  <c r="G70" i="4"/>
  <c r="G68" i="4"/>
  <c r="G66" i="4"/>
  <c r="G64" i="4"/>
  <c r="G62" i="4"/>
  <c r="G60" i="4"/>
  <c r="G55" i="4"/>
  <c r="G54" i="4"/>
  <c r="G39" i="4"/>
  <c r="G38" i="4"/>
  <c r="G13" i="4"/>
  <c r="G57" i="4"/>
  <c r="G56" i="4"/>
  <c r="G41" i="4"/>
  <c r="G40" i="4"/>
  <c r="G11" i="4"/>
  <c r="G59" i="4"/>
  <c r="G58" i="4"/>
  <c r="G43" i="4"/>
  <c r="G42" i="4"/>
  <c r="G25" i="4"/>
  <c r="G9" i="4"/>
  <c r="G45" i="4"/>
  <c r="G44" i="4"/>
  <c r="G29" i="4"/>
  <c r="G23" i="4"/>
  <c r="G7" i="4"/>
  <c r="G73" i="4"/>
  <c r="G71" i="4"/>
  <c r="G69" i="4"/>
  <c r="G67" i="4"/>
  <c r="G65" i="4"/>
  <c r="G63" i="4"/>
  <c r="G61" i="4"/>
  <c r="G47" i="4"/>
  <c r="G46" i="4"/>
  <c r="G31" i="4"/>
  <c r="G30" i="4"/>
  <c r="G21" i="4"/>
  <c r="G5" i="4"/>
  <c r="G49" i="4"/>
  <c r="G48" i="4"/>
  <c r="G33" i="4"/>
  <c r="G32" i="4"/>
  <c r="G19" i="4"/>
  <c r="G3" i="4"/>
  <c r="G28" i="4"/>
  <c r="G26" i="4"/>
  <c r="G24" i="4"/>
  <c r="G22" i="4"/>
  <c r="G20" i="4"/>
  <c r="G18" i="4"/>
  <c r="G16" i="4"/>
  <c r="G14" i="4"/>
  <c r="G12" i="4"/>
  <c r="G10" i="4"/>
  <c r="G8" i="4"/>
  <c r="G6" i="4"/>
  <c r="G4" i="4"/>
  <c r="H2" i="1" a="1"/>
  <c r="J106" i="4" a="1"/>
  <c r="K102" i="4" a="1"/>
  <c r="J39" i="4" a="1"/>
  <c r="J4" i="4" a="1"/>
  <c r="I75" i="4" a="1"/>
  <c r="I99" i="4" a="1"/>
  <c r="H46" i="4" a="1"/>
  <c r="I78" i="4" a="1"/>
  <c r="H79" i="4" a="1"/>
  <c r="K125" i="4" a="1"/>
  <c r="J26" i="4" a="1"/>
  <c r="K13" i="4" a="1"/>
  <c r="J30" i="4" a="1"/>
  <c r="J110" i="4" a="1"/>
  <c r="H50" i="4" a="1"/>
  <c r="J16" i="4" a="1"/>
  <c r="H125" i="4" a="1"/>
  <c r="H4" i="4" a="1"/>
  <c r="J131" i="4" a="1"/>
  <c r="J109" i="4" a="1"/>
  <c r="J101" i="4" a="1"/>
  <c r="H87" i="4" a="1"/>
  <c r="K45" i="4" a="1"/>
  <c r="H99" i="4" a="1"/>
  <c r="H107" i="4" a="1"/>
  <c r="I129" i="4" a="1"/>
  <c r="H29" i="4" a="1"/>
  <c r="I4" i="4" a="1"/>
  <c r="H74" i="4" a="1"/>
  <c r="H135" i="4" a="1"/>
  <c r="J68" i="4" a="1"/>
  <c r="J84" i="4" a="1"/>
  <c r="H96" i="4" a="1"/>
  <c r="K34" i="4" a="1"/>
  <c r="H13" i="4" a="1"/>
  <c r="I86" i="4" a="1"/>
  <c r="J20" i="4" a="1"/>
  <c r="H9" i="4" a="1"/>
  <c r="I92" i="4" a="1"/>
  <c r="I48" i="4" a="1"/>
  <c r="H42" i="4" a="1"/>
  <c r="J45" i="4" a="1"/>
  <c r="H108" i="4" a="1"/>
  <c r="K60" i="4" a="1"/>
  <c r="I136" i="4" a="1"/>
  <c r="I133" i="4" a="1"/>
  <c r="J112" i="4" a="1"/>
  <c r="J55" i="4" a="1"/>
  <c r="I51" i="4" a="1"/>
  <c r="K12" i="4" a="1"/>
  <c r="I135" i="4" a="1"/>
  <c r="K135" i="4" a="1"/>
  <c r="K9" i="4" a="1"/>
  <c r="K97" i="4" a="1"/>
  <c r="H110" i="4" a="1"/>
  <c r="K69" i="4" a="1"/>
  <c r="H23" i="4" a="1"/>
  <c r="J130" i="4" a="1"/>
  <c r="I125" i="4" a="1"/>
  <c r="H118" i="4" a="1"/>
  <c r="J146" i="4" a="1"/>
  <c r="I105" i="4" a="1"/>
  <c r="J64" i="4" a="1"/>
  <c r="I55" i="4" a="1"/>
  <c r="K92" i="4" a="1"/>
  <c r="H146" i="4" a="1"/>
  <c r="J22" i="4" a="1"/>
  <c r="H124" i="4" a="1"/>
  <c r="H109" i="4" a="1"/>
  <c r="H142" i="4" a="1"/>
  <c r="I62" i="4" a="1"/>
  <c r="H26" i="4" a="1"/>
  <c r="I20" i="4" a="1"/>
  <c r="I38" i="4" a="1"/>
  <c r="J90" i="4" a="1"/>
  <c r="K99" i="4" a="1"/>
  <c r="H145" i="4" a="1"/>
  <c r="K75" i="4" a="1"/>
  <c r="I5" i="4" a="1"/>
  <c r="H83" i="4" a="1"/>
  <c r="K47" i="4" a="1"/>
  <c r="K127" i="4" a="1"/>
  <c r="H111" i="4" a="1"/>
  <c r="I142" i="4" a="1"/>
  <c r="J24" i="4" a="1"/>
  <c r="K129" i="4" a="1"/>
  <c r="H140" i="4" a="1"/>
  <c r="I15" i="4" a="1"/>
  <c r="K44" i="4" a="1"/>
  <c r="I81" i="4" a="1"/>
  <c r="K66" i="4" a="1"/>
  <c r="J137" i="4" a="1"/>
  <c r="H130" i="4" a="1"/>
  <c r="J88" i="4" a="1"/>
  <c r="H19" i="4" a="1"/>
  <c r="I54" i="4" a="1"/>
  <c r="I98" i="4" a="1"/>
  <c r="H147" i="4" a="1"/>
  <c r="H11" i="4" a="1"/>
  <c r="J38" i="4" a="1"/>
  <c r="H101" i="4" a="1"/>
  <c r="K30" i="4" a="1"/>
  <c r="H103" i="4" a="1"/>
  <c r="J48" i="4" a="1"/>
  <c r="I52" i="4" a="1"/>
  <c r="K59" i="4" a="1"/>
  <c r="J98" i="4" a="1"/>
  <c r="K15" i="4" a="1"/>
  <c r="I14" i="4" a="1"/>
  <c r="K10" i="4" a="1"/>
  <c r="H40" i="4" a="1"/>
  <c r="K6" i="4" a="1"/>
  <c r="H114" i="4" a="1"/>
  <c r="I66" i="4" a="1"/>
  <c r="K151" i="4" a="1"/>
  <c r="H34" i="4" a="1"/>
  <c r="H15" i="4" a="1"/>
  <c r="K53" i="4" a="1"/>
  <c r="J92" i="4" a="1"/>
  <c r="H115" i="4" a="1"/>
  <c r="J143" i="4" a="1"/>
  <c r="K77" i="4" a="1"/>
  <c r="I83" i="4" a="1"/>
  <c r="H138" i="4" a="1"/>
  <c r="J40" i="4" a="1"/>
  <c r="K55" i="4" a="1"/>
  <c r="J104" i="4" a="1"/>
  <c r="K74" i="4" a="1"/>
  <c r="K118" i="4" a="1"/>
  <c r="J96" i="4" a="1"/>
  <c r="I150" i="4" a="1"/>
  <c r="I57" i="4" a="1"/>
  <c r="H30" i="4" a="1"/>
  <c r="I143" i="4" a="1"/>
  <c r="K71" i="4" a="1"/>
  <c r="H38" i="4" a="1"/>
  <c r="K109" i="4" a="1"/>
  <c r="J54" i="4" a="1"/>
  <c r="H90" i="4" a="1"/>
  <c r="J9" i="4" a="1"/>
  <c r="H112" i="4" a="1"/>
  <c r="H143" i="4" a="1"/>
  <c r="H53" i="4" a="1"/>
  <c r="K87" i="4" a="1"/>
  <c r="I23" i="4" a="1"/>
  <c r="K98" i="4" a="1"/>
  <c r="I128" i="4" a="1"/>
  <c r="H64" i="4" a="1"/>
  <c r="K73" i="4" a="1"/>
  <c r="K80" i="4" a="1"/>
  <c r="J133" i="4" a="1"/>
  <c r="K5" i="4" a="1"/>
  <c r="I12" i="4" a="1"/>
  <c r="K68" i="4" a="1"/>
  <c r="H54" i="4" a="1"/>
  <c r="J93" i="4" a="1"/>
  <c r="I6" i="4" a="1"/>
  <c r="K35" i="4" a="1"/>
  <c r="I32" i="4" a="1"/>
  <c r="H20" i="4" a="1"/>
  <c r="I100" i="4" a="1"/>
  <c r="I123" i="4" a="1"/>
  <c r="J75" i="4" a="1"/>
  <c r="H86" i="4" a="1"/>
  <c r="I104" i="4" a="1"/>
  <c r="I65" i="4" a="1"/>
  <c r="J6" i="4" a="1"/>
  <c r="H18" i="4" a="1"/>
  <c r="I88" i="4" a="1"/>
  <c r="J35" i="4" a="1"/>
  <c r="J79" i="4" a="1"/>
  <c r="K137" i="4" a="1"/>
  <c r="J61" i="4" a="1"/>
  <c r="I37" i="4" a="1"/>
  <c r="H122" i="4" a="1"/>
  <c r="K67" i="4" a="1"/>
  <c r="J5" i="4" a="1"/>
  <c r="H119" i="4" a="1"/>
  <c r="H21" i="4" a="1"/>
  <c r="J127" i="4" a="1"/>
  <c r="K110" i="4" a="1"/>
  <c r="J73" i="4" a="1"/>
  <c r="I27" i="4" a="1"/>
  <c r="J117" i="4" a="1"/>
  <c r="J81" i="4" a="1"/>
  <c r="K39" i="4" a="1"/>
  <c r="I10" i="4" a="1"/>
  <c r="J41" i="4" a="1"/>
  <c r="J72" i="4" a="1"/>
  <c r="H113" i="4" a="1"/>
  <c r="J102" i="4" a="1"/>
  <c r="J148" i="4" a="1"/>
  <c r="H3" i="4" a="1"/>
  <c r="K145" i="4" a="1"/>
  <c r="I58" i="4" a="1"/>
  <c r="K65" i="4" a="1"/>
  <c r="I119" i="4" a="1"/>
  <c r="K46" i="4" a="1"/>
  <c r="J87" i="4" a="1"/>
  <c r="I7" i="4" a="1"/>
  <c r="H41" i="4" a="1"/>
  <c r="K3" i="4" a="1"/>
  <c r="I3" i="4" a="1"/>
  <c r="H68" i="4" a="1"/>
  <c r="H120" i="4" a="1"/>
  <c r="H88" i="4" a="1"/>
  <c r="H48" i="4" a="1"/>
  <c r="I49" i="4" a="1"/>
  <c r="H136" i="4" a="1"/>
  <c r="J77" i="4" a="1"/>
  <c r="H35" i="4" a="1"/>
  <c r="I120" i="4" a="1"/>
  <c r="J150" i="4" a="1"/>
  <c r="I73" i="4" a="1"/>
  <c r="J107" i="4" a="1"/>
  <c r="I50" i="4" a="1"/>
  <c r="I110" i="4" a="1"/>
  <c r="H67" i="4" a="1"/>
  <c r="I118" i="4" a="1"/>
  <c r="H73" i="4" a="1"/>
  <c r="J141" i="4" a="1"/>
  <c r="H52" i="4" a="1"/>
  <c r="K83" i="4" a="1"/>
  <c r="I117" i="4" a="1"/>
  <c r="K140" i="4" a="1"/>
  <c r="H5" i="4" a="1"/>
  <c r="H14" i="4" a="1"/>
  <c r="K123" i="4" a="1"/>
  <c r="K42" i="4" a="1"/>
  <c r="K103" i="4" a="1"/>
  <c r="K29" i="4" a="1"/>
  <c r="J67" i="4" a="1"/>
  <c r="I90" i="4" a="1"/>
  <c r="I112" i="4" a="1"/>
  <c r="K58" i="4" a="1"/>
  <c r="K17" i="4" a="1"/>
  <c r="J100" i="4" a="1"/>
  <c r="K120" i="4" a="1"/>
  <c r="H58" i="4" a="1"/>
  <c r="I18" i="4" a="1"/>
  <c r="I95" i="4" a="1"/>
  <c r="I26" i="4" a="1"/>
  <c r="J129" i="4" a="1"/>
  <c r="K23" i="4" a="1"/>
  <c r="J13" i="4" a="1"/>
  <c r="I102" i="4" a="1"/>
  <c r="J116" i="4" a="1"/>
  <c r="H70" i="4" a="1"/>
  <c r="I113" i="4" a="1"/>
  <c r="K133" i="4" a="1"/>
  <c r="I137" i="4" a="1"/>
  <c r="J32" i="4" a="1"/>
  <c r="G2" i="4" a="1"/>
  <c r="I11" i="4" a="1"/>
  <c r="H33" i="4" a="1"/>
  <c r="I72" i="4" a="1"/>
  <c r="J119" i="4" a="1"/>
  <c r="J12" i="4" a="1"/>
  <c r="J97" i="4" a="1"/>
  <c r="J120" i="4" a="1"/>
  <c r="K79" i="4" a="1"/>
  <c r="J82" i="4" a="1"/>
  <c r="J46" i="4" a="1"/>
  <c r="K33" i="4" a="1"/>
  <c r="I33" i="4" a="1"/>
  <c r="H144" i="4" a="1"/>
  <c r="I114" i="4" a="1"/>
  <c r="H97" i="4" a="1"/>
  <c r="H117" i="4" a="1"/>
  <c r="K11" i="4" a="1"/>
  <c r="H69" i="4" a="1"/>
  <c r="K105" i="4" a="1"/>
  <c r="K141" i="4" a="1"/>
  <c r="I61" i="4" a="1"/>
  <c r="H134" i="4" a="1"/>
  <c r="I17" i="4" a="1"/>
  <c r="H81" i="4" a="1"/>
  <c r="H116" i="4" a="1"/>
  <c r="J57" i="4" a="1"/>
  <c r="I146" i="4" a="1"/>
  <c r="J91" i="4" a="1"/>
  <c r="I124" i="4" a="1"/>
  <c r="I64" i="4" a="1"/>
  <c r="I139" i="4" a="1"/>
  <c r="K52" i="4" a="1"/>
  <c r="J23" i="4" a="1"/>
  <c r="I41" i="4" a="1"/>
  <c r="I122" i="4" a="1"/>
  <c r="K115" i="4" a="1"/>
  <c r="I35" i="4" a="1"/>
  <c r="H57" i="4" a="1"/>
  <c r="H91" i="4" a="1"/>
  <c r="J83" i="4" a="1"/>
  <c r="J65" i="4" a="1"/>
  <c r="I9" i="4" a="1"/>
  <c r="J11" i="4" a="1"/>
  <c r="I108" i="4" a="1"/>
  <c r="H77" i="4" a="1"/>
  <c r="I53" i="4" a="1"/>
  <c r="I71" i="4" a="1"/>
  <c r="I109" i="4" a="1"/>
  <c r="K122" i="4" a="1"/>
  <c r="I74" i="4" a="1"/>
  <c r="J27" i="4" a="1"/>
  <c r="H137" i="4" a="1"/>
  <c r="J108" i="4" a="1"/>
  <c r="J151" i="4" a="1"/>
  <c r="H93" i="4" a="1"/>
  <c r="H6" i="4" a="1"/>
  <c r="J66" i="4" a="1"/>
  <c r="I22" i="4" a="1"/>
  <c r="H98" i="4" a="1"/>
  <c r="K96" i="4" a="1"/>
  <c r="H94" i="4" a="1"/>
  <c r="J34" i="4" a="1"/>
  <c r="K139" i="4" a="1"/>
  <c r="K40" i="4" a="1"/>
  <c r="H22" i="4" a="1"/>
  <c r="J76" i="4" a="1"/>
  <c r="J28" i="4" a="1"/>
  <c r="I40" i="4" a="1"/>
  <c r="J86" i="4" a="1"/>
  <c r="K50" i="4" a="1"/>
  <c r="K22" i="4" a="1"/>
  <c r="J135" i="4" a="1"/>
  <c r="H85" i="4" a="1"/>
  <c r="K51" i="4" a="1"/>
  <c r="K28" i="4" a="1"/>
  <c r="I77" i="4" a="1"/>
  <c r="I93" i="4" a="1"/>
  <c r="I21" i="4" a="1"/>
  <c r="I89" i="4" a="1"/>
  <c r="H92" i="4" a="1"/>
  <c r="I149" i="4" a="1"/>
  <c r="K72" i="4" a="1"/>
  <c r="K90" i="4" a="1"/>
  <c r="H17" i="4" a="1"/>
  <c r="J60" i="4" a="1"/>
  <c r="I69" i="4" a="1"/>
  <c r="I96" i="4" a="1"/>
  <c r="H89" i="4" a="1"/>
  <c r="J89" i="4" a="1"/>
  <c r="J149" i="4" a="1"/>
  <c r="I67" i="4" a="1"/>
  <c r="K94" i="4" a="1"/>
  <c r="I97" i="4" a="1"/>
  <c r="J51" i="4" a="1"/>
  <c r="I13" i="4" a="1"/>
  <c r="K138" i="4" a="1"/>
  <c r="I138" i="4" a="1"/>
  <c r="K70" i="4" a="1"/>
  <c r="K136" i="4" a="1"/>
  <c r="K54" i="4" a="1"/>
  <c r="K116" i="4" a="1"/>
  <c r="J70" i="4" a="1"/>
  <c r="J140" i="4" a="1"/>
  <c r="I107" i="4" a="1"/>
  <c r="J7" i="4" a="1"/>
  <c r="K4" i="4" a="1"/>
  <c r="K37" i="4" a="1"/>
  <c r="J126" i="4" a="1"/>
  <c r="J33" i="4" a="1"/>
  <c r="J115" i="4" a="1"/>
  <c r="J125" i="4" a="1"/>
  <c r="J123" i="4" a="1"/>
  <c r="K20" i="4" a="1"/>
  <c r="H151" i="4" a="1"/>
  <c r="I82" i="4" a="1"/>
  <c r="H56" i="4" a="1"/>
  <c r="J3" i="4" a="1"/>
  <c r="J14" i="4" a="1"/>
  <c r="H104" i="4" a="1"/>
  <c r="J21" i="4" a="1"/>
  <c r="K16" i="4" a="1"/>
  <c r="K86" i="4" a="1"/>
  <c r="K26" i="4" a="1"/>
  <c r="K25" i="4" a="1"/>
  <c r="I30" i="4" a="1"/>
  <c r="K146" i="4" a="1"/>
  <c r="I144" i="4" a="1"/>
  <c r="J145" i="4" a="1"/>
  <c r="I127" i="4" a="1"/>
  <c r="I8" i="4" a="1"/>
  <c r="J58" i="4" a="1"/>
  <c r="I140" i="4" a="1"/>
  <c r="H55" i="4" a="1"/>
  <c r="I84" i="4" a="1"/>
  <c r="H76" i="4" a="1"/>
  <c r="K106" i="4" a="1"/>
  <c r="H102" i="4" a="1"/>
  <c r="K150" i="4" a="1"/>
  <c r="J94" i="4" a="1"/>
  <c r="H129" i="4" a="1"/>
  <c r="J103" i="4" a="1"/>
  <c r="H75" i="4" a="1"/>
  <c r="J17" i="4" a="1"/>
  <c r="J114" i="4" a="1"/>
  <c r="K89" i="4" a="1"/>
  <c r="H123" i="4" a="1"/>
  <c r="I60" i="4" a="1"/>
  <c r="H121" i="4" a="1"/>
  <c r="I39" i="4" a="1"/>
  <c r="K38" i="4" a="1"/>
  <c r="J8" i="4" a="1"/>
  <c r="J10" i="4" a="1"/>
  <c r="K114" i="4" a="1"/>
  <c r="H132" i="4" a="1"/>
  <c r="I121" i="4" a="1"/>
  <c r="K107" i="4" a="1"/>
  <c r="H47" i="4" a="1"/>
  <c r="H24" i="4" a="1"/>
  <c r="J53" i="4" a="1"/>
  <c r="I115" i="4" a="1"/>
  <c r="K148" i="4" a="1"/>
  <c r="J99" i="4" a="1"/>
  <c r="H82" i="4" a="1"/>
  <c r="K84" i="4" a="1"/>
  <c r="K14" i="4" a="1"/>
  <c r="H43" i="4" a="1"/>
  <c r="H12" i="4" a="1"/>
  <c r="J122" i="4" a="1"/>
  <c r="K88" i="4" a="1"/>
  <c r="K130" i="4" a="1"/>
  <c r="I28" i="4" a="1"/>
  <c r="I148" i="4" a="1"/>
  <c r="J18" i="4" a="1"/>
  <c r="I134" i="4" a="1"/>
  <c r="H127" i="4" a="1"/>
  <c r="H149" i="4" a="1"/>
  <c r="H32" i="4" a="1"/>
  <c r="J85" i="4" a="1"/>
  <c r="J142" i="4" a="1"/>
  <c r="J43" i="4" a="1"/>
  <c r="K64" i="4" a="1"/>
  <c r="J36" i="4" a="1"/>
  <c r="K104" i="4" a="1"/>
  <c r="K82" i="4" a="1"/>
  <c r="K93" i="4" a="1"/>
  <c r="J118" i="4" a="1"/>
  <c r="K43" i="4" a="1"/>
  <c r="J124" i="4" a="1"/>
  <c r="J111" i="4" a="1"/>
  <c r="H7" i="4" a="1"/>
  <c r="J52" i="4" a="1"/>
  <c r="H133" i="4" a="1"/>
  <c r="J15" i="4" a="1"/>
  <c r="I79" i="4" a="1"/>
  <c r="I42" i="4" a="1"/>
  <c r="H66" i="4" a="1"/>
  <c r="I63" i="4" a="1"/>
  <c r="H105" i="4" a="1"/>
  <c r="I43" i="4" a="1"/>
  <c r="H27" i="4" a="1"/>
  <c r="J138" i="4" a="1"/>
  <c r="I116" i="4" a="1"/>
  <c r="K27" i="4" a="1"/>
  <c r="H106" i="4" a="1"/>
  <c r="H49" i="4" a="1"/>
  <c r="H60" i="4" a="1"/>
  <c r="H61" i="4" a="1"/>
  <c r="K63" i="4" a="1"/>
  <c r="J105" i="4" a="1"/>
  <c r="K81" i="4" a="1"/>
  <c r="K41" i="4" a="1"/>
  <c r="H72" i="4" a="1"/>
  <c r="H148" i="4" a="1"/>
  <c r="I106" i="4" a="1"/>
  <c r="I101" i="4" a="1"/>
  <c r="K101" i="4" a="1"/>
  <c r="K117" i="4" a="1"/>
  <c r="H45" i="4" a="1"/>
  <c r="K149" i="4" a="1"/>
  <c r="H65" i="4" a="1"/>
  <c r="K113" i="4" a="1"/>
  <c r="J113" i="4" a="1"/>
  <c r="J69" i="4" a="1"/>
  <c r="J50" i="4" a="1"/>
  <c r="K143" i="4" a="1"/>
  <c r="I145" i="4" a="1"/>
  <c r="H31" i="4" a="1"/>
  <c r="I44" i="4" a="1"/>
  <c r="I94" i="4" a="1"/>
  <c r="I68" i="4" a="1"/>
  <c r="J47" i="4" a="1"/>
  <c r="J128" i="4" a="1"/>
  <c r="I34" i="4" a="1"/>
  <c r="K7" i="4" a="1"/>
  <c r="K147" i="4" a="1"/>
  <c r="K21" i="4" a="1"/>
  <c r="K48" i="4" a="1"/>
  <c r="H44" i="4" a="1"/>
  <c r="I87" i="4" a="1"/>
  <c r="H10" i="4" a="1"/>
  <c r="I45" i="4" a="1"/>
  <c r="I47" i="4" a="1"/>
  <c r="J44" i="4" a="1"/>
  <c r="K36" i="4" a="1"/>
  <c r="K61" i="4" a="1"/>
  <c r="H95" i="4" a="1"/>
  <c r="I151" i="4" a="1"/>
  <c r="K108" i="4" a="1"/>
  <c r="K142" i="4" a="1"/>
  <c r="H84" i="4" a="1"/>
  <c r="H28" i="4" a="1"/>
  <c r="G31" i="1" a="1"/>
  <c r="G65" i="1" a="1"/>
  <c r="G90" i="1" a="1"/>
  <c r="G58" i="1" a="1"/>
  <c r="G136" i="1" a="1"/>
  <c r="G134" i="1" a="1"/>
  <c r="G143" i="1" a="1"/>
  <c r="G46" i="1" a="1"/>
  <c r="G123" i="1" a="1"/>
  <c r="G115" i="1" a="1"/>
  <c r="G32" i="1" a="1"/>
  <c r="G111" i="1" a="1"/>
  <c r="G55" i="1" a="1"/>
  <c r="G124" i="1" a="1"/>
  <c r="G17" i="1" a="1"/>
  <c r="G59" i="1" a="1"/>
  <c r="G35" i="1" a="1"/>
  <c r="G3" i="1" a="1"/>
  <c r="G91" i="1" a="1"/>
  <c r="G73" i="1" a="1"/>
  <c r="G12" i="1" a="1"/>
  <c r="G70" i="1" a="1"/>
  <c r="G52" i="1" a="1"/>
  <c r="G27" i="1" a="1"/>
  <c r="G4" i="1" a="1"/>
  <c r="G137" i="1" a="1"/>
  <c r="G127" i="1" a="1"/>
  <c r="G51" i="1" a="1"/>
  <c r="G67" i="1" a="1"/>
  <c r="G99" i="1" a="1"/>
  <c r="G19" i="1" a="1"/>
  <c r="G78" i="1" a="1"/>
  <c r="G44" i="1" a="1"/>
  <c r="G61" i="1" a="1"/>
  <c r="G50" i="1" a="1"/>
  <c r="G109" i="1" a="1"/>
  <c r="G76" i="1" a="1"/>
  <c r="G49" i="1" a="1"/>
  <c r="G131" i="1" a="1"/>
  <c r="G151" i="1" a="1"/>
  <c r="G71" i="1" a="1"/>
  <c r="G132" i="1" a="1"/>
  <c r="G47" i="1" a="1"/>
  <c r="G13" i="1" a="1"/>
  <c r="G89" i="1" a="1"/>
  <c r="G149" i="1" a="1"/>
  <c r="G62" i="1" a="1"/>
  <c r="G21" i="1" a="1"/>
  <c r="G138" i="1" a="1"/>
  <c r="G57" i="1" a="1"/>
  <c r="G64" i="1" a="1"/>
  <c r="G147" i="1" a="1"/>
  <c r="G20" i="1" a="1"/>
  <c r="G43" i="1" a="1"/>
  <c r="G42" i="1" a="1"/>
  <c r="G28" i="1" a="1"/>
  <c r="G95" i="1" a="1"/>
  <c r="G72" i="1" a="1"/>
  <c r="G148" i="1" a="1"/>
  <c r="G116" i="1" a="1"/>
  <c r="G15" i="1" a="1"/>
  <c r="G128" i="1" a="1"/>
  <c r="G150" i="1" a="1"/>
  <c r="G25" i="1" a="1"/>
  <c r="G85" i="1" a="1"/>
  <c r="G142" i="1" a="1"/>
  <c r="G53" i="1" a="1"/>
  <c r="G100" i="1" a="1"/>
  <c r="G140" i="1" a="1"/>
  <c r="G121" i="1" a="1"/>
  <c r="G77" i="1" a="1"/>
  <c r="G144" i="1" a="1"/>
  <c r="G23" i="1" a="1"/>
  <c r="G41" i="1" a="1"/>
  <c r="G33" i="1" a="1"/>
  <c r="G133" i="1" a="1"/>
  <c r="G8" i="1" a="1"/>
  <c r="G139" i="1" a="1"/>
  <c r="G118" i="1" a="1"/>
  <c r="G114" i="1" a="1"/>
  <c r="G63" i="1" a="1"/>
  <c r="G141" i="1" a="1"/>
  <c r="G38" i="1" a="1"/>
  <c r="G24" i="1" a="1"/>
  <c r="G18" i="1" a="1"/>
  <c r="G45" i="1" a="1"/>
  <c r="G125" i="1" a="1"/>
  <c r="G146" i="1" a="1"/>
  <c r="G96" i="1" a="1"/>
  <c r="G130" i="1" a="1"/>
  <c r="G98" i="1" a="1"/>
  <c r="G68" i="1" a="1"/>
  <c r="G101" i="1" a="1"/>
  <c r="G14" i="1" a="1"/>
  <c r="G22" i="1" a="1"/>
  <c r="G34" i="1" a="1"/>
  <c r="G60" i="1" a="1"/>
  <c r="G7" i="1" a="1"/>
  <c r="G122" i="1" a="1"/>
  <c r="G83" i="1" a="1"/>
  <c r="G5" i="1" a="1"/>
  <c r="G81" i="1" a="1"/>
  <c r="G86" i="1" a="1"/>
  <c r="G107" i="1" a="1"/>
  <c r="G145" i="1" a="1"/>
  <c r="G105" i="1" a="1"/>
  <c r="G10" i="1" a="1"/>
  <c r="G69" i="1" a="1"/>
  <c r="G119" i="1" a="1"/>
  <c r="G6" i="1" a="1"/>
  <c r="G82" i="1" a="1"/>
  <c r="G75" i="1" a="1"/>
  <c r="G103" i="1" a="1"/>
  <c r="G87" i="1" a="1"/>
  <c r="G37" i="1" a="1"/>
  <c r="G9" i="1" a="1"/>
  <c r="G117" i="1" a="1"/>
  <c r="G16" i="1" a="1"/>
  <c r="G54" i="1" a="1"/>
  <c r="G102" i="1" a="1"/>
  <c r="G126" i="1" a="1"/>
  <c r="G106" i="1" a="1"/>
  <c r="G48" i="1" a="1"/>
  <c r="G94" i="1" a="1"/>
  <c r="G108" i="1" a="1"/>
  <c r="G80" i="1" a="1"/>
  <c r="G135" i="1" a="1"/>
  <c r="G26" i="1" a="1"/>
  <c r="G113" i="1" a="1"/>
  <c r="G93" i="1" a="1"/>
  <c r="G66" i="1" a="1"/>
  <c r="G56" i="1" a="1"/>
  <c r="G120" i="1" a="1"/>
  <c r="G36" i="1" a="1"/>
  <c r="G40" i="1" a="1"/>
  <c r="G39" i="1" a="1"/>
  <c r="G97" i="1" a="1"/>
  <c r="G112" i="1" a="1"/>
  <c r="G92" i="1" a="1"/>
  <c r="G74" i="1" a="1"/>
  <c r="G84" i="1" a="1"/>
  <c r="G29" i="1" a="1"/>
  <c r="G129" i="1" a="1"/>
  <c r="G11" i="1" a="1"/>
  <c r="G110" i="1" a="1"/>
  <c r="G79" i="1" a="1"/>
  <c r="G88" i="1" a="1"/>
  <c r="G30" i="1" a="1"/>
  <c r="G104" i="1" a="1"/>
  <c r="H2" i="1" l="1"/>
  <c r="J14" i="4"/>
  <c r="K14" i="4"/>
  <c r="H14" i="4"/>
  <c r="I14" i="4"/>
  <c r="H30" i="4"/>
  <c r="I30" i="4"/>
  <c r="J30" i="4"/>
  <c r="K30" i="4"/>
  <c r="K69" i="4"/>
  <c r="H69" i="4"/>
  <c r="I69" i="4"/>
  <c r="J69" i="4"/>
  <c r="H9" i="4"/>
  <c r="I9" i="4"/>
  <c r="J9" i="4"/>
  <c r="K9" i="4"/>
  <c r="J41" i="4"/>
  <c r="K41" i="4"/>
  <c r="H41" i="4"/>
  <c r="I41" i="4"/>
  <c r="I60" i="4"/>
  <c r="J60" i="4"/>
  <c r="K60" i="4"/>
  <c r="H60" i="4"/>
  <c r="I27" i="4"/>
  <c r="J27" i="4"/>
  <c r="K27" i="4"/>
  <c r="H27" i="4"/>
  <c r="H77" i="4"/>
  <c r="I77" i="4"/>
  <c r="J77" i="4"/>
  <c r="K77" i="4"/>
  <c r="H50" i="4"/>
  <c r="I50" i="4"/>
  <c r="J50" i="4"/>
  <c r="K50" i="4"/>
  <c r="H35" i="4"/>
  <c r="I35" i="4"/>
  <c r="J35" i="4"/>
  <c r="K35" i="4"/>
  <c r="I101" i="4"/>
  <c r="J101" i="4"/>
  <c r="K101" i="4"/>
  <c r="H101" i="4"/>
  <c r="H83" i="4"/>
  <c r="I83" i="4"/>
  <c r="J83" i="4"/>
  <c r="K83" i="4"/>
  <c r="K137" i="4"/>
  <c r="I137" i="4"/>
  <c r="H137" i="4"/>
  <c r="J137" i="4"/>
  <c r="H114" i="4"/>
  <c r="J114" i="4"/>
  <c r="I114" i="4"/>
  <c r="K114" i="4"/>
  <c r="H108" i="4"/>
  <c r="I108" i="4"/>
  <c r="J108" i="4"/>
  <c r="K108" i="4"/>
  <c r="J129" i="4"/>
  <c r="I129" i="4"/>
  <c r="K129" i="4"/>
  <c r="H129" i="4"/>
  <c r="J115" i="4"/>
  <c r="H115" i="4"/>
  <c r="K115" i="4"/>
  <c r="I115" i="4"/>
  <c r="H19" i="4"/>
  <c r="K71" i="4"/>
  <c r="I71" i="4"/>
  <c r="H56" i="4"/>
  <c r="J36" i="4"/>
  <c r="K36" i="4"/>
  <c r="I78" i="4"/>
  <c r="J103" i="4"/>
  <c r="K103" i="4"/>
  <c r="H103" i="4"/>
  <c r="K139" i="4"/>
  <c r="I139" i="4"/>
  <c r="J128" i="4"/>
  <c r="I128" i="4"/>
  <c r="H132" i="4"/>
  <c r="J18" i="4"/>
  <c r="H18" i="4"/>
  <c r="I18" i="4"/>
  <c r="H32" i="4"/>
  <c r="I32" i="4"/>
  <c r="J32" i="4"/>
  <c r="H46" i="4"/>
  <c r="J46" i="4"/>
  <c r="K46" i="4"/>
  <c r="K73" i="4"/>
  <c r="I73" i="4"/>
  <c r="H73" i="4"/>
  <c r="J73" i="4"/>
  <c r="K42" i="4"/>
  <c r="H42" i="4"/>
  <c r="I42" i="4"/>
  <c r="J57" i="4"/>
  <c r="H57" i="4"/>
  <c r="I57" i="4"/>
  <c r="I64" i="4"/>
  <c r="J64" i="4"/>
  <c r="K64" i="4"/>
  <c r="H64" i="4"/>
  <c r="I37" i="4"/>
  <c r="K37" i="4"/>
  <c r="H93" i="4"/>
  <c r="I93" i="4"/>
  <c r="J93" i="4"/>
  <c r="K93" i="4"/>
  <c r="K86" i="4"/>
  <c r="H86" i="4"/>
  <c r="I86" i="4"/>
  <c r="J86" i="4"/>
  <c r="J88" i="4"/>
  <c r="K88" i="4"/>
  <c r="H88" i="4"/>
  <c r="I88" i="4"/>
  <c r="I105" i="4"/>
  <c r="J105" i="4"/>
  <c r="K105" i="4"/>
  <c r="H105" i="4"/>
  <c r="H112" i="4"/>
  <c r="J112" i="4"/>
  <c r="I112" i="4"/>
  <c r="K141" i="4"/>
  <c r="J141" i="4"/>
  <c r="J150" i="4"/>
  <c r="K150" i="4"/>
  <c r="I150" i="4"/>
  <c r="I134" i="4"/>
  <c r="H134" i="4"/>
  <c r="I136" i="4"/>
  <c r="K136" i="4"/>
  <c r="H136" i="4"/>
  <c r="H124" i="4"/>
  <c r="I124" i="4"/>
  <c r="J124" i="4"/>
  <c r="J8" i="4"/>
  <c r="I8" i="4"/>
  <c r="H3" i="4"/>
  <c r="I3" i="4"/>
  <c r="J3" i="4"/>
  <c r="K3" i="4"/>
  <c r="J16" i="4"/>
  <c r="K16" i="4"/>
  <c r="H31" i="4"/>
  <c r="K25" i="4"/>
  <c r="I62" i="4"/>
  <c r="H85" i="4"/>
  <c r="J85" i="4"/>
  <c r="K80" i="4"/>
  <c r="H91" i="4"/>
  <c r="J91" i="4"/>
  <c r="J126" i="4"/>
  <c r="J130" i="4"/>
  <c r="K130" i="4"/>
  <c r="H130" i="4"/>
  <c r="H47" i="4"/>
  <c r="I47" i="4"/>
  <c r="J47" i="4"/>
  <c r="K47" i="4"/>
  <c r="H13" i="4"/>
  <c r="I13" i="4"/>
  <c r="K13" i="4"/>
  <c r="J13" i="4"/>
  <c r="H52" i="4"/>
  <c r="I52" i="4"/>
  <c r="J52" i="4"/>
  <c r="K52" i="4"/>
  <c r="K96" i="4"/>
  <c r="H96" i="4"/>
  <c r="I96" i="4"/>
  <c r="J96" i="4"/>
  <c r="K94" i="4"/>
  <c r="H94" i="4"/>
  <c r="J94" i="4"/>
  <c r="I94" i="4"/>
  <c r="J107" i="4"/>
  <c r="K107" i="4"/>
  <c r="H107" i="4"/>
  <c r="I107" i="4"/>
  <c r="J120" i="4"/>
  <c r="H120" i="4"/>
  <c r="I120" i="4"/>
  <c r="K120" i="4"/>
  <c r="K143" i="4"/>
  <c r="I143" i="4"/>
  <c r="H143" i="4"/>
  <c r="J143" i="4"/>
  <c r="H151" i="4"/>
  <c r="I151" i="4"/>
  <c r="K151" i="4"/>
  <c r="J151" i="4"/>
  <c r="I140" i="4"/>
  <c r="J140" i="4"/>
  <c r="K140" i="4"/>
  <c r="H140" i="4"/>
  <c r="I138" i="4"/>
  <c r="J138" i="4"/>
  <c r="K138" i="4"/>
  <c r="H138" i="4"/>
  <c r="I90" i="4"/>
  <c r="J90" i="4"/>
  <c r="K90" i="4"/>
  <c r="H90" i="4"/>
  <c r="J4" i="4"/>
  <c r="K4" i="4"/>
  <c r="H4" i="4"/>
  <c r="I4" i="4"/>
  <c r="J20" i="4"/>
  <c r="K20" i="4"/>
  <c r="H20" i="4"/>
  <c r="I20" i="4"/>
  <c r="H33" i="4"/>
  <c r="I33" i="4"/>
  <c r="J33" i="4"/>
  <c r="K33" i="4"/>
  <c r="H7" i="4"/>
  <c r="I7" i="4"/>
  <c r="J7" i="4"/>
  <c r="K7" i="4"/>
  <c r="K43" i="4"/>
  <c r="H43" i="4"/>
  <c r="I43" i="4"/>
  <c r="J43" i="4"/>
  <c r="I66" i="4"/>
  <c r="J66" i="4"/>
  <c r="K66" i="4"/>
  <c r="H66" i="4"/>
  <c r="I81" i="4"/>
  <c r="J81" i="4"/>
  <c r="K81" i="4"/>
  <c r="H81" i="4"/>
  <c r="J6" i="4"/>
  <c r="K6" i="4"/>
  <c r="H6" i="4"/>
  <c r="I6" i="4"/>
  <c r="J22" i="4"/>
  <c r="K22" i="4"/>
  <c r="H22" i="4"/>
  <c r="I22" i="4"/>
  <c r="H48" i="4"/>
  <c r="I48" i="4"/>
  <c r="J48" i="4"/>
  <c r="K48" i="4"/>
  <c r="K61" i="4"/>
  <c r="H61" i="4"/>
  <c r="I61" i="4"/>
  <c r="J61" i="4"/>
  <c r="H23" i="4"/>
  <c r="I23" i="4"/>
  <c r="J23" i="4"/>
  <c r="K23" i="4"/>
  <c r="K58" i="4"/>
  <c r="H58" i="4"/>
  <c r="I58" i="4"/>
  <c r="J58" i="4"/>
  <c r="I38" i="4"/>
  <c r="J38" i="4"/>
  <c r="K38" i="4"/>
  <c r="H38" i="4"/>
  <c r="I68" i="4"/>
  <c r="J68" i="4"/>
  <c r="K68" i="4"/>
  <c r="H68" i="4"/>
  <c r="I53" i="4"/>
  <c r="J53" i="4"/>
  <c r="K53" i="4"/>
  <c r="H53" i="4"/>
  <c r="K98" i="4"/>
  <c r="H98" i="4"/>
  <c r="I98" i="4"/>
  <c r="J98" i="4"/>
  <c r="H34" i="4"/>
  <c r="I34" i="4"/>
  <c r="J34" i="4"/>
  <c r="K34" i="4"/>
  <c r="I89" i="4"/>
  <c r="J89" i="4"/>
  <c r="K89" i="4"/>
  <c r="H89" i="4"/>
  <c r="J109" i="4"/>
  <c r="K109" i="4"/>
  <c r="H109" i="4"/>
  <c r="I109" i="4"/>
  <c r="H125" i="4"/>
  <c r="I125" i="4"/>
  <c r="J125" i="4"/>
  <c r="K125" i="4"/>
  <c r="K145" i="4"/>
  <c r="H145" i="4"/>
  <c r="I145" i="4"/>
  <c r="J145" i="4"/>
  <c r="H116" i="4"/>
  <c r="J116" i="4"/>
  <c r="I116" i="4"/>
  <c r="K116" i="4"/>
  <c r="I148" i="4"/>
  <c r="J148" i="4"/>
  <c r="K148" i="4"/>
  <c r="H148" i="4"/>
  <c r="I142" i="4"/>
  <c r="J142" i="4"/>
  <c r="K142" i="4"/>
  <c r="H142" i="4"/>
  <c r="H117" i="4"/>
  <c r="I117" i="4"/>
  <c r="J117" i="4"/>
  <c r="K117" i="4"/>
  <c r="J24" i="4"/>
  <c r="H24" i="4"/>
  <c r="H49" i="4"/>
  <c r="I49" i="4"/>
  <c r="K63" i="4"/>
  <c r="I63" i="4"/>
  <c r="H29" i="4"/>
  <c r="K29" i="4"/>
  <c r="K59" i="4"/>
  <c r="J39" i="4"/>
  <c r="K39" i="4"/>
  <c r="I39" i="4"/>
  <c r="J70" i="4"/>
  <c r="K70" i="4"/>
  <c r="H70" i="4"/>
  <c r="H76" i="4"/>
  <c r="J76" i="4"/>
  <c r="I100" i="4"/>
  <c r="J100" i="4"/>
  <c r="I51" i="4"/>
  <c r="J51" i="4"/>
  <c r="K51" i="4"/>
  <c r="I95" i="4"/>
  <c r="H95" i="4"/>
  <c r="J111" i="4"/>
  <c r="H111" i="4"/>
  <c r="J131" i="4"/>
  <c r="K147" i="4"/>
  <c r="H147" i="4"/>
  <c r="H119" i="4"/>
  <c r="I119" i="4"/>
  <c r="J119" i="4"/>
  <c r="I74" i="4"/>
  <c r="K74" i="4"/>
  <c r="H74" i="4"/>
  <c r="I144" i="4"/>
  <c r="H144" i="4"/>
  <c r="H121" i="4"/>
  <c r="I121" i="4"/>
  <c r="J10" i="4"/>
  <c r="K10" i="4"/>
  <c r="H10" i="4"/>
  <c r="I10" i="4"/>
  <c r="K26" i="4"/>
  <c r="H26" i="4"/>
  <c r="I26" i="4"/>
  <c r="J26" i="4"/>
  <c r="H5" i="4"/>
  <c r="I5" i="4"/>
  <c r="J5" i="4"/>
  <c r="K5" i="4"/>
  <c r="K65" i="4"/>
  <c r="H65" i="4"/>
  <c r="I65" i="4"/>
  <c r="J65" i="4"/>
  <c r="H44" i="4"/>
  <c r="I44" i="4"/>
  <c r="J44" i="4"/>
  <c r="K44" i="4"/>
  <c r="H11" i="4"/>
  <c r="I11" i="4"/>
  <c r="J11" i="4"/>
  <c r="K11" i="4"/>
  <c r="I54" i="4"/>
  <c r="J54" i="4"/>
  <c r="K54" i="4"/>
  <c r="H54" i="4"/>
  <c r="I72" i="4"/>
  <c r="K72" i="4"/>
  <c r="H72" i="4"/>
  <c r="J72" i="4"/>
  <c r="H84" i="4"/>
  <c r="I84" i="4"/>
  <c r="J84" i="4"/>
  <c r="K84" i="4"/>
  <c r="K102" i="4"/>
  <c r="H102" i="4"/>
  <c r="I102" i="4"/>
  <c r="J102" i="4"/>
  <c r="K79" i="4"/>
  <c r="H79" i="4"/>
  <c r="J79" i="4"/>
  <c r="I79" i="4"/>
  <c r="I97" i="4"/>
  <c r="J97" i="4"/>
  <c r="K97" i="4"/>
  <c r="H97" i="4"/>
  <c r="H17" i="4"/>
  <c r="I17" i="4"/>
  <c r="J17" i="4"/>
  <c r="K17" i="4"/>
  <c r="K133" i="4"/>
  <c r="H133" i="4"/>
  <c r="I133" i="4"/>
  <c r="J133" i="4"/>
  <c r="H149" i="4"/>
  <c r="K149" i="4"/>
  <c r="I149" i="4"/>
  <c r="J149" i="4"/>
  <c r="K127" i="4"/>
  <c r="H127" i="4"/>
  <c r="I127" i="4"/>
  <c r="J127" i="4"/>
  <c r="J113" i="4"/>
  <c r="H113" i="4"/>
  <c r="K113" i="4"/>
  <c r="I113" i="4"/>
  <c r="I82" i="4"/>
  <c r="J82" i="4"/>
  <c r="K82" i="4"/>
  <c r="H82" i="4"/>
  <c r="I122" i="4"/>
  <c r="J122" i="4"/>
  <c r="K122" i="4"/>
  <c r="H122" i="4"/>
  <c r="J12" i="4"/>
  <c r="K12" i="4"/>
  <c r="H12" i="4"/>
  <c r="I12" i="4"/>
  <c r="K28" i="4"/>
  <c r="H28" i="4"/>
  <c r="I28" i="4"/>
  <c r="J28" i="4"/>
  <c r="H21" i="4"/>
  <c r="I21" i="4"/>
  <c r="J21" i="4"/>
  <c r="K21" i="4"/>
  <c r="K67" i="4"/>
  <c r="H67" i="4"/>
  <c r="I67" i="4"/>
  <c r="J67" i="4"/>
  <c r="H45" i="4"/>
  <c r="I45" i="4"/>
  <c r="J45" i="4"/>
  <c r="K45" i="4"/>
  <c r="J40" i="4"/>
  <c r="K40" i="4"/>
  <c r="H40" i="4"/>
  <c r="I40" i="4"/>
  <c r="J55" i="4"/>
  <c r="K55" i="4"/>
  <c r="H55" i="4"/>
  <c r="I55" i="4"/>
  <c r="H15" i="4"/>
  <c r="I15" i="4"/>
  <c r="J15" i="4"/>
  <c r="K15" i="4"/>
  <c r="H92" i="4"/>
  <c r="I92" i="4"/>
  <c r="J92" i="4"/>
  <c r="K92" i="4"/>
  <c r="K104" i="4"/>
  <c r="H104" i="4"/>
  <c r="I104" i="4"/>
  <c r="J104" i="4"/>
  <c r="K87" i="4"/>
  <c r="H87" i="4"/>
  <c r="J87" i="4"/>
  <c r="I87" i="4"/>
  <c r="I99" i="4"/>
  <c r="J99" i="4"/>
  <c r="K99" i="4"/>
  <c r="H99" i="4"/>
  <c r="H75" i="4"/>
  <c r="I75" i="4"/>
  <c r="J75" i="4"/>
  <c r="K75" i="4"/>
  <c r="K135" i="4"/>
  <c r="H135" i="4"/>
  <c r="I135" i="4"/>
  <c r="J135" i="4"/>
  <c r="H110" i="4"/>
  <c r="I110" i="4"/>
  <c r="J110" i="4"/>
  <c r="K110" i="4"/>
  <c r="I146" i="4"/>
  <c r="J146" i="4"/>
  <c r="K146" i="4"/>
  <c r="H146" i="4"/>
  <c r="J118" i="4"/>
  <c r="K118" i="4"/>
  <c r="H118" i="4"/>
  <c r="I118" i="4"/>
  <c r="H106" i="4"/>
  <c r="I106" i="4"/>
  <c r="J106" i="4"/>
  <c r="K106" i="4"/>
  <c r="H123" i="4"/>
  <c r="I123" i="4"/>
  <c r="J123" i="4"/>
  <c r="K123" i="4"/>
  <c r="G2" i="4"/>
  <c r="O23" i="4" s="1"/>
  <c r="G139" i="1"/>
  <c r="G122" i="1"/>
  <c r="G135" i="1"/>
  <c r="G149" i="1"/>
  <c r="G146" i="1"/>
  <c r="G145" i="1"/>
  <c r="G144" i="1"/>
  <c r="G143" i="1"/>
  <c r="G142" i="1"/>
  <c r="G141" i="1"/>
  <c r="G128" i="1"/>
  <c r="G120" i="1"/>
  <c r="G30" i="1"/>
  <c r="G140" i="1"/>
  <c r="G131" i="1"/>
  <c r="G150" i="1"/>
  <c r="G147" i="1"/>
  <c r="G136" i="1"/>
  <c r="G132" i="1"/>
  <c r="G123" i="1"/>
  <c r="G151" i="1"/>
  <c r="G148" i="1"/>
  <c r="G126" i="1"/>
  <c r="G118" i="1"/>
  <c r="G87" i="1"/>
  <c r="G125" i="1"/>
  <c r="G79" i="1"/>
  <c r="G137" i="1"/>
  <c r="G133" i="1"/>
  <c r="G129" i="1"/>
  <c r="G121" i="1"/>
  <c r="G22" i="1"/>
  <c r="G124" i="1"/>
  <c r="G71" i="1"/>
  <c r="G117" i="1"/>
  <c r="G138" i="1"/>
  <c r="G134" i="1"/>
  <c r="G130" i="1"/>
  <c r="G127" i="1"/>
  <c r="G119" i="1"/>
  <c r="G84" i="1"/>
  <c r="G76" i="1"/>
  <c r="G33" i="1"/>
  <c r="G25" i="1"/>
  <c r="G82" i="1"/>
  <c r="G74" i="1"/>
  <c r="G35" i="1"/>
  <c r="G27" i="1"/>
  <c r="G85" i="1"/>
  <c r="G77" i="1"/>
  <c r="G69" i="1"/>
  <c r="G67" i="1"/>
  <c r="G65" i="1"/>
  <c r="G63" i="1"/>
  <c r="G61" i="1"/>
  <c r="G59" i="1"/>
  <c r="G57" i="1"/>
  <c r="G55" i="1"/>
  <c r="G53" i="1"/>
  <c r="G51" i="1"/>
  <c r="G49" i="1"/>
  <c r="G47" i="1"/>
  <c r="G45" i="1"/>
  <c r="G43" i="1"/>
  <c r="G41" i="1"/>
  <c r="G39" i="1"/>
  <c r="G37" i="1"/>
  <c r="G32" i="1"/>
  <c r="G24" i="1"/>
  <c r="G88" i="1"/>
  <c r="G80" i="1"/>
  <c r="G72" i="1"/>
  <c r="G29" i="1"/>
  <c r="G21" i="1"/>
  <c r="G83" i="1"/>
  <c r="G75" i="1"/>
  <c r="G34" i="1"/>
  <c r="G26" i="1"/>
  <c r="G86" i="1"/>
  <c r="G78" i="1"/>
  <c r="G70" i="1"/>
  <c r="G31" i="1"/>
  <c r="G23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1" i="1"/>
  <c r="G73" i="1"/>
  <c r="G68" i="1"/>
  <c r="G66" i="1"/>
  <c r="G64" i="1"/>
  <c r="G62" i="1"/>
  <c r="G60" i="1"/>
  <c r="G58" i="1"/>
  <c r="G56" i="1"/>
  <c r="G54" i="1"/>
  <c r="G52" i="1"/>
  <c r="G50" i="1"/>
  <c r="G48" i="1"/>
  <c r="G46" i="1"/>
  <c r="G44" i="1"/>
  <c r="G42" i="1"/>
  <c r="G40" i="1"/>
  <c r="G38" i="1"/>
  <c r="G36" i="1"/>
  <c r="G28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39" i="4" a="1"/>
  <c r="J42" i="4" a="1"/>
  <c r="I31" i="4" a="1"/>
  <c r="J49" i="4" a="1"/>
  <c r="I19" i="4" a="1"/>
  <c r="I24" i="4" a="1"/>
  <c r="J19" i="4" a="1"/>
  <c r="K131" i="4" a="1"/>
  <c r="K100" i="4" a="1"/>
  <c r="I25" i="4" a="1"/>
  <c r="J62" i="4" a="1"/>
  <c r="H36" i="4" a="1"/>
  <c r="H39" i="4" a="1"/>
  <c r="I126" i="4" a="1"/>
  <c r="H16" i="4" a="1"/>
  <c r="K57" i="4" a="1"/>
  <c r="H131" i="4" a="1"/>
  <c r="K124" i="4" a="1"/>
  <c r="K144" i="4" a="1"/>
  <c r="H128" i="4" a="1"/>
  <c r="J80" i="4" a="1"/>
  <c r="I103" i="4" a="1"/>
  <c r="I85" i="4" a="1"/>
  <c r="J71" i="4" a="1"/>
  <c r="J74" i="4" a="1"/>
  <c r="K85" i="4" a="1"/>
  <c r="K19" i="4" a="1"/>
  <c r="H78" i="4" a="1"/>
  <c r="H126" i="4" a="1"/>
  <c r="H100" i="4" a="1"/>
  <c r="I130" i="4" a="1"/>
  <c r="J63" i="4" a="1"/>
  <c r="I76" i="4" a="1"/>
  <c r="K121" i="4" a="1"/>
  <c r="J29" i="4" a="1"/>
  <c r="I111" i="4" a="1"/>
  <c r="J132" i="4" a="1"/>
  <c r="K78" i="4" a="1"/>
  <c r="H80" i="4" a="1"/>
  <c r="J147" i="4" a="1"/>
  <c r="J95" i="4" a="1"/>
  <c r="J134" i="4" a="1"/>
  <c r="H25" i="4" a="1"/>
  <c r="I147" i="4" a="1"/>
  <c r="I132" i="4" a="1"/>
  <c r="H62" i="4" a="1"/>
  <c r="I70" i="4" a="1"/>
  <c r="K8" i="4" a="1"/>
  <c r="K112" i="4" a="1"/>
  <c r="I29" i="4" a="1"/>
  <c r="K126" i="4" a="1"/>
  <c r="K128" i="4" a="1"/>
  <c r="I56" i="4" a="1"/>
  <c r="J121" i="4" a="1"/>
  <c r="K111" i="4" a="1"/>
  <c r="K31" i="4" a="1"/>
  <c r="J2" i="4" a="1"/>
  <c r="J136" i="4" a="1"/>
  <c r="I16" i="4" a="1"/>
  <c r="J25" i="4" a="1"/>
  <c r="H37" i="4" a="1"/>
  <c r="I36" i="4" a="1"/>
  <c r="J78" i="4" a="1"/>
  <c r="H150" i="4" a="1"/>
  <c r="K49" i="4" a="1"/>
  <c r="J56" i="4" a="1"/>
  <c r="I141" i="4" a="1"/>
  <c r="K76" i="4" a="1"/>
  <c r="K132" i="4" a="1"/>
  <c r="H71" i="4" a="1"/>
  <c r="K95" i="4" a="1"/>
  <c r="J59" i="4" a="1"/>
  <c r="K119" i="4" a="1"/>
  <c r="I80" i="4" a="1"/>
  <c r="I46" i="4" a="1"/>
  <c r="J37" i="4" a="1"/>
  <c r="H8" i="4" a="1"/>
  <c r="J144" i="4" a="1"/>
  <c r="H51" i="4" a="1"/>
  <c r="H2" i="4" a="1"/>
  <c r="K62" i="4" a="1"/>
  <c r="K56" i="4" a="1"/>
  <c r="J31" i="4" a="1"/>
  <c r="I131" i="4" a="1"/>
  <c r="I59" i="4" a="1"/>
  <c r="K18" i="4" a="1"/>
  <c r="H63" i="4" a="1"/>
  <c r="K24" i="4" a="1"/>
  <c r="I91" i="4" a="1"/>
  <c r="H141" i="4" a="1"/>
  <c r="H59" i="4" a="1"/>
  <c r="K32" i="4" a="1"/>
  <c r="K134" i="4" a="1"/>
  <c r="K91" i="4" a="1"/>
  <c r="H139" i="4" a="1"/>
  <c r="I59" i="1" a="1"/>
  <c r="I30" i="1" a="1"/>
  <c r="H138" i="1" a="1"/>
  <c r="H32" i="1" a="1"/>
  <c r="I13" i="1" a="1"/>
  <c r="H59" i="1" a="1"/>
  <c r="H133" i="1" a="1"/>
  <c r="H36" i="1" a="1"/>
  <c r="H104" i="1" a="1"/>
  <c r="H75" i="1" a="1"/>
  <c r="I60" i="1" a="1"/>
  <c r="I67" i="1" a="1"/>
  <c r="I50" i="1" a="1"/>
  <c r="I65" i="1" a="1"/>
  <c r="H100" i="1" a="1"/>
  <c r="H81" i="1" a="1"/>
  <c r="H74" i="1" a="1"/>
  <c r="H60" i="1" a="1"/>
  <c r="H118" i="1" a="1"/>
  <c r="I83" i="1" a="1"/>
  <c r="I31" i="1" a="1"/>
  <c r="H111" i="1" a="1"/>
  <c r="I131" i="1" a="1"/>
  <c r="I86" i="1" a="1"/>
  <c r="I19" i="1" a="1"/>
  <c r="H146" i="1" a="1"/>
  <c r="I109" i="1" a="1"/>
  <c r="I37" i="1" a="1"/>
  <c r="H78" i="1" a="1"/>
  <c r="H25" i="1" a="1"/>
  <c r="I143" i="1" a="1"/>
  <c r="I39" i="1" a="1"/>
  <c r="I71" i="1" a="1"/>
  <c r="H102" i="1" a="1"/>
  <c r="I14" i="1" a="1"/>
  <c r="I49" i="1" a="1"/>
  <c r="I63" i="1" a="1"/>
  <c r="I40" i="1" a="1"/>
  <c r="I89" i="1" a="1"/>
  <c r="I66" i="1" a="1"/>
  <c r="H140" i="1" a="1"/>
  <c r="H22" i="1" a="1"/>
  <c r="H19" i="1" a="1"/>
  <c r="H92" i="1" a="1"/>
  <c r="H18" i="1" a="1"/>
  <c r="I110" i="1" a="1"/>
  <c r="I151" i="1" a="1"/>
  <c r="I128" i="1" a="1"/>
  <c r="I82" i="1" a="1"/>
  <c r="H129" i="1" a="1"/>
  <c r="I103" i="1" a="1"/>
  <c r="I25" i="1" a="1"/>
  <c r="I4" i="1" a="1"/>
  <c r="H139" i="1" a="1"/>
  <c r="H51" i="1" a="1"/>
  <c r="I85" i="1" a="1"/>
  <c r="H148" i="1" a="1"/>
  <c r="I23" i="1" a="1"/>
  <c r="H8" i="1" a="1"/>
  <c r="H120" i="1" a="1"/>
  <c r="H12" i="1" a="1"/>
  <c r="I76" i="1" a="1"/>
  <c r="I43" i="1" a="1"/>
  <c r="I47" i="1" a="1"/>
  <c r="I10" i="1" a="1"/>
  <c r="H142" i="1" a="1"/>
  <c r="H145" i="1" a="1"/>
  <c r="I17" i="1" a="1"/>
  <c r="I8" i="1" a="1"/>
  <c r="H121" i="1" a="1"/>
  <c r="I105" i="1" a="1"/>
  <c r="I150" i="1" a="1"/>
  <c r="I116" i="1" a="1"/>
  <c r="I87" i="1" a="1"/>
  <c r="H41" i="1" a="1"/>
  <c r="H67" i="1" a="1"/>
  <c r="I51" i="1" a="1"/>
  <c r="I12" i="1" a="1"/>
  <c r="H130" i="1" a="1"/>
  <c r="H106" i="1" a="1"/>
  <c r="H80" i="1" a="1"/>
  <c r="H126" i="1" a="1"/>
  <c r="H27" i="1" a="1"/>
  <c r="H123" i="1" a="1"/>
  <c r="I69" i="1" a="1"/>
  <c r="H11" i="1" a="1"/>
  <c r="I84" i="1" a="1"/>
  <c r="I122" i="1" a="1"/>
  <c r="H116" i="1" a="1"/>
  <c r="I28" i="1" a="1"/>
  <c r="H54" i="1" a="1"/>
  <c r="I134" i="1" a="1"/>
  <c r="I147" i="1" a="1"/>
  <c r="H96" i="1" a="1"/>
  <c r="I44" i="1" a="1"/>
  <c r="I99" i="1" a="1"/>
  <c r="H112" i="1" a="1"/>
  <c r="I48" i="1" a="1"/>
  <c r="I26" i="1" a="1"/>
  <c r="I32" i="1" a="1"/>
  <c r="I29" i="1" a="1"/>
  <c r="I92" i="1" a="1"/>
  <c r="H119" i="1" a="1"/>
  <c r="I36" i="1" a="1"/>
  <c r="I127" i="1" a="1"/>
  <c r="I97" i="1" a="1"/>
  <c r="H58" i="1" a="1"/>
  <c r="H91" i="1" a="1"/>
  <c r="H24" i="1" a="1"/>
  <c r="I6" i="1" a="1"/>
  <c r="H90" i="1" a="1"/>
  <c r="I137" i="1" a="1"/>
  <c r="I120" i="1" a="1"/>
  <c r="I72" i="1" a="1"/>
  <c r="I20" i="1" a="1"/>
  <c r="I41" i="1" a="1"/>
  <c r="H79" i="1" a="1"/>
  <c r="I73" i="1" a="1"/>
  <c r="H30" i="1" a="1"/>
  <c r="H44" i="1" a="1"/>
  <c r="I88" i="1" a="1"/>
  <c r="H45" i="1" a="1"/>
  <c r="H46" i="1" a="1"/>
  <c r="H64" i="1" a="1"/>
  <c r="I68" i="1" a="1"/>
  <c r="I101" i="1" a="1"/>
  <c r="H137" i="1" a="1"/>
  <c r="H115" i="1" a="1"/>
  <c r="I145" i="1" a="1"/>
  <c r="I114" i="1" a="1"/>
  <c r="I33" i="1" a="1"/>
  <c r="I7" i="1" a="1"/>
  <c r="I3" i="1" a="1"/>
  <c r="H125" i="1" a="1"/>
  <c r="I119" i="1" a="1"/>
  <c r="I35" i="1" a="1"/>
  <c r="H122" i="1" a="1"/>
  <c r="H124" i="1" a="1"/>
  <c r="I21" i="1" a="1"/>
  <c r="H82" i="1" a="1"/>
  <c r="I136" i="1" a="1"/>
  <c r="I133" i="1" a="1"/>
  <c r="H62" i="1" a="1"/>
  <c r="H88" i="1" a="1"/>
  <c r="H9" i="1" a="1"/>
  <c r="I53" i="1" a="1"/>
  <c r="I70" i="1" a="1"/>
  <c r="I117" i="1" a="1"/>
  <c r="I57" i="1" a="1"/>
  <c r="H108" i="1" a="1"/>
  <c r="I81" i="1" a="1"/>
  <c r="H55" i="1" a="1"/>
  <c r="I140" i="1" a="1"/>
  <c r="I106" i="1" a="1"/>
  <c r="H72" i="1" a="1"/>
  <c r="I74" i="1" a="1"/>
  <c r="I5" i="1" a="1"/>
  <c r="H99" i="1" a="1"/>
  <c r="H3" i="1" a="1"/>
  <c r="I61" i="1" a="1"/>
  <c r="H42" i="1" a="1"/>
  <c r="I149" i="1" a="1"/>
  <c r="I11" i="1" a="1"/>
  <c r="I16" i="1" a="1"/>
  <c r="I132" i="1" a="1"/>
  <c r="I138" i="1" a="1"/>
  <c r="H144" i="1" a="1"/>
  <c r="I95" i="1" a="1"/>
  <c r="I146" i="1" a="1"/>
  <c r="H151" i="1" a="1"/>
  <c r="H56" i="1" a="1"/>
  <c r="I112" i="1" a="1"/>
  <c r="I102" i="1" a="1"/>
  <c r="H150" i="1" a="1"/>
  <c r="I94" i="1" a="1"/>
  <c r="I77" i="1" a="1"/>
  <c r="I148" i="1" a="1"/>
  <c r="H10" i="1" a="1"/>
  <c r="I38" i="1" a="1"/>
  <c r="I130" i="1" a="1"/>
  <c r="I15" i="1" a="1"/>
  <c r="H52" i="1" a="1"/>
  <c r="I129" i="1" a="1"/>
  <c r="H98" i="1" a="1"/>
  <c r="H39" i="1" a="1"/>
  <c r="I121" i="1" a="1"/>
  <c r="I34" i="1" a="1"/>
  <c r="I22" i="1" a="1"/>
  <c r="H63" i="1" a="1"/>
  <c r="I45" i="1" a="1"/>
  <c r="I9" i="1" a="1"/>
  <c r="H43" i="1" a="1"/>
  <c r="I27" i="1" a="1"/>
  <c r="H141" i="1" a="1"/>
  <c r="H71" i="1" a="1"/>
  <c r="H107" i="1" a="1"/>
  <c r="I135" i="1" a="1"/>
  <c r="I93" i="1" a="1"/>
  <c r="H113" i="1" a="1"/>
  <c r="I2" i="1" a="1"/>
  <c r="M13" i="1" l="1"/>
  <c r="N13" i="1" a="1"/>
  <c r="N13" i="1" s="1"/>
  <c r="H78" i="4"/>
  <c r="I56" i="4"/>
  <c r="I19" i="4"/>
  <c r="J136" i="4"/>
  <c r="L136" i="4" s="1"/>
  <c r="F136" i="4" s="1"/>
  <c r="J42" i="4"/>
  <c r="L42" i="4" s="1"/>
  <c r="F42" i="4" s="1"/>
  <c r="J147" i="4"/>
  <c r="K32" i="4"/>
  <c r="L32" i="4" s="1"/>
  <c r="F32" i="4" s="1"/>
  <c r="J132" i="4"/>
  <c r="I91" i="4"/>
  <c r="I70" i="4"/>
  <c r="L70" i="4" s="1"/>
  <c r="F70" i="4" s="1"/>
  <c r="I147" i="4"/>
  <c r="K19" i="4"/>
  <c r="K85" i="4"/>
  <c r="H51" i="4"/>
  <c r="L51" i="4" s="1"/>
  <c r="F51" i="4" s="1"/>
  <c r="J71" i="4"/>
  <c r="H8" i="4"/>
  <c r="K121" i="4"/>
  <c r="K18" i="4"/>
  <c r="L18" i="4" s="1"/>
  <c r="F18" i="4" s="1"/>
  <c r="I130" i="4"/>
  <c r="L130" i="4" s="1"/>
  <c r="F130" i="4" s="1"/>
  <c r="J31" i="4"/>
  <c r="H36" i="4"/>
  <c r="K49" i="4"/>
  <c r="K100" i="4"/>
  <c r="I36" i="4"/>
  <c r="J80" i="4"/>
  <c r="I80" i="4"/>
  <c r="K124" i="4"/>
  <c r="L124" i="4" s="1"/>
  <c r="F124" i="4" s="1"/>
  <c r="K95" i="4"/>
  <c r="H16" i="4"/>
  <c r="K126" i="4"/>
  <c r="K62" i="4"/>
  <c r="K8" i="4"/>
  <c r="I24" i="4"/>
  <c r="I16" i="4"/>
  <c r="I31" i="4"/>
  <c r="K31" i="4"/>
  <c r="K134" i="4"/>
  <c r="K78" i="4"/>
  <c r="H141" i="4"/>
  <c r="J29" i="4"/>
  <c r="I126" i="4"/>
  <c r="I132" i="4"/>
  <c r="K111" i="4"/>
  <c r="J134" i="4"/>
  <c r="J121" i="4"/>
  <c r="J74" i="4"/>
  <c r="J144" i="4"/>
  <c r="I103" i="4"/>
  <c r="L103" i="4" s="1"/>
  <c r="F103" i="4" s="1"/>
  <c r="H63" i="4"/>
  <c r="J63" i="4"/>
  <c r="I131" i="4"/>
  <c r="H126" i="4"/>
  <c r="J56" i="4"/>
  <c r="I25" i="4"/>
  <c r="J78" i="4"/>
  <c r="J19" i="4"/>
  <c r="I46" i="4"/>
  <c r="K144" i="4"/>
  <c r="J59" i="4"/>
  <c r="K57" i="4"/>
  <c r="L57" i="4" s="1"/>
  <c r="F57" i="4" s="1"/>
  <c r="K128" i="4"/>
  <c r="K132" i="4"/>
  <c r="K112" i="4"/>
  <c r="L112" i="4" s="1"/>
  <c r="F112" i="4" s="1"/>
  <c r="J95" i="4"/>
  <c r="J25" i="4"/>
  <c r="J49" i="4"/>
  <c r="J139" i="4"/>
  <c r="H80" i="4"/>
  <c r="H59" i="4"/>
  <c r="I111" i="4"/>
  <c r="K24" i="4"/>
  <c r="H62" i="4"/>
  <c r="K76" i="4"/>
  <c r="H25" i="4"/>
  <c r="K91" i="4"/>
  <c r="H39" i="4"/>
  <c r="L39" i="4" s="1"/>
  <c r="F39" i="4" s="1"/>
  <c r="I141" i="4"/>
  <c r="I85" i="4"/>
  <c r="J37" i="4"/>
  <c r="I76" i="4"/>
  <c r="I59" i="4"/>
  <c r="H100" i="4"/>
  <c r="K56" i="4"/>
  <c r="J62" i="4"/>
  <c r="H150" i="4"/>
  <c r="L150" i="4" s="1"/>
  <c r="F150" i="4" s="1"/>
  <c r="K131" i="4"/>
  <c r="H37" i="4"/>
  <c r="H128" i="4"/>
  <c r="K119" i="4"/>
  <c r="L119" i="4" s="1"/>
  <c r="F119" i="4" s="1"/>
  <c r="H131" i="4"/>
  <c r="H71" i="4"/>
  <c r="H139" i="4"/>
  <c r="I29" i="4"/>
  <c r="L54" i="4"/>
  <c r="F54" i="4" s="1"/>
  <c r="L142" i="4"/>
  <c r="F142" i="4" s="1"/>
  <c r="L89" i="4"/>
  <c r="F89" i="4" s="1"/>
  <c r="L68" i="4"/>
  <c r="F68" i="4" s="1"/>
  <c r="L81" i="4"/>
  <c r="F81" i="4" s="1"/>
  <c r="L138" i="4"/>
  <c r="F138" i="4" s="1"/>
  <c r="L105" i="4"/>
  <c r="F105" i="4" s="1"/>
  <c r="L129" i="4"/>
  <c r="F129" i="4" s="1"/>
  <c r="L60" i="4"/>
  <c r="F60" i="4" s="1"/>
  <c r="L73" i="4"/>
  <c r="F73" i="4" s="1"/>
  <c r="L135" i="4"/>
  <c r="F135" i="4" s="1"/>
  <c r="L104" i="4"/>
  <c r="F104" i="4" s="1"/>
  <c r="L67" i="4"/>
  <c r="F67" i="4" s="1"/>
  <c r="L28" i="4"/>
  <c r="F28" i="4" s="1"/>
  <c r="L113" i="4"/>
  <c r="F113" i="4" s="1"/>
  <c r="L79" i="4"/>
  <c r="F79" i="4" s="1"/>
  <c r="L98" i="4"/>
  <c r="F98" i="4" s="1"/>
  <c r="L58" i="4"/>
  <c r="F58" i="4" s="1"/>
  <c r="L61" i="4"/>
  <c r="F61" i="4" s="1"/>
  <c r="L43" i="4"/>
  <c r="F43" i="4" s="1"/>
  <c r="L120" i="4"/>
  <c r="F120" i="4" s="1"/>
  <c r="L94" i="4"/>
  <c r="F94" i="4" s="1"/>
  <c r="L86" i="4"/>
  <c r="F86" i="4" s="1"/>
  <c r="L106" i="4"/>
  <c r="F106" i="4" s="1"/>
  <c r="L15" i="4"/>
  <c r="F15" i="4" s="1"/>
  <c r="L149" i="4"/>
  <c r="F149" i="4" s="1"/>
  <c r="L17" i="4"/>
  <c r="F17" i="4" s="1"/>
  <c r="L84" i="4"/>
  <c r="F84" i="4" s="1"/>
  <c r="L44" i="4"/>
  <c r="F44" i="4" s="1"/>
  <c r="L5" i="4"/>
  <c r="F5" i="4" s="1"/>
  <c r="L116" i="4"/>
  <c r="F116" i="4" s="1"/>
  <c r="L125" i="4"/>
  <c r="F125" i="4" s="1"/>
  <c r="L33" i="4"/>
  <c r="F33" i="4" s="1"/>
  <c r="L151" i="4"/>
  <c r="F151" i="4" s="1"/>
  <c r="L52" i="4"/>
  <c r="F52" i="4" s="1"/>
  <c r="L47" i="4"/>
  <c r="F47" i="4" s="1"/>
  <c r="L3" i="4"/>
  <c r="F3" i="4" s="1"/>
  <c r="L114" i="4"/>
  <c r="F114" i="4" s="1"/>
  <c r="L83" i="4"/>
  <c r="F83" i="4" s="1"/>
  <c r="L35" i="4"/>
  <c r="F35" i="4" s="1"/>
  <c r="L77" i="4"/>
  <c r="F77" i="4" s="1"/>
  <c r="L9" i="4"/>
  <c r="F9" i="4" s="1"/>
  <c r="L30" i="4"/>
  <c r="F30" i="4" s="1"/>
  <c r="L122" i="4"/>
  <c r="F122" i="4" s="1"/>
  <c r="L10" i="4"/>
  <c r="F10" i="4" s="1"/>
  <c r="L22" i="4"/>
  <c r="F22" i="4" s="1"/>
  <c r="L82" i="4"/>
  <c r="F82" i="4" s="1"/>
  <c r="L97" i="4"/>
  <c r="F97" i="4" s="1"/>
  <c r="L74" i="4"/>
  <c r="F74" i="4" s="1"/>
  <c r="L148" i="4"/>
  <c r="F148" i="4" s="1"/>
  <c r="L53" i="4"/>
  <c r="F53" i="4" s="1"/>
  <c r="L38" i="4"/>
  <c r="F38" i="4" s="1"/>
  <c r="L66" i="4"/>
  <c r="F66" i="4" s="1"/>
  <c r="L90" i="4"/>
  <c r="F90" i="4" s="1"/>
  <c r="L140" i="4"/>
  <c r="F140" i="4" s="1"/>
  <c r="L64" i="4"/>
  <c r="F64" i="4" s="1"/>
  <c r="L101" i="4"/>
  <c r="F101" i="4" s="1"/>
  <c r="L27" i="4"/>
  <c r="F27" i="4" s="1"/>
  <c r="L146" i="4"/>
  <c r="F146" i="4" s="1"/>
  <c r="L40" i="4"/>
  <c r="F40" i="4" s="1"/>
  <c r="L4" i="4"/>
  <c r="F4" i="4" s="1"/>
  <c r="L118" i="4"/>
  <c r="F118" i="4" s="1"/>
  <c r="L55" i="4"/>
  <c r="F55" i="4" s="1"/>
  <c r="L12" i="4"/>
  <c r="F12" i="4" s="1"/>
  <c r="L72" i="4"/>
  <c r="F72" i="4" s="1"/>
  <c r="L109" i="4"/>
  <c r="F109" i="4" s="1"/>
  <c r="L6" i="4"/>
  <c r="F6" i="4" s="1"/>
  <c r="L20" i="4"/>
  <c r="F20" i="4" s="1"/>
  <c r="L143" i="4"/>
  <c r="F143" i="4" s="1"/>
  <c r="L107" i="4"/>
  <c r="F107" i="4" s="1"/>
  <c r="L88" i="4"/>
  <c r="F88" i="4" s="1"/>
  <c r="L137" i="4"/>
  <c r="F137" i="4" s="1"/>
  <c r="L41" i="4"/>
  <c r="F41" i="4" s="1"/>
  <c r="L14" i="4"/>
  <c r="F14" i="4" s="1"/>
  <c r="L99" i="4"/>
  <c r="F99" i="4" s="1"/>
  <c r="L87" i="4"/>
  <c r="F87" i="4" s="1"/>
  <c r="L127" i="4"/>
  <c r="F127" i="4" s="1"/>
  <c r="L133" i="4"/>
  <c r="F133" i="4" s="1"/>
  <c r="L102" i="4"/>
  <c r="F102" i="4" s="1"/>
  <c r="L65" i="4"/>
  <c r="F65" i="4" s="1"/>
  <c r="L26" i="4"/>
  <c r="F26" i="4" s="1"/>
  <c r="L145" i="4"/>
  <c r="F145" i="4" s="1"/>
  <c r="L96" i="4"/>
  <c r="F96" i="4" s="1"/>
  <c r="L115" i="4"/>
  <c r="F115" i="4" s="1"/>
  <c r="L69" i="4"/>
  <c r="F69" i="4" s="1"/>
  <c r="L123" i="4"/>
  <c r="F123" i="4" s="1"/>
  <c r="L110" i="4"/>
  <c r="F110" i="4" s="1"/>
  <c r="L75" i="4"/>
  <c r="F75" i="4" s="1"/>
  <c r="L92" i="4"/>
  <c r="F92" i="4" s="1"/>
  <c r="L45" i="4"/>
  <c r="F45" i="4" s="1"/>
  <c r="L21" i="4"/>
  <c r="F21" i="4" s="1"/>
  <c r="L11" i="4"/>
  <c r="F11" i="4" s="1"/>
  <c r="L117" i="4"/>
  <c r="F117" i="4" s="1"/>
  <c r="L34" i="4"/>
  <c r="F34" i="4" s="1"/>
  <c r="L23" i="4"/>
  <c r="F23" i="4" s="1"/>
  <c r="L48" i="4"/>
  <c r="F48" i="4" s="1"/>
  <c r="L7" i="4"/>
  <c r="F7" i="4" s="1"/>
  <c r="L13" i="4"/>
  <c r="F13" i="4" s="1"/>
  <c r="L93" i="4"/>
  <c r="F93" i="4" s="1"/>
  <c r="L46" i="4"/>
  <c r="F46" i="4" s="1"/>
  <c r="L108" i="4"/>
  <c r="F108" i="4" s="1"/>
  <c r="L50" i="4"/>
  <c r="F50" i="4" s="1"/>
  <c r="J2" i="4"/>
  <c r="H2" i="4"/>
  <c r="H42" i="1"/>
  <c r="H113" i="1"/>
  <c r="I61" i="1"/>
  <c r="H8" i="1"/>
  <c r="I8" i="1"/>
  <c r="I16" i="1"/>
  <c r="I40" i="1"/>
  <c r="H56" i="1"/>
  <c r="H81" i="1"/>
  <c r="I81" i="1"/>
  <c r="H96" i="1"/>
  <c r="H104" i="1"/>
  <c r="H112" i="1"/>
  <c r="I112" i="1"/>
  <c r="H78" i="1"/>
  <c r="H72" i="1"/>
  <c r="I72" i="1"/>
  <c r="H43" i="1"/>
  <c r="I43" i="1"/>
  <c r="H59" i="1"/>
  <c r="I59" i="1"/>
  <c r="H27" i="1"/>
  <c r="I27" i="1"/>
  <c r="H119" i="1"/>
  <c r="I119" i="1"/>
  <c r="H22" i="1"/>
  <c r="I22" i="1"/>
  <c r="H118" i="1"/>
  <c r="H150" i="1"/>
  <c r="I150" i="1"/>
  <c r="I143" i="1"/>
  <c r="H58" i="1"/>
  <c r="H144" i="1"/>
  <c r="H10" i="1"/>
  <c r="I10" i="1"/>
  <c r="H18" i="1"/>
  <c r="H44" i="1"/>
  <c r="I44" i="1"/>
  <c r="H60" i="1"/>
  <c r="I60" i="1"/>
  <c r="H90" i="1"/>
  <c r="H98" i="1"/>
  <c r="H106" i="1"/>
  <c r="I106" i="1"/>
  <c r="I114" i="1"/>
  <c r="I26" i="1"/>
  <c r="H88" i="1"/>
  <c r="I88" i="1"/>
  <c r="I47" i="1"/>
  <c r="H63" i="1"/>
  <c r="I63" i="1"/>
  <c r="I74" i="1"/>
  <c r="H74" i="1"/>
  <c r="H130" i="1"/>
  <c r="I130" i="1"/>
  <c r="H129" i="1"/>
  <c r="I129" i="1"/>
  <c r="I148" i="1"/>
  <c r="H148" i="1"/>
  <c r="H140" i="1"/>
  <c r="I140" i="1"/>
  <c r="I145" i="1"/>
  <c r="H145" i="1"/>
  <c r="H9" i="1"/>
  <c r="I9" i="1"/>
  <c r="I89" i="1"/>
  <c r="H80" i="1"/>
  <c r="H45" i="1"/>
  <c r="I45" i="1"/>
  <c r="I131" i="1"/>
  <c r="H11" i="1"/>
  <c r="I11" i="1"/>
  <c r="H19" i="1"/>
  <c r="I19" i="1"/>
  <c r="H46" i="1"/>
  <c r="H62" i="1"/>
  <c r="H91" i="1"/>
  <c r="H99" i="1"/>
  <c r="I99" i="1"/>
  <c r="H107" i="1"/>
  <c r="H115" i="1"/>
  <c r="I34" i="1"/>
  <c r="H24" i="1"/>
  <c r="I49" i="1"/>
  <c r="I65" i="1"/>
  <c r="I82" i="1"/>
  <c r="H82" i="1"/>
  <c r="I134" i="1"/>
  <c r="H133" i="1"/>
  <c r="I133" i="1"/>
  <c r="I151" i="1"/>
  <c r="H151" i="1"/>
  <c r="H30" i="1"/>
  <c r="I30" i="1"/>
  <c r="I146" i="1"/>
  <c r="H146" i="1"/>
  <c r="I105" i="1"/>
  <c r="H121" i="1"/>
  <c r="I121" i="1"/>
  <c r="I4" i="1"/>
  <c r="H12" i="1"/>
  <c r="I12" i="1"/>
  <c r="I20" i="1"/>
  <c r="I48" i="1"/>
  <c r="H64" i="1"/>
  <c r="H92" i="1"/>
  <c r="I92" i="1"/>
  <c r="H100" i="1"/>
  <c r="H108" i="1"/>
  <c r="H116" i="1"/>
  <c r="I116" i="1"/>
  <c r="H75" i="1"/>
  <c r="H32" i="1"/>
  <c r="I32" i="1"/>
  <c r="H51" i="1"/>
  <c r="I51" i="1"/>
  <c r="H67" i="1"/>
  <c r="I67" i="1"/>
  <c r="H25" i="1"/>
  <c r="I25" i="1"/>
  <c r="H138" i="1"/>
  <c r="I138" i="1"/>
  <c r="H137" i="1"/>
  <c r="I137" i="1"/>
  <c r="H123" i="1"/>
  <c r="H120" i="1"/>
  <c r="I120" i="1"/>
  <c r="I149" i="1"/>
  <c r="I97" i="1"/>
  <c r="H126" i="1"/>
  <c r="I5" i="1"/>
  <c r="I13" i="1"/>
  <c r="I28" i="1"/>
  <c r="I50" i="1"/>
  <c r="I66" i="1"/>
  <c r="I93" i="1"/>
  <c r="I101" i="1"/>
  <c r="I109" i="1"/>
  <c r="I23" i="1"/>
  <c r="I83" i="1"/>
  <c r="I37" i="1"/>
  <c r="I53" i="1"/>
  <c r="I69" i="1"/>
  <c r="I33" i="1"/>
  <c r="I117" i="1"/>
  <c r="H79" i="1"/>
  <c r="I132" i="1"/>
  <c r="I128" i="1"/>
  <c r="I135" i="1"/>
  <c r="I17" i="1"/>
  <c r="I86" i="1"/>
  <c r="I127" i="1"/>
  <c r="I6" i="1"/>
  <c r="I14" i="1"/>
  <c r="H36" i="1"/>
  <c r="I36" i="1"/>
  <c r="H52" i="1"/>
  <c r="I68" i="1"/>
  <c r="I94" i="1"/>
  <c r="H102" i="1"/>
  <c r="I102" i="1"/>
  <c r="I110" i="1"/>
  <c r="I31" i="1"/>
  <c r="I21" i="1"/>
  <c r="H39" i="1"/>
  <c r="I39" i="1"/>
  <c r="H55" i="1"/>
  <c r="I77" i="1"/>
  <c r="I76" i="1"/>
  <c r="I71" i="1"/>
  <c r="H71" i="1"/>
  <c r="H125" i="1"/>
  <c r="I136" i="1"/>
  <c r="H141" i="1"/>
  <c r="H122" i="1"/>
  <c r="I122" i="1"/>
  <c r="I35" i="1"/>
  <c r="I7" i="1"/>
  <c r="I15" i="1"/>
  <c r="I38" i="1"/>
  <c r="H54" i="1"/>
  <c r="I73" i="1"/>
  <c r="I95" i="1"/>
  <c r="I103" i="1"/>
  <c r="H111" i="1"/>
  <c r="I70" i="1"/>
  <c r="I29" i="1"/>
  <c r="H41" i="1"/>
  <c r="I41" i="1"/>
  <c r="I57" i="1"/>
  <c r="I85" i="1"/>
  <c r="I84" i="1"/>
  <c r="H124" i="1"/>
  <c r="I87" i="1"/>
  <c r="I147" i="1"/>
  <c r="H142" i="1"/>
  <c r="H139" i="1"/>
  <c r="I3" i="1"/>
  <c r="H3" i="1"/>
  <c r="I2" i="1"/>
  <c r="J2" i="1" s="1"/>
  <c r="K2" i="4" a="1"/>
  <c r="H76" i="1" a="1"/>
  <c r="I24" i="1" a="1"/>
  <c r="H89" i="1" a="1"/>
  <c r="H15" i="1" a="1"/>
  <c r="H85" i="1" a="1"/>
  <c r="I80" i="1" a="1"/>
  <c r="H28" i="1" a="1"/>
  <c r="I46" i="1" a="1"/>
  <c r="H117" i="1" a="1"/>
  <c r="I113" i="1" a="1"/>
  <c r="I79" i="1" a="1"/>
  <c r="I42" i="1" a="1"/>
  <c r="H103" i="1" a="1"/>
  <c r="H61" i="1" a="1"/>
  <c r="H13" i="1" a="1"/>
  <c r="I52" i="1" a="1"/>
  <c r="H57" i="1" a="1"/>
  <c r="H38" i="1" a="1"/>
  <c r="H4" i="1" a="1"/>
  <c r="H143" i="1" a="1"/>
  <c r="I90" i="1" a="1"/>
  <c r="H50" i="1" a="1"/>
  <c r="I141" i="1" a="1"/>
  <c r="H127" i="1" a="1"/>
  <c r="H5" i="1" a="1"/>
  <c r="I123" i="1" a="1"/>
  <c r="I126" i="1" a="1"/>
  <c r="H14" i="1" a="1"/>
  <c r="H21" i="1" a="1"/>
  <c r="H17" i="1" a="1"/>
  <c r="H132" i="1" a="1"/>
  <c r="H86" i="1" a="1"/>
  <c r="I100" i="1" a="1"/>
  <c r="I18" i="1" a="1"/>
  <c r="I91" i="1" a="1"/>
  <c r="I98" i="1" a="1"/>
  <c r="I107" i="1" a="1"/>
  <c r="H131" i="1" a="1"/>
  <c r="I58" i="1" a="1"/>
  <c r="H47" i="1" a="1"/>
  <c r="H70" i="1" a="1"/>
  <c r="H105" i="1" a="1"/>
  <c r="H26" i="1" a="1"/>
  <c r="H35" i="1" a="1"/>
  <c r="H128" i="1" a="1"/>
  <c r="H114" i="1" a="1"/>
  <c r="H33" i="1" a="1"/>
  <c r="H149" i="1" a="1"/>
  <c r="I104" i="1" a="1"/>
  <c r="H83" i="1" a="1"/>
  <c r="H34" i="1" a="1"/>
  <c r="I118" i="1" a="1"/>
  <c r="I144" i="1" a="1"/>
  <c r="H23" i="1" a="1"/>
  <c r="H147" i="1" a="1"/>
  <c r="H136" i="1" a="1"/>
  <c r="H66" i="1" a="1"/>
  <c r="H65" i="1" a="1"/>
  <c r="H40" i="1" a="1"/>
  <c r="I56" i="1" a="1"/>
  <c r="H6" i="1" a="1"/>
  <c r="H135" i="1" a="1"/>
  <c r="H29" i="1" a="1"/>
  <c r="H110" i="1" a="1"/>
  <c r="I139" i="1" a="1"/>
  <c r="H69" i="1" a="1"/>
  <c r="I64" i="1" a="1"/>
  <c r="H73" i="1" a="1"/>
  <c r="H93" i="1" a="1"/>
  <c r="H53" i="1" a="1"/>
  <c r="I108" i="1" a="1"/>
  <c r="H95" i="1" a="1"/>
  <c r="H134" i="1" a="1"/>
  <c r="I115" i="1" a="1"/>
  <c r="H31" i="1" a="1"/>
  <c r="H84" i="1" a="1"/>
  <c r="H77" i="1" a="1"/>
  <c r="I142" i="1" a="1"/>
  <c r="I96" i="1" a="1"/>
  <c r="I111" i="1" a="1"/>
  <c r="H87" i="1" a="1"/>
  <c r="H101" i="1" a="1"/>
  <c r="H37" i="1" a="1"/>
  <c r="H68" i="1" a="1"/>
  <c r="H16" i="1" a="1"/>
  <c r="I78" i="1" a="1"/>
  <c r="I55" i="1" a="1"/>
  <c r="I54" i="1" a="1"/>
  <c r="I125" i="1" a="1"/>
  <c r="H48" i="1" a="1"/>
  <c r="H97" i="1" a="1"/>
  <c r="H94" i="1" a="1"/>
  <c r="I62" i="1" a="1"/>
  <c r="H49" i="1" a="1"/>
  <c r="H109" i="1" a="1"/>
  <c r="I75" i="1" a="1"/>
  <c r="H20" i="1" a="1"/>
  <c r="H7" i="1" a="1"/>
  <c r="I124" i="1" a="1"/>
  <c r="H127" i="1" l="1"/>
  <c r="J127" i="1" s="1"/>
  <c r="F127" i="1" s="1"/>
  <c r="I58" i="1"/>
  <c r="J58" i="1" s="1"/>
  <c r="F58" i="1" s="1"/>
  <c r="I126" i="1"/>
  <c r="J126" i="1" s="1"/>
  <c r="F126" i="1" s="1"/>
  <c r="H35" i="1"/>
  <c r="J35" i="1" s="1"/>
  <c r="F35" i="1" s="1"/>
  <c r="H131" i="1"/>
  <c r="J131" i="1" s="1"/>
  <c r="F131" i="1" s="1"/>
  <c r="H61" i="1"/>
  <c r="J61" i="1" s="1"/>
  <c r="F61" i="1" s="1"/>
  <c r="H26" i="1"/>
  <c r="J26" i="1" s="1"/>
  <c r="F26" i="1" s="1"/>
  <c r="I98" i="1"/>
  <c r="J98" i="1" s="1"/>
  <c r="F98" i="1" s="1"/>
  <c r="I42" i="1"/>
  <c r="J42" i="1" s="1"/>
  <c r="F42" i="1" s="1"/>
  <c r="H105" i="1"/>
  <c r="J105" i="1" s="1"/>
  <c r="F105" i="1" s="1"/>
  <c r="I18" i="1"/>
  <c r="J18" i="1" s="1"/>
  <c r="F18" i="1" s="1"/>
  <c r="I113" i="1"/>
  <c r="J113" i="1" s="1"/>
  <c r="F113" i="1" s="1"/>
  <c r="I144" i="1"/>
  <c r="J144" i="1" s="1"/>
  <c r="F144" i="1" s="1"/>
  <c r="I90" i="1"/>
  <c r="J90" i="1" s="1"/>
  <c r="F90" i="1" s="1"/>
  <c r="H86" i="1"/>
  <c r="J86" i="1" s="1"/>
  <c r="F86" i="1" s="1"/>
  <c r="H114" i="1"/>
  <c r="J114" i="1" s="1"/>
  <c r="F114" i="1" s="1"/>
  <c r="H47" i="1"/>
  <c r="J47" i="1" s="1"/>
  <c r="F47" i="1" s="1"/>
  <c r="H17" i="1"/>
  <c r="J17" i="1" s="1"/>
  <c r="F17" i="1" s="1"/>
  <c r="I80" i="1"/>
  <c r="J80" i="1" s="1"/>
  <c r="F80" i="1" s="1"/>
  <c r="H89" i="1"/>
  <c r="J89" i="1" s="1"/>
  <c r="F89" i="1" s="1"/>
  <c r="H97" i="1"/>
  <c r="J97" i="1" s="1"/>
  <c r="F97" i="1" s="1"/>
  <c r="L24" i="4"/>
  <c r="F24" i="4" s="1"/>
  <c r="L49" i="4"/>
  <c r="F49" i="4" s="1"/>
  <c r="L91" i="4"/>
  <c r="F91" i="4" s="1"/>
  <c r="L37" i="4"/>
  <c r="F37" i="4" s="1"/>
  <c r="L16" i="4"/>
  <c r="F16" i="4" s="1"/>
  <c r="L85" i="4"/>
  <c r="F85" i="4" s="1"/>
  <c r="L111" i="4"/>
  <c r="F111" i="4" s="1"/>
  <c r="L147" i="4"/>
  <c r="F147" i="4" s="1"/>
  <c r="L128" i="4"/>
  <c r="F128" i="4" s="1"/>
  <c r="L76" i="4"/>
  <c r="F76" i="4" s="1"/>
  <c r="L29" i="4"/>
  <c r="F29" i="4" s="1"/>
  <c r="L36" i="4"/>
  <c r="F36" i="4" s="1"/>
  <c r="L141" i="4"/>
  <c r="F141" i="4" s="1"/>
  <c r="L19" i="4"/>
  <c r="F19" i="4" s="1"/>
  <c r="L131" i="4"/>
  <c r="F131" i="4" s="1"/>
  <c r="L121" i="4"/>
  <c r="F121" i="4" s="1"/>
  <c r="L8" i="4"/>
  <c r="F8" i="4" s="1"/>
  <c r="L134" i="4"/>
  <c r="F134" i="4" s="1"/>
  <c r="L25" i="4"/>
  <c r="F25" i="4" s="1"/>
  <c r="L63" i="4"/>
  <c r="F63" i="4" s="1"/>
  <c r="L144" i="4"/>
  <c r="F144" i="4" s="1"/>
  <c r="L71" i="4"/>
  <c r="F71" i="4" s="1"/>
  <c r="L126" i="4"/>
  <c r="F126" i="4" s="1"/>
  <c r="L78" i="4"/>
  <c r="F78" i="4" s="1"/>
  <c r="L80" i="4"/>
  <c r="F80" i="4" s="1"/>
  <c r="L95" i="4"/>
  <c r="F95" i="4" s="1"/>
  <c r="L56" i="4"/>
  <c r="F56" i="4" s="1"/>
  <c r="L139" i="4"/>
  <c r="F139" i="4" s="1"/>
  <c r="L59" i="4"/>
  <c r="F59" i="4" s="1"/>
  <c r="L31" i="4"/>
  <c r="F31" i="4" s="1"/>
  <c r="Q33" i="4"/>
  <c r="Q4" i="4" s="1"/>
  <c r="L132" i="4"/>
  <c r="F132" i="4" s="1"/>
  <c r="L62" i="4"/>
  <c r="F62" i="4" s="1"/>
  <c r="L100" i="4"/>
  <c r="F100" i="4" s="1"/>
  <c r="I111" i="1"/>
  <c r="J111" i="1" s="1"/>
  <c r="F111" i="1" s="1"/>
  <c r="H149" i="1"/>
  <c r="J149" i="1" s="1"/>
  <c r="F149" i="1" s="1"/>
  <c r="I123" i="1"/>
  <c r="J123" i="1" s="1"/>
  <c r="F123" i="1" s="1"/>
  <c r="H65" i="1"/>
  <c r="J65" i="1" s="1"/>
  <c r="F65" i="1" s="1"/>
  <c r="I56" i="1"/>
  <c r="J56" i="1" s="1"/>
  <c r="F56" i="1" s="1"/>
  <c r="I62" i="1"/>
  <c r="J62" i="1" s="1"/>
  <c r="F62" i="1" s="1"/>
  <c r="I107" i="1"/>
  <c r="J107" i="1" s="1"/>
  <c r="F107" i="1" s="1"/>
  <c r="I91" i="1"/>
  <c r="J91" i="1" s="1"/>
  <c r="F91" i="1" s="1"/>
  <c r="I100" i="1"/>
  <c r="J100" i="1" s="1"/>
  <c r="F100" i="1" s="1"/>
  <c r="H34" i="1"/>
  <c r="J34" i="1" s="1"/>
  <c r="F34" i="1" s="1"/>
  <c r="I46" i="1"/>
  <c r="J46" i="1" s="1"/>
  <c r="F46" i="1" s="1"/>
  <c r="H143" i="1"/>
  <c r="J143" i="1" s="1"/>
  <c r="F143" i="1" s="1"/>
  <c r="I118" i="1"/>
  <c r="J118" i="1" s="1"/>
  <c r="F118" i="1" s="1"/>
  <c r="I96" i="1"/>
  <c r="J96" i="1" s="1"/>
  <c r="F96" i="1" s="1"/>
  <c r="H103" i="1"/>
  <c r="J103" i="1" s="1"/>
  <c r="F103" i="1" s="1"/>
  <c r="H38" i="1"/>
  <c r="J38" i="1" s="1"/>
  <c r="F38" i="1" s="1"/>
  <c r="H57" i="1"/>
  <c r="J57" i="1" s="1"/>
  <c r="F57" i="1" s="1"/>
  <c r="H4" i="1"/>
  <c r="H49" i="1"/>
  <c r="J49" i="1" s="1"/>
  <c r="F49" i="1" s="1"/>
  <c r="I115" i="1"/>
  <c r="J115" i="1" s="1"/>
  <c r="F115" i="1" s="1"/>
  <c r="H20" i="1"/>
  <c r="J20" i="1" s="1"/>
  <c r="F20" i="1" s="1"/>
  <c r="H87" i="1"/>
  <c r="J87" i="1" s="1"/>
  <c r="F87" i="1" s="1"/>
  <c r="I75" i="1"/>
  <c r="J75" i="1" s="1"/>
  <c r="F75" i="1" s="1"/>
  <c r="I124" i="1"/>
  <c r="J124" i="1" s="1"/>
  <c r="F124" i="1" s="1"/>
  <c r="H16" i="1"/>
  <c r="J16" i="1" s="1"/>
  <c r="F16" i="1" s="1"/>
  <c r="I54" i="1"/>
  <c r="J54" i="1" s="1"/>
  <c r="F54" i="1" s="1"/>
  <c r="I78" i="1"/>
  <c r="J78" i="1" s="1"/>
  <c r="F78" i="1" s="1"/>
  <c r="H48" i="1"/>
  <c r="J48" i="1" s="1"/>
  <c r="F48" i="1" s="1"/>
  <c r="I24" i="1"/>
  <c r="J24" i="1" s="1"/>
  <c r="F24" i="1" s="1"/>
  <c r="I108" i="1"/>
  <c r="J108" i="1" s="1"/>
  <c r="F108" i="1" s="1"/>
  <c r="I139" i="1"/>
  <c r="K2" i="4"/>
  <c r="Q37" i="4" s="1"/>
  <c r="Q5" i="4" s="1"/>
  <c r="H40" i="1"/>
  <c r="J40" i="1" s="1"/>
  <c r="F40" i="1" s="1"/>
  <c r="H134" i="1"/>
  <c r="J134" i="1" s="1"/>
  <c r="F134" i="1" s="1"/>
  <c r="I104" i="1"/>
  <c r="J104" i="1" s="1"/>
  <c r="F104" i="1" s="1"/>
  <c r="I64" i="1"/>
  <c r="J64" i="1" s="1"/>
  <c r="F64" i="1" s="1"/>
  <c r="H50" i="1"/>
  <c r="J50" i="1" s="1"/>
  <c r="F50" i="1" s="1"/>
  <c r="H83" i="1"/>
  <c r="J83" i="1" s="1"/>
  <c r="F83" i="1" s="1"/>
  <c r="H15" i="1"/>
  <c r="J15" i="1" s="1"/>
  <c r="F15" i="1" s="1"/>
  <c r="H85" i="1"/>
  <c r="J85" i="1" s="1"/>
  <c r="F85" i="1" s="1"/>
  <c r="H6" i="1"/>
  <c r="J6" i="1" s="1"/>
  <c r="F6" i="1" s="1"/>
  <c r="H135" i="1"/>
  <c r="J135" i="1" s="1"/>
  <c r="F135" i="1" s="1"/>
  <c r="H93" i="1"/>
  <c r="J93" i="1" s="1"/>
  <c r="F93" i="1" s="1"/>
  <c r="I141" i="1"/>
  <c r="J141" i="1" s="1"/>
  <c r="F141" i="1" s="1"/>
  <c r="H70" i="1"/>
  <c r="J70" i="1" s="1"/>
  <c r="F70" i="1" s="1"/>
  <c r="H69" i="1"/>
  <c r="J69" i="1" s="1"/>
  <c r="F69" i="1" s="1"/>
  <c r="H117" i="1"/>
  <c r="J117" i="1" s="1"/>
  <c r="F117" i="1" s="1"/>
  <c r="H13" i="1"/>
  <c r="J13" i="1" s="1"/>
  <c r="F13" i="1" s="1"/>
  <c r="H76" i="1"/>
  <c r="J76" i="1" s="1"/>
  <c r="F76" i="1" s="1"/>
  <c r="H73" i="1"/>
  <c r="J73" i="1" s="1"/>
  <c r="F73" i="1" s="1"/>
  <c r="I125" i="1"/>
  <c r="J125" i="1" s="1"/>
  <c r="F125" i="1" s="1"/>
  <c r="H37" i="1"/>
  <c r="J37" i="1" s="1"/>
  <c r="F37" i="1" s="1"/>
  <c r="H5" i="1"/>
  <c r="J5" i="1" s="1"/>
  <c r="F5" i="1" s="1"/>
  <c r="H21" i="1"/>
  <c r="J21" i="1" s="1"/>
  <c r="F21" i="1" s="1"/>
  <c r="H7" i="1"/>
  <c r="J7" i="1" s="1"/>
  <c r="F7" i="1" s="1"/>
  <c r="I55" i="1"/>
  <c r="J55" i="1" s="1"/>
  <c r="F55" i="1" s="1"/>
  <c r="H101" i="1"/>
  <c r="J101" i="1" s="1"/>
  <c r="F101" i="1" s="1"/>
  <c r="I142" i="1"/>
  <c r="J142" i="1" s="1"/>
  <c r="F142" i="1" s="1"/>
  <c r="H94" i="1"/>
  <c r="J94" i="1" s="1"/>
  <c r="F94" i="1" s="1"/>
  <c r="H136" i="1"/>
  <c r="J136" i="1" s="1"/>
  <c r="F136" i="1" s="1"/>
  <c r="I52" i="1"/>
  <c r="J52" i="1" s="1"/>
  <c r="F52" i="1" s="1"/>
  <c r="I79" i="1"/>
  <c r="J79" i="1" s="1"/>
  <c r="F79" i="1" s="1"/>
  <c r="H28" i="1"/>
  <c r="J28" i="1" s="1"/>
  <c r="F28" i="1" s="1"/>
  <c r="H84" i="1"/>
  <c r="J84" i="1" s="1"/>
  <c r="F84" i="1" s="1"/>
  <c r="H14" i="1"/>
  <c r="J14" i="1" s="1"/>
  <c r="F14" i="1" s="1"/>
  <c r="H77" i="1"/>
  <c r="J77" i="1" s="1"/>
  <c r="F77" i="1" s="1"/>
  <c r="H23" i="1"/>
  <c r="J23" i="1" s="1"/>
  <c r="F23" i="1" s="1"/>
  <c r="H53" i="1"/>
  <c r="J53" i="1" s="1"/>
  <c r="F53" i="1" s="1"/>
  <c r="H128" i="1"/>
  <c r="J128" i="1" s="1"/>
  <c r="F128" i="1" s="1"/>
  <c r="H29" i="1"/>
  <c r="J29" i="1" s="1"/>
  <c r="F29" i="1" s="1"/>
  <c r="H132" i="1"/>
  <c r="J132" i="1" s="1"/>
  <c r="F132" i="1" s="1"/>
  <c r="H31" i="1"/>
  <c r="J31" i="1" s="1"/>
  <c r="F31" i="1" s="1"/>
  <c r="H110" i="1"/>
  <c r="J110" i="1" s="1"/>
  <c r="F110" i="1" s="1"/>
  <c r="H109" i="1"/>
  <c r="J109" i="1" s="1"/>
  <c r="F109" i="1" s="1"/>
  <c r="H33" i="1"/>
  <c r="J33" i="1" s="1"/>
  <c r="F33" i="1" s="1"/>
  <c r="H95" i="1"/>
  <c r="J95" i="1" s="1"/>
  <c r="F95" i="1" s="1"/>
  <c r="H147" i="1"/>
  <c r="J147" i="1" s="1"/>
  <c r="F147" i="1" s="1"/>
  <c r="H68" i="1"/>
  <c r="J68" i="1" s="1"/>
  <c r="F68" i="1" s="1"/>
  <c r="H66" i="1"/>
  <c r="J66" i="1" s="1"/>
  <c r="F66" i="1" s="1"/>
  <c r="O39" i="4"/>
  <c r="P39" i="4"/>
  <c r="O35" i="4"/>
  <c r="P35" i="4"/>
  <c r="J71" i="1"/>
  <c r="F71" i="1" s="1"/>
  <c r="J146" i="1"/>
  <c r="F146" i="1" s="1"/>
  <c r="J74" i="1"/>
  <c r="F74" i="1" s="1"/>
  <c r="J139" i="1"/>
  <c r="F139" i="1" s="1"/>
  <c r="J41" i="1"/>
  <c r="F41" i="1" s="1"/>
  <c r="J122" i="1"/>
  <c r="F122" i="1" s="1"/>
  <c r="J39" i="1"/>
  <c r="F39" i="1" s="1"/>
  <c r="J102" i="1"/>
  <c r="F102" i="1" s="1"/>
  <c r="J36" i="1"/>
  <c r="F36" i="1" s="1"/>
  <c r="J120" i="1"/>
  <c r="F120" i="1" s="1"/>
  <c r="J25" i="1"/>
  <c r="F25" i="1" s="1"/>
  <c r="J92" i="1"/>
  <c r="F92" i="1" s="1"/>
  <c r="J12" i="1"/>
  <c r="F12" i="1" s="1"/>
  <c r="J99" i="1"/>
  <c r="F99" i="1" s="1"/>
  <c r="J19" i="1"/>
  <c r="F19" i="1" s="1"/>
  <c r="J140" i="1"/>
  <c r="F140" i="1" s="1"/>
  <c r="J10" i="1"/>
  <c r="F10" i="1" s="1"/>
  <c r="J150" i="1"/>
  <c r="F150" i="1" s="1"/>
  <c r="J27" i="1"/>
  <c r="F27" i="1" s="1"/>
  <c r="J81" i="1"/>
  <c r="F81" i="1" s="1"/>
  <c r="J8" i="1"/>
  <c r="F8" i="1" s="1"/>
  <c r="J82" i="1"/>
  <c r="F82" i="1" s="1"/>
  <c r="J148" i="1"/>
  <c r="F148" i="1" s="1"/>
  <c r="J67" i="1"/>
  <c r="F67" i="1" s="1"/>
  <c r="J116" i="1"/>
  <c r="F116" i="1" s="1"/>
  <c r="J30" i="1"/>
  <c r="F30" i="1" s="1"/>
  <c r="J11" i="1"/>
  <c r="F11" i="1" s="1"/>
  <c r="J63" i="1"/>
  <c r="F63" i="1" s="1"/>
  <c r="J60" i="1"/>
  <c r="F60" i="1" s="1"/>
  <c r="J59" i="1"/>
  <c r="F59" i="1" s="1"/>
  <c r="J112" i="1"/>
  <c r="F112" i="1" s="1"/>
  <c r="J151" i="1"/>
  <c r="F151" i="1" s="1"/>
  <c r="J137" i="1"/>
  <c r="F137" i="1" s="1"/>
  <c r="J51" i="1"/>
  <c r="F51" i="1" s="1"/>
  <c r="J121" i="1"/>
  <c r="F121" i="1" s="1"/>
  <c r="J9" i="1"/>
  <c r="F9" i="1" s="1"/>
  <c r="J129" i="1"/>
  <c r="F129" i="1" s="1"/>
  <c r="J106" i="1"/>
  <c r="F106" i="1" s="1"/>
  <c r="J44" i="1"/>
  <c r="F44" i="1" s="1"/>
  <c r="J22" i="1"/>
  <c r="F22" i="1" s="1"/>
  <c r="J43" i="1"/>
  <c r="F43" i="1" s="1"/>
  <c r="J145" i="1"/>
  <c r="F145" i="1" s="1"/>
  <c r="J138" i="1"/>
  <c r="F138" i="1" s="1"/>
  <c r="J32" i="1"/>
  <c r="F32" i="1" s="1"/>
  <c r="J133" i="1"/>
  <c r="F133" i="1" s="1"/>
  <c r="J45" i="1"/>
  <c r="F45" i="1" s="1"/>
  <c r="J130" i="1"/>
  <c r="F130" i="1" s="1"/>
  <c r="J88" i="1"/>
  <c r="F88" i="1" s="1"/>
  <c r="J119" i="1"/>
  <c r="F119" i="1" s="1"/>
  <c r="J72" i="1"/>
  <c r="F72" i="1" s="1"/>
  <c r="J3" i="1"/>
  <c r="F3" i="1" s="1"/>
  <c r="F2" i="1"/>
  <c r="J4" i="1" l="1"/>
  <c r="F4" i="1" s="1"/>
  <c r="M17" i="1"/>
  <c r="O19" i="1"/>
  <c r="O3" i="1" s="1"/>
  <c r="M2" i="1"/>
  <c r="M21" i="1"/>
  <c r="O15" i="1"/>
  <c r="O2" i="1" s="1"/>
  <c r="N21" i="1"/>
  <c r="N17" i="1"/>
  <c r="M3" i="1"/>
  <c r="N2" i="1" l="1"/>
  <c r="M19" i="1" a="1"/>
  <c r="N19" i="1" s="1"/>
  <c r="M15" i="1" a="1"/>
  <c r="M15" i="1" s="1"/>
  <c r="N3" i="1"/>
  <c r="I2" i="4" a="1"/>
  <c r="M20" i="1" l="1"/>
  <c r="N20" i="1"/>
  <c r="M19" i="1"/>
  <c r="N15" i="1"/>
  <c r="M16" i="1"/>
  <c r="N16" i="1"/>
  <c r="I2" i="4"/>
  <c r="P23" i="4" a="1"/>
  <c r="P23" i="4" s="1"/>
  <c r="O37" i="4" l="1" a="1"/>
  <c r="O33" i="4" a="1"/>
  <c r="Q29" i="4"/>
  <c r="Q3" i="4" s="1"/>
  <c r="L2" i="4"/>
  <c r="F2" i="4" s="1"/>
  <c r="P27" i="4"/>
  <c r="Q25" i="4"/>
  <c r="Q2" i="4" s="1"/>
  <c r="O27" i="4"/>
  <c r="O31" i="4"/>
  <c r="P31" i="4"/>
  <c r="O25" i="4" l="1" a="1"/>
  <c r="P26" i="4" s="1"/>
  <c r="O37" i="4"/>
  <c r="P37" i="4"/>
  <c r="O38" i="4"/>
  <c r="P38" i="4"/>
  <c r="P33" i="4"/>
  <c r="O34" i="4"/>
  <c r="O33" i="4"/>
  <c r="P34" i="4"/>
  <c r="O29" i="4" a="1"/>
  <c r="P29" i="4" s="1"/>
  <c r="O3" i="4"/>
  <c r="O2" i="4"/>
  <c r="O5" i="4"/>
  <c r="O4" i="4"/>
  <c r="P25" i="4" l="1"/>
  <c r="O26" i="4"/>
  <c r="O25" i="4"/>
  <c r="O30" i="4"/>
  <c r="O29" i="4"/>
  <c r="P30" i="4"/>
  <c r="P4" i="4"/>
  <c r="P3" i="4"/>
  <c r="P5" i="4"/>
  <c r="P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<sst xmlns="http://schemas.openxmlformats.org/spreadsheetml/2006/main" count="371" uniqueCount="32">
  <si>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</si>
  <si>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</si>
  <si>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</si>
  <si>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</si>
  <si>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</si>
  <si>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</si>
  <si>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</si>
  <si>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</si>
  <si>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Grupa</t>
  </si>
  <si>
    <t>Liczba</t>
  </si>
  <si>
    <t>F(x)</t>
  </si>
  <si>
    <t>p1</t>
  </si>
  <si>
    <t>p2</t>
  </si>
  <si>
    <t>p3</t>
  </si>
  <si>
    <t>Max p</t>
  </si>
  <si>
    <t>p. szac</t>
  </si>
  <si>
    <t>p</t>
  </si>
  <si>
    <t>Grupa 1</t>
  </si>
  <si>
    <t>Śr</t>
  </si>
  <si>
    <t>Grupa 2</t>
  </si>
  <si>
    <t>Wiar.</t>
  </si>
  <si>
    <t>Log</t>
  </si>
  <si>
    <t>p4</t>
  </si>
  <si>
    <t>Grupa 3</t>
  </si>
  <si>
    <t>Grupa 4</t>
  </si>
  <si>
    <t>1. Tworzymy macierze kowariancji wraz ze średnimi wartościami</t>
  </si>
  <si>
    <t>3. Obliczamy prawdopodobieństwa przynależności dla każdej z grup</t>
  </si>
  <si>
    <t>(zauważmy, że obie wartości są maksymalizowane)</t>
  </si>
  <si>
    <t>4. Teraz możemy wyliczyć macierze kowariancji</t>
  </si>
  <si>
    <t>2. Na ich podstawie, szacujemy gęstość mieszaniny Gaussowskiej</t>
  </si>
  <si>
    <t>5. "Przekopiowujemy" pogrupowanie</t>
  </si>
  <si>
    <t>6. Powtarzamy póki nasza "teta" ulega korektom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</si>
</sst>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/>
    </xf>
    <xf numFmtId="0" fontId="10" fillId="6" borderId="5" xfId="10" applyAlignment="1">
      <alignment horizontal="center"/>
    </xf>
    <xf numFmtId="0" fontId="11" fillId="6" borderId="4" xfId="11" applyAlignment="1">
      <alignment horizontal="center"/>
    </xf>
    <xf numFmtId="0" fontId="15" fillId="6" borderId="5" xfId="16" applyFill="1" applyBorder="1" applyAlignment="1">
      <alignment horizontal="center"/>
    </xf>
    <xf numFmtId="0" fontId="10" fillId="6" borderId="13" xfId="10" applyBorder="1" applyAlignment="1">
      <alignment horizontal="center"/>
    </xf>
    <xf numFmtId="0" fontId="10" fillId="6" borderId="14" xfId="10" applyBorder="1" applyAlignment="1">
      <alignment horizontal="center"/>
    </xf>
    <xf numFmtId="0" fontId="10" fillId="6" borderId="15" xfId="10" applyBorder="1" applyAlignment="1">
      <alignment horizontal="center"/>
    </xf>
    <xf numFmtId="0" fontId="10" fillId="6" borderId="16" xfId="10" applyBorder="1" applyAlignment="1">
      <alignment horizontal="center"/>
    </xf>
    <xf numFmtId="0" fontId="10" fillId="6" borderId="17" xfId="10" applyBorder="1" applyAlignment="1">
      <alignment horizontal="center"/>
    </xf>
    <xf numFmtId="0" fontId="10" fillId="6" borderId="18" xfId="10" applyBorder="1" applyAlignment="1">
      <alignment horizontal="center"/>
    </xf>
    <xf numFmtId="0" fontId="10" fillId="6" borderId="19" xfId="10" applyBorder="1" applyAlignment="1">
      <alignment horizontal="center"/>
    </xf>
    <xf numFmtId="0" fontId="10" fillId="6" borderId="20" xfId="10" applyBorder="1" applyAlignment="1">
      <alignment horizontal="center"/>
    </xf>
    <xf numFmtId="0" fontId="10" fillId="6" borderId="21" xfId="10" applyBorder="1" applyAlignment="1">
      <alignment horizontal="center"/>
    </xf>
    <xf numFmtId="0" fontId="10" fillId="6" borderId="23" xfId="10" applyBorder="1" applyAlignment="1">
      <alignment horizontal="center"/>
    </xf>
    <xf numFmtId="0" fontId="9" fillId="5" borderId="24" xfId="9" applyBorder="1" applyAlignment="1">
      <alignment horizontal="center"/>
    </xf>
    <xf numFmtId="0" fontId="9" fillId="5" borderId="25" xfId="9" applyBorder="1" applyAlignment="1">
      <alignment horizontal="center"/>
    </xf>
    <xf numFmtId="0" fontId="9" fillId="5" borderId="26" xfId="9" applyBorder="1" applyAlignment="1">
      <alignment horizontal="center"/>
    </xf>
    <xf numFmtId="0" fontId="9" fillId="5" borderId="27" xfId="9" applyBorder="1" applyAlignment="1">
      <alignment horizontal="center"/>
    </xf>
    <xf numFmtId="0" fontId="9" fillId="5" borderId="28" xfId="9" applyBorder="1" applyAlignment="1">
      <alignment horizontal="center"/>
    </xf>
    <xf numFmtId="0" fontId="9" fillId="5" borderId="29" xfId="9" applyBorder="1" applyAlignment="1">
      <alignment horizontal="center"/>
    </xf>
    <xf numFmtId="0" fontId="9" fillId="5" borderId="30" xfId="9" applyBorder="1" applyAlignment="1">
      <alignment horizontal="center"/>
    </xf>
    <xf numFmtId="0" fontId="9" fillId="5" borderId="31" xfId="9" applyBorder="1" applyAlignment="1">
      <alignment horizontal="center"/>
    </xf>
    <xf numFmtId="0" fontId="9" fillId="5" borderId="10" xfId="9" applyBorder="1" applyAlignment="1">
      <alignment horizontal="center"/>
    </xf>
    <xf numFmtId="0" fontId="9" fillId="5" borderId="32" xfId="9" applyBorder="1" applyAlignment="1">
      <alignment horizontal="center"/>
    </xf>
    <xf numFmtId="0" fontId="9" fillId="5" borderId="33" xfId="9" applyBorder="1" applyAlignment="1">
      <alignment horizontal="center"/>
    </xf>
    <xf numFmtId="0" fontId="9" fillId="5" borderId="34" xfId="9" applyBorder="1" applyAlignment="1">
      <alignment horizontal="center"/>
    </xf>
    <xf numFmtId="0" fontId="10" fillId="6" borderId="36" xfId="10" applyBorder="1" applyAlignment="1">
      <alignment horizontal="center"/>
    </xf>
    <xf numFmtId="0" fontId="10" fillId="6" borderId="37" xfId="10" applyBorder="1" applyAlignment="1">
      <alignment horizontal="center"/>
    </xf>
    <xf numFmtId="0" fontId="10" fillId="6" borderId="39" xfId="10" applyBorder="1" applyAlignment="1">
      <alignment horizontal="center"/>
    </xf>
    <xf numFmtId="0" fontId="10" fillId="6" borderId="10" xfId="10" applyBorder="1" applyAlignment="1">
      <alignment horizontal="center"/>
    </xf>
    <xf numFmtId="0" fontId="10" fillId="6" borderId="41" xfId="10" applyBorder="1" applyAlignment="1">
      <alignment horizontal="center"/>
    </xf>
    <xf numFmtId="0" fontId="10" fillId="6" borderId="42" xfId="10" applyBorder="1" applyAlignment="1">
      <alignment horizontal="center"/>
    </xf>
    <xf numFmtId="0" fontId="10" fillId="6" borderId="40" xfId="10" applyBorder="1" applyAlignment="1"/>
    <xf numFmtId="0" fontId="10" fillId="6" borderId="12" xfId="10" applyBorder="1" applyAlignment="1"/>
    <xf numFmtId="0" fontId="10" fillId="6" borderId="38" xfId="10" applyBorder="1" applyAlignment="1"/>
    <xf numFmtId="0" fontId="10" fillId="6" borderId="11" xfId="10" applyBorder="1" applyAlignment="1"/>
    <xf numFmtId="0" fontId="10" fillId="6" borderId="5" xfId="10" applyBorder="1" applyAlignment="1"/>
    <xf numFmtId="0" fontId="10" fillId="6" borderId="20" xfId="10" applyBorder="1" applyAlignment="1"/>
    <xf numFmtId="0" fontId="10" fillId="6" borderId="35" xfId="10" applyBorder="1" applyAlignment="1"/>
    <xf numFmtId="0" fontId="10" fillId="6" borderId="22" xfId="10" applyBorder="1" applyAlignment="1"/>
    <xf numFmtId="0" fontId="10" fillId="6" borderId="23" xfId="10" applyBorder="1" applyAlignment="1"/>
    <xf numFmtId="0" fontId="0" fillId="0" borderId="0" xfId="0" applyAlignment="1"/>
    <xf numFmtId="0" fontId="13" fillId="7" borderId="7" xfId="13" applyAlignment="1">
      <alignment horizontal="center"/>
    </xf>
    <xf numFmtId="0" fontId="10" fillId="6" borderId="43" xfId="10" applyBorder="1" applyAlignment="1"/>
    <xf numFmtId="0" fontId="15" fillId="0" borderId="0" xfId="16" applyAlignment="1">
      <alignment horizontal="left"/>
    </xf>
    <xf numFmtId="0" fontId="15" fillId="0" borderId="44" xfId="16" applyBorder="1" applyAlignment="1">
      <alignment horizontal="center"/>
    </xf>
    <xf numFmtId="0" fontId="15" fillId="0" borderId="0" xfId="16" applyBorder="1" applyAlignment="1">
      <alignment horizontal="center"/>
    </xf>
    <xf numFmtId="0" fontId="15" fillId="0" borderId="45" xfId="16" applyBorder="1" applyAlignment="1">
      <alignment horizont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 metodą 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'2-grupy(EM)'!_pl1_2</c:f>
              <c:numCache>
                <c:formatCode>General</c:formatCode>
                <c:ptCount val="72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</c:v>
                </c:pt>
                <c:pt idx="51">
                  <c:v>3.3</c:v>
                </c:pt>
                <c:pt idx="52">
                  <c:v>3.9</c:v>
                </c:pt>
                <c:pt idx="53">
                  <c:v>3.5</c:v>
                </c:pt>
                <c:pt idx="54">
                  <c:v>4</c:v>
                </c:pt>
                <c:pt idx="55">
                  <c:v>3.6</c:v>
                </c:pt>
                <c:pt idx="56">
                  <c:v>4.0999999999999996</c:v>
                </c:pt>
                <c:pt idx="57">
                  <c:v>3.9</c:v>
                </c:pt>
                <c:pt idx="58">
                  <c:v>4</c:v>
                </c:pt>
                <c:pt idx="59">
                  <c:v>3.5</c:v>
                </c:pt>
                <c:pt idx="60">
                  <c:v>3.8</c:v>
                </c:pt>
                <c:pt idx="61">
                  <c:v>3.7</c:v>
                </c:pt>
                <c:pt idx="62">
                  <c:v>3.9</c:v>
                </c:pt>
                <c:pt idx="63">
                  <c:v>4.0999999999999996</c:v>
                </c:pt>
                <c:pt idx="64">
                  <c:v>4</c:v>
                </c:pt>
                <c:pt idx="65">
                  <c:v>4</c:v>
                </c:pt>
                <c:pt idx="66">
                  <c:v>3.3</c:v>
                </c:pt>
                <c:pt idx="67">
                  <c:v>4.2</c:v>
                </c:pt>
                <c:pt idx="68">
                  <c:v>4.2</c:v>
                </c:pt>
                <c:pt idx="69">
                  <c:v>4.2</c:v>
                </c:pt>
                <c:pt idx="70">
                  <c:v>3</c:v>
                </c:pt>
                <c:pt idx="71">
                  <c:v>4.0999999999999996</c:v>
                </c:pt>
              </c:numCache>
            </c:numRef>
          </c:xVal>
          <c:yVal>
            <c:numRef>
              <c:f>'2-grupy(EM)'!_pw1_2</c:f>
              <c:numCache>
                <c:formatCode>General</c:formatCode>
                <c:ptCount val="7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1.3</c:v>
                </c:pt>
                <c:pt idx="51">
                  <c:v>1</c:v>
                </c:pt>
                <c:pt idx="52">
                  <c:v>1.4</c:v>
                </c:pt>
                <c:pt idx="53">
                  <c:v>1</c:v>
                </c:pt>
                <c:pt idx="54">
                  <c:v>1</c:v>
                </c:pt>
                <c:pt idx="55">
                  <c:v>1.3</c:v>
                </c:pt>
                <c:pt idx="56">
                  <c:v>1</c:v>
                </c:pt>
                <c:pt idx="57">
                  <c:v>1.1000000000000001</c:v>
                </c:pt>
                <c:pt idx="58">
                  <c:v>1.3</c:v>
                </c:pt>
                <c:pt idx="59">
                  <c:v>1</c:v>
                </c:pt>
                <c:pt idx="60">
                  <c:v>1.1000000000000001</c:v>
                </c:pt>
                <c:pt idx="61">
                  <c:v>1</c:v>
                </c:pt>
                <c:pt idx="62">
                  <c:v>1.2</c:v>
                </c:pt>
                <c:pt idx="63">
                  <c:v>1.3</c:v>
                </c:pt>
                <c:pt idx="64">
                  <c:v>1.3</c:v>
                </c:pt>
                <c:pt idx="65">
                  <c:v>1.2</c:v>
                </c:pt>
                <c:pt idx="66">
                  <c:v>1</c:v>
                </c:pt>
                <c:pt idx="67">
                  <c:v>1.3</c:v>
                </c:pt>
                <c:pt idx="68">
                  <c:v>1.2</c:v>
                </c:pt>
                <c:pt idx="69">
                  <c:v>1.3</c:v>
                </c:pt>
                <c:pt idx="70">
                  <c:v>1.1000000000000001</c:v>
                </c:pt>
                <c:pt idx="71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DE-4D78-8F94-D8D0AAD9237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'2-grupy(EM)'!_pl2_2</c:f>
              <c:numCache>
                <c:formatCode>General</c:formatCode>
                <c:ptCount val="78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4.5999999999999996</c:v>
                </c:pt>
                <c:pt idx="4">
                  <c:v>4.5</c:v>
                </c:pt>
                <c:pt idx="5">
                  <c:v>4.7</c:v>
                </c:pt>
                <c:pt idx="6">
                  <c:v>4.5999999999999996</c:v>
                </c:pt>
                <c:pt idx="7">
                  <c:v>4.2</c:v>
                </c:pt>
                <c:pt idx="8">
                  <c:v>4.7</c:v>
                </c:pt>
                <c:pt idx="9">
                  <c:v>4.4000000000000004</c:v>
                </c:pt>
                <c:pt idx="10">
                  <c:v>4.5</c:v>
                </c:pt>
                <c:pt idx="11">
                  <c:v>4.5</c:v>
                </c:pt>
                <c:pt idx="12">
                  <c:v>4.8</c:v>
                </c:pt>
                <c:pt idx="13">
                  <c:v>4.9000000000000004</c:v>
                </c:pt>
                <c:pt idx="14">
                  <c:v>4.7</c:v>
                </c:pt>
                <c:pt idx="15">
                  <c:v>4.3</c:v>
                </c:pt>
                <c:pt idx="16">
                  <c:v>4.4000000000000004</c:v>
                </c:pt>
                <c:pt idx="17">
                  <c:v>4.8</c:v>
                </c:pt>
                <c:pt idx="18">
                  <c:v>5</c:v>
                </c:pt>
                <c:pt idx="19">
                  <c:v>4.5</c:v>
                </c:pt>
                <c:pt idx="20">
                  <c:v>5.0999999999999996</c:v>
                </c:pt>
                <c:pt idx="21">
                  <c:v>4.5</c:v>
                </c:pt>
                <c:pt idx="22">
                  <c:v>4.5</c:v>
                </c:pt>
                <c:pt idx="23">
                  <c:v>4.7</c:v>
                </c:pt>
                <c:pt idx="24">
                  <c:v>4.4000000000000004</c:v>
                </c:pt>
                <c:pt idx="25">
                  <c:v>4.4000000000000004</c:v>
                </c:pt>
                <c:pt idx="26">
                  <c:v>4.5999999999999996</c:v>
                </c:pt>
                <c:pt idx="27">
                  <c:v>4.3</c:v>
                </c:pt>
                <c:pt idx="28">
                  <c:v>6</c:v>
                </c:pt>
                <c:pt idx="29">
                  <c:v>5.0999999999999996</c:v>
                </c:pt>
                <c:pt idx="30">
                  <c:v>5.9</c:v>
                </c:pt>
                <c:pt idx="31">
                  <c:v>5.6</c:v>
                </c:pt>
                <c:pt idx="32">
                  <c:v>5.8</c:v>
                </c:pt>
                <c:pt idx="33">
                  <c:v>6.6</c:v>
                </c:pt>
                <c:pt idx="34">
                  <c:v>4.5</c:v>
                </c:pt>
                <c:pt idx="35">
                  <c:v>6.3</c:v>
                </c:pt>
                <c:pt idx="36">
                  <c:v>5.8</c:v>
                </c:pt>
                <c:pt idx="37">
                  <c:v>6.1</c:v>
                </c:pt>
                <c:pt idx="38">
                  <c:v>5.0999999999999996</c:v>
                </c:pt>
                <c:pt idx="39">
                  <c:v>5.3</c:v>
                </c:pt>
                <c:pt idx="40">
                  <c:v>5.5</c:v>
                </c:pt>
                <c:pt idx="41">
                  <c:v>5</c:v>
                </c:pt>
                <c:pt idx="42">
                  <c:v>5.0999999999999996</c:v>
                </c:pt>
                <c:pt idx="43">
                  <c:v>5.3</c:v>
                </c:pt>
                <c:pt idx="44">
                  <c:v>5.5</c:v>
                </c:pt>
                <c:pt idx="45">
                  <c:v>6.7</c:v>
                </c:pt>
                <c:pt idx="46">
                  <c:v>6.9</c:v>
                </c:pt>
                <c:pt idx="47">
                  <c:v>5</c:v>
                </c:pt>
                <c:pt idx="48">
                  <c:v>5.7</c:v>
                </c:pt>
                <c:pt idx="49">
                  <c:v>4.9000000000000004</c:v>
                </c:pt>
                <c:pt idx="50">
                  <c:v>6.7</c:v>
                </c:pt>
                <c:pt idx="51">
                  <c:v>4.9000000000000004</c:v>
                </c:pt>
                <c:pt idx="52">
                  <c:v>5.7</c:v>
                </c:pt>
                <c:pt idx="53">
                  <c:v>6</c:v>
                </c:pt>
                <c:pt idx="54">
                  <c:v>4.8</c:v>
                </c:pt>
                <c:pt idx="55">
                  <c:v>4.9000000000000004</c:v>
                </c:pt>
                <c:pt idx="56">
                  <c:v>5.6</c:v>
                </c:pt>
                <c:pt idx="57">
                  <c:v>5.8</c:v>
                </c:pt>
                <c:pt idx="58">
                  <c:v>6.1</c:v>
                </c:pt>
                <c:pt idx="59">
                  <c:v>6.4</c:v>
                </c:pt>
                <c:pt idx="60">
                  <c:v>5.6</c:v>
                </c:pt>
                <c:pt idx="61">
                  <c:v>5.0999999999999996</c:v>
                </c:pt>
                <c:pt idx="62">
                  <c:v>5.6</c:v>
                </c:pt>
                <c:pt idx="63">
                  <c:v>6.1</c:v>
                </c:pt>
                <c:pt idx="64">
                  <c:v>5.6</c:v>
                </c:pt>
                <c:pt idx="65">
                  <c:v>5.5</c:v>
                </c:pt>
                <c:pt idx="66">
                  <c:v>4.8</c:v>
                </c:pt>
                <c:pt idx="67">
                  <c:v>5.4</c:v>
                </c:pt>
                <c:pt idx="68">
                  <c:v>5.6</c:v>
                </c:pt>
                <c:pt idx="69">
                  <c:v>5.0999999999999996</c:v>
                </c:pt>
                <c:pt idx="70">
                  <c:v>5.0999999999999996</c:v>
                </c:pt>
                <c:pt idx="71">
                  <c:v>5.9</c:v>
                </c:pt>
                <c:pt idx="72">
                  <c:v>5.7</c:v>
                </c:pt>
                <c:pt idx="73">
                  <c:v>5.2</c:v>
                </c:pt>
                <c:pt idx="74">
                  <c:v>5</c:v>
                </c:pt>
                <c:pt idx="75">
                  <c:v>5.2</c:v>
                </c:pt>
                <c:pt idx="76">
                  <c:v>5.4</c:v>
                </c:pt>
                <c:pt idx="77">
                  <c:v>5.0999999999999996</c:v>
                </c:pt>
              </c:numCache>
            </c:numRef>
          </c:xVal>
          <c:yVal>
            <c:numRef>
              <c:f>'2-grupy(EM)'!_pw2_2</c:f>
              <c:numCache>
                <c:formatCode>General</c:formatCode>
                <c:ptCount val="78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1.3</c:v>
                </c:pt>
                <c:pt idx="5">
                  <c:v>1.6</c:v>
                </c:pt>
                <c:pt idx="6">
                  <c:v>1.3</c:v>
                </c:pt>
                <c:pt idx="7">
                  <c:v>1.5</c:v>
                </c:pt>
                <c:pt idx="8">
                  <c:v>1.4</c:v>
                </c:pt>
                <c:pt idx="9">
                  <c:v>1.4</c:v>
                </c:pt>
                <c:pt idx="10">
                  <c:v>1.5</c:v>
                </c:pt>
                <c:pt idx="11">
                  <c:v>1.5</c:v>
                </c:pt>
                <c:pt idx="12">
                  <c:v>1.8</c:v>
                </c:pt>
                <c:pt idx="13">
                  <c:v>1.5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1.6</c:v>
                </c:pt>
                <c:pt idx="21">
                  <c:v>1.5</c:v>
                </c:pt>
                <c:pt idx="22">
                  <c:v>1.6</c:v>
                </c:pt>
                <c:pt idx="23">
                  <c:v>1.5</c:v>
                </c:pt>
                <c:pt idx="24">
                  <c:v>1.3</c:v>
                </c:pt>
                <c:pt idx="25">
                  <c:v>1.2</c:v>
                </c:pt>
                <c:pt idx="26">
                  <c:v>1.4</c:v>
                </c:pt>
                <c:pt idx="27">
                  <c:v>1.3</c:v>
                </c:pt>
                <c:pt idx="28">
                  <c:v>2.5</c:v>
                </c:pt>
                <c:pt idx="29">
                  <c:v>1.9</c:v>
                </c:pt>
                <c:pt idx="30">
                  <c:v>2.1</c:v>
                </c:pt>
                <c:pt idx="31">
                  <c:v>1.8</c:v>
                </c:pt>
                <c:pt idx="32">
                  <c:v>2.2000000000000002</c:v>
                </c:pt>
                <c:pt idx="33">
                  <c:v>2.1</c:v>
                </c:pt>
                <c:pt idx="34">
                  <c:v>1.7</c:v>
                </c:pt>
                <c:pt idx="35">
                  <c:v>1.8</c:v>
                </c:pt>
                <c:pt idx="36">
                  <c:v>1.8</c:v>
                </c:pt>
                <c:pt idx="37">
                  <c:v>2.5</c:v>
                </c:pt>
                <c:pt idx="38">
                  <c:v>2</c:v>
                </c:pt>
                <c:pt idx="39">
                  <c:v>1.9</c:v>
                </c:pt>
                <c:pt idx="40">
                  <c:v>2.1</c:v>
                </c:pt>
                <c:pt idx="41">
                  <c:v>2</c:v>
                </c:pt>
                <c:pt idx="42">
                  <c:v>2.4</c:v>
                </c:pt>
                <c:pt idx="43">
                  <c:v>2.2999999999999998</c:v>
                </c:pt>
                <c:pt idx="44">
                  <c:v>1.8</c:v>
                </c:pt>
                <c:pt idx="45">
                  <c:v>2.2000000000000002</c:v>
                </c:pt>
                <c:pt idx="46">
                  <c:v>2.2999999999999998</c:v>
                </c:pt>
                <c:pt idx="47">
                  <c:v>1.5</c:v>
                </c:pt>
                <c:pt idx="48">
                  <c:v>2.2999999999999998</c:v>
                </c:pt>
                <c:pt idx="49">
                  <c:v>2</c:v>
                </c:pt>
                <c:pt idx="50">
                  <c:v>2</c:v>
                </c:pt>
                <c:pt idx="51">
                  <c:v>1.8</c:v>
                </c:pt>
                <c:pt idx="52">
                  <c:v>2.1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2.1</c:v>
                </c:pt>
                <c:pt idx="57">
                  <c:v>1.6</c:v>
                </c:pt>
                <c:pt idx="58">
                  <c:v>1.9</c:v>
                </c:pt>
                <c:pt idx="59">
                  <c:v>2</c:v>
                </c:pt>
                <c:pt idx="60">
                  <c:v>2.2000000000000002</c:v>
                </c:pt>
                <c:pt idx="61">
                  <c:v>1.5</c:v>
                </c:pt>
                <c:pt idx="62">
                  <c:v>1.4</c:v>
                </c:pt>
                <c:pt idx="63">
                  <c:v>2.2999999999999998</c:v>
                </c:pt>
                <c:pt idx="64">
                  <c:v>2.4</c:v>
                </c:pt>
                <c:pt idx="65">
                  <c:v>1.8</c:v>
                </c:pt>
                <c:pt idx="66">
                  <c:v>1.8</c:v>
                </c:pt>
                <c:pt idx="67">
                  <c:v>2.1</c:v>
                </c:pt>
                <c:pt idx="68">
                  <c:v>2.4</c:v>
                </c:pt>
                <c:pt idx="69">
                  <c:v>2.2999999999999998</c:v>
                </c:pt>
                <c:pt idx="70">
                  <c:v>1.9</c:v>
                </c:pt>
                <c:pt idx="71">
                  <c:v>2.2999999999999998</c:v>
                </c:pt>
                <c:pt idx="72">
                  <c:v>2.5</c:v>
                </c:pt>
                <c:pt idx="73">
                  <c:v>2.2999999999999998</c:v>
                </c:pt>
                <c:pt idx="74">
                  <c:v>1.9</c:v>
                </c:pt>
                <c:pt idx="75">
                  <c:v>2</c:v>
                </c:pt>
                <c:pt idx="76">
                  <c:v>2.2999999999999998</c:v>
                </c:pt>
                <c:pt idx="77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DE-4D78-8F94-D8D0AAD9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77407"/>
        <c:axId val="133263199"/>
      </c:scatterChart>
      <c:valAx>
        <c:axId val="13947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263199"/>
        <c:crosses val="autoZero"/>
        <c:crossBetween val="midCat"/>
      </c:valAx>
      <c:valAx>
        <c:axId val="13326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9477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 metodą 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'4-grupy(EM)'!_pl1_4</c:f>
              <c:numCache>
                <c:formatCode>General</c:formatCode>
                <c:ptCount val="68"/>
                <c:pt idx="0">
                  <c:v>4.7</c:v>
                </c:pt>
                <c:pt idx="1">
                  <c:v>4.5</c:v>
                </c:pt>
                <c:pt idx="2">
                  <c:v>4.9000000000000004</c:v>
                </c:pt>
                <c:pt idx="3">
                  <c:v>4</c:v>
                </c:pt>
                <c:pt idx="4">
                  <c:v>4.5999999999999996</c:v>
                </c:pt>
                <c:pt idx="5">
                  <c:v>4.5</c:v>
                </c:pt>
                <c:pt idx="6">
                  <c:v>4.7</c:v>
                </c:pt>
                <c:pt idx="7">
                  <c:v>3.3</c:v>
                </c:pt>
                <c:pt idx="8">
                  <c:v>4.5999999999999996</c:v>
                </c:pt>
                <c:pt idx="9">
                  <c:v>3.9</c:v>
                </c:pt>
                <c:pt idx="10">
                  <c:v>3.5</c:v>
                </c:pt>
                <c:pt idx="11">
                  <c:v>4.2</c:v>
                </c:pt>
                <c:pt idx="12">
                  <c:v>4</c:v>
                </c:pt>
                <c:pt idx="13">
                  <c:v>4.7</c:v>
                </c:pt>
                <c:pt idx="14">
                  <c:v>3.6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4.0999999999999996</c:v>
                </c:pt>
                <c:pt idx="18">
                  <c:v>4.5</c:v>
                </c:pt>
                <c:pt idx="19">
                  <c:v>3.9</c:v>
                </c:pt>
                <c:pt idx="20">
                  <c:v>4</c:v>
                </c:pt>
                <c:pt idx="21">
                  <c:v>4.9000000000000004</c:v>
                </c:pt>
                <c:pt idx="22">
                  <c:v>4.7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4.8</c:v>
                </c:pt>
                <c:pt idx="26">
                  <c:v>5</c:v>
                </c:pt>
                <c:pt idx="27">
                  <c:v>4.5</c:v>
                </c:pt>
                <c:pt idx="28">
                  <c:v>3.5</c:v>
                </c:pt>
                <c:pt idx="29">
                  <c:v>3.8</c:v>
                </c:pt>
                <c:pt idx="30">
                  <c:v>3.7</c:v>
                </c:pt>
                <c:pt idx="31">
                  <c:v>3.9</c:v>
                </c:pt>
                <c:pt idx="32">
                  <c:v>5.0999999999999996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4.7</c:v>
                </c:pt>
                <c:pt idx="36">
                  <c:v>4.4000000000000004</c:v>
                </c:pt>
                <c:pt idx="37">
                  <c:v>4.0999999999999996</c:v>
                </c:pt>
                <c:pt idx="38">
                  <c:v>4</c:v>
                </c:pt>
                <c:pt idx="39">
                  <c:v>4.4000000000000004</c:v>
                </c:pt>
                <c:pt idx="40">
                  <c:v>4.5999999999999996</c:v>
                </c:pt>
                <c:pt idx="41">
                  <c:v>4</c:v>
                </c:pt>
                <c:pt idx="42">
                  <c:v>3.3</c:v>
                </c:pt>
                <c:pt idx="43">
                  <c:v>4.2</c:v>
                </c:pt>
                <c:pt idx="44">
                  <c:v>4.2</c:v>
                </c:pt>
                <c:pt idx="45">
                  <c:v>4.2</c:v>
                </c:pt>
                <c:pt idx="46">
                  <c:v>4.3</c:v>
                </c:pt>
                <c:pt idx="47">
                  <c:v>3</c:v>
                </c:pt>
                <c:pt idx="48">
                  <c:v>4.0999999999999996</c:v>
                </c:pt>
                <c:pt idx="49">
                  <c:v>5.6</c:v>
                </c:pt>
                <c:pt idx="50">
                  <c:v>6.6</c:v>
                </c:pt>
                <c:pt idx="51">
                  <c:v>4.5</c:v>
                </c:pt>
                <c:pt idx="52">
                  <c:v>6.3</c:v>
                </c:pt>
                <c:pt idx="53">
                  <c:v>5.8</c:v>
                </c:pt>
                <c:pt idx="54">
                  <c:v>5.3</c:v>
                </c:pt>
                <c:pt idx="55">
                  <c:v>5.5</c:v>
                </c:pt>
                <c:pt idx="56">
                  <c:v>6.7</c:v>
                </c:pt>
                <c:pt idx="57">
                  <c:v>6.9</c:v>
                </c:pt>
                <c:pt idx="58">
                  <c:v>5</c:v>
                </c:pt>
                <c:pt idx="59">
                  <c:v>6.7</c:v>
                </c:pt>
                <c:pt idx="60">
                  <c:v>6</c:v>
                </c:pt>
                <c:pt idx="61">
                  <c:v>5.8</c:v>
                </c:pt>
                <c:pt idx="62">
                  <c:v>6.1</c:v>
                </c:pt>
                <c:pt idx="63">
                  <c:v>6.4</c:v>
                </c:pt>
                <c:pt idx="64">
                  <c:v>5.0999999999999996</c:v>
                </c:pt>
                <c:pt idx="65">
                  <c:v>5.6</c:v>
                </c:pt>
                <c:pt idx="66">
                  <c:v>5.5</c:v>
                </c:pt>
                <c:pt idx="67">
                  <c:v>5.0999999999999996</c:v>
                </c:pt>
              </c:numCache>
            </c:numRef>
          </c:xVal>
          <c:yVal>
            <c:numRef>
              <c:f>'4-grupy(EM)'!_pw1_4</c:f>
              <c:numCache>
                <c:formatCode>General</c:formatCode>
                <c:ptCount val="68"/>
                <c:pt idx="0">
                  <c:v>1.4</c:v>
                </c:pt>
                <c:pt idx="1">
                  <c:v>1.5</c:v>
                </c:pt>
                <c:pt idx="2">
                  <c:v>1.5</c:v>
                </c:pt>
                <c:pt idx="3">
                  <c:v>1.3</c:v>
                </c:pt>
                <c:pt idx="4">
                  <c:v>1.5</c:v>
                </c:pt>
                <c:pt idx="5">
                  <c:v>1.3</c:v>
                </c:pt>
                <c:pt idx="6">
                  <c:v>1.6</c:v>
                </c:pt>
                <c:pt idx="7">
                  <c:v>1</c:v>
                </c:pt>
                <c:pt idx="8">
                  <c:v>1.3</c:v>
                </c:pt>
                <c:pt idx="9">
                  <c:v>1.4</c:v>
                </c:pt>
                <c:pt idx="10">
                  <c:v>1</c:v>
                </c:pt>
                <c:pt idx="11">
                  <c:v>1.5</c:v>
                </c:pt>
                <c:pt idx="12">
                  <c:v>1</c:v>
                </c:pt>
                <c:pt idx="13">
                  <c:v>1.4</c:v>
                </c:pt>
                <c:pt idx="14">
                  <c:v>1.3</c:v>
                </c:pt>
                <c:pt idx="15">
                  <c:v>1.4</c:v>
                </c:pt>
                <c:pt idx="16">
                  <c:v>1.5</c:v>
                </c:pt>
                <c:pt idx="17">
                  <c:v>1</c:v>
                </c:pt>
                <c:pt idx="18">
                  <c:v>1.5</c:v>
                </c:pt>
                <c:pt idx="19">
                  <c:v>1.1000000000000001</c:v>
                </c:pt>
                <c:pt idx="20">
                  <c:v>1.3</c:v>
                </c:pt>
                <c:pt idx="21">
                  <c:v>1.5</c:v>
                </c:pt>
                <c:pt idx="22">
                  <c:v>1.2</c:v>
                </c:pt>
                <c:pt idx="23">
                  <c:v>1.3</c:v>
                </c:pt>
                <c:pt idx="24">
                  <c:v>1.4</c:v>
                </c:pt>
                <c:pt idx="25">
                  <c:v>1.4</c:v>
                </c:pt>
                <c:pt idx="26">
                  <c:v>1.7</c:v>
                </c:pt>
                <c:pt idx="27">
                  <c:v>1.5</c:v>
                </c:pt>
                <c:pt idx="28">
                  <c:v>1</c:v>
                </c:pt>
                <c:pt idx="29">
                  <c:v>1.1000000000000001</c:v>
                </c:pt>
                <c:pt idx="30">
                  <c:v>1</c:v>
                </c:pt>
                <c:pt idx="31">
                  <c:v>1.2</c:v>
                </c:pt>
                <c:pt idx="32">
                  <c:v>1.6</c:v>
                </c:pt>
                <c:pt idx="33">
                  <c:v>1.5</c:v>
                </c:pt>
                <c:pt idx="34">
                  <c:v>1.6</c:v>
                </c:pt>
                <c:pt idx="35">
                  <c:v>1.5</c:v>
                </c:pt>
                <c:pt idx="36">
                  <c:v>1.3</c:v>
                </c:pt>
                <c:pt idx="37">
                  <c:v>1.3</c:v>
                </c:pt>
                <c:pt idx="38">
                  <c:v>1.3</c:v>
                </c:pt>
                <c:pt idx="39">
                  <c:v>1.2</c:v>
                </c:pt>
                <c:pt idx="40">
                  <c:v>1.4</c:v>
                </c:pt>
                <c:pt idx="41">
                  <c:v>1.2</c:v>
                </c:pt>
                <c:pt idx="42">
                  <c:v>1</c:v>
                </c:pt>
                <c:pt idx="43">
                  <c:v>1.3</c:v>
                </c:pt>
                <c:pt idx="44">
                  <c:v>1.2</c:v>
                </c:pt>
                <c:pt idx="45">
                  <c:v>1.3</c:v>
                </c:pt>
                <c:pt idx="46">
                  <c:v>1.3</c:v>
                </c:pt>
                <c:pt idx="47">
                  <c:v>1.1000000000000001</c:v>
                </c:pt>
                <c:pt idx="48">
                  <c:v>1.3</c:v>
                </c:pt>
                <c:pt idx="49">
                  <c:v>1.8</c:v>
                </c:pt>
                <c:pt idx="50">
                  <c:v>2.1</c:v>
                </c:pt>
                <c:pt idx="51">
                  <c:v>1.7</c:v>
                </c:pt>
                <c:pt idx="52">
                  <c:v>1.8</c:v>
                </c:pt>
                <c:pt idx="53">
                  <c:v>1.8</c:v>
                </c:pt>
                <c:pt idx="54">
                  <c:v>1.9</c:v>
                </c:pt>
                <c:pt idx="55">
                  <c:v>1.8</c:v>
                </c:pt>
                <c:pt idx="56">
                  <c:v>2.2000000000000002</c:v>
                </c:pt>
                <c:pt idx="57">
                  <c:v>2.2999999999999998</c:v>
                </c:pt>
                <c:pt idx="58">
                  <c:v>1.5</c:v>
                </c:pt>
                <c:pt idx="59">
                  <c:v>2</c:v>
                </c:pt>
                <c:pt idx="60">
                  <c:v>1.8</c:v>
                </c:pt>
                <c:pt idx="61">
                  <c:v>1.6</c:v>
                </c:pt>
                <c:pt idx="62">
                  <c:v>1.9</c:v>
                </c:pt>
                <c:pt idx="63">
                  <c:v>2</c:v>
                </c:pt>
                <c:pt idx="64">
                  <c:v>1.5</c:v>
                </c:pt>
                <c:pt idx="65">
                  <c:v>1.4</c:v>
                </c:pt>
                <c:pt idx="66">
                  <c:v>1.8</c:v>
                </c:pt>
                <c:pt idx="67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AD-40E0-B78E-4439D0C1CD7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'4-grupy(EM)'!_pl2_4</c:f>
              <c:numCache>
                <c:formatCode>General</c:formatCode>
                <c:ptCount val="5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</c:numCache>
            </c:numRef>
          </c:xVal>
          <c:yVal>
            <c:numRef>
              <c:f>'4-grupy(EM)'!_pw2_4</c:f>
              <c:numCache>
                <c:formatCode>General</c:formatCode>
                <c:ptCount val="5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D-40E0-B78E-4439D0C1CD7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'4-grupy(EM)'!_pl3_4</c:f>
              <c:numCache>
                <c:formatCode>General</c:formatCode>
                <c:ptCount val="12"/>
                <c:pt idx="0">
                  <c:v>5.9</c:v>
                </c:pt>
                <c:pt idx="1">
                  <c:v>5.8</c:v>
                </c:pt>
                <c:pt idx="2">
                  <c:v>5.0999999999999996</c:v>
                </c:pt>
                <c:pt idx="3">
                  <c:v>5.3</c:v>
                </c:pt>
                <c:pt idx="4">
                  <c:v>5.7</c:v>
                </c:pt>
                <c:pt idx="5">
                  <c:v>5.6</c:v>
                </c:pt>
                <c:pt idx="6">
                  <c:v>5.6</c:v>
                </c:pt>
                <c:pt idx="7">
                  <c:v>6.1</c:v>
                </c:pt>
                <c:pt idx="8">
                  <c:v>5.0999999999999996</c:v>
                </c:pt>
                <c:pt idx="9">
                  <c:v>5.9</c:v>
                </c:pt>
                <c:pt idx="10">
                  <c:v>5.2</c:v>
                </c:pt>
                <c:pt idx="11">
                  <c:v>5.4</c:v>
                </c:pt>
              </c:numCache>
            </c:numRef>
          </c:xVal>
          <c:yVal>
            <c:numRef>
              <c:f>'4-grupy(EM)'!_pw3_4</c:f>
              <c:numCache>
                <c:formatCode>General</c:formatCode>
                <c:ptCount val="12"/>
                <c:pt idx="0">
                  <c:v>2.1</c:v>
                </c:pt>
                <c:pt idx="1">
                  <c:v>2.2000000000000002</c:v>
                </c:pt>
                <c:pt idx="2">
                  <c:v>2.4</c:v>
                </c:pt>
                <c:pt idx="3">
                  <c:v>2.2999999999999998</c:v>
                </c:pt>
                <c:pt idx="4">
                  <c:v>2.1</c:v>
                </c:pt>
                <c:pt idx="5">
                  <c:v>2.1</c:v>
                </c:pt>
                <c:pt idx="6">
                  <c:v>2.2000000000000002</c:v>
                </c:pt>
                <c:pt idx="7">
                  <c:v>2.2999999999999998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2.2999999999999998</c:v>
                </c:pt>
                <c:pt idx="11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D-40E0-B78E-4439D0C1CD7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'4-grupy(EM)'!_pl4_4</c:f>
              <c:numCache>
                <c:formatCode>General</c:formatCode>
                <c:ptCount val="20"/>
                <c:pt idx="0">
                  <c:v>4.8</c:v>
                </c:pt>
                <c:pt idx="1">
                  <c:v>6</c:v>
                </c:pt>
                <c:pt idx="2">
                  <c:v>5.0999999999999996</c:v>
                </c:pt>
                <c:pt idx="3">
                  <c:v>6.1</c:v>
                </c:pt>
                <c:pt idx="4">
                  <c:v>5.0999999999999996</c:v>
                </c:pt>
                <c:pt idx="5">
                  <c:v>5.5</c:v>
                </c:pt>
                <c:pt idx="6">
                  <c:v>5</c:v>
                </c:pt>
                <c:pt idx="7">
                  <c:v>5.7</c:v>
                </c:pt>
                <c:pt idx="8">
                  <c:v>4.9000000000000004</c:v>
                </c:pt>
                <c:pt idx="9">
                  <c:v>4.9000000000000004</c:v>
                </c:pt>
                <c:pt idx="10">
                  <c:v>4.8</c:v>
                </c:pt>
                <c:pt idx="11">
                  <c:v>4.9000000000000004</c:v>
                </c:pt>
                <c:pt idx="12">
                  <c:v>5.6</c:v>
                </c:pt>
                <c:pt idx="13">
                  <c:v>4.8</c:v>
                </c:pt>
                <c:pt idx="14">
                  <c:v>5.4</c:v>
                </c:pt>
                <c:pt idx="15">
                  <c:v>5.6</c:v>
                </c:pt>
                <c:pt idx="16">
                  <c:v>5.0999999999999996</c:v>
                </c:pt>
                <c:pt idx="17">
                  <c:v>5.7</c:v>
                </c:pt>
                <c:pt idx="18">
                  <c:v>5</c:v>
                </c:pt>
                <c:pt idx="19">
                  <c:v>5.2</c:v>
                </c:pt>
              </c:numCache>
            </c:numRef>
          </c:xVal>
          <c:yVal>
            <c:numRef>
              <c:f>'4-grupy(EM)'!_pw4_4</c:f>
              <c:numCache>
                <c:formatCode>General</c:formatCode>
                <c:ptCount val="20"/>
                <c:pt idx="0">
                  <c:v>1.8</c:v>
                </c:pt>
                <c:pt idx="1">
                  <c:v>2.5</c:v>
                </c:pt>
                <c:pt idx="2">
                  <c:v>1.9</c:v>
                </c:pt>
                <c:pt idx="3">
                  <c:v>2.5</c:v>
                </c:pt>
                <c:pt idx="4">
                  <c:v>2</c:v>
                </c:pt>
                <c:pt idx="5">
                  <c:v>2.1</c:v>
                </c:pt>
                <c:pt idx="6">
                  <c:v>2</c:v>
                </c:pt>
                <c:pt idx="7">
                  <c:v>2.2999999999999998</c:v>
                </c:pt>
                <c:pt idx="8">
                  <c:v>2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2.4</c:v>
                </c:pt>
                <c:pt idx="13">
                  <c:v>1.8</c:v>
                </c:pt>
                <c:pt idx="14">
                  <c:v>2.1</c:v>
                </c:pt>
                <c:pt idx="15">
                  <c:v>2.4</c:v>
                </c:pt>
                <c:pt idx="16">
                  <c:v>1.9</c:v>
                </c:pt>
                <c:pt idx="17">
                  <c:v>2.5</c:v>
                </c:pt>
                <c:pt idx="18">
                  <c:v>1.9</c:v>
                </c:pt>
                <c:pt idx="1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D-40E0-B78E-4439D0C1C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77407"/>
        <c:axId val="133263199"/>
      </c:scatterChart>
      <c:valAx>
        <c:axId val="13947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263199"/>
        <c:crosses val="autoZero"/>
        <c:crossBetween val="midCat"/>
      </c:valAx>
      <c:valAx>
        <c:axId val="13326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9477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161925</xdr:colOff>
      <xdr:row>9</xdr:row>
      <xdr:rowOff>90487</xdr:rowOff>
    </xdr:from>
    <xdr:to>
      <xdr:col>26</xdr:col>
      <xdr:colOff>466725</xdr:colOff>
      <xdr:row>23</xdr:row>
      <xdr:rowOff>80962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624A77-EC5D-4EE2-B02F-F4F46089F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0</xdr:row>
      <xdr:rowOff>66675</xdr:rowOff>
    </xdr:from>
    <xdr:to>
      <xdr:col>10</xdr:col>
      <xdr:colOff>542925</xdr:colOff>
      <xdr:row>9</xdr:row>
      <xdr:rowOff>28575</xdr:rowOff>
    </xdr:to>
    <xdr:sp macro="[0]!EM_Start_2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0EA179EA-C90D-465D-8373-5A33902421B3}"/>
            </a:ext>
          </a:extLst>
        </xdr:cNvPr>
        <xdr:cNvSpPr/>
      </xdr:nvSpPr>
      <xdr:spPr>
        <a:xfrm>
          <a:off x="4743450" y="66675"/>
          <a:ext cx="457200" cy="17526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2000">
              <a:solidFill>
                <a:schemeClr val="bg1"/>
              </a:solidFill>
            </a:rPr>
            <a:t>S</a:t>
          </a:r>
        </a:p>
        <a:p>
          <a:pPr algn="ctr"/>
          <a:r>
            <a:rPr lang="pl-PL" sz="2000">
              <a:solidFill>
                <a:schemeClr val="bg1"/>
              </a:solidFill>
            </a:rPr>
            <a:t>T</a:t>
          </a:r>
        </a:p>
        <a:p>
          <a:pPr algn="ctr"/>
          <a:r>
            <a:rPr lang="pl-PL" sz="2000">
              <a:solidFill>
                <a:schemeClr val="bg1"/>
              </a:solidFill>
            </a:rPr>
            <a:t>A</a:t>
          </a:r>
        </a:p>
        <a:p>
          <a:pPr algn="ctr"/>
          <a:r>
            <a:rPr lang="pl-PL" sz="2000">
              <a:solidFill>
                <a:schemeClr val="bg1"/>
              </a:solidFill>
            </a:rPr>
            <a:t>R</a:t>
          </a:r>
        </a:p>
        <a:p>
          <a:pPr algn="ctr"/>
          <a:r>
            <a:rPr lang="pl-PL" sz="2000">
              <a:solidFill>
                <a:schemeClr val="bg1"/>
              </a:solidFill>
            </a:rPr>
            <a:t>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80962</xdr:rowOff>
    </xdr:from>
    <xdr:to>
      <xdr:col>28</xdr:col>
      <xdr:colOff>419100</xdr:colOff>
      <xdr:row>14</xdr:row>
      <xdr:rowOff>166687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8131B32-6106-413C-BDC4-8B2D4D7A26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85725</xdr:colOff>
      <xdr:row>0</xdr:row>
      <xdr:rowOff>66675</xdr:rowOff>
    </xdr:from>
    <xdr:to>
      <xdr:col>12</xdr:col>
      <xdr:colOff>542925</xdr:colOff>
      <xdr:row>9</xdr:row>
      <xdr:rowOff>28575</xdr:rowOff>
    </xdr:to>
    <xdr:sp macro="[0]!EM_Start_4" textlink="">
      <xdr:nvSpPr>
        <xdr:cNvPr id="3" name="Prostokąt: zaokrąglone rogi 2">
          <a:extLst>
            <a:ext uri="{FF2B5EF4-FFF2-40B4-BE49-F238E27FC236}">
              <a16:creationId xmlns:a16="http://schemas.microsoft.com/office/drawing/2014/main" id="{193D951B-009F-4C7A-80A9-6190626A211D}"/>
            </a:ext>
          </a:extLst>
        </xdr:cNvPr>
        <xdr:cNvSpPr/>
      </xdr:nvSpPr>
      <xdr:spPr>
        <a:xfrm>
          <a:off x="4743450" y="66675"/>
          <a:ext cx="457200" cy="17526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l-PL" sz="2000">
              <a:solidFill>
                <a:schemeClr val="bg1"/>
              </a:solidFill>
            </a:rPr>
            <a:t>S</a:t>
          </a:r>
        </a:p>
        <a:p>
          <a:pPr algn="ctr"/>
          <a:r>
            <a:rPr lang="pl-PL" sz="2000">
              <a:solidFill>
                <a:schemeClr val="bg1"/>
              </a:solidFill>
            </a:rPr>
            <a:t>T</a:t>
          </a:r>
        </a:p>
        <a:p>
          <a:pPr algn="ctr"/>
          <a:r>
            <a:rPr lang="pl-PL" sz="2000">
              <a:solidFill>
                <a:schemeClr val="bg1"/>
              </a:solidFill>
            </a:rPr>
            <a:t>A</a:t>
          </a:r>
        </a:p>
        <a:p>
          <a:pPr algn="ctr"/>
          <a:r>
            <a:rPr lang="pl-PL" sz="2000">
              <a:solidFill>
                <a:schemeClr val="bg1"/>
              </a:solidFill>
            </a:rPr>
            <a:t>R</a:t>
          </a:r>
        </a:p>
        <a:p>
          <a:pPr algn="ctr"/>
          <a:r>
            <a:rPr lang="pl-PL" sz="2000">
              <a:solidFill>
                <a:schemeClr val="bg1"/>
              </a:solidFill>
            </a:rPr>
            <a:t>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U151"/>
  <sheetViews>
    <sheetView tabSelected="1" topLeftCell="C1" workbookViewId="0">
      <selection activeCell="U8" sqref="U8"/>
    </sheetView>
  </sheetViews>
  <sheetFormatPr defaultRowHeight="15" x14ac:dyDescent="0.25"/>
  <cols>
    <col min="1" max="1" width="12.42578125" style="1" hidden="1" customWidth="1"/>
    <col min="2" max="2" width="11.85546875" style="1" hidden="1" customWidth="1"/>
    <col min="3" max="3" width="12.140625" style="1" bestFit="1" customWidth="1"/>
    <col min="4" max="4" width="11.5703125" style="1" bestFit="1" customWidth="1"/>
    <col min="5" max="5" width="9.7109375" style="1" hidden="1" customWidth="1"/>
    <col min="6" max="6" width="9.28515625" style="1" customWidth="1"/>
    <col min="7" max="9" width="9.28515625" style="42" customWidth="1"/>
    <col min="10" max="10" width="9" style="42" customWidth="1"/>
    <col min="11" max="15" width="9.28515625" style="1" customWidth="1"/>
    <col min="16" max="16" width="9.28515625" customWidth="1"/>
    <col min="17" max="17" width="12.140625" bestFit="1" customWidth="1"/>
    <col min="18" max="18" width="11.5703125" bestFit="1" customWidth="1"/>
    <col min="19" max="19" width="6.28515625" bestFit="1" customWidth="1"/>
    <col min="20" max="20" width="9.140625" style="1" customWidth="1"/>
    <col min="21" max="16384" width="9.140625" style="1"/>
  </cols>
  <sheetData>
    <row r="1" spans="1:21" ht="15.75" thickBot="1" x14ac:dyDescent="0.3">
      <c r="A1" s="1" t="s">
        <v>0</v>
      </c>
      <c r="B1" s="1" t="s">
        <v>1</v>
      </c>
      <c r="C1" s="5" t="s">
        <v>2</v>
      </c>
      <c r="D1" s="6" t="s">
        <v>3</v>
      </c>
      <c r="E1" s="7" t="s">
        <v>4</v>
      </c>
      <c r="F1" s="30" t="s">
        <v>8</v>
      </c>
      <c r="G1" s="29" t="s">
        <v>10</v>
      </c>
      <c r="H1" s="8" t="s">
        <v>11</v>
      </c>
      <c r="I1" s="8" t="s">
        <v>12</v>
      </c>
      <c r="J1" s="6" t="s">
        <v>14</v>
      </c>
      <c r="L1" s="2" t="s">
        <v>8</v>
      </c>
      <c r="M1" s="2" t="s">
        <v>9</v>
      </c>
      <c r="N1" s="2" t="s">
        <v>15</v>
      </c>
      <c r="O1" s="2" t="s">
        <v>16</v>
      </c>
      <c r="Q1" s="18" t="s">
        <v>2</v>
      </c>
      <c r="R1" s="19" t="s">
        <v>3</v>
      </c>
      <c r="S1" s="23" t="s">
        <v>8</v>
      </c>
    </row>
    <row r="2" spans="1:21" x14ac:dyDescent="0.25">
      <c r="A2" s="1">
        <v>5.0999999999999996</v>
      </c>
      <c r="B2" s="1">
        <v>3.5</v>
      </c>
      <c r="C2" s="9">
        <v>1.4</v>
      </c>
      <c r="D2" s="10">
        <v>0.2</v>
      </c>
      <c r="E2" s="1" t="s">
        <v>5</v>
      </c>
      <c r="F2" s="31">
        <f ca="1">IF(H2=J2,1,2)</f>
        <v>1</v>
      </c>
      <c r="G2" s="33" cm="1">
        <f t="array" aca="1" ref="G2" ca="1">$O$5*NMultDensity(C2:D2,$M$7:$N$7,$M$5:$N$6)+$O$9*NMultDensity(C2:D2,$M$11:$N$11,$M$9:$N$10)</f>
        <v>3.1909823697515195E-3</v>
      </c>
      <c r="H2" s="34" cm="1">
        <f t="array" aca="1" ref="H2" ca="1">$O$5*NMultDensity(C2:D2,$M$7:$N$7,$M$5:$N$6)/G2</f>
        <v>0.93370214864780354</v>
      </c>
      <c r="I2" s="34" cm="1">
        <f t="array" aca="1" ref="I2" ca="1">$O$9*NMultDensity(C2:D2,$M$11:$N$11,$M$9:$N$10)/G2</f>
        <v>6.6297851352196374E-2</v>
      </c>
      <c r="J2" s="35">
        <f ca="1">MAX(H2:I2)</f>
        <v>0.93370214864780354</v>
      </c>
      <c r="L2" s="2">
        <v>1</v>
      </c>
      <c r="M2" s="4">
        <f ca="1">COUNTIF(F:F,L2)</f>
        <v>72</v>
      </c>
      <c r="N2" s="3">
        <f ca="1">M2/(SUM($M$2:$M$3))</f>
        <v>0.48</v>
      </c>
      <c r="O2" s="3">
        <f ca="1">O15</f>
        <v>0.544867963487915</v>
      </c>
      <c r="Q2" s="17">
        <v>1.4</v>
      </c>
      <c r="R2" s="20">
        <v>0.2</v>
      </c>
      <c r="S2" s="24">
        <v>1</v>
      </c>
      <c r="U2" s="45" t="s">
        <v>25</v>
      </c>
    </row>
    <row r="3" spans="1:21" x14ac:dyDescent="0.25">
      <c r="A3" s="1">
        <v>4.9000000000000004</v>
      </c>
      <c r="B3" s="1">
        <v>3</v>
      </c>
      <c r="C3" s="11">
        <v>1.4</v>
      </c>
      <c r="D3" s="12">
        <v>0.2</v>
      </c>
      <c r="E3" s="1" t="s">
        <v>5</v>
      </c>
      <c r="F3" s="27">
        <f ca="1">IF(H3=J3,1,2)</f>
        <v>1</v>
      </c>
      <c r="G3" s="36" cm="1">
        <f t="array" aca="1" ref="G3" ca="1">$O$5*NMultDensity(C3:D3,$M$7:$N$7,$M$5:$N$6)+$O$9*NMultDensity(C3:D3,$M$11:$N$11,$M$9:$N$10)</f>
        <v>3.1909823697515195E-3</v>
      </c>
      <c r="H3" s="37" cm="1">
        <f t="array" aca="1" ref="H3" ca="1">$O$5*NMultDensity(C3:D3,$M$7:$N$7,$M$5:$N$6)/G3</f>
        <v>0.93370214864780354</v>
      </c>
      <c r="I3" s="37" cm="1">
        <f t="array" aca="1" ref="I3" ca="1">$O$9*NMultDensity(C3:D3,$M$11:$N$11,$M$9:$N$10)/G3</f>
        <v>6.6297851352196374E-2</v>
      </c>
      <c r="J3" s="38">
        <f ca="1">MAX(H3:I3)</f>
        <v>0.93370214864780354</v>
      </c>
      <c r="L3" s="2">
        <v>2</v>
      </c>
      <c r="M3" s="4">
        <f ca="1">COUNTIF(F:F,L3)</f>
        <v>78</v>
      </c>
      <c r="N3" s="3">
        <f ca="1">M3/(SUM($M$2:$M$3))</f>
        <v>0.52</v>
      </c>
      <c r="O3" s="3">
        <f ca="1">O19</f>
        <v>0.455132036512085</v>
      </c>
      <c r="Q3" s="15">
        <v>1.4</v>
      </c>
      <c r="R3" s="21">
        <v>0.2</v>
      </c>
      <c r="S3" s="25">
        <v>1</v>
      </c>
      <c r="U3" s="45" t="s">
        <v>29</v>
      </c>
    </row>
    <row r="4" spans="1:21" ht="15.75" thickBot="1" x14ac:dyDescent="0.3">
      <c r="A4" s="1">
        <v>4.7</v>
      </c>
      <c r="B4" s="1">
        <v>3.2</v>
      </c>
      <c r="C4" s="11">
        <v>1.3</v>
      </c>
      <c r="D4" s="12">
        <v>0.2</v>
      </c>
      <c r="E4" s="1" t="s">
        <v>5</v>
      </c>
      <c r="F4" s="27">
        <f t="shared" ref="F4:F67" ca="1" si="0">IF(H4=J4,1,2)</f>
        <v>1</v>
      </c>
      <c r="G4" s="36" cm="1">
        <f t="array" aca="1" ref="G4" ca="1">$O$5*NMultDensity(C4:D4,$M$7:$N$7,$M$5:$N$6)+$O$9*NMultDensity(C4:D4,$M$11:$N$11,$M$9:$N$10)</f>
        <v>2.4864017944203985E-3</v>
      </c>
      <c r="H4" s="37" cm="1">
        <f t="array" aca="1" ref="H4" ca="1">$O$5*NMultDensity(C4:D4,$M$7:$N$7,$M$5:$N$6)/G4</f>
        <v>0.93790597875169124</v>
      </c>
      <c r="I4" s="37" cm="1">
        <f t="array" aca="1" ref="I4" ca="1">$O$9*NMultDensity(C4:D4,$M$11:$N$11,$M$9:$N$10)/G4</f>
        <v>6.2094021248308699E-2</v>
      </c>
      <c r="J4" s="38">
        <f t="shared" ref="J4:J67" ca="1" si="1">MAX(H4:I4)</f>
        <v>0.93790597875169124</v>
      </c>
      <c r="Q4" s="15">
        <v>1.3</v>
      </c>
      <c r="R4" s="21">
        <v>0.2</v>
      </c>
      <c r="S4" s="25">
        <v>1</v>
      </c>
      <c r="U4" s="45" t="s">
        <v>26</v>
      </c>
    </row>
    <row r="5" spans="1:21" ht="16.5" thickTop="1" thickBot="1" x14ac:dyDescent="0.3">
      <c r="A5" s="1">
        <v>4.5999999999999996</v>
      </c>
      <c r="B5" s="1">
        <v>3.1</v>
      </c>
      <c r="C5" s="11">
        <v>1.5</v>
      </c>
      <c r="D5" s="12">
        <v>0.2</v>
      </c>
      <c r="E5" s="1" t="s">
        <v>5</v>
      </c>
      <c r="F5" s="27">
        <f t="shared" ca="1" si="0"/>
        <v>1</v>
      </c>
      <c r="G5" s="36" cm="1">
        <f t="array" aca="1" ref="G5" ca="1">$O$5*NMultDensity(C5:D5,$M$7:$N$7,$M$5:$N$6)+$O$9*NMultDensity(C5:D5,$M$11:$N$11,$M$9:$N$10)</f>
        <v>4.0557046335176605E-3</v>
      </c>
      <c r="H5" s="37" cm="1">
        <f t="array" aca="1" ref="H5" ca="1">$O$5*NMultDensity(C5:D5,$M$7:$N$7,$M$5:$N$6)/G5</f>
        <v>0.92923518814385908</v>
      </c>
      <c r="I5" s="37" cm="1">
        <f t="array" aca="1" ref="I5" ca="1">$O$9*NMultDensity(C5:D5,$M$11:$N$11,$M$9:$N$10)/G5</f>
        <v>7.0764811856140766E-2</v>
      </c>
      <c r="J5" s="38">
        <f t="shared" ca="1" si="1"/>
        <v>0.92923518814385908</v>
      </c>
      <c r="L5" s="2" t="s">
        <v>17</v>
      </c>
      <c r="M5" s="3">
        <v>1</v>
      </c>
      <c r="N5" s="3">
        <v>0</v>
      </c>
      <c r="O5" s="43">
        <v>0.5</v>
      </c>
      <c r="Q5" s="15">
        <v>1.5</v>
      </c>
      <c r="R5" s="21">
        <v>0.2</v>
      </c>
      <c r="S5" s="25">
        <v>1</v>
      </c>
      <c r="U5" s="45" t="s">
        <v>28</v>
      </c>
    </row>
    <row r="6" spans="1:21" ht="15.75" thickTop="1" x14ac:dyDescent="0.25">
      <c r="A6" s="1">
        <v>5</v>
      </c>
      <c r="B6" s="1">
        <v>3.6</v>
      </c>
      <c r="C6" s="11">
        <v>1.4</v>
      </c>
      <c r="D6" s="12">
        <v>0.2</v>
      </c>
      <c r="E6" s="1" t="s">
        <v>5</v>
      </c>
      <c r="F6" s="27">
        <f t="shared" ca="1" si="0"/>
        <v>1</v>
      </c>
      <c r="G6" s="36" cm="1">
        <f t="array" aca="1" ref="G6" ca="1">$O$5*NMultDensity(C6:D6,$M$7:$N$7,$M$5:$N$6)+$O$9*NMultDensity(C6:D6,$M$11:$N$11,$M$9:$N$10)</f>
        <v>3.1909823697515195E-3</v>
      </c>
      <c r="H6" s="37" cm="1">
        <f t="array" aca="1" ref="H6" ca="1">$O$5*NMultDensity(C6:D6,$M$7:$N$7,$M$5:$N$6)/G6</f>
        <v>0.93370214864780354</v>
      </c>
      <c r="I6" s="37" cm="1">
        <f t="array" aca="1" ref="I6" ca="1">$O$9*NMultDensity(C6:D6,$M$11:$N$11,$M$9:$N$10)/G6</f>
        <v>6.6297851352196374E-2</v>
      </c>
      <c r="J6" s="38">
        <f t="shared" ca="1" si="1"/>
        <v>0.93370214864780354</v>
      </c>
      <c r="L6" s="2">
        <v>82</v>
      </c>
      <c r="M6" s="3">
        <v>0</v>
      </c>
      <c r="N6" s="3">
        <v>1</v>
      </c>
      <c r="Q6" s="15">
        <v>1.4</v>
      </c>
      <c r="R6" s="21">
        <v>0.2</v>
      </c>
      <c r="S6" s="25">
        <v>1</v>
      </c>
      <c r="U6" s="45" t="s">
        <v>30</v>
      </c>
    </row>
    <row r="7" spans="1:21" x14ac:dyDescent="0.25">
      <c r="A7" s="1">
        <v>5.4</v>
      </c>
      <c r="B7" s="1">
        <v>3.9</v>
      </c>
      <c r="C7" s="11">
        <v>1.7</v>
      </c>
      <c r="D7" s="12">
        <v>0.4</v>
      </c>
      <c r="E7" s="1" t="s">
        <v>5</v>
      </c>
      <c r="F7" s="27">
        <f t="shared" ca="1" si="0"/>
        <v>1</v>
      </c>
      <c r="G7" s="36" cm="1">
        <f t="array" aca="1" ref="G7" ca="1">$O$5*NMultDensity(C7:D7,$M$7:$N$7,$M$5:$N$6)+$O$9*NMultDensity(C7:D7,$M$11:$N$11,$M$9:$N$10)</f>
        <v>7.5452553208503696E-3</v>
      </c>
      <c r="H7" s="37" cm="1">
        <f t="array" aca="1" ref="H7" ca="1">$O$5*NMultDensity(C7:D7,$M$7:$N$7,$M$5:$N$6)/G7</f>
        <v>0.91011173674604096</v>
      </c>
      <c r="I7" s="37" cm="1">
        <f t="array" aca="1" ref="I7" ca="1">$O$9*NMultDensity(C7:D7,$M$11:$N$11,$M$9:$N$10)/G7</f>
        <v>8.9888263253959003E-2</v>
      </c>
      <c r="J7" s="38">
        <f t="shared" ca="1" si="1"/>
        <v>0.91011173674604096</v>
      </c>
      <c r="L7" s="2" t="s">
        <v>18</v>
      </c>
      <c r="M7" s="3">
        <f ca="1">OFFSET(C$1,$L6-1,0)</f>
        <v>3.8</v>
      </c>
      <c r="N7" s="3">
        <f ca="1">OFFSET(D$1,$L6-1,0)</f>
        <v>1.1000000000000001</v>
      </c>
      <c r="Q7" s="15">
        <v>1.7</v>
      </c>
      <c r="R7" s="21">
        <v>0.4</v>
      </c>
      <c r="S7" s="25">
        <v>1</v>
      </c>
      <c r="U7" s="45" t="s">
        <v>31</v>
      </c>
    </row>
    <row r="8" spans="1:21" ht="15.75" thickBot="1" x14ac:dyDescent="0.3">
      <c r="A8" s="1">
        <v>4.5999999999999996</v>
      </c>
      <c r="B8" s="1">
        <v>3.4</v>
      </c>
      <c r="C8" s="11">
        <v>1.4</v>
      </c>
      <c r="D8" s="12">
        <v>0.3</v>
      </c>
      <c r="E8" s="1" t="s">
        <v>5</v>
      </c>
      <c r="F8" s="27">
        <f t="shared" ca="1" si="0"/>
        <v>1</v>
      </c>
      <c r="G8" s="36" cm="1">
        <f t="array" aca="1" ref="G8" ca="1">$O$5*NMultDensity(C8:D8,$M$7:$N$7,$M$5:$N$6)+$O$9*NMultDensity(C8:D8,$M$11:$N$11,$M$9:$N$10)</f>
        <v>3.4883193962262373E-3</v>
      </c>
      <c r="H8" s="37" cm="1">
        <f t="array" aca="1" ref="H8" ca="1">$O$5*NMultDensity(C8:D8,$M$7:$N$7,$M$5:$N$6)/G8</f>
        <v>0.92988994377858181</v>
      </c>
      <c r="I8" s="37" cm="1">
        <f t="array" aca="1" ref="I8" ca="1">$O$9*NMultDensity(C8:D8,$M$11:$N$11,$M$9:$N$10)/G8</f>
        <v>7.0110056221418166E-2</v>
      </c>
      <c r="J8" s="38">
        <f t="shared" ca="1" si="1"/>
        <v>0.92988994377858181</v>
      </c>
      <c r="Q8" s="15">
        <v>1.4</v>
      </c>
      <c r="R8" s="21">
        <v>0.3</v>
      </c>
      <c r="S8" s="25">
        <v>1</v>
      </c>
    </row>
    <row r="9" spans="1:21" ht="16.5" thickTop="1" thickBot="1" x14ac:dyDescent="0.3">
      <c r="A9" s="1">
        <v>5</v>
      </c>
      <c r="B9" s="1">
        <v>3.4</v>
      </c>
      <c r="C9" s="11">
        <v>1.5</v>
      </c>
      <c r="D9" s="12">
        <v>0.2</v>
      </c>
      <c r="E9" s="1" t="s">
        <v>5</v>
      </c>
      <c r="F9" s="27">
        <f t="shared" ca="1" si="0"/>
        <v>1</v>
      </c>
      <c r="G9" s="36" cm="1">
        <f t="array" aca="1" ref="G9" ca="1">$O$5*NMultDensity(C9:D9,$M$7:$N$7,$M$5:$N$6)+$O$9*NMultDensity(C9:D9,$M$11:$N$11,$M$9:$N$10)</f>
        <v>4.0557046335176605E-3</v>
      </c>
      <c r="H9" s="37" cm="1">
        <f t="array" aca="1" ref="H9" ca="1">$O$5*NMultDensity(C9:D9,$M$7:$N$7,$M$5:$N$6)/G9</f>
        <v>0.92923518814385908</v>
      </c>
      <c r="I9" s="37" cm="1">
        <f t="array" aca="1" ref="I9" ca="1">$O$9*NMultDensity(C9:D9,$M$11:$N$11,$M$9:$N$10)/G9</f>
        <v>7.0764811856140766E-2</v>
      </c>
      <c r="J9" s="38">
        <f t="shared" ca="1" si="1"/>
        <v>0.92923518814385908</v>
      </c>
      <c r="L9" s="2" t="s">
        <v>19</v>
      </c>
      <c r="M9" s="3">
        <v>1</v>
      </c>
      <c r="N9" s="3">
        <v>0</v>
      </c>
      <c r="O9" s="43">
        <v>0.5</v>
      </c>
      <c r="Q9" s="15">
        <v>1.5</v>
      </c>
      <c r="R9" s="21">
        <v>0.2</v>
      </c>
      <c r="S9" s="25">
        <v>1</v>
      </c>
    </row>
    <row r="10" spans="1:21" ht="15.75" thickTop="1" x14ac:dyDescent="0.25">
      <c r="A10" s="1">
        <v>4.4000000000000004</v>
      </c>
      <c r="B10" s="1">
        <v>2.9</v>
      </c>
      <c r="C10" s="11">
        <v>1.4</v>
      </c>
      <c r="D10" s="12">
        <v>0.2</v>
      </c>
      <c r="E10" s="1" t="s">
        <v>5</v>
      </c>
      <c r="F10" s="27">
        <f t="shared" ca="1" si="0"/>
        <v>1</v>
      </c>
      <c r="G10" s="36" cm="1">
        <f t="array" aca="1" ref="G10" ca="1">$O$5*NMultDensity(C10:D10,$M$7:$N$7,$M$5:$N$6)+$O$9*NMultDensity(C10:D10,$M$11:$N$11,$M$9:$N$10)</f>
        <v>3.1909823697515195E-3</v>
      </c>
      <c r="H10" s="37" cm="1">
        <f t="array" aca="1" ref="H10" ca="1">$O$5*NMultDensity(C10:D10,$M$7:$N$7,$M$5:$N$6)/G10</f>
        <v>0.93370214864780354</v>
      </c>
      <c r="I10" s="37" cm="1">
        <f t="array" aca="1" ref="I10" ca="1">$O$9*NMultDensity(C10:D10,$M$11:$N$11,$M$9:$N$10)/G10</f>
        <v>6.6297851352196374E-2</v>
      </c>
      <c r="J10" s="38">
        <f t="shared" ca="1" si="1"/>
        <v>0.93370214864780354</v>
      </c>
      <c r="L10" s="2">
        <v>108</v>
      </c>
      <c r="M10" s="3">
        <v>0</v>
      </c>
      <c r="N10" s="3">
        <v>1</v>
      </c>
      <c r="Q10" s="15">
        <v>1.4</v>
      </c>
      <c r="R10" s="21">
        <v>0.2</v>
      </c>
      <c r="S10" s="25">
        <v>1</v>
      </c>
    </row>
    <row r="11" spans="1:21" x14ac:dyDescent="0.25">
      <c r="A11" s="1">
        <v>4.9000000000000004</v>
      </c>
      <c r="B11" s="1">
        <v>3.1</v>
      </c>
      <c r="C11" s="11">
        <v>1.5</v>
      </c>
      <c r="D11" s="12">
        <v>0.1</v>
      </c>
      <c r="E11" s="1" t="s">
        <v>5</v>
      </c>
      <c r="F11" s="27">
        <f t="shared" ca="1" si="0"/>
        <v>1</v>
      </c>
      <c r="G11" s="36" cm="1">
        <f t="array" aca="1" ref="G11" ca="1">$O$5*NMultDensity(C11:D11,$M$7:$N$7,$M$5:$N$6)+$O$9*NMultDensity(C11:D11,$M$11:$N$11,$M$9:$N$10)</f>
        <v>3.6729490854206705E-3</v>
      </c>
      <c r="H11" s="37" cm="1">
        <f t="array" aca="1" ref="H11" ca="1">$O$5*NMultDensity(C11:D11,$M$7:$N$7,$M$5:$N$6)/G11</f>
        <v>0.93308043297193133</v>
      </c>
      <c r="I11" s="37" cm="1">
        <f t="array" aca="1" ref="I11" ca="1">$O$9*NMultDensity(C11:D11,$M$11:$N$11,$M$9:$N$10)/G11</f>
        <v>6.6919567028068602E-2</v>
      </c>
      <c r="J11" s="38">
        <f t="shared" ca="1" si="1"/>
        <v>0.93308043297193133</v>
      </c>
      <c r="L11" s="2" t="s">
        <v>18</v>
      </c>
      <c r="M11" s="3">
        <f ca="1">OFFSET(C$1,$L10-1,0)</f>
        <v>4.5</v>
      </c>
      <c r="N11" s="3">
        <f ca="1">OFFSET(D$1,$L10-1,0)</f>
        <v>1.7</v>
      </c>
      <c r="Q11" s="15">
        <v>1.5</v>
      </c>
      <c r="R11" s="21">
        <v>0.1</v>
      </c>
      <c r="S11" s="25">
        <v>1</v>
      </c>
    </row>
    <row r="12" spans="1:21" ht="15.75" thickBot="1" x14ac:dyDescent="0.3">
      <c r="A12" s="1">
        <v>5.4</v>
      </c>
      <c r="B12" s="1">
        <v>3.7</v>
      </c>
      <c r="C12" s="11">
        <v>1.5</v>
      </c>
      <c r="D12" s="12">
        <v>0.2</v>
      </c>
      <c r="E12" s="1" t="s">
        <v>5</v>
      </c>
      <c r="F12" s="27">
        <f t="shared" ca="1" si="0"/>
        <v>1</v>
      </c>
      <c r="G12" s="36" cm="1">
        <f t="array" aca="1" ref="G12" ca="1">$O$5*NMultDensity(C12:D12,$M$7:$N$7,$M$5:$N$6)+$O$9*NMultDensity(C12:D12,$M$11:$N$11,$M$9:$N$10)</f>
        <v>4.0557046335176605E-3</v>
      </c>
      <c r="H12" s="37" cm="1">
        <f t="array" aca="1" ref="H12" ca="1">$O$5*NMultDensity(C12:D12,$M$7:$N$7,$M$5:$N$6)/G12</f>
        <v>0.92923518814385908</v>
      </c>
      <c r="I12" s="37" cm="1">
        <f t="array" aca="1" ref="I12" ca="1">$O$9*NMultDensity(C12:D12,$M$11:$N$11,$M$9:$N$10)/G12</f>
        <v>7.0764811856140766E-2</v>
      </c>
      <c r="J12" s="38">
        <f t="shared" ca="1" si="1"/>
        <v>0.92923518814385908</v>
      </c>
      <c r="Q12" s="15">
        <v>1.5</v>
      </c>
      <c r="R12" s="21">
        <v>0.2</v>
      </c>
      <c r="S12" s="25">
        <v>1</v>
      </c>
    </row>
    <row r="13" spans="1:21" ht="16.5" thickTop="1" thickBot="1" x14ac:dyDescent="0.3">
      <c r="A13" s="1">
        <v>4.8</v>
      </c>
      <c r="B13" s="1">
        <v>3.4</v>
      </c>
      <c r="C13" s="11">
        <v>1.6</v>
      </c>
      <c r="D13" s="12">
        <v>0.2</v>
      </c>
      <c r="E13" s="1" t="s">
        <v>5</v>
      </c>
      <c r="F13" s="27">
        <f t="shared" ca="1" si="0"/>
        <v>1</v>
      </c>
      <c r="G13" s="36" cm="1">
        <f t="array" aca="1" ref="G13" ca="1">$O$5*NMultDensity(C13:D13,$M$7:$N$7,$M$5:$N$6)+$O$9*NMultDensity(C13:D13,$M$11:$N$11,$M$9:$N$10)</f>
        <v>5.1051117948393582E-3</v>
      </c>
      <c r="H13" s="37" cm="1">
        <f t="array" aca="1" ref="H13" ca="1">$O$5*NMultDensity(C13:D13,$M$7:$N$7,$M$5:$N$6)/G13</f>
        <v>0.92449159605946485</v>
      </c>
      <c r="I13" s="37" cm="1">
        <f t="array" aca="1" ref="I13" ca="1">$O$9*NMultDensity(C13:D13,$M$11:$N$11,$M$9:$N$10)/G13</f>
        <v>7.5508403940535138E-2</v>
      </c>
      <c r="J13" s="38">
        <f t="shared" ca="1" si="1"/>
        <v>0.92449159605946485</v>
      </c>
      <c r="L13" s="43" t="s">
        <v>20</v>
      </c>
      <c r="M13" s="43">
        <f ca="1">PRODUCT(G2:G151)</f>
        <v>2.6567241696286965E-233</v>
      </c>
      <c r="N13" s="43" cm="1">
        <f t="array" aca="1" ref="N13" ca="1">SUM(LN(G2:G151))</f>
        <v>-535.52523281893446</v>
      </c>
      <c r="O13" s="43" t="s">
        <v>21</v>
      </c>
      <c r="Q13" s="15">
        <v>1.6</v>
      </c>
      <c r="R13" s="21">
        <v>0.2</v>
      </c>
      <c r="S13" s="25">
        <v>1</v>
      </c>
    </row>
    <row r="14" spans="1:21" ht="16.5" thickTop="1" thickBot="1" x14ac:dyDescent="0.3">
      <c r="A14" s="1">
        <v>4.8</v>
      </c>
      <c r="B14" s="1">
        <v>3</v>
      </c>
      <c r="C14" s="11">
        <v>1.4</v>
      </c>
      <c r="D14" s="12">
        <v>0.1</v>
      </c>
      <c r="E14" s="1" t="s">
        <v>5</v>
      </c>
      <c r="F14" s="27">
        <f t="shared" ca="1" si="0"/>
        <v>1</v>
      </c>
      <c r="G14" s="36" cm="1">
        <f t="array" aca="1" ref="G14" ca="1">$O$5*NMultDensity(C14:D14,$M$7:$N$7,$M$5:$N$6)+$O$9*NMultDensity(C14:D14,$M$11:$N$11,$M$9:$N$10)</f>
        <v>2.8905895085847436E-3</v>
      </c>
      <c r="H14" s="37" cm="1">
        <f t="array" aca="1" ref="H14" ca="1">$O$5*NMultDensity(C14:D14,$M$7:$N$7,$M$5:$N$6)/G14</f>
        <v>0.93732103860055538</v>
      </c>
      <c r="I14" s="37" cm="1">
        <f t="array" aca="1" ref="I14" ca="1">$O$9*NMultDensity(C14:D14,$M$11:$N$11,$M$9:$N$10)/G14</f>
        <v>6.2678961399444733E-2</v>
      </c>
      <c r="J14" s="38">
        <f t="shared" ca="1" si="1"/>
        <v>0.93732103860055538</v>
      </c>
      <c r="K14" s="46" t="s">
        <v>27</v>
      </c>
      <c r="L14" s="47"/>
      <c r="M14" s="47"/>
      <c r="N14" s="47"/>
      <c r="O14" s="47"/>
      <c r="P14" s="48"/>
      <c r="Q14" s="15">
        <v>1.4</v>
      </c>
      <c r="R14" s="21">
        <v>0.1</v>
      </c>
      <c r="S14" s="25">
        <v>1</v>
      </c>
    </row>
    <row r="15" spans="1:21" ht="16.5" thickTop="1" thickBot="1" x14ac:dyDescent="0.3">
      <c r="A15" s="1">
        <v>4.3</v>
      </c>
      <c r="B15" s="1">
        <v>3</v>
      </c>
      <c r="C15" s="11">
        <v>1.1000000000000001</v>
      </c>
      <c r="D15" s="12">
        <v>0.1</v>
      </c>
      <c r="E15" s="1" t="s">
        <v>5</v>
      </c>
      <c r="F15" s="27">
        <f t="shared" ca="1" si="0"/>
        <v>1</v>
      </c>
      <c r="G15" s="36" cm="1">
        <f t="array" aca="1" ref="G15" ca="1">$O$5*NMultDensity(C15:D15,$M$7:$N$7,$M$5:$N$6)+$O$9*NMultDensity(C15:D15,$M$11:$N$11,$M$9:$N$10)</f>
        <v>1.3291199629438266E-3</v>
      </c>
      <c r="H15" s="37" cm="1">
        <f t="array" aca="1" ref="H15" ca="1">$O$5*NMultDensity(C15:D15,$M$7:$N$7,$M$5:$N$6)/G15</f>
        <v>0.94858297878081421</v>
      </c>
      <c r="I15" s="37" cm="1">
        <f t="array" aca="1" ref="I15" ca="1">$O$9*NMultDensity(C15:D15,$M$11:$N$11,$M$9:$N$10)/G15</f>
        <v>5.1417021219185712E-2</v>
      </c>
      <c r="J15" s="38">
        <f t="shared" ca="1" si="1"/>
        <v>0.94858297878081421</v>
      </c>
      <c r="L15" s="2" t="s">
        <v>17</v>
      </c>
      <c r="M15" s="3">
        <f t="array" aca="1" ref="M15:N16" ca="1">MMULT(TRANSPOSE($H$2:$H$151*($C$2:$D$151-M17:N17)),$C$2:$D$151-M17:N17)/SUM(H:H)</f>
        <v>2.57121158305574</v>
      </c>
      <c r="N15" s="3">
        <f ca="1"/>
        <v>1.0494002502023632</v>
      </c>
      <c r="O15" s="43">
        <f ca="1">AVERAGE(H:H)</f>
        <v>0.544867963487915</v>
      </c>
      <c r="Q15" s="15">
        <v>1.1000000000000001</v>
      </c>
      <c r="R15" s="21">
        <v>0.1</v>
      </c>
      <c r="S15" s="25">
        <v>1</v>
      </c>
    </row>
    <row r="16" spans="1:21" ht="15.75" thickTop="1" x14ac:dyDescent="0.25">
      <c r="A16" s="1">
        <v>5.8</v>
      </c>
      <c r="B16" s="1">
        <v>4</v>
      </c>
      <c r="C16" s="11">
        <v>1.2</v>
      </c>
      <c r="D16" s="12">
        <v>0.2</v>
      </c>
      <c r="E16" s="1" t="s">
        <v>5</v>
      </c>
      <c r="F16" s="27">
        <f t="shared" ca="1" si="0"/>
        <v>1</v>
      </c>
      <c r="G16" s="36" cm="1">
        <f t="array" aca="1" ref="G16" ca="1">$O$5*NMultDensity(C16:D16,$M$7:$N$7,$M$5:$N$6)+$O$9*NMultDensity(C16:D16,$M$11:$N$11,$M$9:$N$10)</f>
        <v>1.9186653751336589E-3</v>
      </c>
      <c r="H16" s="37" cm="1">
        <f t="array" aca="1" ref="H16" ca="1">$O$5*NMultDensity(C16:D16,$M$7:$N$7,$M$5:$N$6)/G16</f>
        <v>0.94185984949578905</v>
      </c>
      <c r="I16" s="37" cm="1">
        <f t="array" aca="1" ref="I16" ca="1">$O$9*NMultDensity(C16:D16,$M$11:$N$11,$M$9:$N$10)/G16</f>
        <v>5.8140150504211001E-2</v>
      </c>
      <c r="J16" s="38">
        <f t="shared" ca="1" si="1"/>
        <v>0.94185984949578905</v>
      </c>
      <c r="L16" s="2"/>
      <c r="M16" s="3">
        <f ca="1"/>
        <v>1.0494002502023634</v>
      </c>
      <c r="N16" s="3">
        <f ca="1"/>
        <v>0.45243100349418264</v>
      </c>
      <c r="Q16" s="15">
        <v>1.2</v>
      </c>
      <c r="R16" s="21">
        <v>0.2</v>
      </c>
      <c r="S16" s="25">
        <v>1</v>
      </c>
    </row>
    <row r="17" spans="1:19" x14ac:dyDescent="0.25">
      <c r="A17" s="1">
        <v>5.7</v>
      </c>
      <c r="B17" s="1">
        <v>4.4000000000000004</v>
      </c>
      <c r="C17" s="11">
        <v>1.5</v>
      </c>
      <c r="D17" s="12">
        <v>0.4</v>
      </c>
      <c r="E17" s="1" t="s">
        <v>5</v>
      </c>
      <c r="F17" s="27">
        <f t="shared" ca="1" si="0"/>
        <v>1</v>
      </c>
      <c r="G17" s="36" cm="1">
        <f t="array" aca="1" ref="G17" ca="1">$O$5*NMultDensity(C17:D17,$M$7:$N$7,$M$5:$N$6)+$O$9*NMultDensity(C17:D17,$M$11:$N$11,$M$9:$N$10)</f>
        <v>4.8023542889833971E-3</v>
      </c>
      <c r="H17" s="37" cm="1">
        <f t="array" aca="1" ref="H17" ca="1">$O$5*NMultDensity(C17:D17,$M$7:$N$7,$M$5:$N$6)/G17</f>
        <v>0.92092632313015999</v>
      </c>
      <c r="I17" s="37" cm="1">
        <f t="array" aca="1" ref="I17" ca="1">$O$9*NMultDensity(C17:D17,$M$11:$N$11,$M$9:$N$10)/G17</f>
        <v>7.907367686984007E-2</v>
      </c>
      <c r="J17" s="38">
        <f t="shared" ca="1" si="1"/>
        <v>0.92092632313015999</v>
      </c>
      <c r="L17" s="2" t="s">
        <v>18</v>
      </c>
      <c r="M17" s="3">
        <f ca="1">SUMPRODUCT(C$2:C$151,$H$2:$H$151)/SUM($H:$H)</f>
        <v>2.7879799402304668</v>
      </c>
      <c r="N17" s="3">
        <f ca="1">SUMPRODUCT(D$2:D$151,$H$2:$H$151)/SUM($H:$H)</f>
        <v>0.78527424279562286</v>
      </c>
      <c r="Q17" s="15">
        <v>1.5</v>
      </c>
      <c r="R17" s="21">
        <v>0.4</v>
      </c>
      <c r="S17" s="25">
        <v>1</v>
      </c>
    </row>
    <row r="18" spans="1:19" ht="15.75" thickBot="1" x14ac:dyDescent="0.3">
      <c r="A18" s="1">
        <v>5.4</v>
      </c>
      <c r="B18" s="1">
        <v>3.9</v>
      </c>
      <c r="C18" s="11">
        <v>1.3</v>
      </c>
      <c r="D18" s="12">
        <v>0.4</v>
      </c>
      <c r="E18" s="1" t="s">
        <v>5</v>
      </c>
      <c r="F18" s="27">
        <f t="shared" ca="1" si="0"/>
        <v>1</v>
      </c>
      <c r="G18" s="36" cm="1">
        <f t="array" aca="1" ref="G18" ca="1">$O$5*NMultDensity(C18:D18,$M$7:$N$7,$M$5:$N$6)+$O$9*NMultDensity(C18:D18,$M$11:$N$11,$M$9:$N$10)</f>
        <v>2.9409193063770684E-3</v>
      </c>
      <c r="H18" s="37" cm="1">
        <f t="array" aca="1" ref="H18" ca="1">$O$5*NMultDensity(C18:D18,$M$7:$N$7,$M$5:$N$6)/G18</f>
        <v>0.93053909409943603</v>
      </c>
      <c r="I18" s="37" cm="1">
        <f t="array" aca="1" ref="I18" ca="1">$O$9*NMultDensity(C18:D18,$M$11:$N$11,$M$9:$N$10)/G18</f>
        <v>6.9460905900564016E-2</v>
      </c>
      <c r="J18" s="38">
        <f t="shared" ca="1" si="1"/>
        <v>0.93053909409943603</v>
      </c>
      <c r="Q18" s="15">
        <v>1.3</v>
      </c>
      <c r="R18" s="21">
        <v>0.4</v>
      </c>
      <c r="S18" s="25">
        <v>1</v>
      </c>
    </row>
    <row r="19" spans="1:19" ht="16.5" thickTop="1" thickBot="1" x14ac:dyDescent="0.3">
      <c r="A19" s="1">
        <v>5.0999999999999996</v>
      </c>
      <c r="B19" s="1">
        <v>3.5</v>
      </c>
      <c r="C19" s="11">
        <v>1.4</v>
      </c>
      <c r="D19" s="12">
        <v>0.3</v>
      </c>
      <c r="E19" s="1" t="s">
        <v>5</v>
      </c>
      <c r="F19" s="27">
        <f t="shared" ca="1" si="0"/>
        <v>1</v>
      </c>
      <c r="G19" s="36" cm="1">
        <f t="array" aca="1" ref="G19" ca="1">$O$5*NMultDensity(C19:D19,$M$7:$N$7,$M$5:$N$6)+$O$9*NMultDensity(C19:D19,$M$11:$N$11,$M$9:$N$10)</f>
        <v>3.4883193962262373E-3</v>
      </c>
      <c r="H19" s="37" cm="1">
        <f t="array" aca="1" ref="H19" ca="1">$O$5*NMultDensity(C19:D19,$M$7:$N$7,$M$5:$N$6)/G19</f>
        <v>0.92988994377858181</v>
      </c>
      <c r="I19" s="37" cm="1">
        <f t="array" aca="1" ref="I19" ca="1">$O$9*NMultDensity(C19:D19,$M$11:$N$11,$M$9:$N$10)/G19</f>
        <v>7.0110056221418166E-2</v>
      </c>
      <c r="J19" s="38">
        <f t="shared" ca="1" si="1"/>
        <v>0.92988994377858181</v>
      </c>
      <c r="L19" s="2" t="s">
        <v>19</v>
      </c>
      <c r="M19" s="3">
        <f t="array" aca="1" ref="M19:N20" ca="1">MMULT(TRANSPOSE($I$2:$I$151*($C$2:$D$151-M21:N21)),$C$2:$D$151-M21:N21)/SUM(I:I)</f>
        <v>1.2481500719458201</v>
      </c>
      <c r="N19" s="3">
        <f ca="1"/>
        <v>0.51490881889547391</v>
      </c>
      <c r="O19" s="43">
        <f ca="1">AVERAGE(I:I)</f>
        <v>0.455132036512085</v>
      </c>
      <c r="Q19" s="15">
        <v>1.4</v>
      </c>
      <c r="R19" s="21">
        <v>0.3</v>
      </c>
      <c r="S19" s="25">
        <v>1</v>
      </c>
    </row>
    <row r="20" spans="1:19" ht="15.75" thickTop="1" x14ac:dyDescent="0.25">
      <c r="A20" s="1">
        <v>5.7</v>
      </c>
      <c r="B20" s="1">
        <v>3.8</v>
      </c>
      <c r="C20" s="11">
        <v>1.7</v>
      </c>
      <c r="D20" s="12">
        <v>0.3</v>
      </c>
      <c r="E20" s="1" t="s">
        <v>5</v>
      </c>
      <c r="F20" s="27">
        <f t="shared" ca="1" si="0"/>
        <v>1</v>
      </c>
      <c r="G20" s="36" cm="1">
        <f t="array" aca="1" ref="G20" ca="1">$O$5*NMultDensity(C20:D20,$M$7:$N$7,$M$5:$N$6)+$O$9*NMultDensity(C20:D20,$M$11:$N$11,$M$9:$N$10)</f>
        <v>6.9634183602428536E-3</v>
      </c>
      <c r="H20" s="37" cm="1">
        <f t="array" aca="1" ref="H20" ca="1">$O$5*NMultDensity(C20:D20,$M$7:$N$7,$M$5:$N$6)/G20</f>
        <v>0.91490095499297985</v>
      </c>
      <c r="I20" s="37" cm="1">
        <f t="array" aca="1" ref="I20" ca="1">$O$9*NMultDensity(C20:D20,$M$11:$N$11,$M$9:$N$10)/G20</f>
        <v>8.509904500702023E-2</v>
      </c>
      <c r="J20" s="38">
        <f t="shared" ca="1" si="1"/>
        <v>0.91490095499297985</v>
      </c>
      <c r="L20" s="2"/>
      <c r="M20" s="3">
        <f ca="1"/>
        <v>0.51490881889547391</v>
      </c>
      <c r="N20" s="3">
        <f ca="1"/>
        <v>0.27545836669526619</v>
      </c>
      <c r="O20"/>
      <c r="Q20" s="15">
        <v>1.7</v>
      </c>
      <c r="R20" s="21">
        <v>0.3</v>
      </c>
      <c r="S20" s="25">
        <v>1</v>
      </c>
    </row>
    <row r="21" spans="1:19" x14ac:dyDescent="0.25">
      <c r="A21" s="1">
        <v>5.0999999999999996</v>
      </c>
      <c r="B21" s="1">
        <v>3.8</v>
      </c>
      <c r="C21" s="11">
        <v>1.5</v>
      </c>
      <c r="D21" s="12">
        <v>0.3</v>
      </c>
      <c r="E21" s="1" t="s">
        <v>5</v>
      </c>
      <c r="F21" s="27">
        <f t="shared" ca="1" si="0"/>
        <v>1</v>
      </c>
      <c r="G21" s="36" cm="1">
        <f t="array" aca="1" ref="G21" ca="1">$O$5*NMultDensity(C21:D21,$M$7:$N$7,$M$5:$N$6)+$O$9*NMultDensity(C21:D21,$M$11:$N$11,$M$9:$N$10)</f>
        <v>4.4348364896494245E-3</v>
      </c>
      <c r="H21" s="37" cm="1">
        <f t="array" aca="1" ref="H21" ca="1">$O$5*NMultDensity(C21:D21,$M$7:$N$7,$M$5:$N$6)/G21</f>
        <v>0.92518670842205786</v>
      </c>
      <c r="I21" s="37" cm="1">
        <f t="array" aca="1" ref="I21" ca="1">$O$9*NMultDensity(C21:D21,$M$11:$N$11,$M$9:$N$10)/G21</f>
        <v>7.4813291577942059E-2</v>
      </c>
      <c r="J21" s="38">
        <f t="shared" ca="1" si="1"/>
        <v>0.92518670842205786</v>
      </c>
      <c r="L21" s="2" t="s">
        <v>18</v>
      </c>
      <c r="M21" s="3">
        <f ca="1">SUMPRODUCT(C$2:C$151,$I$2:$I$151)/SUM($I:$I)</f>
        <v>4.9192736790832754</v>
      </c>
      <c r="N21" s="3">
        <f ca="1">SUMPRODUCT(D$2:D$151,$I$2:$I$151)/SUM($I:$I)</f>
        <v>1.6950302197882823</v>
      </c>
      <c r="Q21" s="15">
        <v>1.5</v>
      </c>
      <c r="R21" s="21">
        <v>0.3</v>
      </c>
      <c r="S21" s="25">
        <v>1</v>
      </c>
    </row>
    <row r="22" spans="1:19" x14ac:dyDescent="0.25">
      <c r="A22" s="1">
        <v>5.4</v>
      </c>
      <c r="B22" s="1">
        <v>3.4</v>
      </c>
      <c r="C22" s="11">
        <v>1.7</v>
      </c>
      <c r="D22" s="12">
        <v>0.2</v>
      </c>
      <c r="E22" s="1" t="s">
        <v>5</v>
      </c>
      <c r="F22" s="27">
        <f t="shared" ca="1" si="0"/>
        <v>1</v>
      </c>
      <c r="G22" s="36" cm="1">
        <f t="array" aca="1" ref="G22" ca="1">$O$5*NMultDensity(C22:D22,$M$7:$N$7,$M$5:$N$6)+$O$9*NMultDensity(C22:D22,$M$11:$N$11,$M$9:$N$10)</f>
        <v>6.3642881927675928E-3</v>
      </c>
      <c r="H22" s="37" cm="1">
        <f t="array" aca="1" ref="H22" ca="1">$O$5*NMultDensity(C22:D22,$M$7:$N$7,$M$5:$N$6)/G22</f>
        <v>0.9194575868828212</v>
      </c>
      <c r="I22" s="37" cm="1">
        <f t="array" aca="1" ref="I22" ca="1">$O$9*NMultDensity(C22:D22,$M$11:$N$11,$M$9:$N$10)/G22</f>
        <v>8.0542413117178815E-2</v>
      </c>
      <c r="J22" s="38">
        <f t="shared" ca="1" si="1"/>
        <v>0.9194575868828212</v>
      </c>
      <c r="Q22" s="15">
        <v>1.7</v>
      </c>
      <c r="R22" s="21">
        <v>0.2</v>
      </c>
      <c r="S22" s="25">
        <v>1</v>
      </c>
    </row>
    <row r="23" spans="1:19" x14ac:dyDescent="0.25">
      <c r="A23" s="1">
        <v>5.0999999999999996</v>
      </c>
      <c r="B23" s="1">
        <v>3.7</v>
      </c>
      <c r="C23" s="11">
        <v>1.5</v>
      </c>
      <c r="D23" s="12">
        <v>0.4</v>
      </c>
      <c r="E23" s="1" t="s">
        <v>5</v>
      </c>
      <c r="F23" s="27">
        <f t="shared" ca="1" si="0"/>
        <v>1</v>
      </c>
      <c r="G23" s="36" cm="1">
        <f t="array" aca="1" ref="G23" ca="1">$O$5*NMultDensity(C23:D23,$M$7:$N$7,$M$5:$N$6)+$O$9*NMultDensity(C23:D23,$M$11:$N$11,$M$9:$N$10)</f>
        <v>4.8023542889833971E-3</v>
      </c>
      <c r="H23" s="37" cm="1">
        <f t="array" aca="1" ref="H23" ca="1">$O$5*NMultDensity(C23:D23,$M$7:$N$7,$M$5:$N$6)/G23</f>
        <v>0.92092632313015999</v>
      </c>
      <c r="I23" s="37" cm="1">
        <f t="array" aca="1" ref="I23" ca="1">$O$9*NMultDensity(C23:D23,$M$11:$N$11,$M$9:$N$10)/G23</f>
        <v>7.907367686984007E-2</v>
      </c>
      <c r="J23" s="38">
        <f t="shared" ca="1" si="1"/>
        <v>0.92092632313015999</v>
      </c>
      <c r="Q23" s="15">
        <v>1.5</v>
      </c>
      <c r="R23" s="21">
        <v>0.4</v>
      </c>
      <c r="S23" s="25">
        <v>1</v>
      </c>
    </row>
    <row r="24" spans="1:19" x14ac:dyDescent="0.25">
      <c r="A24" s="1">
        <v>4.5999999999999996</v>
      </c>
      <c r="B24" s="1">
        <v>3.6</v>
      </c>
      <c r="C24" s="11">
        <v>1</v>
      </c>
      <c r="D24" s="12">
        <v>0.2</v>
      </c>
      <c r="E24" s="1" t="s">
        <v>5</v>
      </c>
      <c r="F24" s="27">
        <f t="shared" ca="1" si="0"/>
        <v>1</v>
      </c>
      <c r="G24" s="36" cm="1">
        <f t="array" aca="1" ref="G24" ca="1">$O$5*NMultDensity(C24:D24,$M$7:$N$7,$M$5:$N$6)+$O$9*NMultDensity(C24:D24,$M$11:$N$11,$M$9:$N$10)</f>
        <v>1.1096063384801384E-3</v>
      </c>
      <c r="H24" s="37" cm="1">
        <f t="array" aca="1" ref="H24" ca="1">$O$5*NMultDensity(C24:D24,$M$7:$N$7,$M$5:$N$6)/G24</f>
        <v>0.94906852974705658</v>
      </c>
      <c r="I24" s="37" cm="1">
        <f t="array" aca="1" ref="I24" ca="1">$O$9*NMultDensity(C24:D24,$M$11:$N$11,$M$9:$N$10)/G24</f>
        <v>5.0931470252943499E-2</v>
      </c>
      <c r="J24" s="38">
        <f t="shared" ca="1" si="1"/>
        <v>0.94906852974705658</v>
      </c>
      <c r="Q24" s="15">
        <v>1</v>
      </c>
      <c r="R24" s="21">
        <v>0.2</v>
      </c>
      <c r="S24" s="25">
        <v>1</v>
      </c>
    </row>
    <row r="25" spans="1:19" x14ac:dyDescent="0.25">
      <c r="A25" s="1">
        <v>5.0999999999999996</v>
      </c>
      <c r="B25" s="1">
        <v>3.3</v>
      </c>
      <c r="C25" s="11">
        <v>1.7</v>
      </c>
      <c r="D25" s="12">
        <v>0.5</v>
      </c>
      <c r="E25" s="1" t="s">
        <v>5</v>
      </c>
      <c r="F25" s="27">
        <f t="shared" ca="1" si="0"/>
        <v>1</v>
      </c>
      <c r="G25" s="36" cm="1">
        <f t="array" aca="1" ref="G25" ca="1">$O$5*NMultDensity(C25:D25,$M$7:$N$7,$M$5:$N$6)+$O$9*NMultDensity(C25:D25,$M$11:$N$11,$M$9:$N$10)</f>
        <v>8.0967433103203632E-3</v>
      </c>
      <c r="H25" s="37" cm="1">
        <f t="array" aca="1" ref="H25" ca="1">$O$5*NMultDensity(C25:D25,$M$7:$N$7,$M$5:$N$6)/G25</f>
        <v>0.9050809530820676</v>
      </c>
      <c r="I25" s="37" cm="1">
        <f t="array" aca="1" ref="I25" ca="1">$O$9*NMultDensity(C25:D25,$M$11:$N$11,$M$9:$N$10)/G25</f>
        <v>9.4919046917932404E-2</v>
      </c>
      <c r="J25" s="38">
        <f t="shared" ca="1" si="1"/>
        <v>0.9050809530820676</v>
      </c>
      <c r="Q25" s="15">
        <v>1.7</v>
      </c>
      <c r="R25" s="21">
        <v>0.5</v>
      </c>
      <c r="S25" s="25">
        <v>1</v>
      </c>
    </row>
    <row r="26" spans="1:19" x14ac:dyDescent="0.25">
      <c r="A26" s="1">
        <v>4.8</v>
      </c>
      <c r="B26" s="1">
        <v>3.4</v>
      </c>
      <c r="C26" s="11">
        <v>1.9</v>
      </c>
      <c r="D26" s="12">
        <v>0.2</v>
      </c>
      <c r="E26" s="1" t="s">
        <v>5</v>
      </c>
      <c r="F26" s="27">
        <f t="shared" ca="1" si="0"/>
        <v>1</v>
      </c>
      <c r="G26" s="36" cm="1">
        <f t="array" aca="1" ref="G26" ca="1">$O$5*NMultDensity(C26:D26,$M$7:$N$7,$M$5:$N$6)+$O$9*NMultDensity(C26:D26,$M$11:$N$11,$M$9:$N$10)</f>
        <v>9.6093169943904863E-3</v>
      </c>
      <c r="H26" s="37" cm="1">
        <f t="array" aca="1" ref="H26" ca="1">$O$5*NMultDensity(C26:D26,$M$7:$N$7,$M$5:$N$6)/G26</f>
        <v>0.90846209370667508</v>
      </c>
      <c r="I26" s="37" cm="1">
        <f t="array" aca="1" ref="I26" ca="1">$O$9*NMultDensity(C26:D26,$M$11:$N$11,$M$9:$N$10)/G26</f>
        <v>9.1537906293324811E-2</v>
      </c>
      <c r="J26" s="38">
        <f t="shared" ca="1" si="1"/>
        <v>0.90846209370667508</v>
      </c>
      <c r="Q26" s="15">
        <v>1.9</v>
      </c>
      <c r="R26" s="21">
        <v>0.2</v>
      </c>
      <c r="S26" s="25">
        <v>1</v>
      </c>
    </row>
    <row r="27" spans="1:19" x14ac:dyDescent="0.25">
      <c r="A27" s="1">
        <v>5</v>
      </c>
      <c r="B27" s="1">
        <v>3</v>
      </c>
      <c r="C27" s="11">
        <v>1.6</v>
      </c>
      <c r="D27" s="12">
        <v>0.2</v>
      </c>
      <c r="E27" s="1" t="s">
        <v>5</v>
      </c>
      <c r="F27" s="27">
        <f t="shared" ca="1" si="0"/>
        <v>1</v>
      </c>
      <c r="G27" s="36" cm="1">
        <f t="array" aca="1" ref="G27" ca="1">$O$5*NMultDensity(C27:D27,$M$7:$N$7,$M$5:$N$6)+$O$9*NMultDensity(C27:D27,$M$11:$N$11,$M$9:$N$10)</f>
        <v>5.1051117948393582E-3</v>
      </c>
      <c r="H27" s="37" cm="1">
        <f t="array" aca="1" ref="H27" ca="1">$O$5*NMultDensity(C27:D27,$M$7:$N$7,$M$5:$N$6)/G27</f>
        <v>0.92449159605946485</v>
      </c>
      <c r="I27" s="37" cm="1">
        <f t="array" aca="1" ref="I27" ca="1">$O$9*NMultDensity(C27:D27,$M$11:$N$11,$M$9:$N$10)/G27</f>
        <v>7.5508403940535138E-2</v>
      </c>
      <c r="J27" s="38">
        <f t="shared" ca="1" si="1"/>
        <v>0.92449159605946485</v>
      </c>
      <c r="Q27" s="15">
        <v>1.6</v>
      </c>
      <c r="R27" s="21">
        <v>0.2</v>
      </c>
      <c r="S27" s="25">
        <v>1</v>
      </c>
    </row>
    <row r="28" spans="1:19" x14ac:dyDescent="0.25">
      <c r="A28" s="1">
        <v>5</v>
      </c>
      <c r="B28" s="1">
        <v>3.4</v>
      </c>
      <c r="C28" s="11">
        <v>1.6</v>
      </c>
      <c r="D28" s="12">
        <v>0.4</v>
      </c>
      <c r="E28" s="1" t="s">
        <v>5</v>
      </c>
      <c r="F28" s="27">
        <f t="shared" ca="1" si="0"/>
        <v>1</v>
      </c>
      <c r="G28" s="36" cm="1">
        <f t="array" aca="1" ref="G28" ca="1">$O$5*NMultDensity(C28:D28,$M$7:$N$7,$M$5:$N$6)+$O$9*NMultDensity(C28:D28,$M$11:$N$11,$M$9:$N$10)</f>
        <v>6.0485791253580288E-3</v>
      </c>
      <c r="H28" s="37" cm="1">
        <f t="array" aca="1" ref="H28" ca="1">$O$5*NMultDensity(C28:D28,$M$7:$N$7,$M$5:$N$6)/G28</f>
        <v>0.91567630357852559</v>
      </c>
      <c r="I28" s="37" cm="1">
        <f t="array" aca="1" ref="I28" ca="1">$O$9*NMultDensity(C28:D28,$M$11:$N$11,$M$9:$N$10)/G28</f>
        <v>8.4323696421474484E-2</v>
      </c>
      <c r="J28" s="38">
        <f t="shared" ca="1" si="1"/>
        <v>0.91567630357852559</v>
      </c>
      <c r="Q28" s="15">
        <v>1.6</v>
      </c>
      <c r="R28" s="21">
        <v>0.4</v>
      </c>
      <c r="S28" s="25">
        <v>1</v>
      </c>
    </row>
    <row r="29" spans="1:19" x14ac:dyDescent="0.25">
      <c r="A29" s="1">
        <v>5.2</v>
      </c>
      <c r="B29" s="1">
        <v>3.5</v>
      </c>
      <c r="C29" s="11">
        <v>1.5</v>
      </c>
      <c r="D29" s="12">
        <v>0.2</v>
      </c>
      <c r="E29" s="1" t="s">
        <v>5</v>
      </c>
      <c r="F29" s="27">
        <f t="shared" ca="1" si="0"/>
        <v>1</v>
      </c>
      <c r="G29" s="36" cm="1">
        <f t="array" aca="1" ref="G29" ca="1">$O$5*NMultDensity(C29:D29,$M$7:$N$7,$M$5:$N$6)+$O$9*NMultDensity(C29:D29,$M$11:$N$11,$M$9:$N$10)</f>
        <v>4.0557046335176605E-3</v>
      </c>
      <c r="H29" s="37" cm="1">
        <f t="array" aca="1" ref="H29" ca="1">$O$5*NMultDensity(C29:D29,$M$7:$N$7,$M$5:$N$6)/G29</f>
        <v>0.92923518814385908</v>
      </c>
      <c r="I29" s="37" cm="1">
        <f t="array" aca="1" ref="I29" ca="1">$O$9*NMultDensity(C29:D29,$M$11:$N$11,$M$9:$N$10)/G29</f>
        <v>7.0764811856140766E-2</v>
      </c>
      <c r="J29" s="38">
        <f t="shared" ca="1" si="1"/>
        <v>0.92923518814385908</v>
      </c>
      <c r="Q29" s="15">
        <v>1.5</v>
      </c>
      <c r="R29" s="21">
        <v>0.2</v>
      </c>
      <c r="S29" s="25">
        <v>1</v>
      </c>
    </row>
    <row r="30" spans="1:19" x14ac:dyDescent="0.25">
      <c r="A30" s="1">
        <v>5.2</v>
      </c>
      <c r="B30" s="1">
        <v>3.4</v>
      </c>
      <c r="C30" s="11">
        <v>1.4</v>
      </c>
      <c r="D30" s="12">
        <v>0.2</v>
      </c>
      <c r="E30" s="1" t="s">
        <v>5</v>
      </c>
      <c r="F30" s="27">
        <f t="shared" ca="1" si="0"/>
        <v>1</v>
      </c>
      <c r="G30" s="36" cm="1">
        <f t="array" aca="1" ref="G30" ca="1">$O$5*NMultDensity(C30:D30,$M$7:$N$7,$M$5:$N$6)+$O$9*NMultDensity(C30:D30,$M$11:$N$11,$M$9:$N$10)</f>
        <v>3.1909823697515195E-3</v>
      </c>
      <c r="H30" s="37" cm="1">
        <f t="array" aca="1" ref="H30" ca="1">$O$5*NMultDensity(C30:D30,$M$7:$N$7,$M$5:$N$6)/G30</f>
        <v>0.93370214864780354</v>
      </c>
      <c r="I30" s="37" cm="1">
        <f t="array" aca="1" ref="I30" ca="1">$O$9*NMultDensity(C30:D30,$M$11:$N$11,$M$9:$N$10)/G30</f>
        <v>6.6297851352196374E-2</v>
      </c>
      <c r="J30" s="38">
        <f t="shared" ca="1" si="1"/>
        <v>0.93370214864780354</v>
      </c>
      <c r="Q30" s="15">
        <v>1.4</v>
      </c>
      <c r="R30" s="21">
        <v>0.2</v>
      </c>
      <c r="S30" s="25">
        <v>1</v>
      </c>
    </row>
    <row r="31" spans="1:19" x14ac:dyDescent="0.25">
      <c r="A31" s="1">
        <v>4.7</v>
      </c>
      <c r="B31" s="1">
        <v>3.2</v>
      </c>
      <c r="C31" s="11">
        <v>1.6</v>
      </c>
      <c r="D31" s="12">
        <v>0.2</v>
      </c>
      <c r="E31" s="1" t="s">
        <v>5</v>
      </c>
      <c r="F31" s="27">
        <f t="shared" ca="1" si="0"/>
        <v>1</v>
      </c>
      <c r="G31" s="36" cm="1">
        <f t="array" aca="1" ref="G31" ca="1">$O$5*NMultDensity(C31:D31,$M$7:$N$7,$M$5:$N$6)+$O$9*NMultDensity(C31:D31,$M$11:$N$11,$M$9:$N$10)</f>
        <v>5.1051117948393582E-3</v>
      </c>
      <c r="H31" s="37" cm="1">
        <f t="array" aca="1" ref="H31" ca="1">$O$5*NMultDensity(C31:D31,$M$7:$N$7,$M$5:$N$6)/G31</f>
        <v>0.92449159605946485</v>
      </c>
      <c r="I31" s="37" cm="1">
        <f t="array" aca="1" ref="I31" ca="1">$O$9*NMultDensity(C31:D31,$M$11:$N$11,$M$9:$N$10)/G31</f>
        <v>7.5508403940535138E-2</v>
      </c>
      <c r="J31" s="38">
        <f t="shared" ca="1" si="1"/>
        <v>0.92449159605946485</v>
      </c>
      <c r="Q31" s="15">
        <v>1.6</v>
      </c>
      <c r="R31" s="21">
        <v>0.2</v>
      </c>
      <c r="S31" s="25">
        <v>1</v>
      </c>
    </row>
    <row r="32" spans="1:19" x14ac:dyDescent="0.25">
      <c r="A32" s="1">
        <v>4.8</v>
      </c>
      <c r="B32" s="1">
        <v>3.1</v>
      </c>
      <c r="C32" s="11">
        <v>1.6</v>
      </c>
      <c r="D32" s="12">
        <v>0.2</v>
      </c>
      <c r="E32" s="1" t="s">
        <v>5</v>
      </c>
      <c r="F32" s="27">
        <f t="shared" ca="1" si="0"/>
        <v>1</v>
      </c>
      <c r="G32" s="36" cm="1">
        <f t="array" aca="1" ref="G32" ca="1">$O$5*NMultDensity(C32:D32,$M$7:$N$7,$M$5:$N$6)+$O$9*NMultDensity(C32:D32,$M$11:$N$11,$M$9:$N$10)</f>
        <v>5.1051117948393582E-3</v>
      </c>
      <c r="H32" s="37" cm="1">
        <f t="array" aca="1" ref="H32" ca="1">$O$5*NMultDensity(C32:D32,$M$7:$N$7,$M$5:$N$6)/G32</f>
        <v>0.92449159605946485</v>
      </c>
      <c r="I32" s="37" cm="1">
        <f t="array" aca="1" ref="I32" ca="1">$O$9*NMultDensity(C32:D32,$M$11:$N$11,$M$9:$N$10)/G32</f>
        <v>7.5508403940535138E-2</v>
      </c>
      <c r="J32" s="38">
        <f t="shared" ca="1" si="1"/>
        <v>0.92449159605946485</v>
      </c>
      <c r="Q32" s="15">
        <v>1.6</v>
      </c>
      <c r="R32" s="21">
        <v>0.2</v>
      </c>
      <c r="S32" s="25">
        <v>1</v>
      </c>
    </row>
    <row r="33" spans="1:19" x14ac:dyDescent="0.25">
      <c r="A33" s="1">
        <v>5.4</v>
      </c>
      <c r="B33" s="1">
        <v>3.4</v>
      </c>
      <c r="C33" s="11">
        <v>1.5</v>
      </c>
      <c r="D33" s="12">
        <v>0.4</v>
      </c>
      <c r="E33" s="1" t="s">
        <v>5</v>
      </c>
      <c r="F33" s="27">
        <f t="shared" ca="1" si="0"/>
        <v>1</v>
      </c>
      <c r="G33" s="36" cm="1">
        <f t="array" aca="1" ref="G33" ca="1">$O$5*NMultDensity(C33:D33,$M$7:$N$7,$M$5:$N$6)+$O$9*NMultDensity(C33:D33,$M$11:$N$11,$M$9:$N$10)</f>
        <v>4.8023542889833971E-3</v>
      </c>
      <c r="H33" s="37" cm="1">
        <f t="array" aca="1" ref="H33" ca="1">$O$5*NMultDensity(C33:D33,$M$7:$N$7,$M$5:$N$6)/G33</f>
        <v>0.92092632313015999</v>
      </c>
      <c r="I33" s="37" cm="1">
        <f t="array" aca="1" ref="I33" ca="1">$O$9*NMultDensity(C33:D33,$M$11:$N$11,$M$9:$N$10)/G33</f>
        <v>7.907367686984007E-2</v>
      </c>
      <c r="J33" s="38">
        <f t="shared" ca="1" si="1"/>
        <v>0.92092632313015999</v>
      </c>
      <c r="Q33" s="15">
        <v>1.5</v>
      </c>
      <c r="R33" s="21">
        <v>0.4</v>
      </c>
      <c r="S33" s="25">
        <v>1</v>
      </c>
    </row>
    <row r="34" spans="1:19" x14ac:dyDescent="0.25">
      <c r="A34" s="1">
        <v>5.2</v>
      </c>
      <c r="B34" s="1">
        <v>4.0999999999999996</v>
      </c>
      <c r="C34" s="11">
        <v>1.5</v>
      </c>
      <c r="D34" s="12">
        <v>0.1</v>
      </c>
      <c r="E34" s="1" t="s">
        <v>5</v>
      </c>
      <c r="F34" s="27">
        <f t="shared" ca="1" si="0"/>
        <v>1</v>
      </c>
      <c r="G34" s="36" cm="1">
        <f t="array" aca="1" ref="G34" ca="1">$O$5*NMultDensity(C34:D34,$M$7:$N$7,$M$5:$N$6)+$O$9*NMultDensity(C34:D34,$M$11:$N$11,$M$9:$N$10)</f>
        <v>3.6729490854206705E-3</v>
      </c>
      <c r="H34" s="37" cm="1">
        <f t="array" aca="1" ref="H34" ca="1">$O$5*NMultDensity(C34:D34,$M$7:$N$7,$M$5:$N$6)/G34</f>
        <v>0.93308043297193133</v>
      </c>
      <c r="I34" s="37" cm="1">
        <f t="array" aca="1" ref="I34" ca="1">$O$9*NMultDensity(C34:D34,$M$11:$N$11,$M$9:$N$10)/G34</f>
        <v>6.6919567028068602E-2</v>
      </c>
      <c r="J34" s="38">
        <f t="shared" ca="1" si="1"/>
        <v>0.93308043297193133</v>
      </c>
      <c r="Q34" s="15">
        <v>1.5</v>
      </c>
      <c r="R34" s="21">
        <v>0.1</v>
      </c>
      <c r="S34" s="25">
        <v>1</v>
      </c>
    </row>
    <row r="35" spans="1:19" x14ac:dyDescent="0.25">
      <c r="A35" s="1">
        <v>5.5</v>
      </c>
      <c r="B35" s="1">
        <v>4.2</v>
      </c>
      <c r="C35" s="11">
        <v>1.4</v>
      </c>
      <c r="D35" s="12">
        <v>0.2</v>
      </c>
      <c r="E35" s="1" t="s">
        <v>5</v>
      </c>
      <c r="F35" s="27">
        <f t="shared" ca="1" si="0"/>
        <v>1</v>
      </c>
      <c r="G35" s="36" cm="1">
        <f t="array" aca="1" ref="G35" ca="1">$O$5*NMultDensity(C35:D35,$M$7:$N$7,$M$5:$N$6)+$O$9*NMultDensity(C35:D35,$M$11:$N$11,$M$9:$N$10)</f>
        <v>3.1909823697515195E-3</v>
      </c>
      <c r="H35" s="37" cm="1">
        <f t="array" aca="1" ref="H35" ca="1">$O$5*NMultDensity(C35:D35,$M$7:$N$7,$M$5:$N$6)/G35</f>
        <v>0.93370214864780354</v>
      </c>
      <c r="I35" s="37" cm="1">
        <f t="array" aca="1" ref="I35" ca="1">$O$9*NMultDensity(C35:D35,$M$11:$N$11,$M$9:$N$10)/G35</f>
        <v>6.6297851352196374E-2</v>
      </c>
      <c r="J35" s="38">
        <f t="shared" ca="1" si="1"/>
        <v>0.93370214864780354</v>
      </c>
      <c r="Q35" s="15">
        <v>1.4</v>
      </c>
      <c r="R35" s="21">
        <v>0.2</v>
      </c>
      <c r="S35" s="25">
        <v>1</v>
      </c>
    </row>
    <row r="36" spans="1:19" x14ac:dyDescent="0.25">
      <c r="A36" s="1">
        <v>4.9000000000000004</v>
      </c>
      <c r="B36" s="1">
        <v>3.1</v>
      </c>
      <c r="C36" s="11">
        <v>1.5</v>
      </c>
      <c r="D36" s="12">
        <v>0.2</v>
      </c>
      <c r="E36" s="1" t="s">
        <v>5</v>
      </c>
      <c r="F36" s="27">
        <f t="shared" ca="1" si="0"/>
        <v>1</v>
      </c>
      <c r="G36" s="36" cm="1">
        <f t="array" aca="1" ref="G36" ca="1">$O$5*NMultDensity(C36:D36,$M$7:$N$7,$M$5:$N$6)+$O$9*NMultDensity(C36:D36,$M$11:$N$11,$M$9:$N$10)</f>
        <v>4.0557046335176605E-3</v>
      </c>
      <c r="H36" s="37" cm="1">
        <f t="array" aca="1" ref="H36" ca="1">$O$5*NMultDensity(C36:D36,$M$7:$N$7,$M$5:$N$6)/G36</f>
        <v>0.92923518814385908</v>
      </c>
      <c r="I36" s="37" cm="1">
        <f t="array" aca="1" ref="I36" ca="1">$O$9*NMultDensity(C36:D36,$M$11:$N$11,$M$9:$N$10)/G36</f>
        <v>7.0764811856140766E-2</v>
      </c>
      <c r="J36" s="38">
        <f t="shared" ca="1" si="1"/>
        <v>0.92923518814385908</v>
      </c>
      <c r="Q36" s="15">
        <v>1.5</v>
      </c>
      <c r="R36" s="21">
        <v>0.2</v>
      </c>
      <c r="S36" s="25">
        <v>1</v>
      </c>
    </row>
    <row r="37" spans="1:19" x14ac:dyDescent="0.25">
      <c r="A37" s="1">
        <v>5</v>
      </c>
      <c r="B37" s="1">
        <v>3.2</v>
      </c>
      <c r="C37" s="11">
        <v>1.2</v>
      </c>
      <c r="D37" s="12">
        <v>0.2</v>
      </c>
      <c r="E37" s="1" t="s">
        <v>5</v>
      </c>
      <c r="F37" s="27">
        <f t="shared" ca="1" si="0"/>
        <v>1</v>
      </c>
      <c r="G37" s="36" cm="1">
        <f t="array" aca="1" ref="G37" ca="1">$O$5*NMultDensity(C37:D37,$M$7:$N$7,$M$5:$N$6)+$O$9*NMultDensity(C37:D37,$M$11:$N$11,$M$9:$N$10)</f>
        <v>1.9186653751336589E-3</v>
      </c>
      <c r="H37" s="37" cm="1">
        <f t="array" aca="1" ref="H37" ca="1">$O$5*NMultDensity(C37:D37,$M$7:$N$7,$M$5:$N$6)/G37</f>
        <v>0.94185984949578905</v>
      </c>
      <c r="I37" s="37" cm="1">
        <f t="array" aca="1" ref="I37" ca="1">$O$9*NMultDensity(C37:D37,$M$11:$N$11,$M$9:$N$10)/G37</f>
        <v>5.8140150504211001E-2</v>
      </c>
      <c r="J37" s="38">
        <f t="shared" ca="1" si="1"/>
        <v>0.94185984949578905</v>
      </c>
      <c r="Q37" s="15">
        <v>1.2</v>
      </c>
      <c r="R37" s="21">
        <v>0.2</v>
      </c>
      <c r="S37" s="25">
        <v>1</v>
      </c>
    </row>
    <row r="38" spans="1:19" x14ac:dyDescent="0.25">
      <c r="A38" s="1">
        <v>5.5</v>
      </c>
      <c r="B38" s="1">
        <v>3.5</v>
      </c>
      <c r="C38" s="11">
        <v>1.3</v>
      </c>
      <c r="D38" s="12">
        <v>0.2</v>
      </c>
      <c r="E38" s="1" t="s">
        <v>5</v>
      </c>
      <c r="F38" s="27">
        <f t="shared" ca="1" si="0"/>
        <v>1</v>
      </c>
      <c r="G38" s="36" cm="1">
        <f t="array" aca="1" ref="G38" ca="1">$O$5*NMultDensity(C38:D38,$M$7:$N$7,$M$5:$N$6)+$O$9*NMultDensity(C38:D38,$M$11:$N$11,$M$9:$N$10)</f>
        <v>2.4864017944203985E-3</v>
      </c>
      <c r="H38" s="37" cm="1">
        <f t="array" aca="1" ref="H38" ca="1">$O$5*NMultDensity(C38:D38,$M$7:$N$7,$M$5:$N$6)/G38</f>
        <v>0.93790597875169124</v>
      </c>
      <c r="I38" s="37" cm="1">
        <f t="array" aca="1" ref="I38" ca="1">$O$9*NMultDensity(C38:D38,$M$11:$N$11,$M$9:$N$10)/G38</f>
        <v>6.2094021248308699E-2</v>
      </c>
      <c r="J38" s="38">
        <f t="shared" ca="1" si="1"/>
        <v>0.93790597875169124</v>
      </c>
      <c r="Q38" s="15">
        <v>1.3</v>
      </c>
      <c r="R38" s="21">
        <v>0.2</v>
      </c>
      <c r="S38" s="25">
        <v>1</v>
      </c>
    </row>
    <row r="39" spans="1:19" x14ac:dyDescent="0.25">
      <c r="A39" s="1">
        <v>4.9000000000000004</v>
      </c>
      <c r="B39" s="1">
        <v>3.6</v>
      </c>
      <c r="C39" s="11">
        <v>1.4</v>
      </c>
      <c r="D39" s="12">
        <v>0.1</v>
      </c>
      <c r="E39" s="1" t="s">
        <v>5</v>
      </c>
      <c r="F39" s="27">
        <f t="shared" ca="1" si="0"/>
        <v>1</v>
      </c>
      <c r="G39" s="36" cm="1">
        <f t="array" aca="1" ref="G39" ca="1">$O$5*NMultDensity(C39:D39,$M$7:$N$7,$M$5:$N$6)+$O$9*NMultDensity(C39:D39,$M$11:$N$11,$M$9:$N$10)</f>
        <v>2.8905895085847436E-3</v>
      </c>
      <c r="H39" s="37" cm="1">
        <f t="array" aca="1" ref="H39" ca="1">$O$5*NMultDensity(C39:D39,$M$7:$N$7,$M$5:$N$6)/G39</f>
        <v>0.93732103860055538</v>
      </c>
      <c r="I39" s="37" cm="1">
        <f t="array" aca="1" ref="I39" ca="1">$O$9*NMultDensity(C39:D39,$M$11:$N$11,$M$9:$N$10)/G39</f>
        <v>6.2678961399444733E-2</v>
      </c>
      <c r="J39" s="38">
        <f t="shared" ca="1" si="1"/>
        <v>0.93732103860055538</v>
      </c>
      <c r="Q39" s="15">
        <v>1.4</v>
      </c>
      <c r="R39" s="21">
        <v>0.1</v>
      </c>
      <c r="S39" s="25">
        <v>1</v>
      </c>
    </row>
    <row r="40" spans="1:19" x14ac:dyDescent="0.25">
      <c r="A40" s="1">
        <v>4.4000000000000004</v>
      </c>
      <c r="B40" s="1">
        <v>3</v>
      </c>
      <c r="C40" s="11">
        <v>1.3</v>
      </c>
      <c r="D40" s="12">
        <v>0.2</v>
      </c>
      <c r="E40" s="1" t="s">
        <v>5</v>
      </c>
      <c r="F40" s="27">
        <f t="shared" ca="1" si="0"/>
        <v>1</v>
      </c>
      <c r="G40" s="36" cm="1">
        <f t="array" aca="1" ref="G40" ca="1">$O$5*NMultDensity(C40:D40,$M$7:$N$7,$M$5:$N$6)+$O$9*NMultDensity(C40:D40,$M$11:$N$11,$M$9:$N$10)</f>
        <v>2.4864017944203985E-3</v>
      </c>
      <c r="H40" s="37" cm="1">
        <f t="array" aca="1" ref="H40" ca="1">$O$5*NMultDensity(C40:D40,$M$7:$N$7,$M$5:$N$6)/G40</f>
        <v>0.93790597875169124</v>
      </c>
      <c r="I40" s="37" cm="1">
        <f t="array" aca="1" ref="I40" ca="1">$O$9*NMultDensity(C40:D40,$M$11:$N$11,$M$9:$N$10)/G40</f>
        <v>6.2094021248308699E-2</v>
      </c>
      <c r="J40" s="38">
        <f t="shared" ca="1" si="1"/>
        <v>0.93790597875169124</v>
      </c>
      <c r="Q40" s="15">
        <v>1.3</v>
      </c>
      <c r="R40" s="21">
        <v>0.2</v>
      </c>
      <c r="S40" s="25">
        <v>1</v>
      </c>
    </row>
    <row r="41" spans="1:19" x14ac:dyDescent="0.25">
      <c r="A41" s="1">
        <v>5.0999999999999996</v>
      </c>
      <c r="B41" s="1">
        <v>3.4</v>
      </c>
      <c r="C41" s="11">
        <v>1.5</v>
      </c>
      <c r="D41" s="12">
        <v>0.2</v>
      </c>
      <c r="E41" s="1" t="s">
        <v>5</v>
      </c>
      <c r="F41" s="27">
        <f t="shared" ca="1" si="0"/>
        <v>1</v>
      </c>
      <c r="G41" s="36" cm="1">
        <f t="array" aca="1" ref="G41" ca="1">$O$5*NMultDensity(C41:D41,$M$7:$N$7,$M$5:$N$6)+$O$9*NMultDensity(C41:D41,$M$11:$N$11,$M$9:$N$10)</f>
        <v>4.0557046335176605E-3</v>
      </c>
      <c r="H41" s="37" cm="1">
        <f t="array" aca="1" ref="H41" ca="1">$O$5*NMultDensity(C41:D41,$M$7:$N$7,$M$5:$N$6)/G41</f>
        <v>0.92923518814385908</v>
      </c>
      <c r="I41" s="37" cm="1">
        <f t="array" aca="1" ref="I41" ca="1">$O$9*NMultDensity(C41:D41,$M$11:$N$11,$M$9:$N$10)/G41</f>
        <v>7.0764811856140766E-2</v>
      </c>
      <c r="J41" s="38">
        <f t="shared" ca="1" si="1"/>
        <v>0.92923518814385908</v>
      </c>
      <c r="Q41" s="15">
        <v>1.5</v>
      </c>
      <c r="R41" s="21">
        <v>0.2</v>
      </c>
      <c r="S41" s="25">
        <v>1</v>
      </c>
    </row>
    <row r="42" spans="1:19" x14ac:dyDescent="0.25">
      <c r="A42" s="1">
        <v>5</v>
      </c>
      <c r="B42" s="1">
        <v>3.5</v>
      </c>
      <c r="C42" s="11">
        <v>1.3</v>
      </c>
      <c r="D42" s="12">
        <v>0.3</v>
      </c>
      <c r="E42" s="1" t="s">
        <v>5</v>
      </c>
      <c r="F42" s="27">
        <f t="shared" ca="1" si="0"/>
        <v>1</v>
      </c>
      <c r="G42" s="36" cm="1">
        <f t="array" aca="1" ref="G42" ca="1">$O$5*NMultDensity(C42:D42,$M$7:$N$7,$M$5:$N$6)+$O$9*NMultDensity(C42:D42,$M$11:$N$11,$M$9:$N$10)</f>
        <v>2.7173820357545724E-3</v>
      </c>
      <c r="H42" s="37" cm="1">
        <f t="array" aca="1" ref="H42" ca="1">$O$5*NMultDensity(C42:D42,$M$7:$N$7,$M$5:$N$6)/G42</f>
        <v>0.93431849486737906</v>
      </c>
      <c r="I42" s="37" cm="1">
        <f t="array" aca="1" ref="I42" ca="1">$O$9*NMultDensity(C42:D42,$M$11:$N$11,$M$9:$N$10)/G42</f>
        <v>6.5681505132620943E-2</v>
      </c>
      <c r="J42" s="38">
        <f t="shared" ca="1" si="1"/>
        <v>0.93431849486737906</v>
      </c>
      <c r="Q42" s="15">
        <v>1.3</v>
      </c>
      <c r="R42" s="21">
        <v>0.3</v>
      </c>
      <c r="S42" s="25">
        <v>1</v>
      </c>
    </row>
    <row r="43" spans="1:19" x14ac:dyDescent="0.25">
      <c r="A43" s="1">
        <v>4.5</v>
      </c>
      <c r="B43" s="1">
        <v>2.2999999999999998</v>
      </c>
      <c r="C43" s="11">
        <v>1.3</v>
      </c>
      <c r="D43" s="12">
        <v>0.3</v>
      </c>
      <c r="E43" s="1" t="s">
        <v>5</v>
      </c>
      <c r="F43" s="27">
        <f t="shared" ca="1" si="0"/>
        <v>1</v>
      </c>
      <c r="G43" s="36" cm="1">
        <f t="array" aca="1" ref="G43" ca="1">$O$5*NMultDensity(C43:D43,$M$7:$N$7,$M$5:$N$6)+$O$9*NMultDensity(C43:D43,$M$11:$N$11,$M$9:$N$10)</f>
        <v>2.7173820357545724E-3</v>
      </c>
      <c r="H43" s="37" cm="1">
        <f t="array" aca="1" ref="H43" ca="1">$O$5*NMultDensity(C43:D43,$M$7:$N$7,$M$5:$N$6)/G43</f>
        <v>0.93431849486737906</v>
      </c>
      <c r="I43" s="37" cm="1">
        <f t="array" aca="1" ref="I43" ca="1">$O$9*NMultDensity(C43:D43,$M$11:$N$11,$M$9:$N$10)/G43</f>
        <v>6.5681505132620943E-2</v>
      </c>
      <c r="J43" s="38">
        <f t="shared" ca="1" si="1"/>
        <v>0.93431849486737906</v>
      </c>
      <c r="Q43" s="15">
        <v>1.3</v>
      </c>
      <c r="R43" s="21">
        <v>0.3</v>
      </c>
      <c r="S43" s="25">
        <v>1</v>
      </c>
    </row>
    <row r="44" spans="1:19" x14ac:dyDescent="0.25">
      <c r="A44" s="1">
        <v>4.4000000000000004</v>
      </c>
      <c r="B44" s="1">
        <v>3.2</v>
      </c>
      <c r="C44" s="11">
        <v>1.3</v>
      </c>
      <c r="D44" s="12">
        <v>0.2</v>
      </c>
      <c r="E44" s="1" t="s">
        <v>5</v>
      </c>
      <c r="F44" s="27">
        <f t="shared" ca="1" si="0"/>
        <v>1</v>
      </c>
      <c r="G44" s="36" cm="1">
        <f t="array" aca="1" ref="G44" ca="1">$O$5*NMultDensity(C44:D44,$M$7:$N$7,$M$5:$N$6)+$O$9*NMultDensity(C44:D44,$M$11:$N$11,$M$9:$N$10)</f>
        <v>2.4864017944203985E-3</v>
      </c>
      <c r="H44" s="37" cm="1">
        <f t="array" aca="1" ref="H44" ca="1">$O$5*NMultDensity(C44:D44,$M$7:$N$7,$M$5:$N$6)/G44</f>
        <v>0.93790597875169124</v>
      </c>
      <c r="I44" s="37" cm="1">
        <f t="array" aca="1" ref="I44" ca="1">$O$9*NMultDensity(C44:D44,$M$11:$N$11,$M$9:$N$10)/G44</f>
        <v>6.2094021248308699E-2</v>
      </c>
      <c r="J44" s="38">
        <f t="shared" ca="1" si="1"/>
        <v>0.93790597875169124</v>
      </c>
      <c r="Q44" s="15">
        <v>1.3</v>
      </c>
      <c r="R44" s="21">
        <v>0.2</v>
      </c>
      <c r="S44" s="25">
        <v>1</v>
      </c>
    </row>
    <row r="45" spans="1:19" x14ac:dyDescent="0.25">
      <c r="A45" s="1">
        <v>5</v>
      </c>
      <c r="B45" s="1">
        <v>3.5</v>
      </c>
      <c r="C45" s="11">
        <v>1.6</v>
      </c>
      <c r="D45" s="12">
        <v>0.6</v>
      </c>
      <c r="E45" s="1" t="s">
        <v>5</v>
      </c>
      <c r="F45" s="27">
        <f t="shared" ca="1" si="0"/>
        <v>1</v>
      </c>
      <c r="G45" s="36" cm="1">
        <f t="array" aca="1" ref="G45" ca="1">$O$5*NMultDensity(C45:D45,$M$7:$N$7,$M$5:$N$6)+$O$9*NMultDensity(C45:D45,$M$11:$N$11,$M$9:$N$10)</f>
        <v>6.8930731343719819E-3</v>
      </c>
      <c r="H45" s="37" cm="1">
        <f t="array" aca="1" ref="H45" ca="1">$O$5*NMultDensity(C45:D45,$M$7:$N$7,$M$5:$N$6)/G45</f>
        <v>0.90593657420819218</v>
      </c>
      <c r="I45" s="37" cm="1">
        <f t="array" aca="1" ref="I45" ca="1">$O$9*NMultDensity(C45:D45,$M$11:$N$11,$M$9:$N$10)/G45</f>
        <v>9.4063425791807737E-2</v>
      </c>
      <c r="J45" s="38">
        <f t="shared" ca="1" si="1"/>
        <v>0.90593657420819218</v>
      </c>
      <c r="Q45" s="15">
        <v>1.6</v>
      </c>
      <c r="R45" s="21">
        <v>0.6</v>
      </c>
      <c r="S45" s="25">
        <v>1</v>
      </c>
    </row>
    <row r="46" spans="1:19" x14ac:dyDescent="0.25">
      <c r="A46" s="1">
        <v>5.0999999999999996</v>
      </c>
      <c r="B46" s="1">
        <v>3.8</v>
      </c>
      <c r="C46" s="11">
        <v>1.9</v>
      </c>
      <c r="D46" s="12">
        <v>0.4</v>
      </c>
      <c r="E46" s="1" t="s">
        <v>5</v>
      </c>
      <c r="F46" s="27">
        <f t="shared" ca="1" si="0"/>
        <v>1</v>
      </c>
      <c r="G46" s="36" cm="1">
        <f t="array" aca="1" ref="G46" ca="1">$O$5*NMultDensity(C46:D46,$M$7:$N$7,$M$5:$N$6)+$O$9*NMultDensity(C46:D46,$M$11:$N$11,$M$9:$N$10)</f>
        <v>1.1408245283931504E-2</v>
      </c>
      <c r="H46" s="37" cm="1">
        <f t="array" aca="1" ref="H46" ca="1">$O$5*NMultDensity(C46:D46,$M$7:$N$7,$M$5:$N$6)/G46</f>
        <v>0.89798193081086952</v>
      </c>
      <c r="I46" s="37" cm="1">
        <f t="array" aca="1" ref="I46" ca="1">$O$9*NMultDensity(C46:D46,$M$11:$N$11,$M$9:$N$10)/G46</f>
        <v>0.10201806918913042</v>
      </c>
      <c r="J46" s="38">
        <f t="shared" ca="1" si="1"/>
        <v>0.89798193081086952</v>
      </c>
      <c r="Q46" s="15">
        <v>1.9</v>
      </c>
      <c r="R46" s="21">
        <v>0.4</v>
      </c>
      <c r="S46" s="25">
        <v>1</v>
      </c>
    </row>
    <row r="47" spans="1:19" x14ac:dyDescent="0.25">
      <c r="A47" s="1">
        <v>4.8</v>
      </c>
      <c r="B47" s="1">
        <v>3</v>
      </c>
      <c r="C47" s="11">
        <v>1.4</v>
      </c>
      <c r="D47" s="12">
        <v>0.3</v>
      </c>
      <c r="E47" s="1" t="s">
        <v>5</v>
      </c>
      <c r="F47" s="27">
        <f t="shared" ca="1" si="0"/>
        <v>1</v>
      </c>
      <c r="G47" s="36" cm="1">
        <f t="array" aca="1" ref="G47" ca="1">$O$5*NMultDensity(C47:D47,$M$7:$N$7,$M$5:$N$6)+$O$9*NMultDensity(C47:D47,$M$11:$N$11,$M$9:$N$10)</f>
        <v>3.4883193962262373E-3</v>
      </c>
      <c r="H47" s="37" cm="1">
        <f t="array" aca="1" ref="H47" ca="1">$O$5*NMultDensity(C47:D47,$M$7:$N$7,$M$5:$N$6)/G47</f>
        <v>0.92988994377858181</v>
      </c>
      <c r="I47" s="37" cm="1">
        <f t="array" aca="1" ref="I47" ca="1">$O$9*NMultDensity(C47:D47,$M$11:$N$11,$M$9:$N$10)/G47</f>
        <v>7.0110056221418166E-2</v>
      </c>
      <c r="J47" s="38">
        <f t="shared" ca="1" si="1"/>
        <v>0.92988994377858181</v>
      </c>
      <c r="Q47" s="15">
        <v>1.4</v>
      </c>
      <c r="R47" s="21">
        <v>0.3</v>
      </c>
      <c r="S47" s="25">
        <v>1</v>
      </c>
    </row>
    <row r="48" spans="1:19" x14ac:dyDescent="0.25">
      <c r="A48" s="1">
        <v>5.0999999999999996</v>
      </c>
      <c r="B48" s="1">
        <v>3.8</v>
      </c>
      <c r="C48" s="11">
        <v>1.6</v>
      </c>
      <c r="D48" s="12">
        <v>0.2</v>
      </c>
      <c r="E48" s="1" t="s">
        <v>5</v>
      </c>
      <c r="F48" s="27">
        <f t="shared" ca="1" si="0"/>
        <v>1</v>
      </c>
      <c r="G48" s="36" cm="1">
        <f t="array" aca="1" ref="G48" ca="1">$O$5*NMultDensity(C48:D48,$M$7:$N$7,$M$5:$N$6)+$O$9*NMultDensity(C48:D48,$M$11:$N$11,$M$9:$N$10)</f>
        <v>5.1051117948393582E-3</v>
      </c>
      <c r="H48" s="37" cm="1">
        <f t="array" aca="1" ref="H48" ca="1">$O$5*NMultDensity(C48:D48,$M$7:$N$7,$M$5:$N$6)/G48</f>
        <v>0.92449159605946485</v>
      </c>
      <c r="I48" s="37" cm="1">
        <f t="array" aca="1" ref="I48" ca="1">$O$9*NMultDensity(C48:D48,$M$11:$N$11,$M$9:$N$10)/G48</f>
        <v>7.5508403940535138E-2</v>
      </c>
      <c r="J48" s="38">
        <f t="shared" ca="1" si="1"/>
        <v>0.92449159605946485</v>
      </c>
      <c r="Q48" s="15">
        <v>1.6</v>
      </c>
      <c r="R48" s="21">
        <v>0.2</v>
      </c>
      <c r="S48" s="25">
        <v>1</v>
      </c>
    </row>
    <row r="49" spans="1:19" x14ac:dyDescent="0.25">
      <c r="A49" s="1">
        <v>4.5999999999999996</v>
      </c>
      <c r="B49" s="1">
        <v>3.2</v>
      </c>
      <c r="C49" s="11">
        <v>1.4</v>
      </c>
      <c r="D49" s="12">
        <v>0.2</v>
      </c>
      <c r="E49" s="1" t="s">
        <v>5</v>
      </c>
      <c r="F49" s="27">
        <f t="shared" ca="1" si="0"/>
        <v>1</v>
      </c>
      <c r="G49" s="36" cm="1">
        <f t="array" aca="1" ref="G49" ca="1">$O$5*NMultDensity(C49:D49,$M$7:$N$7,$M$5:$N$6)+$O$9*NMultDensity(C49:D49,$M$11:$N$11,$M$9:$N$10)</f>
        <v>3.1909823697515195E-3</v>
      </c>
      <c r="H49" s="37" cm="1">
        <f t="array" aca="1" ref="H49" ca="1">$O$5*NMultDensity(C49:D49,$M$7:$N$7,$M$5:$N$6)/G49</f>
        <v>0.93370214864780354</v>
      </c>
      <c r="I49" s="37" cm="1">
        <f t="array" aca="1" ref="I49" ca="1">$O$9*NMultDensity(C49:D49,$M$11:$N$11,$M$9:$N$10)/G49</f>
        <v>6.6297851352196374E-2</v>
      </c>
      <c r="J49" s="38">
        <f t="shared" ca="1" si="1"/>
        <v>0.93370214864780354</v>
      </c>
      <c r="Q49" s="15">
        <v>1.4</v>
      </c>
      <c r="R49" s="21">
        <v>0.2</v>
      </c>
      <c r="S49" s="25">
        <v>1</v>
      </c>
    </row>
    <row r="50" spans="1:19" x14ac:dyDescent="0.25">
      <c r="A50" s="1">
        <v>5.3</v>
      </c>
      <c r="B50" s="1">
        <v>3.7</v>
      </c>
      <c r="C50" s="11">
        <v>1.5</v>
      </c>
      <c r="D50" s="12">
        <v>0.2</v>
      </c>
      <c r="E50" s="1" t="s">
        <v>5</v>
      </c>
      <c r="F50" s="27">
        <f t="shared" ca="1" si="0"/>
        <v>1</v>
      </c>
      <c r="G50" s="36" cm="1">
        <f t="array" aca="1" ref="G50" ca="1">$O$5*NMultDensity(C50:D50,$M$7:$N$7,$M$5:$N$6)+$O$9*NMultDensity(C50:D50,$M$11:$N$11,$M$9:$N$10)</f>
        <v>4.0557046335176605E-3</v>
      </c>
      <c r="H50" s="37" cm="1">
        <f t="array" aca="1" ref="H50" ca="1">$O$5*NMultDensity(C50:D50,$M$7:$N$7,$M$5:$N$6)/G50</f>
        <v>0.92923518814385908</v>
      </c>
      <c r="I50" s="37" cm="1">
        <f t="array" aca="1" ref="I50" ca="1">$O$9*NMultDensity(C50:D50,$M$11:$N$11,$M$9:$N$10)/G50</f>
        <v>7.0764811856140766E-2</v>
      </c>
      <c r="J50" s="38">
        <f t="shared" ca="1" si="1"/>
        <v>0.92923518814385908</v>
      </c>
      <c r="Q50" s="15">
        <v>1.5</v>
      </c>
      <c r="R50" s="21">
        <v>0.2</v>
      </c>
      <c r="S50" s="25">
        <v>1</v>
      </c>
    </row>
    <row r="51" spans="1:19" x14ac:dyDescent="0.25">
      <c r="A51" s="1">
        <v>5</v>
      </c>
      <c r="B51" s="1">
        <v>3.3</v>
      </c>
      <c r="C51" s="11">
        <v>1.4</v>
      </c>
      <c r="D51" s="12">
        <v>0.2</v>
      </c>
      <c r="E51" s="1" t="s">
        <v>5</v>
      </c>
      <c r="F51" s="27">
        <f t="shared" ca="1" si="0"/>
        <v>1</v>
      </c>
      <c r="G51" s="36" cm="1">
        <f t="array" aca="1" ref="G51" ca="1">$O$5*NMultDensity(C51:D51,$M$7:$N$7,$M$5:$N$6)+$O$9*NMultDensity(C51:D51,$M$11:$N$11,$M$9:$N$10)</f>
        <v>3.1909823697515195E-3</v>
      </c>
      <c r="H51" s="37" cm="1">
        <f t="array" aca="1" ref="H51" ca="1">$O$5*NMultDensity(C51:D51,$M$7:$N$7,$M$5:$N$6)/G51</f>
        <v>0.93370214864780354</v>
      </c>
      <c r="I51" s="37" cm="1">
        <f t="array" aca="1" ref="I51" ca="1">$O$9*NMultDensity(C51:D51,$M$11:$N$11,$M$9:$N$10)/G51</f>
        <v>6.6297851352196374E-2</v>
      </c>
      <c r="J51" s="38">
        <f t="shared" ca="1" si="1"/>
        <v>0.93370214864780354</v>
      </c>
      <c r="Q51" s="15">
        <v>1.4</v>
      </c>
      <c r="R51" s="21">
        <v>0.2</v>
      </c>
      <c r="S51" s="25">
        <v>1</v>
      </c>
    </row>
    <row r="52" spans="1:19" x14ac:dyDescent="0.25">
      <c r="A52" s="1">
        <v>7</v>
      </c>
      <c r="B52" s="1">
        <v>3.2</v>
      </c>
      <c r="C52" s="11">
        <v>4.7</v>
      </c>
      <c r="D52" s="12">
        <v>1.4</v>
      </c>
      <c r="E52" s="1" t="s">
        <v>6</v>
      </c>
      <c r="F52" s="27">
        <f t="shared" ca="1" si="0"/>
        <v>2</v>
      </c>
      <c r="G52" s="36" cm="1">
        <f t="array" aca="1" ref="G52" ca="1">$O$5*NMultDensity(C52:D52,$M$7:$N$7,$M$5:$N$6)+$O$9*NMultDensity(C52:D52,$M$11:$N$11,$M$9:$N$10)</f>
        <v>0.12531029549612555</v>
      </c>
      <c r="H52" s="37" cm="1">
        <f t="array" aca="1" ref="H52" ca="1">$O$5*NMultDensity(C52:D52,$M$7:$N$7,$M$5:$N$6)/G52</f>
        <v>0.40492152613386589</v>
      </c>
      <c r="I52" s="37" cm="1">
        <f t="array" aca="1" ref="I52" ca="1">$O$9*NMultDensity(C52:D52,$M$11:$N$11,$M$9:$N$10)/G52</f>
        <v>0.59507847386613411</v>
      </c>
      <c r="J52" s="38">
        <f t="shared" ca="1" si="1"/>
        <v>0.59507847386613411</v>
      </c>
      <c r="Q52" s="15">
        <v>4</v>
      </c>
      <c r="R52" s="21">
        <v>1.3</v>
      </c>
      <c r="S52" s="25">
        <v>1</v>
      </c>
    </row>
    <row r="53" spans="1:19" x14ac:dyDescent="0.25">
      <c r="A53" s="1">
        <v>6.4</v>
      </c>
      <c r="B53" s="1">
        <v>3.2</v>
      </c>
      <c r="C53" s="11">
        <v>4.5</v>
      </c>
      <c r="D53" s="12">
        <v>1.5</v>
      </c>
      <c r="E53" s="1" t="s">
        <v>6</v>
      </c>
      <c r="F53" s="27">
        <f t="shared" ca="1" si="0"/>
        <v>2</v>
      </c>
      <c r="G53" s="36" cm="1">
        <f t="array" aca="1" ref="G53" ca="1">$O$5*NMultDensity(C53:D53,$M$7:$N$7,$M$5:$N$6)+$O$9*NMultDensity(C53:D53,$M$11:$N$11,$M$9:$N$10)</f>
        <v>0.13549863196006484</v>
      </c>
      <c r="H53" s="37" cm="1">
        <f t="array" aca="1" ref="H53" ca="1">$O$5*NMultDensity(C53:D53,$M$7:$N$7,$M$5:$N$6)/G53</f>
        <v>0.42433564895745052</v>
      </c>
      <c r="I53" s="37" cm="1">
        <f t="array" aca="1" ref="I53" ca="1">$O$9*NMultDensity(C53:D53,$M$11:$N$11,$M$9:$N$10)/G53</f>
        <v>0.57566435104254943</v>
      </c>
      <c r="J53" s="38">
        <f t="shared" ca="1" si="1"/>
        <v>0.57566435104254943</v>
      </c>
      <c r="Q53" s="15">
        <v>3.3</v>
      </c>
      <c r="R53" s="21">
        <v>1</v>
      </c>
      <c r="S53" s="25">
        <v>1</v>
      </c>
    </row>
    <row r="54" spans="1:19" x14ac:dyDescent="0.25">
      <c r="A54" s="1">
        <v>6.9</v>
      </c>
      <c r="B54" s="1">
        <v>3.1</v>
      </c>
      <c r="C54" s="11">
        <v>4.9000000000000004</v>
      </c>
      <c r="D54" s="12">
        <v>1.5</v>
      </c>
      <c r="E54" s="1" t="s">
        <v>6</v>
      </c>
      <c r="F54" s="27">
        <f t="shared" ca="1" si="0"/>
        <v>2</v>
      </c>
      <c r="G54" s="36" cm="1">
        <f t="array" aca="1" ref="G54" ca="1">$O$5*NMultDensity(C54:D54,$M$7:$N$7,$M$5:$N$6)+$O$9*NMultDensity(C54:D54,$M$11:$N$11,$M$9:$N$10)</f>
        <v>0.11211889978804621</v>
      </c>
      <c r="H54" s="37" cm="1">
        <f t="array" aca="1" ref="H54" ca="1">$O$5*NMultDensity(C54:D54,$M$7:$N$7,$M$5:$N$6)/G54</f>
        <v>0.35778290704256227</v>
      </c>
      <c r="I54" s="37" cm="1">
        <f t="array" aca="1" ref="I54" ca="1">$O$9*NMultDensity(C54:D54,$M$11:$N$11,$M$9:$N$10)/G54</f>
        <v>0.64221709295743767</v>
      </c>
      <c r="J54" s="38">
        <f t="shared" ca="1" si="1"/>
        <v>0.64221709295743767</v>
      </c>
      <c r="Q54" s="15">
        <v>3.9</v>
      </c>
      <c r="R54" s="21">
        <v>1.4</v>
      </c>
      <c r="S54" s="25">
        <v>1</v>
      </c>
    </row>
    <row r="55" spans="1:19" x14ac:dyDescent="0.25">
      <c r="A55" s="1">
        <v>5.5</v>
      </c>
      <c r="B55" s="1">
        <v>2.2999999999999998</v>
      </c>
      <c r="C55" s="11">
        <v>4</v>
      </c>
      <c r="D55" s="12">
        <v>1.3</v>
      </c>
      <c r="E55" s="1" t="s">
        <v>6</v>
      </c>
      <c r="F55" s="27">
        <f t="shared" ca="1" si="0"/>
        <v>1</v>
      </c>
      <c r="G55" s="36" cm="1">
        <f t="array" aca="1" ref="G55" ca="1">$O$5*NMultDensity(C55:D55,$M$7:$N$7,$M$5:$N$6)+$O$9*NMultDensity(C55:D55,$M$11:$N$11,$M$9:$N$10)</f>
        <v>0.14128476789750299</v>
      </c>
      <c r="H55" s="37" cm="1">
        <f t="array" aca="1" ref="H55" ca="1">$O$5*NMultDensity(C55:D55,$M$7:$N$7,$M$5:$N$6)/G55</f>
        <v>0.541156668150228</v>
      </c>
      <c r="I55" s="37" cm="1">
        <f t="array" aca="1" ref="I55" ca="1">$O$9*NMultDensity(C55:D55,$M$11:$N$11,$M$9:$N$10)/G55</f>
        <v>0.45884333184977194</v>
      </c>
      <c r="J55" s="38">
        <f t="shared" ca="1" si="1"/>
        <v>0.541156668150228</v>
      </c>
      <c r="Q55" s="15">
        <v>3.5</v>
      </c>
      <c r="R55" s="21">
        <v>1</v>
      </c>
      <c r="S55" s="25">
        <v>1</v>
      </c>
    </row>
    <row r="56" spans="1:19" x14ac:dyDescent="0.25">
      <c r="A56" s="1">
        <v>6.5</v>
      </c>
      <c r="B56" s="1">
        <v>2.8</v>
      </c>
      <c r="C56" s="11">
        <v>4.5999999999999996</v>
      </c>
      <c r="D56" s="12">
        <v>1.5</v>
      </c>
      <c r="E56" s="1" t="s">
        <v>6</v>
      </c>
      <c r="F56" s="27">
        <f t="shared" ca="1" si="0"/>
        <v>2</v>
      </c>
      <c r="G56" s="36" cm="1">
        <f t="array" aca="1" ref="G56" ca="1">$O$5*NMultDensity(C56:D56,$M$7:$N$7,$M$5:$N$6)+$O$9*NMultDensity(C56:D56,$M$11:$N$11,$M$9:$N$10)</f>
        <v>0.13095507116299482</v>
      </c>
      <c r="H56" s="37" cm="1">
        <f t="array" aca="1" ref="H56" ca="1">$O$5*NMultDensity(C56:D56,$M$7:$N$7,$M$5:$N$6)/G56</f>
        <v>0.40733340004593027</v>
      </c>
      <c r="I56" s="37" cm="1">
        <f t="array" aca="1" ref="I56" ca="1">$O$9*NMultDensity(C56:D56,$M$11:$N$11,$M$9:$N$10)/G56</f>
        <v>0.59266659995406967</v>
      </c>
      <c r="J56" s="38">
        <f t="shared" ca="1" si="1"/>
        <v>0.59266659995406967</v>
      </c>
      <c r="Q56" s="15">
        <v>4</v>
      </c>
      <c r="R56" s="21">
        <v>1</v>
      </c>
      <c r="S56" s="25">
        <v>1</v>
      </c>
    </row>
    <row r="57" spans="1:19" x14ac:dyDescent="0.25">
      <c r="A57" s="1">
        <v>5.7</v>
      </c>
      <c r="B57" s="1">
        <v>2.8</v>
      </c>
      <c r="C57" s="11">
        <v>4.5</v>
      </c>
      <c r="D57" s="12">
        <v>1.3</v>
      </c>
      <c r="E57" s="1" t="s">
        <v>6</v>
      </c>
      <c r="F57" s="27">
        <f t="shared" ca="1" si="0"/>
        <v>2</v>
      </c>
      <c r="G57" s="36" cm="1">
        <f t="array" aca="1" ref="G57" ca="1">$O$5*NMultDensity(C57:D57,$M$7:$N$7,$M$5:$N$6)+$O$9*NMultDensity(C57:D57,$M$11:$N$11,$M$9:$N$10)</f>
        <v>0.13451157444226711</v>
      </c>
      <c r="H57" s="37" cm="1">
        <f t="array" aca="1" ref="H57" ca="1">$O$5*NMultDensity(C57:D57,$M$7:$N$7,$M$5:$N$6)/G57</f>
        <v>0.45388145895422027</v>
      </c>
      <c r="I57" s="37" cm="1">
        <f t="array" aca="1" ref="I57" ca="1">$O$9*NMultDensity(C57:D57,$M$11:$N$11,$M$9:$N$10)/G57</f>
        <v>0.54611854104577973</v>
      </c>
      <c r="J57" s="38">
        <f t="shared" ca="1" si="1"/>
        <v>0.54611854104577973</v>
      </c>
      <c r="Q57" s="15">
        <v>3.6</v>
      </c>
      <c r="R57" s="21">
        <v>1.3</v>
      </c>
      <c r="S57" s="25">
        <v>1</v>
      </c>
    </row>
    <row r="58" spans="1:19" x14ac:dyDescent="0.25">
      <c r="A58" s="1">
        <v>6.3</v>
      </c>
      <c r="B58" s="1">
        <v>3.3</v>
      </c>
      <c r="C58" s="11">
        <v>4.7</v>
      </c>
      <c r="D58" s="12">
        <v>1.6</v>
      </c>
      <c r="E58" s="1" t="s">
        <v>6</v>
      </c>
      <c r="F58" s="27">
        <f t="shared" ca="1" si="0"/>
        <v>2</v>
      </c>
      <c r="G58" s="36" cm="1">
        <f t="array" aca="1" ref="G58" ca="1">$O$5*NMultDensity(C58:D58,$M$7:$N$7,$M$5:$N$6)+$O$9*NMultDensity(C58:D58,$M$11:$N$11,$M$9:$N$10)</f>
        <v>0.12445239199929806</v>
      </c>
      <c r="H58" s="37" cm="1">
        <f t="array" aca="1" ref="H58" ca="1">$O$5*NMultDensity(C58:D58,$M$7:$N$7,$M$5:$N$6)/G58</f>
        <v>0.37636637170177395</v>
      </c>
      <c r="I58" s="37" cm="1">
        <f t="array" aca="1" ref="I58" ca="1">$O$9*NMultDensity(C58:D58,$M$11:$N$11,$M$9:$N$10)/G58</f>
        <v>0.62363362829822599</v>
      </c>
      <c r="J58" s="38">
        <f t="shared" ca="1" si="1"/>
        <v>0.62363362829822599</v>
      </c>
      <c r="Q58" s="15">
        <v>4.0999999999999996</v>
      </c>
      <c r="R58" s="21">
        <v>1</v>
      </c>
      <c r="S58" s="25">
        <v>1</v>
      </c>
    </row>
    <row r="59" spans="1:19" x14ac:dyDescent="0.25">
      <c r="A59" s="1">
        <v>4.9000000000000004</v>
      </c>
      <c r="B59" s="1">
        <v>2.4</v>
      </c>
      <c r="C59" s="11">
        <v>3.3</v>
      </c>
      <c r="D59" s="12">
        <v>1</v>
      </c>
      <c r="E59" s="1" t="s">
        <v>6</v>
      </c>
      <c r="F59" s="27">
        <f t="shared" ca="1" si="0"/>
        <v>1</v>
      </c>
      <c r="G59" s="36" cm="1">
        <f t="array" aca="1" ref="G59" ca="1">$O$5*NMultDensity(C59:D59,$M$7:$N$7,$M$5:$N$6)+$O$9*NMultDensity(C59:D59,$M$11:$N$11,$M$9:$N$10)</f>
        <v>0.10019429390544882</v>
      </c>
      <c r="H59" s="37" cm="1">
        <f t="array" aca="1" ref="H59" ca="1">$O$5*NMultDensity(C59:D59,$M$7:$N$7,$M$5:$N$6)/G59</f>
        <v>0.69741111439588233</v>
      </c>
      <c r="I59" s="37" cm="1">
        <f t="array" aca="1" ref="I59" ca="1">$O$9*NMultDensity(C59:D59,$M$11:$N$11,$M$9:$N$10)/G59</f>
        <v>0.30258888560411767</v>
      </c>
      <c r="J59" s="38">
        <f t="shared" ca="1" si="1"/>
        <v>0.69741111439588233</v>
      </c>
      <c r="Q59" s="15">
        <v>3.9</v>
      </c>
      <c r="R59" s="21">
        <v>1.1000000000000001</v>
      </c>
      <c r="S59" s="25">
        <v>1</v>
      </c>
    </row>
    <row r="60" spans="1:19" x14ac:dyDescent="0.25">
      <c r="A60" s="1">
        <v>6.6</v>
      </c>
      <c r="B60" s="1">
        <v>2.9</v>
      </c>
      <c r="C60" s="11">
        <v>4.5999999999999996</v>
      </c>
      <c r="D60" s="12">
        <v>1.3</v>
      </c>
      <c r="E60" s="1" t="s">
        <v>6</v>
      </c>
      <c r="F60" s="27">
        <f t="shared" ca="1" si="0"/>
        <v>2</v>
      </c>
      <c r="G60" s="36" cm="1">
        <f t="array" aca="1" ref="G60" ca="1">$O$5*NMultDensity(C60:D60,$M$7:$N$7,$M$5:$N$6)+$O$9*NMultDensity(C60:D60,$M$11:$N$11,$M$9:$N$10)</f>
        <v>0.12973376778345194</v>
      </c>
      <c r="H60" s="37" cm="1">
        <f t="array" aca="1" ref="H60" ca="1">$O$5*NMultDensity(C60:D60,$M$7:$N$7,$M$5:$N$6)/G60</f>
        <v>0.43659321373780635</v>
      </c>
      <c r="I60" s="37" cm="1">
        <f t="array" aca="1" ref="I60" ca="1">$O$9*NMultDensity(C60:D60,$M$11:$N$11,$M$9:$N$10)/G60</f>
        <v>0.56340678626219365</v>
      </c>
      <c r="J60" s="38">
        <f t="shared" ca="1" si="1"/>
        <v>0.56340678626219365</v>
      </c>
      <c r="Q60" s="15">
        <v>4</v>
      </c>
      <c r="R60" s="21">
        <v>1.3</v>
      </c>
      <c r="S60" s="25">
        <v>1</v>
      </c>
    </row>
    <row r="61" spans="1:19" x14ac:dyDescent="0.25">
      <c r="A61" s="1">
        <v>5.2</v>
      </c>
      <c r="B61" s="1">
        <v>2.7</v>
      </c>
      <c r="C61" s="11">
        <v>3.9</v>
      </c>
      <c r="D61" s="12">
        <v>1.4</v>
      </c>
      <c r="E61" s="1" t="s">
        <v>6</v>
      </c>
      <c r="F61" s="27">
        <f t="shared" ca="1" si="0"/>
        <v>1</v>
      </c>
      <c r="G61" s="36" cm="1">
        <f t="array" aca="1" ref="G61" ca="1">$O$5*NMultDensity(C61:D61,$M$7:$N$7,$M$5:$N$6)+$O$9*NMultDensity(C61:D61,$M$11:$N$11,$M$9:$N$10)</f>
        <v>0.1392403341391758</v>
      </c>
      <c r="H61" s="37" cm="1">
        <f t="array" aca="1" ref="H61" ca="1">$O$5*NMultDensity(C61:D61,$M$7:$N$7,$M$5:$N$6)/G61</f>
        <v>0.54363868723707887</v>
      </c>
      <c r="I61" s="37" cm="1">
        <f t="array" aca="1" ref="I61" ca="1">$O$9*NMultDensity(C61:D61,$M$11:$N$11,$M$9:$N$10)/G61</f>
        <v>0.45636131276292108</v>
      </c>
      <c r="J61" s="38">
        <f t="shared" ca="1" si="1"/>
        <v>0.54363868723707887</v>
      </c>
      <c r="Q61" s="15">
        <v>3.5</v>
      </c>
      <c r="R61" s="21">
        <v>1</v>
      </c>
      <c r="S61" s="25">
        <v>1</v>
      </c>
    </row>
    <row r="62" spans="1:19" x14ac:dyDescent="0.25">
      <c r="A62" s="1">
        <v>5</v>
      </c>
      <c r="B62" s="1">
        <v>2</v>
      </c>
      <c r="C62" s="11">
        <v>3.5</v>
      </c>
      <c r="D62" s="12">
        <v>1</v>
      </c>
      <c r="E62" s="1" t="s">
        <v>6</v>
      </c>
      <c r="F62" s="27">
        <f t="shared" ca="1" si="0"/>
        <v>1</v>
      </c>
      <c r="G62" s="36" cm="1">
        <f t="array" aca="1" ref="G62" ca="1">$O$5*NMultDensity(C62:D62,$M$7:$N$7,$M$5:$N$6)+$O$9*NMultDensity(C62:D62,$M$11:$N$11,$M$9:$N$10)</f>
        <v>0.11347458770722751</v>
      </c>
      <c r="H62" s="37" cm="1">
        <f t="array" aca="1" ref="H62" ca="1">$O$5*NMultDensity(C62:D62,$M$7:$N$7,$M$5:$N$6)/G62</f>
        <v>0.66707827709562528</v>
      </c>
      <c r="I62" s="37" cm="1">
        <f t="array" aca="1" ref="I62" ca="1">$O$9*NMultDensity(C62:D62,$M$11:$N$11,$M$9:$N$10)/G62</f>
        <v>0.33292172290437472</v>
      </c>
      <c r="J62" s="38">
        <f t="shared" ca="1" si="1"/>
        <v>0.66707827709562528</v>
      </c>
      <c r="Q62" s="15">
        <v>3.8</v>
      </c>
      <c r="R62" s="21">
        <v>1.1000000000000001</v>
      </c>
      <c r="S62" s="25">
        <v>1</v>
      </c>
    </row>
    <row r="63" spans="1:19" x14ac:dyDescent="0.25">
      <c r="A63" s="1">
        <v>5.9</v>
      </c>
      <c r="B63" s="1">
        <v>3</v>
      </c>
      <c r="C63" s="11">
        <v>4.2</v>
      </c>
      <c r="D63" s="12">
        <v>1.5</v>
      </c>
      <c r="E63" s="1" t="s">
        <v>6</v>
      </c>
      <c r="F63" s="27">
        <f t="shared" ca="1" si="0"/>
        <v>2</v>
      </c>
      <c r="G63" s="36" cm="1">
        <f t="array" aca="1" ref="G63" ca="1">$O$5*NMultDensity(C63:D63,$M$7:$N$7,$M$5:$N$6)+$O$9*NMultDensity(C63:D63,$M$11:$N$11,$M$9:$N$10)</f>
        <v>0.1423809075230634</v>
      </c>
      <c r="H63" s="37" cm="1">
        <f t="array" aca="1" ref="H63" ca="1">$O$5*NMultDensity(C63:D63,$M$7:$N$7,$M$5:$N$6)/G63</f>
        <v>0.4762678458734389</v>
      </c>
      <c r="I63" s="37" cm="1">
        <f t="array" aca="1" ref="I63" ca="1">$O$9*NMultDensity(C63:D63,$M$11:$N$11,$M$9:$N$10)/G63</f>
        <v>0.52373215412656116</v>
      </c>
      <c r="J63" s="38">
        <f t="shared" ca="1" si="1"/>
        <v>0.52373215412656116</v>
      </c>
      <c r="Q63" s="15">
        <v>3.7</v>
      </c>
      <c r="R63" s="21">
        <v>1</v>
      </c>
      <c r="S63" s="25">
        <v>1</v>
      </c>
    </row>
    <row r="64" spans="1:19" x14ac:dyDescent="0.25">
      <c r="A64" s="1">
        <v>6</v>
      </c>
      <c r="B64" s="1">
        <v>2.2000000000000002</v>
      </c>
      <c r="C64" s="11">
        <v>4</v>
      </c>
      <c r="D64" s="12">
        <v>1</v>
      </c>
      <c r="E64" s="1" t="s">
        <v>6</v>
      </c>
      <c r="F64" s="27">
        <f t="shared" ca="1" si="0"/>
        <v>1</v>
      </c>
      <c r="G64" s="36" cm="1">
        <f t="array" aca="1" ref="G64" ca="1">$O$5*NMultDensity(C64:D64,$M$7:$N$7,$M$5:$N$6)+$O$9*NMultDensity(C64:D64,$M$11:$N$11,$M$9:$N$10)</f>
        <v>0.13257958831501868</v>
      </c>
      <c r="H64" s="37" cm="1">
        <f t="array" aca="1" ref="H64" ca="1">$O$5*NMultDensity(C64:D64,$M$7:$N$7,$M$5:$N$6)/G64</f>
        <v>0.58540456912946504</v>
      </c>
      <c r="I64" s="37" cm="1">
        <f t="array" aca="1" ref="I64" ca="1">$O$9*NMultDensity(C64:D64,$M$11:$N$11,$M$9:$N$10)/G64</f>
        <v>0.41459543087053491</v>
      </c>
      <c r="J64" s="38">
        <f t="shared" ca="1" si="1"/>
        <v>0.58540456912946504</v>
      </c>
      <c r="Q64" s="15">
        <v>3.9</v>
      </c>
      <c r="R64" s="21">
        <v>1.2</v>
      </c>
      <c r="S64" s="25">
        <v>1</v>
      </c>
    </row>
    <row r="65" spans="1:19" x14ac:dyDescent="0.25">
      <c r="A65" s="1">
        <v>6.1</v>
      </c>
      <c r="B65" s="1">
        <v>2.9</v>
      </c>
      <c r="C65" s="11">
        <v>4.7</v>
      </c>
      <c r="D65" s="12">
        <v>1.4</v>
      </c>
      <c r="E65" s="1" t="s">
        <v>6</v>
      </c>
      <c r="F65" s="27">
        <f t="shared" ca="1" si="0"/>
        <v>2</v>
      </c>
      <c r="G65" s="36" cm="1">
        <f t="array" aca="1" ref="G65" ca="1">$O$5*NMultDensity(C65:D65,$M$7:$N$7,$M$5:$N$6)+$O$9*NMultDensity(C65:D65,$M$11:$N$11,$M$9:$N$10)</f>
        <v>0.12531029549612555</v>
      </c>
      <c r="H65" s="37" cm="1">
        <f t="array" aca="1" ref="H65" ca="1">$O$5*NMultDensity(C65:D65,$M$7:$N$7,$M$5:$N$6)/G65</f>
        <v>0.40492152613386589</v>
      </c>
      <c r="I65" s="37" cm="1">
        <f t="array" aca="1" ref="I65" ca="1">$O$9*NMultDensity(C65:D65,$M$11:$N$11,$M$9:$N$10)/G65</f>
        <v>0.59507847386613411</v>
      </c>
      <c r="J65" s="38">
        <f t="shared" ca="1" si="1"/>
        <v>0.59507847386613411</v>
      </c>
      <c r="Q65" s="15">
        <v>4.0999999999999996</v>
      </c>
      <c r="R65" s="21">
        <v>1.3</v>
      </c>
      <c r="S65" s="25">
        <v>1</v>
      </c>
    </row>
    <row r="66" spans="1:19" x14ac:dyDescent="0.25">
      <c r="A66" s="1">
        <v>5.6</v>
      </c>
      <c r="B66" s="1">
        <v>2.9</v>
      </c>
      <c r="C66" s="11">
        <v>3.6</v>
      </c>
      <c r="D66" s="12">
        <v>1.3</v>
      </c>
      <c r="E66" s="1" t="s">
        <v>6</v>
      </c>
      <c r="F66" s="27">
        <f t="shared" ca="1" si="0"/>
        <v>1</v>
      </c>
      <c r="G66" s="36" cm="1">
        <f t="array" aca="1" ref="G66" ca="1">$O$5*NMultDensity(C66:D66,$M$7:$N$7,$M$5:$N$6)+$O$9*NMultDensity(C66:D66,$M$11:$N$11,$M$9:$N$10)</f>
        <v>0.12545282041222067</v>
      </c>
      <c r="H66" s="37" cm="1">
        <f t="array" aca="1" ref="H66" ca="1">$O$5*NMultDensity(C66:D66,$M$7:$N$7,$M$5:$N$6)/G66</f>
        <v>0.60944978362832525</v>
      </c>
      <c r="I66" s="37" cm="1">
        <f t="array" aca="1" ref="I66" ca="1">$O$9*NMultDensity(C66:D66,$M$11:$N$11,$M$9:$N$10)/G66</f>
        <v>0.39055021637167486</v>
      </c>
      <c r="J66" s="38">
        <f t="shared" ca="1" si="1"/>
        <v>0.60944978362832525</v>
      </c>
      <c r="Q66" s="15">
        <v>4</v>
      </c>
      <c r="R66" s="21">
        <v>1.3</v>
      </c>
      <c r="S66" s="25">
        <v>1</v>
      </c>
    </row>
    <row r="67" spans="1:19" x14ac:dyDescent="0.25">
      <c r="A67" s="1">
        <v>6.7</v>
      </c>
      <c r="B67" s="1">
        <v>3.1</v>
      </c>
      <c r="C67" s="11">
        <v>4.4000000000000004</v>
      </c>
      <c r="D67" s="12">
        <v>1.4</v>
      </c>
      <c r="E67" s="1" t="s">
        <v>6</v>
      </c>
      <c r="F67" s="27">
        <f t="shared" ca="1" si="0"/>
        <v>2</v>
      </c>
      <c r="G67" s="36" cm="1">
        <f t="array" aca="1" ref="G67" ca="1">$O$5*NMultDensity(C67:D67,$M$7:$N$7,$M$5:$N$6)+$O$9*NMultDensity(C67:D67,$M$11:$N$11,$M$9:$N$10)</f>
        <v>0.1392403341391758</v>
      </c>
      <c r="H67" s="37" cm="1">
        <f t="array" aca="1" ref="H67" ca="1">$O$5*NMultDensity(C67:D67,$M$7:$N$7,$M$5:$N$6)/G67</f>
        <v>0.45636131276292097</v>
      </c>
      <c r="I67" s="37" cm="1">
        <f t="array" aca="1" ref="I67" ca="1">$O$9*NMultDensity(C67:D67,$M$11:$N$11,$M$9:$N$10)/G67</f>
        <v>0.54363868723707887</v>
      </c>
      <c r="J67" s="38">
        <f t="shared" ca="1" si="1"/>
        <v>0.54363868723707887</v>
      </c>
      <c r="Q67" s="15">
        <v>4</v>
      </c>
      <c r="R67" s="21">
        <v>1.2</v>
      </c>
      <c r="S67" s="25">
        <v>1</v>
      </c>
    </row>
    <row r="68" spans="1:19" x14ac:dyDescent="0.25">
      <c r="A68" s="1">
        <v>5.6</v>
      </c>
      <c r="B68" s="1">
        <v>3</v>
      </c>
      <c r="C68" s="11">
        <v>4.5</v>
      </c>
      <c r="D68" s="12">
        <v>1.5</v>
      </c>
      <c r="E68" s="1" t="s">
        <v>6</v>
      </c>
      <c r="F68" s="27">
        <f t="shared" ref="F68:F131" ca="1" si="2">IF(H68=J68,1,2)</f>
        <v>2</v>
      </c>
      <c r="G68" s="36" cm="1">
        <f t="array" aca="1" ref="G68" ca="1">$O$5*NMultDensity(C68:D68,$M$7:$N$7,$M$5:$N$6)+$O$9*NMultDensity(C68:D68,$M$11:$N$11,$M$9:$N$10)</f>
        <v>0.13549863196006484</v>
      </c>
      <c r="H68" s="37" cm="1">
        <f t="array" aca="1" ref="H68" ca="1">$O$5*NMultDensity(C68:D68,$M$7:$N$7,$M$5:$N$6)/G68</f>
        <v>0.42433564895745052</v>
      </c>
      <c r="I68" s="37" cm="1">
        <f t="array" aca="1" ref="I68" ca="1">$O$9*NMultDensity(C68:D68,$M$11:$N$11,$M$9:$N$10)/G68</f>
        <v>0.57566435104254943</v>
      </c>
      <c r="J68" s="38">
        <f t="shared" ref="J68:J131" ca="1" si="3">MAX(H68:I68)</f>
        <v>0.57566435104254943</v>
      </c>
      <c r="Q68" s="15">
        <v>3.3</v>
      </c>
      <c r="R68" s="21">
        <v>1</v>
      </c>
      <c r="S68" s="25">
        <v>1</v>
      </c>
    </row>
    <row r="69" spans="1:19" x14ac:dyDescent="0.25">
      <c r="A69" s="1">
        <v>5.8</v>
      </c>
      <c r="B69" s="1">
        <v>2.7</v>
      </c>
      <c r="C69" s="11">
        <v>4.0999999999999996</v>
      </c>
      <c r="D69" s="12">
        <v>1</v>
      </c>
      <c r="E69" s="1" t="s">
        <v>6</v>
      </c>
      <c r="F69" s="27">
        <f t="shared" ca="1" si="2"/>
        <v>1</v>
      </c>
      <c r="G69" s="36" cm="1">
        <f t="array" aca="1" ref="G69" ca="1">$O$5*NMultDensity(C69:D69,$M$7:$N$7,$M$5:$N$6)+$O$9*NMultDensity(C69:D69,$M$11:$N$11,$M$9:$N$10)</f>
        <v>0.13319333238749462</v>
      </c>
      <c r="H69" s="37" cm="1">
        <f t="array" aca="1" ref="H69" ca="1">$O$5*NMultDensity(C69:D69,$M$7:$N$7,$M$5:$N$6)/G69</f>
        <v>0.56831998347824819</v>
      </c>
      <c r="I69" s="37" cm="1">
        <f t="array" aca="1" ref="I69" ca="1">$O$9*NMultDensity(C69:D69,$M$11:$N$11,$M$9:$N$10)/G69</f>
        <v>0.43168001652175186</v>
      </c>
      <c r="J69" s="38">
        <f t="shared" ca="1" si="3"/>
        <v>0.56831998347824819</v>
      </c>
      <c r="Q69" s="15">
        <v>4.2</v>
      </c>
      <c r="R69" s="21">
        <v>1.3</v>
      </c>
      <c r="S69" s="25">
        <v>1</v>
      </c>
    </row>
    <row r="70" spans="1:19" x14ac:dyDescent="0.25">
      <c r="A70" s="1">
        <v>6.2</v>
      </c>
      <c r="B70" s="1">
        <v>2.2000000000000002</v>
      </c>
      <c r="C70" s="11">
        <v>4.5</v>
      </c>
      <c r="D70" s="12">
        <v>1.5</v>
      </c>
      <c r="E70" s="1" t="s">
        <v>6</v>
      </c>
      <c r="F70" s="27">
        <f t="shared" ca="1" si="2"/>
        <v>2</v>
      </c>
      <c r="G70" s="36" cm="1">
        <f t="array" aca="1" ref="G70" ca="1">$O$5*NMultDensity(C70:D70,$M$7:$N$7,$M$5:$N$6)+$O$9*NMultDensity(C70:D70,$M$11:$N$11,$M$9:$N$10)</f>
        <v>0.13549863196006484</v>
      </c>
      <c r="H70" s="37" cm="1">
        <f t="array" aca="1" ref="H70" ca="1">$O$5*NMultDensity(C70:D70,$M$7:$N$7,$M$5:$N$6)/G70</f>
        <v>0.42433564895745052</v>
      </c>
      <c r="I70" s="37" cm="1">
        <f t="array" aca="1" ref="I70" ca="1">$O$9*NMultDensity(C70:D70,$M$11:$N$11,$M$9:$N$10)/G70</f>
        <v>0.57566435104254943</v>
      </c>
      <c r="J70" s="38">
        <f t="shared" ca="1" si="3"/>
        <v>0.57566435104254943</v>
      </c>
      <c r="Q70" s="15">
        <v>4.2</v>
      </c>
      <c r="R70" s="21">
        <v>1.2</v>
      </c>
      <c r="S70" s="25">
        <v>1</v>
      </c>
    </row>
    <row r="71" spans="1:19" x14ac:dyDescent="0.25">
      <c r="A71" s="1">
        <v>5.6</v>
      </c>
      <c r="B71" s="1">
        <v>2.5</v>
      </c>
      <c r="C71" s="11">
        <v>3.9</v>
      </c>
      <c r="D71" s="12">
        <v>1.1000000000000001</v>
      </c>
      <c r="E71" s="1" t="s">
        <v>6</v>
      </c>
      <c r="F71" s="27">
        <f t="shared" ca="1" si="2"/>
        <v>1</v>
      </c>
      <c r="G71" s="36" cm="1">
        <f t="array" aca="1" ref="G71" ca="1">$O$5*NMultDensity(C71:D71,$M$7:$N$7,$M$5:$N$6)+$O$9*NMultDensity(C71:D71,$M$11:$N$11,$M$9:$N$10)</f>
        <v>0.13469989523701731</v>
      </c>
      <c r="H71" s="37" cm="1">
        <f t="array" aca="1" ref="H71" ca="1">$O$5*NMultDensity(C71:D71,$M$7:$N$7,$M$5:$N$6)/G71</f>
        <v>0.58782953848251152</v>
      </c>
      <c r="I71" s="37" cm="1">
        <f t="array" aca="1" ref="I71" ca="1">$O$9*NMultDensity(C71:D71,$M$11:$N$11,$M$9:$N$10)/G71</f>
        <v>0.41217046151748854</v>
      </c>
      <c r="J71" s="38">
        <f t="shared" ca="1" si="3"/>
        <v>0.58782953848251152</v>
      </c>
      <c r="Q71" s="15">
        <v>4.2</v>
      </c>
      <c r="R71" s="21">
        <v>1.3</v>
      </c>
      <c r="S71" s="25">
        <v>1</v>
      </c>
    </row>
    <row r="72" spans="1:19" x14ac:dyDescent="0.25">
      <c r="A72" s="1">
        <v>5.9</v>
      </c>
      <c r="B72" s="1">
        <v>3.2</v>
      </c>
      <c r="C72" s="11">
        <v>4.8</v>
      </c>
      <c r="D72" s="12">
        <v>1.8</v>
      </c>
      <c r="E72" s="1" t="s">
        <v>6</v>
      </c>
      <c r="F72" s="27">
        <f t="shared" ca="1" si="2"/>
        <v>2</v>
      </c>
      <c r="G72" s="36" cm="1">
        <f t="array" aca="1" ref="G72" ca="1">$O$5*NMultDensity(C72:D72,$M$7:$N$7,$M$5:$N$6)+$O$9*NMultDensity(C72:D72,$M$11:$N$11,$M$9:$N$10)</f>
        <v>0.11347458770722751</v>
      </c>
      <c r="H72" s="37" cm="1">
        <f t="array" aca="1" ref="H72" ca="1">$O$5*NMultDensity(C72:D72,$M$7:$N$7,$M$5:$N$6)/G72</f>
        <v>0.33292172290437472</v>
      </c>
      <c r="I72" s="37" cm="1">
        <f t="array" aca="1" ref="I72" ca="1">$O$9*NMultDensity(C72:D72,$M$11:$N$11,$M$9:$N$10)/G72</f>
        <v>0.66707827709562528</v>
      </c>
      <c r="J72" s="38">
        <f t="shared" ca="1" si="3"/>
        <v>0.66707827709562528</v>
      </c>
      <c r="Q72" s="15">
        <v>3</v>
      </c>
      <c r="R72" s="21">
        <v>1.1000000000000001</v>
      </c>
      <c r="S72" s="25">
        <v>1</v>
      </c>
    </row>
    <row r="73" spans="1:19" x14ac:dyDescent="0.25">
      <c r="A73" s="1">
        <v>6.1</v>
      </c>
      <c r="B73" s="1">
        <v>2.8</v>
      </c>
      <c r="C73" s="11">
        <v>4</v>
      </c>
      <c r="D73" s="12">
        <v>1.3</v>
      </c>
      <c r="E73" s="1" t="s">
        <v>6</v>
      </c>
      <c r="F73" s="27">
        <f t="shared" ca="1" si="2"/>
        <v>1</v>
      </c>
      <c r="G73" s="36" cm="1">
        <f t="array" aca="1" ref="G73" ca="1">$O$5*NMultDensity(C73:D73,$M$7:$N$7,$M$5:$N$6)+$O$9*NMultDensity(C73:D73,$M$11:$N$11,$M$9:$N$10)</f>
        <v>0.14128476789750299</v>
      </c>
      <c r="H73" s="37" cm="1">
        <f t="array" aca="1" ref="H73" ca="1">$O$5*NMultDensity(C73:D73,$M$7:$N$7,$M$5:$N$6)/G73</f>
        <v>0.541156668150228</v>
      </c>
      <c r="I73" s="37" cm="1">
        <f t="array" aca="1" ref="I73" ca="1">$O$9*NMultDensity(C73:D73,$M$11:$N$11,$M$9:$N$10)/G73</f>
        <v>0.45884333184977194</v>
      </c>
      <c r="J73" s="38">
        <f t="shared" ca="1" si="3"/>
        <v>0.541156668150228</v>
      </c>
      <c r="Q73" s="15">
        <v>4.0999999999999996</v>
      </c>
      <c r="R73" s="21">
        <v>1.3</v>
      </c>
      <c r="S73" s="25">
        <v>1</v>
      </c>
    </row>
    <row r="74" spans="1:19" x14ac:dyDescent="0.25">
      <c r="A74" s="1">
        <v>6.3</v>
      </c>
      <c r="B74" s="1">
        <v>2.5</v>
      </c>
      <c r="C74" s="11">
        <v>4.9000000000000004</v>
      </c>
      <c r="D74" s="12">
        <v>1.5</v>
      </c>
      <c r="E74" s="1" t="s">
        <v>6</v>
      </c>
      <c r="F74" s="27">
        <f t="shared" ca="1" si="2"/>
        <v>2</v>
      </c>
      <c r="G74" s="36" cm="1">
        <f t="array" aca="1" ref="G74" ca="1">$O$5*NMultDensity(C74:D74,$M$7:$N$7,$M$5:$N$6)+$O$9*NMultDensity(C74:D74,$M$11:$N$11,$M$9:$N$10)</f>
        <v>0.11211889978804621</v>
      </c>
      <c r="H74" s="37" cm="1">
        <f t="array" aca="1" ref="H74" ca="1">$O$5*NMultDensity(C74:D74,$M$7:$N$7,$M$5:$N$6)/G74</f>
        <v>0.35778290704256227</v>
      </c>
      <c r="I74" s="37" cm="1">
        <f t="array" aca="1" ref="I74" ca="1">$O$9*NMultDensity(C74:D74,$M$11:$N$11,$M$9:$N$10)/G74</f>
        <v>0.64221709295743767</v>
      </c>
      <c r="J74" s="38">
        <f t="shared" ca="1" si="3"/>
        <v>0.64221709295743767</v>
      </c>
      <c r="Q74" s="15">
        <v>4.7</v>
      </c>
      <c r="R74" s="21">
        <v>1.4</v>
      </c>
      <c r="S74" s="25">
        <v>2</v>
      </c>
    </row>
    <row r="75" spans="1:19" x14ac:dyDescent="0.25">
      <c r="A75" s="1">
        <v>6.1</v>
      </c>
      <c r="B75" s="1">
        <v>2.8</v>
      </c>
      <c r="C75" s="11">
        <v>4.7</v>
      </c>
      <c r="D75" s="12">
        <v>1.2</v>
      </c>
      <c r="E75" s="1" t="s">
        <v>6</v>
      </c>
      <c r="F75" s="27">
        <f t="shared" ca="1" si="2"/>
        <v>2</v>
      </c>
      <c r="G75" s="36" cm="1">
        <f t="array" aca="1" ref="G75" ca="1">$O$5*NMultDensity(C75:D75,$M$7:$N$7,$M$5:$N$6)+$O$9*NMultDensity(C75:D75,$M$11:$N$11,$M$9:$N$10)</f>
        <v>0.12164789581331442</v>
      </c>
      <c r="H75" s="37" cm="1">
        <f t="array" aca="1" ref="H75" ca="1">$O$5*NMultDensity(C75:D75,$M$7:$N$7,$M$5:$N$6)/G75</f>
        <v>0.43413499710451825</v>
      </c>
      <c r="I75" s="37" cm="1">
        <f t="array" aca="1" ref="I75" ca="1">$O$9*NMultDensity(C75:D75,$M$11:$N$11,$M$9:$N$10)/G75</f>
        <v>0.56586500289548169</v>
      </c>
      <c r="J75" s="38">
        <f t="shared" ca="1" si="3"/>
        <v>0.56586500289548169</v>
      </c>
      <c r="Q75" s="15">
        <v>4.5</v>
      </c>
      <c r="R75" s="21">
        <v>1.5</v>
      </c>
      <c r="S75" s="25">
        <v>2</v>
      </c>
    </row>
    <row r="76" spans="1:19" x14ac:dyDescent="0.25">
      <c r="A76" s="1">
        <v>6.4</v>
      </c>
      <c r="B76" s="1">
        <v>2.9</v>
      </c>
      <c r="C76" s="11">
        <v>4.3</v>
      </c>
      <c r="D76" s="12">
        <v>1.3</v>
      </c>
      <c r="E76" s="1" t="s">
        <v>6</v>
      </c>
      <c r="F76" s="27">
        <f t="shared" ca="1" si="2"/>
        <v>2</v>
      </c>
      <c r="G76" s="36" cm="1">
        <f t="array" aca="1" ref="G76" ca="1">$O$5*NMultDensity(C76:D76,$M$7:$N$7,$M$5:$N$6)+$O$9*NMultDensity(C76:D76,$M$11:$N$11,$M$9:$N$10)</f>
        <v>0.14084096080409575</v>
      </c>
      <c r="H76" s="37" cm="1">
        <f t="array" aca="1" ref="H76" ca="1">$O$5*NMultDensity(C76:D76,$M$7:$N$7,$M$5:$N$6)/G76</f>
        <v>0.48875189805314517</v>
      </c>
      <c r="I76" s="37" cm="1">
        <f t="array" aca="1" ref="I76" ca="1">$O$9*NMultDensity(C76:D76,$M$11:$N$11,$M$9:$N$10)/G76</f>
        <v>0.51124810194685488</v>
      </c>
      <c r="J76" s="38">
        <f t="shared" ca="1" si="3"/>
        <v>0.51124810194685488</v>
      </c>
      <c r="Q76" s="15">
        <v>4.9000000000000004</v>
      </c>
      <c r="R76" s="21">
        <v>1.5</v>
      </c>
      <c r="S76" s="25">
        <v>2</v>
      </c>
    </row>
    <row r="77" spans="1:19" x14ac:dyDescent="0.25">
      <c r="A77" s="1">
        <v>6.6</v>
      </c>
      <c r="B77" s="1">
        <v>3</v>
      </c>
      <c r="C77" s="11">
        <v>4.4000000000000004</v>
      </c>
      <c r="D77" s="12">
        <v>1.4</v>
      </c>
      <c r="E77" s="1" t="s">
        <v>6</v>
      </c>
      <c r="F77" s="27">
        <f t="shared" ca="1" si="2"/>
        <v>2</v>
      </c>
      <c r="G77" s="36" cm="1">
        <f t="array" aca="1" ref="G77" ca="1">$O$5*NMultDensity(C77:D77,$M$7:$N$7,$M$5:$N$6)+$O$9*NMultDensity(C77:D77,$M$11:$N$11,$M$9:$N$10)</f>
        <v>0.1392403341391758</v>
      </c>
      <c r="H77" s="37" cm="1">
        <f t="array" aca="1" ref="H77" ca="1">$O$5*NMultDensity(C77:D77,$M$7:$N$7,$M$5:$N$6)/G77</f>
        <v>0.45636131276292097</v>
      </c>
      <c r="I77" s="37" cm="1">
        <f t="array" aca="1" ref="I77" ca="1">$O$9*NMultDensity(C77:D77,$M$11:$N$11,$M$9:$N$10)/G77</f>
        <v>0.54363868723707887</v>
      </c>
      <c r="J77" s="38">
        <f t="shared" ca="1" si="3"/>
        <v>0.54363868723707887</v>
      </c>
      <c r="Q77" s="15">
        <v>4.5999999999999996</v>
      </c>
      <c r="R77" s="21">
        <v>1.5</v>
      </c>
      <c r="S77" s="25">
        <v>2</v>
      </c>
    </row>
    <row r="78" spans="1:19" x14ac:dyDescent="0.25">
      <c r="A78" s="1">
        <v>6.8</v>
      </c>
      <c r="B78" s="1">
        <v>2.8</v>
      </c>
      <c r="C78" s="11">
        <v>4.8</v>
      </c>
      <c r="D78" s="12">
        <v>1.4</v>
      </c>
      <c r="E78" s="1" t="s">
        <v>6</v>
      </c>
      <c r="F78" s="27">
        <f t="shared" ca="1" si="2"/>
        <v>2</v>
      </c>
      <c r="G78" s="36" cm="1">
        <f t="array" aca="1" ref="G78" ca="1">$O$5*NMultDensity(C78:D78,$M$7:$N$7,$M$5:$N$6)+$O$9*NMultDensity(C78:D78,$M$11:$N$11,$M$9:$N$10)</f>
        <v>0.11887067590575356</v>
      </c>
      <c r="H78" s="37" cm="1">
        <f t="array" aca="1" ref="H78" ca="1">$O$5*NMultDensity(C78:D78,$M$7:$N$7,$M$5:$N$6)/G78</f>
        <v>0.38817263099826288</v>
      </c>
      <c r="I78" s="37" cm="1">
        <f t="array" aca="1" ref="I78" ca="1">$O$9*NMultDensity(C78:D78,$M$11:$N$11,$M$9:$N$10)/G78</f>
        <v>0.61182736900173718</v>
      </c>
      <c r="J78" s="38">
        <f t="shared" ca="1" si="3"/>
        <v>0.61182736900173718</v>
      </c>
      <c r="Q78" s="15">
        <v>4.5</v>
      </c>
      <c r="R78" s="21">
        <v>1.3</v>
      </c>
      <c r="S78" s="25">
        <v>2</v>
      </c>
    </row>
    <row r="79" spans="1:19" x14ac:dyDescent="0.25">
      <c r="A79" s="1">
        <v>6.7</v>
      </c>
      <c r="B79" s="1">
        <v>3</v>
      </c>
      <c r="C79" s="11">
        <v>5</v>
      </c>
      <c r="D79" s="12">
        <v>1.7</v>
      </c>
      <c r="E79" s="1" t="s">
        <v>6</v>
      </c>
      <c r="F79" s="27">
        <f t="shared" ca="1" si="2"/>
        <v>2</v>
      </c>
      <c r="G79" s="36" cm="1">
        <f t="array" aca="1" ref="G79" ca="1">$O$5*NMultDensity(C79:D79,$M$7:$N$7,$M$5:$N$6)+$O$9*NMultDensity(C79:D79,$M$11:$N$11,$M$9:$N$10)</f>
        <v>0.10258065768426575</v>
      </c>
      <c r="H79" s="37" cm="1">
        <f t="array" aca="1" ref="H79" ca="1">$O$5*NMultDensity(C79:D79,$M$7:$N$7,$M$5:$N$6)/G79</f>
        <v>0.31539849967656924</v>
      </c>
      <c r="I79" s="37" cm="1">
        <f t="array" aca="1" ref="I79" ca="1">$O$9*NMultDensity(C79:D79,$M$11:$N$11,$M$9:$N$10)/G79</f>
        <v>0.68460150032343081</v>
      </c>
      <c r="J79" s="38">
        <f t="shared" ca="1" si="3"/>
        <v>0.68460150032343081</v>
      </c>
      <c r="Q79" s="15">
        <v>4.7</v>
      </c>
      <c r="R79" s="21">
        <v>1.6</v>
      </c>
      <c r="S79" s="25">
        <v>2</v>
      </c>
    </row>
    <row r="80" spans="1:19" x14ac:dyDescent="0.25">
      <c r="A80" s="1">
        <v>6</v>
      </c>
      <c r="B80" s="1">
        <v>2.9</v>
      </c>
      <c r="C80" s="11">
        <v>4.5</v>
      </c>
      <c r="D80" s="12">
        <v>1.5</v>
      </c>
      <c r="E80" s="1" t="s">
        <v>6</v>
      </c>
      <c r="F80" s="27">
        <f t="shared" ca="1" si="2"/>
        <v>2</v>
      </c>
      <c r="G80" s="36" cm="1">
        <f t="array" aca="1" ref="G80" ca="1">$O$5*NMultDensity(C80:D80,$M$7:$N$7,$M$5:$N$6)+$O$9*NMultDensity(C80:D80,$M$11:$N$11,$M$9:$N$10)</f>
        <v>0.13549863196006484</v>
      </c>
      <c r="H80" s="37" cm="1">
        <f t="array" aca="1" ref="H80" ca="1">$O$5*NMultDensity(C80:D80,$M$7:$N$7,$M$5:$N$6)/G80</f>
        <v>0.42433564895745052</v>
      </c>
      <c r="I80" s="37" cm="1">
        <f t="array" aca="1" ref="I80" ca="1">$O$9*NMultDensity(C80:D80,$M$11:$N$11,$M$9:$N$10)/G80</f>
        <v>0.57566435104254943</v>
      </c>
      <c r="J80" s="38">
        <f t="shared" ca="1" si="3"/>
        <v>0.57566435104254943</v>
      </c>
      <c r="Q80" s="15">
        <v>4.5999999999999996</v>
      </c>
      <c r="R80" s="21">
        <v>1.3</v>
      </c>
      <c r="S80" s="25">
        <v>2</v>
      </c>
    </row>
    <row r="81" spans="1:19" x14ac:dyDescent="0.25">
      <c r="A81" s="1">
        <v>5.7</v>
      </c>
      <c r="B81" s="1">
        <v>2.6</v>
      </c>
      <c r="C81" s="11">
        <v>3.5</v>
      </c>
      <c r="D81" s="12">
        <v>1</v>
      </c>
      <c r="E81" s="1" t="s">
        <v>6</v>
      </c>
      <c r="F81" s="27">
        <f t="shared" ca="1" si="2"/>
        <v>1</v>
      </c>
      <c r="G81" s="36" cm="1">
        <f t="array" aca="1" ref="G81" ca="1">$O$5*NMultDensity(C81:D81,$M$7:$N$7,$M$5:$N$6)+$O$9*NMultDensity(C81:D81,$M$11:$N$11,$M$9:$N$10)</f>
        <v>0.11347458770722751</v>
      </c>
      <c r="H81" s="37" cm="1">
        <f t="array" aca="1" ref="H81" ca="1">$O$5*NMultDensity(C81:D81,$M$7:$N$7,$M$5:$N$6)/G81</f>
        <v>0.66707827709562528</v>
      </c>
      <c r="I81" s="37" cm="1">
        <f t="array" aca="1" ref="I81" ca="1">$O$9*NMultDensity(C81:D81,$M$11:$N$11,$M$9:$N$10)/G81</f>
        <v>0.33292172290437472</v>
      </c>
      <c r="J81" s="38">
        <f t="shared" ca="1" si="3"/>
        <v>0.66707827709562528</v>
      </c>
      <c r="Q81" s="15">
        <v>4.2</v>
      </c>
      <c r="R81" s="21">
        <v>1.5</v>
      </c>
      <c r="S81" s="25">
        <v>2</v>
      </c>
    </row>
    <row r="82" spans="1:19" x14ac:dyDescent="0.25">
      <c r="A82" s="1">
        <v>5.5</v>
      </c>
      <c r="B82" s="1">
        <v>2.4</v>
      </c>
      <c r="C82" s="11">
        <v>3.8</v>
      </c>
      <c r="D82" s="12">
        <v>1.1000000000000001</v>
      </c>
      <c r="E82" s="1" t="s">
        <v>6</v>
      </c>
      <c r="F82" s="27">
        <f t="shared" ca="1" si="2"/>
        <v>1</v>
      </c>
      <c r="G82" s="36" cm="1">
        <f t="array" aca="1" ref="G82" ca="1">$O$5*NMultDensity(C82:D82,$M$7:$N$7,$M$5:$N$6)+$O$9*NMultDensity(C82:D82,$M$11:$N$11,$M$9:$N$10)</f>
        <v>0.1316028180197184</v>
      </c>
      <c r="H82" s="37" cm="1">
        <f t="array" aca="1" ref="H82" ca="1">$O$5*NMultDensity(C82:D82,$M$7:$N$7,$M$5:$N$6)/G82</f>
        <v>0.60467908471400944</v>
      </c>
      <c r="I82" s="37" cm="1">
        <f t="array" aca="1" ref="I82" ca="1">$O$9*NMultDensity(C82:D82,$M$11:$N$11,$M$9:$N$10)/G82</f>
        <v>0.39532091528599067</v>
      </c>
      <c r="J82" s="38">
        <f t="shared" ca="1" si="3"/>
        <v>0.60467908471400944</v>
      </c>
      <c r="Q82" s="15">
        <v>4.7</v>
      </c>
      <c r="R82" s="21">
        <v>1.4</v>
      </c>
      <c r="S82" s="25">
        <v>2</v>
      </c>
    </row>
    <row r="83" spans="1:19" x14ac:dyDescent="0.25">
      <c r="A83" s="1">
        <v>5.5</v>
      </c>
      <c r="B83" s="1">
        <v>2.4</v>
      </c>
      <c r="C83" s="11">
        <v>3.7</v>
      </c>
      <c r="D83" s="12">
        <v>1</v>
      </c>
      <c r="E83" s="1" t="s">
        <v>6</v>
      </c>
      <c r="F83" s="27">
        <f t="shared" ca="1" si="2"/>
        <v>1</v>
      </c>
      <c r="G83" s="36" cm="1">
        <f t="array" aca="1" ref="G83" ca="1">$O$5*NMultDensity(C83:D83,$M$7:$N$7,$M$5:$N$6)+$O$9*NMultDensity(C83:D83,$M$11:$N$11,$M$9:$N$10)</f>
        <v>0.12401432588069347</v>
      </c>
      <c r="H83" s="37" cm="1">
        <f t="array" aca="1" ref="H83" ca="1">$O$5*NMultDensity(C83:D83,$M$7:$N$7,$M$5:$N$6)/G83</f>
        <v>0.635294849322807</v>
      </c>
      <c r="I83" s="37" cm="1">
        <f t="array" aca="1" ref="I83" ca="1">$O$9*NMultDensity(C83:D83,$M$11:$N$11,$M$9:$N$10)/G83</f>
        <v>0.364705150677193</v>
      </c>
      <c r="J83" s="38">
        <f t="shared" ca="1" si="3"/>
        <v>0.635294849322807</v>
      </c>
      <c r="Q83" s="15">
        <v>4.4000000000000004</v>
      </c>
      <c r="R83" s="21">
        <v>1.4</v>
      </c>
      <c r="S83" s="25">
        <v>2</v>
      </c>
    </row>
    <row r="84" spans="1:19" x14ac:dyDescent="0.25">
      <c r="A84" s="1">
        <v>5.8</v>
      </c>
      <c r="B84" s="1">
        <v>2.7</v>
      </c>
      <c r="C84" s="11">
        <v>3.9</v>
      </c>
      <c r="D84" s="12">
        <v>1.2</v>
      </c>
      <c r="E84" s="1" t="s">
        <v>6</v>
      </c>
      <c r="F84" s="27">
        <f t="shared" ca="1" si="2"/>
        <v>1</v>
      </c>
      <c r="G84" s="36" cm="1">
        <f t="array" aca="1" ref="G84" ca="1">$O$5*NMultDensity(C84:D84,$M$7:$N$7,$M$5:$N$6)+$O$9*NMultDensity(C84:D84,$M$11:$N$11,$M$9:$N$10)</f>
        <v>0.13744407682574733</v>
      </c>
      <c r="H84" s="37" cm="1">
        <f t="array" aca="1" ref="H84" ca="1">$O$5*NMultDensity(C84:D84,$M$7:$N$7,$M$5:$N$6)/G84</f>
        <v>0.57321977267983493</v>
      </c>
      <c r="I84" s="37" cm="1">
        <f t="array" aca="1" ref="I84" ca="1">$O$9*NMultDensity(C84:D84,$M$11:$N$11,$M$9:$N$10)/G84</f>
        <v>0.42678022732016513</v>
      </c>
      <c r="J84" s="38">
        <f t="shared" ca="1" si="3"/>
        <v>0.57321977267983493</v>
      </c>
      <c r="Q84" s="15">
        <v>4.5</v>
      </c>
      <c r="R84" s="21">
        <v>1.5</v>
      </c>
      <c r="S84" s="25">
        <v>2</v>
      </c>
    </row>
    <row r="85" spans="1:19" x14ac:dyDescent="0.25">
      <c r="A85" s="1">
        <v>6</v>
      </c>
      <c r="B85" s="1">
        <v>2.7</v>
      </c>
      <c r="C85" s="11">
        <v>5.0999999999999996</v>
      </c>
      <c r="D85" s="12">
        <v>1.6</v>
      </c>
      <c r="E85" s="1" t="s">
        <v>6</v>
      </c>
      <c r="F85" s="27">
        <f t="shared" ca="1" si="2"/>
        <v>2</v>
      </c>
      <c r="G85" s="36" cm="1">
        <f t="array" aca="1" ref="G85" ca="1">$O$5*NMultDensity(C85:D85,$M$7:$N$7,$M$5:$N$6)+$O$9*NMultDensity(C85:D85,$M$11:$N$11,$M$9:$N$10)</f>
        <v>9.6303647178182392E-2</v>
      </c>
      <c r="H85" s="37" cm="1">
        <f t="array" aca="1" ref="H85" ca="1">$O$5*NMultDensity(C85:D85,$M$7:$N$7,$M$5:$N$6)/G85</f>
        <v>0.31324327335609825</v>
      </c>
      <c r="I85" s="37" cm="1">
        <f t="array" aca="1" ref="I85" ca="1">$O$9*NMultDensity(C85:D85,$M$11:$N$11,$M$9:$N$10)/G85</f>
        <v>0.68675672664390175</v>
      </c>
      <c r="J85" s="38">
        <f t="shared" ca="1" si="3"/>
        <v>0.68675672664390175</v>
      </c>
      <c r="Q85" s="15">
        <v>4.5</v>
      </c>
      <c r="R85" s="21">
        <v>1.5</v>
      </c>
      <c r="S85" s="25">
        <v>2</v>
      </c>
    </row>
    <row r="86" spans="1:19" x14ac:dyDescent="0.25">
      <c r="A86" s="1">
        <v>5.4</v>
      </c>
      <c r="B86" s="1">
        <v>3</v>
      </c>
      <c r="C86" s="11">
        <v>4.5</v>
      </c>
      <c r="D86" s="12">
        <v>1.5</v>
      </c>
      <c r="E86" s="1" t="s">
        <v>6</v>
      </c>
      <c r="F86" s="27">
        <f t="shared" ca="1" si="2"/>
        <v>2</v>
      </c>
      <c r="G86" s="36" cm="1">
        <f t="array" aca="1" ref="G86" ca="1">$O$5*NMultDensity(C86:D86,$M$7:$N$7,$M$5:$N$6)+$O$9*NMultDensity(C86:D86,$M$11:$N$11,$M$9:$N$10)</f>
        <v>0.13549863196006484</v>
      </c>
      <c r="H86" s="37" cm="1">
        <f t="array" aca="1" ref="H86" ca="1">$O$5*NMultDensity(C86:D86,$M$7:$N$7,$M$5:$N$6)/G86</f>
        <v>0.42433564895745052</v>
      </c>
      <c r="I86" s="37" cm="1">
        <f t="array" aca="1" ref="I86" ca="1">$O$9*NMultDensity(C86:D86,$M$11:$N$11,$M$9:$N$10)/G86</f>
        <v>0.57566435104254943</v>
      </c>
      <c r="J86" s="38">
        <f t="shared" ca="1" si="3"/>
        <v>0.57566435104254943</v>
      </c>
      <c r="Q86" s="15">
        <v>4.8</v>
      </c>
      <c r="R86" s="21">
        <v>1.8</v>
      </c>
      <c r="S86" s="25">
        <v>2</v>
      </c>
    </row>
    <row r="87" spans="1:19" x14ac:dyDescent="0.25">
      <c r="A87" s="1">
        <v>6</v>
      </c>
      <c r="B87" s="1">
        <v>3.4</v>
      </c>
      <c r="C87" s="11">
        <v>4.5</v>
      </c>
      <c r="D87" s="12">
        <v>1.6</v>
      </c>
      <c r="E87" s="1" t="s">
        <v>6</v>
      </c>
      <c r="F87" s="27">
        <f t="shared" ca="1" si="2"/>
        <v>2</v>
      </c>
      <c r="G87" s="36" cm="1">
        <f t="array" aca="1" ref="G87" ca="1">$O$5*NMultDensity(C87:D87,$M$7:$N$7,$M$5:$N$6)+$O$9*NMultDensity(C87:D87,$M$11:$N$11,$M$9:$N$10)</f>
        <v>0.13414746879292183</v>
      </c>
      <c r="H87" s="37" cm="1">
        <f t="array" aca="1" ref="H87" ca="1">$O$5*NMultDensity(C87:D87,$M$7:$N$7,$M$5:$N$6)/G87</f>
        <v>0.40974974806981657</v>
      </c>
      <c r="I87" s="37" cm="1">
        <f t="array" aca="1" ref="I87" ca="1">$O$9*NMultDensity(C87:D87,$M$11:$N$11,$M$9:$N$10)/G87</f>
        <v>0.59025025193018343</v>
      </c>
      <c r="J87" s="38">
        <f t="shared" ca="1" si="3"/>
        <v>0.59025025193018343</v>
      </c>
      <c r="Q87" s="15">
        <v>4.9000000000000004</v>
      </c>
      <c r="R87" s="21">
        <v>1.5</v>
      </c>
      <c r="S87" s="25">
        <v>2</v>
      </c>
    </row>
    <row r="88" spans="1:19" x14ac:dyDescent="0.25">
      <c r="A88" s="1">
        <v>6.7</v>
      </c>
      <c r="B88" s="1">
        <v>3.1</v>
      </c>
      <c r="C88" s="11">
        <v>4.7</v>
      </c>
      <c r="D88" s="12">
        <v>1.5</v>
      </c>
      <c r="E88" s="1" t="s">
        <v>6</v>
      </c>
      <c r="F88" s="27">
        <f t="shared" ca="1" si="2"/>
        <v>2</v>
      </c>
      <c r="G88" s="36" cm="1">
        <f t="array" aca="1" ref="G88" ca="1">$O$5*NMultDensity(C88:D88,$M$7:$N$7,$M$5:$N$6)+$O$9*NMultDensity(C88:D88,$M$11:$N$11,$M$9:$N$10)</f>
        <v>0.12545282041222064</v>
      </c>
      <c r="H88" s="37" cm="1">
        <f t="array" aca="1" ref="H88" ca="1">$O$5*NMultDensity(C88:D88,$M$7:$N$7,$M$5:$N$6)/G88</f>
        <v>0.39055021637167475</v>
      </c>
      <c r="I88" s="37" cm="1">
        <f t="array" aca="1" ref="I88" ca="1">$O$9*NMultDensity(C88:D88,$M$11:$N$11,$M$9:$N$10)/G88</f>
        <v>0.60944978362832525</v>
      </c>
      <c r="J88" s="38">
        <f t="shared" ca="1" si="3"/>
        <v>0.60944978362832525</v>
      </c>
      <c r="Q88" s="15">
        <v>4.7</v>
      </c>
      <c r="R88" s="21">
        <v>1.2</v>
      </c>
      <c r="S88" s="25">
        <v>2</v>
      </c>
    </row>
    <row r="89" spans="1:19" x14ac:dyDescent="0.25">
      <c r="A89" s="1">
        <v>6.3</v>
      </c>
      <c r="B89" s="1">
        <v>2.2999999999999998</v>
      </c>
      <c r="C89" s="11">
        <v>4.4000000000000004</v>
      </c>
      <c r="D89" s="12">
        <v>1.3</v>
      </c>
      <c r="E89" s="1" t="s">
        <v>6</v>
      </c>
      <c r="F89" s="27">
        <f t="shared" ca="1" si="2"/>
        <v>2</v>
      </c>
      <c r="G89" s="36" cm="1">
        <f t="array" aca="1" ref="G89" ca="1">$O$5*NMultDensity(C89:D89,$M$7:$N$7,$M$5:$N$6)+$O$9*NMultDensity(C89:D89,$M$11:$N$11,$M$9:$N$10)</f>
        <v>0.13824540838341576</v>
      </c>
      <c r="H89" s="37" cm="1">
        <f t="array" aca="1" ref="H89" ca="1">$O$5*NMultDensity(C89:D89,$M$7:$N$7,$M$5:$N$6)/G89</f>
        <v>0.47128164304856024</v>
      </c>
      <c r="I89" s="37" cm="1">
        <f t="array" aca="1" ref="I89" ca="1">$O$9*NMultDensity(C89:D89,$M$11:$N$11,$M$9:$N$10)/G89</f>
        <v>0.52871835695143976</v>
      </c>
      <c r="J89" s="38">
        <f t="shared" ca="1" si="3"/>
        <v>0.52871835695143976</v>
      </c>
      <c r="Q89" s="15">
        <v>4.3</v>
      </c>
      <c r="R89" s="21">
        <v>1.3</v>
      </c>
      <c r="S89" s="25">
        <v>2</v>
      </c>
    </row>
    <row r="90" spans="1:19" x14ac:dyDescent="0.25">
      <c r="A90" s="1">
        <v>5.6</v>
      </c>
      <c r="B90" s="1">
        <v>3</v>
      </c>
      <c r="C90" s="11">
        <v>4.0999999999999996</v>
      </c>
      <c r="D90" s="12">
        <v>1.3</v>
      </c>
      <c r="E90" s="1" t="s">
        <v>6</v>
      </c>
      <c r="F90" s="27">
        <f t="shared" ca="1" si="2"/>
        <v>1</v>
      </c>
      <c r="G90" s="36" cm="1">
        <f t="array" aca="1" ref="G90" ca="1">$O$5*NMultDensity(C90:D90,$M$7:$N$7,$M$5:$N$6)+$O$9*NMultDensity(C90:D90,$M$11:$N$11,$M$9:$N$10)</f>
        <v>0.1423809075230634</v>
      </c>
      <c r="H90" s="37" cm="1">
        <f t="array" aca="1" ref="H90" ca="1">$O$5*NMultDensity(C90:D90,$M$7:$N$7,$M$5:$N$6)/G90</f>
        <v>0.52373215412656116</v>
      </c>
      <c r="I90" s="37" cm="1">
        <f t="array" aca="1" ref="I90" ca="1">$O$9*NMultDensity(C90:D90,$M$11:$N$11,$M$9:$N$10)/G90</f>
        <v>0.4762678458734389</v>
      </c>
      <c r="J90" s="38">
        <f t="shared" ca="1" si="3"/>
        <v>0.52373215412656116</v>
      </c>
      <c r="Q90" s="15">
        <v>4.4000000000000004</v>
      </c>
      <c r="R90" s="21">
        <v>1.4</v>
      </c>
      <c r="S90" s="25">
        <v>2</v>
      </c>
    </row>
    <row r="91" spans="1:19" x14ac:dyDescent="0.25">
      <c r="A91" s="1">
        <v>5.5</v>
      </c>
      <c r="B91" s="1">
        <v>2.5</v>
      </c>
      <c r="C91" s="11">
        <v>4</v>
      </c>
      <c r="D91" s="12">
        <v>1.3</v>
      </c>
      <c r="E91" s="1" t="s">
        <v>6</v>
      </c>
      <c r="F91" s="27">
        <f t="shared" ca="1" si="2"/>
        <v>1</v>
      </c>
      <c r="G91" s="36" cm="1">
        <f t="array" aca="1" ref="G91" ca="1">$O$5*NMultDensity(C91:D91,$M$7:$N$7,$M$5:$N$6)+$O$9*NMultDensity(C91:D91,$M$11:$N$11,$M$9:$N$10)</f>
        <v>0.14128476789750299</v>
      </c>
      <c r="H91" s="37" cm="1">
        <f t="array" aca="1" ref="H91" ca="1">$O$5*NMultDensity(C91:D91,$M$7:$N$7,$M$5:$N$6)/G91</f>
        <v>0.541156668150228</v>
      </c>
      <c r="I91" s="37" cm="1">
        <f t="array" aca="1" ref="I91" ca="1">$O$9*NMultDensity(C91:D91,$M$11:$N$11,$M$9:$N$10)/G91</f>
        <v>0.45884333184977194</v>
      </c>
      <c r="J91" s="38">
        <f t="shared" ca="1" si="3"/>
        <v>0.541156668150228</v>
      </c>
      <c r="Q91" s="15">
        <v>4.8</v>
      </c>
      <c r="R91" s="21">
        <v>1.4</v>
      </c>
      <c r="S91" s="25">
        <v>2</v>
      </c>
    </row>
    <row r="92" spans="1:19" x14ac:dyDescent="0.25">
      <c r="A92" s="1">
        <v>5.5</v>
      </c>
      <c r="B92" s="1">
        <v>2.6</v>
      </c>
      <c r="C92" s="11">
        <v>4.4000000000000004</v>
      </c>
      <c r="D92" s="12">
        <v>1.2</v>
      </c>
      <c r="E92" s="1" t="s">
        <v>6</v>
      </c>
      <c r="F92" s="27">
        <f t="shared" ca="1" si="2"/>
        <v>2</v>
      </c>
      <c r="G92" s="36" cm="1">
        <f t="array" aca="1" ref="G92" ca="1">$O$5*NMultDensity(C92:D92,$M$7:$N$7,$M$5:$N$6)+$O$9*NMultDensity(C92:D92,$M$11:$N$11,$M$9:$N$10)</f>
        <v>0.13601379166866534</v>
      </c>
      <c r="H92" s="37" cm="1">
        <f t="array" aca="1" ref="H92" ca="1">$O$5*NMultDensity(C92:D92,$M$7:$N$7,$M$5:$N$6)/G92</f>
        <v>0.48625346509764511</v>
      </c>
      <c r="I92" s="37" cm="1">
        <f t="array" aca="1" ref="I92" ca="1">$O$9*NMultDensity(C92:D92,$M$11:$N$11,$M$9:$N$10)/G92</f>
        <v>0.513746534902355</v>
      </c>
      <c r="J92" s="38">
        <f t="shared" ca="1" si="3"/>
        <v>0.513746534902355</v>
      </c>
      <c r="Q92" s="15">
        <v>5</v>
      </c>
      <c r="R92" s="21">
        <v>1.7</v>
      </c>
      <c r="S92" s="25">
        <v>2</v>
      </c>
    </row>
    <row r="93" spans="1:19" x14ac:dyDescent="0.25">
      <c r="A93" s="1">
        <v>6.1</v>
      </c>
      <c r="B93" s="1">
        <v>3</v>
      </c>
      <c r="C93" s="11">
        <v>4.5999999999999996</v>
      </c>
      <c r="D93" s="12">
        <v>1.4</v>
      </c>
      <c r="E93" s="1" t="s">
        <v>6</v>
      </c>
      <c r="F93" s="27">
        <f t="shared" ca="1" si="2"/>
        <v>2</v>
      </c>
      <c r="G93" s="36" cm="1">
        <f t="array" aca="1" ref="G93" ca="1">$O$5*NMultDensity(C93:D93,$M$7:$N$7,$M$5:$N$6)+$O$9*NMultDensity(C93:D93,$M$11:$N$11,$M$9:$N$10)</f>
        <v>0.13093884669440831</v>
      </c>
      <c r="H93" s="37" cm="1">
        <f t="array" aca="1" ref="H93" ca="1">$O$5*NMultDensity(C93:D93,$M$7:$N$7,$M$5:$N$6)/G93</f>
        <v>0.42189476711569091</v>
      </c>
      <c r="I93" s="37" cm="1">
        <f t="array" aca="1" ref="I93" ca="1">$O$9*NMultDensity(C93:D93,$M$11:$N$11,$M$9:$N$10)/G93</f>
        <v>0.57810523288430904</v>
      </c>
      <c r="J93" s="38">
        <f t="shared" ca="1" si="3"/>
        <v>0.57810523288430904</v>
      </c>
      <c r="Q93" s="15">
        <v>4.5</v>
      </c>
      <c r="R93" s="21">
        <v>1.5</v>
      </c>
      <c r="S93" s="25">
        <v>2</v>
      </c>
    </row>
    <row r="94" spans="1:19" x14ac:dyDescent="0.25">
      <c r="A94" s="1">
        <v>5.8</v>
      </c>
      <c r="B94" s="1">
        <v>2.6</v>
      </c>
      <c r="C94" s="11">
        <v>4</v>
      </c>
      <c r="D94" s="12">
        <v>1.2</v>
      </c>
      <c r="E94" s="1" t="s">
        <v>6</v>
      </c>
      <c r="F94" s="27">
        <f t="shared" ca="1" si="2"/>
        <v>1</v>
      </c>
      <c r="G94" s="36" cm="1">
        <f t="array" aca="1" ref="G94" ca="1">$O$5*NMultDensity(C94:D94,$M$7:$N$7,$M$5:$N$6)+$O$9*NMultDensity(C94:D94,$M$11:$N$11,$M$9:$N$10)</f>
        <v>0.13958769392774184</v>
      </c>
      <c r="H94" s="37" cm="1">
        <f t="array" aca="1" ref="H94" ca="1">$O$5*NMultDensity(C94:D94,$M$7:$N$7,$M$5:$N$6)/G94</f>
        <v>0.55601389054462003</v>
      </c>
      <c r="I94" s="37" cm="1">
        <f t="array" aca="1" ref="I94" ca="1">$O$9*NMultDensity(C94:D94,$M$11:$N$11,$M$9:$N$10)/G94</f>
        <v>0.44398610945538014</v>
      </c>
      <c r="J94" s="38">
        <f t="shared" ca="1" si="3"/>
        <v>0.55601389054462003</v>
      </c>
      <c r="Q94" s="15">
        <v>5.0999999999999996</v>
      </c>
      <c r="R94" s="21">
        <v>1.6</v>
      </c>
      <c r="S94" s="25">
        <v>2</v>
      </c>
    </row>
    <row r="95" spans="1:19" x14ac:dyDescent="0.25">
      <c r="A95" s="1">
        <v>5</v>
      </c>
      <c r="B95" s="1">
        <v>2.2999999999999998</v>
      </c>
      <c r="C95" s="11">
        <v>3.3</v>
      </c>
      <c r="D95" s="12">
        <v>1</v>
      </c>
      <c r="E95" s="1" t="s">
        <v>6</v>
      </c>
      <c r="F95" s="27">
        <f t="shared" ca="1" si="2"/>
        <v>1</v>
      </c>
      <c r="G95" s="36" cm="1">
        <f t="array" aca="1" ref="G95" ca="1">$O$5*NMultDensity(C95:D95,$M$7:$N$7,$M$5:$N$6)+$O$9*NMultDensity(C95:D95,$M$11:$N$11,$M$9:$N$10)</f>
        <v>0.10019429390544882</v>
      </c>
      <c r="H95" s="37" cm="1">
        <f t="array" aca="1" ref="H95" ca="1">$O$5*NMultDensity(C95:D95,$M$7:$N$7,$M$5:$N$6)/G95</f>
        <v>0.69741111439588233</v>
      </c>
      <c r="I95" s="37" cm="1">
        <f t="array" aca="1" ref="I95" ca="1">$O$9*NMultDensity(C95:D95,$M$11:$N$11,$M$9:$N$10)/G95</f>
        <v>0.30258888560411767</v>
      </c>
      <c r="J95" s="38">
        <f t="shared" ca="1" si="3"/>
        <v>0.69741111439588233</v>
      </c>
      <c r="Q95" s="15">
        <v>4.5</v>
      </c>
      <c r="R95" s="21">
        <v>1.5</v>
      </c>
      <c r="S95" s="25">
        <v>2</v>
      </c>
    </row>
    <row r="96" spans="1:19" x14ac:dyDescent="0.25">
      <c r="A96" s="1">
        <v>5.6</v>
      </c>
      <c r="B96" s="1">
        <v>2.7</v>
      </c>
      <c r="C96" s="11">
        <v>4.2</v>
      </c>
      <c r="D96" s="12">
        <v>1.3</v>
      </c>
      <c r="E96" s="1" t="s">
        <v>6</v>
      </c>
      <c r="F96" s="27">
        <f t="shared" ca="1" si="2"/>
        <v>1</v>
      </c>
      <c r="G96" s="36" cm="1">
        <f t="array" aca="1" ref="G96" ca="1">$O$5*NMultDensity(C96:D96,$M$7:$N$7,$M$5:$N$6)+$O$9*NMultDensity(C96:D96,$M$11:$N$11,$M$9:$N$10)</f>
        <v>0.14223154604227792</v>
      </c>
      <c r="H96" s="37" cm="1">
        <f t="array" aca="1" ref="H96" ca="1">$O$5*NMultDensity(C96:D96,$M$7:$N$7,$M$5:$N$6)/G96</f>
        <v>0.5062496744995103</v>
      </c>
      <c r="I96" s="37" cm="1">
        <f t="array" aca="1" ref="I96" ca="1">$O$9*NMultDensity(C96:D96,$M$11:$N$11,$M$9:$N$10)/G96</f>
        <v>0.49375032550048964</v>
      </c>
      <c r="J96" s="38">
        <f t="shared" ca="1" si="3"/>
        <v>0.5062496744995103</v>
      </c>
      <c r="Q96" s="15">
        <v>4.5</v>
      </c>
      <c r="R96" s="21">
        <v>1.6</v>
      </c>
      <c r="S96" s="25">
        <v>2</v>
      </c>
    </row>
    <row r="97" spans="1:19" x14ac:dyDescent="0.25">
      <c r="A97" s="1">
        <v>5.7</v>
      </c>
      <c r="B97" s="1">
        <v>3</v>
      </c>
      <c r="C97" s="11">
        <v>4.2</v>
      </c>
      <c r="D97" s="12">
        <v>1.2</v>
      </c>
      <c r="E97" s="1" t="s">
        <v>6</v>
      </c>
      <c r="F97" s="27">
        <f t="shared" ca="1" si="2"/>
        <v>1</v>
      </c>
      <c r="G97" s="36" cm="1">
        <f t="array" aca="1" ref="G97" ca="1">$O$5*NMultDensity(C97:D97,$M$7:$N$7,$M$5:$N$6)+$O$9*NMultDensity(C97:D97,$M$11:$N$11,$M$9:$N$10)</f>
        <v>0.14022959811357624</v>
      </c>
      <c r="H97" s="37" cm="1">
        <f t="array" aca="1" ref="H97" ca="1">$O$5*NMultDensity(C97:D97,$M$7:$N$7,$M$5:$N$6)/G97</f>
        <v>0.52123721496627407</v>
      </c>
      <c r="I97" s="37" cm="1">
        <f t="array" aca="1" ref="I97" ca="1">$O$9*NMultDensity(C97:D97,$M$11:$N$11,$M$9:$N$10)/G97</f>
        <v>0.47876278503372593</v>
      </c>
      <c r="J97" s="38">
        <f t="shared" ca="1" si="3"/>
        <v>0.52123721496627407</v>
      </c>
      <c r="Q97" s="15">
        <v>4.7</v>
      </c>
      <c r="R97" s="21">
        <v>1.5</v>
      </c>
      <c r="S97" s="25">
        <v>2</v>
      </c>
    </row>
    <row r="98" spans="1:19" x14ac:dyDescent="0.25">
      <c r="A98" s="1">
        <v>5.7</v>
      </c>
      <c r="B98" s="1">
        <v>2.9</v>
      </c>
      <c r="C98" s="11">
        <v>4.2</v>
      </c>
      <c r="D98" s="12">
        <v>1.3</v>
      </c>
      <c r="E98" s="1" t="s">
        <v>6</v>
      </c>
      <c r="F98" s="27">
        <f t="shared" ca="1" si="2"/>
        <v>1</v>
      </c>
      <c r="G98" s="36" cm="1">
        <f t="array" aca="1" ref="G98" ca="1">$O$5*NMultDensity(C98:D98,$M$7:$N$7,$M$5:$N$6)+$O$9*NMultDensity(C98:D98,$M$11:$N$11,$M$9:$N$10)</f>
        <v>0.14223154604227792</v>
      </c>
      <c r="H98" s="37" cm="1">
        <f t="array" aca="1" ref="H98" ca="1">$O$5*NMultDensity(C98:D98,$M$7:$N$7,$M$5:$N$6)/G98</f>
        <v>0.5062496744995103</v>
      </c>
      <c r="I98" s="37" cm="1">
        <f t="array" aca="1" ref="I98" ca="1">$O$9*NMultDensity(C98:D98,$M$11:$N$11,$M$9:$N$10)/G98</f>
        <v>0.49375032550048964</v>
      </c>
      <c r="J98" s="38">
        <f t="shared" ca="1" si="3"/>
        <v>0.5062496744995103</v>
      </c>
      <c r="Q98" s="15">
        <v>4.4000000000000004</v>
      </c>
      <c r="R98" s="21">
        <v>1.3</v>
      </c>
      <c r="S98" s="25">
        <v>2</v>
      </c>
    </row>
    <row r="99" spans="1:19" x14ac:dyDescent="0.25">
      <c r="A99" s="1">
        <v>6.2</v>
      </c>
      <c r="B99" s="1">
        <v>2.9</v>
      </c>
      <c r="C99" s="11">
        <v>4.3</v>
      </c>
      <c r="D99" s="12">
        <v>1.3</v>
      </c>
      <c r="E99" s="1" t="s">
        <v>6</v>
      </c>
      <c r="F99" s="27">
        <f t="shared" ca="1" si="2"/>
        <v>2</v>
      </c>
      <c r="G99" s="36" cm="1">
        <f t="array" aca="1" ref="G99" ca="1">$O$5*NMultDensity(C99:D99,$M$7:$N$7,$M$5:$N$6)+$O$9*NMultDensity(C99:D99,$M$11:$N$11,$M$9:$N$10)</f>
        <v>0.14084096080409575</v>
      </c>
      <c r="H99" s="37" cm="1">
        <f t="array" aca="1" ref="H99" ca="1">$O$5*NMultDensity(C99:D99,$M$7:$N$7,$M$5:$N$6)/G99</f>
        <v>0.48875189805314517</v>
      </c>
      <c r="I99" s="37" cm="1">
        <f t="array" aca="1" ref="I99" ca="1">$O$9*NMultDensity(C99:D99,$M$11:$N$11,$M$9:$N$10)/G99</f>
        <v>0.51124810194685488</v>
      </c>
      <c r="J99" s="38">
        <f t="shared" ca="1" si="3"/>
        <v>0.51124810194685488</v>
      </c>
      <c r="Q99" s="15">
        <v>4.4000000000000004</v>
      </c>
      <c r="R99" s="21">
        <v>1.2</v>
      </c>
      <c r="S99" s="25">
        <v>2</v>
      </c>
    </row>
    <row r="100" spans="1:19" x14ac:dyDescent="0.25">
      <c r="A100" s="1">
        <v>5.0999999999999996</v>
      </c>
      <c r="B100" s="1">
        <v>2.5</v>
      </c>
      <c r="C100" s="11">
        <v>3</v>
      </c>
      <c r="D100" s="12">
        <v>1.1000000000000001</v>
      </c>
      <c r="E100" s="1" t="s">
        <v>6</v>
      </c>
      <c r="F100" s="27">
        <f t="shared" ca="1" si="2"/>
        <v>1</v>
      </c>
      <c r="G100" s="36" cm="1">
        <f t="array" aca="1" ref="G100" ca="1">$O$5*NMultDensity(C100:D100,$M$7:$N$7,$M$5:$N$6)+$O$9*NMultDensity(C100:D100,$M$11:$N$11,$M$9:$N$10)</f>
        <v>7.9364329027482666E-2</v>
      </c>
      <c r="H100" s="37" cm="1">
        <f t="array" aca="1" ref="H100" ca="1">$O$5*NMultDensity(C100:D100,$M$7:$N$7,$M$5:$N$6)/G100</f>
        <v>0.72809919826624936</v>
      </c>
      <c r="I100" s="37" cm="1">
        <f t="array" aca="1" ref="I100" ca="1">$O$9*NMultDensity(C100:D100,$M$11:$N$11,$M$9:$N$10)/G100</f>
        <v>0.27190080173375075</v>
      </c>
      <c r="J100" s="38">
        <f t="shared" ca="1" si="3"/>
        <v>0.72809919826624936</v>
      </c>
      <c r="Q100" s="15">
        <v>4.5999999999999996</v>
      </c>
      <c r="R100" s="21">
        <v>1.4</v>
      </c>
      <c r="S100" s="25">
        <v>2</v>
      </c>
    </row>
    <row r="101" spans="1:19" x14ac:dyDescent="0.25">
      <c r="A101" s="1">
        <v>5.7</v>
      </c>
      <c r="B101" s="1">
        <v>2.8</v>
      </c>
      <c r="C101" s="11">
        <v>4.0999999999999996</v>
      </c>
      <c r="D101" s="12">
        <v>1.3</v>
      </c>
      <c r="E101" s="1" t="s">
        <v>6</v>
      </c>
      <c r="F101" s="27">
        <f t="shared" ca="1" si="2"/>
        <v>1</v>
      </c>
      <c r="G101" s="36" cm="1">
        <f t="array" aca="1" ref="G101" ca="1">$O$5*NMultDensity(C101:D101,$M$7:$N$7,$M$5:$N$6)+$O$9*NMultDensity(C101:D101,$M$11:$N$11,$M$9:$N$10)</f>
        <v>0.1423809075230634</v>
      </c>
      <c r="H101" s="37" cm="1">
        <f t="array" aca="1" ref="H101" ca="1">$O$5*NMultDensity(C101:D101,$M$7:$N$7,$M$5:$N$6)/G101</f>
        <v>0.52373215412656116</v>
      </c>
      <c r="I101" s="37" cm="1">
        <f t="array" aca="1" ref="I101" ca="1">$O$9*NMultDensity(C101:D101,$M$11:$N$11,$M$9:$N$10)/G101</f>
        <v>0.4762678458734389</v>
      </c>
      <c r="J101" s="38">
        <f t="shared" ca="1" si="3"/>
        <v>0.52373215412656116</v>
      </c>
      <c r="Q101" s="15">
        <v>4.3</v>
      </c>
      <c r="R101" s="21">
        <v>1.3</v>
      </c>
      <c r="S101" s="25">
        <v>2</v>
      </c>
    </row>
    <row r="102" spans="1:19" x14ac:dyDescent="0.25">
      <c r="A102" s="1">
        <v>6.3</v>
      </c>
      <c r="B102" s="1">
        <v>3.3</v>
      </c>
      <c r="C102" s="11">
        <v>6</v>
      </c>
      <c r="D102" s="12">
        <v>2.5</v>
      </c>
      <c r="E102" s="1" t="s">
        <v>7</v>
      </c>
      <c r="F102" s="27">
        <f t="shared" ca="1" si="2"/>
        <v>2</v>
      </c>
      <c r="G102" s="36" cm="1">
        <f t="array" aca="1" ref="G102" ca="1">$O$5*NMultDensity(C102:D102,$M$7:$N$7,$M$5:$N$6)+$O$9*NMultDensity(C102:D102,$M$11:$N$11,$M$9:$N$10)</f>
        <v>2.1415837139856109E-2</v>
      </c>
      <c r="H102" s="37" cm="1">
        <f t="array" aca="1" ref="H102" ca="1">$O$5*NMultDensity(C102:D102,$M$7:$N$7,$M$5:$N$6)/G102</f>
        <v>0.12400918177139825</v>
      </c>
      <c r="I102" s="37" cm="1">
        <f t="array" aca="1" ref="I102" ca="1">$O$9*NMultDensity(C102:D102,$M$11:$N$11,$M$9:$N$10)/G102</f>
        <v>0.8759908182286017</v>
      </c>
      <c r="J102" s="38">
        <f t="shared" ca="1" si="3"/>
        <v>0.8759908182286017</v>
      </c>
      <c r="Q102" s="15">
        <v>6</v>
      </c>
      <c r="R102" s="21">
        <v>2.5</v>
      </c>
      <c r="S102" s="25">
        <v>2</v>
      </c>
    </row>
    <row r="103" spans="1:19" x14ac:dyDescent="0.25">
      <c r="A103" s="1">
        <v>5.8</v>
      </c>
      <c r="B103" s="1">
        <v>2.7</v>
      </c>
      <c r="C103" s="11">
        <v>5.0999999999999996</v>
      </c>
      <c r="D103" s="12">
        <v>1.9</v>
      </c>
      <c r="E103" s="1" t="s">
        <v>7</v>
      </c>
      <c r="F103" s="27">
        <f t="shared" ca="1" si="2"/>
        <v>2</v>
      </c>
      <c r="G103" s="36" cm="1">
        <f t="array" aca="1" ref="G103" ca="1">$O$5*NMultDensity(C103:D103,$M$7:$N$7,$M$5:$N$6)+$O$9*NMultDensity(C103:D103,$M$11:$N$11,$M$9:$N$10)</f>
        <v>8.9974539969294637E-2</v>
      </c>
      <c r="H103" s="37" cm="1">
        <f t="array" aca="1" ref="H103" ca="1">$O$5*NMultDensity(C103:D103,$M$7:$N$7,$M$5:$N$6)/G103</f>
        <v>0.27587822922918143</v>
      </c>
      <c r="I103" s="37" cm="1">
        <f t="array" aca="1" ref="I103" ca="1">$O$9*NMultDensity(C103:D103,$M$11:$N$11,$M$9:$N$10)/G103</f>
        <v>0.72412177077081863</v>
      </c>
      <c r="J103" s="38">
        <f t="shared" ca="1" si="3"/>
        <v>0.72412177077081863</v>
      </c>
      <c r="Q103" s="15">
        <v>5.0999999999999996</v>
      </c>
      <c r="R103" s="21">
        <v>1.9</v>
      </c>
      <c r="S103" s="25">
        <v>2</v>
      </c>
    </row>
    <row r="104" spans="1:19" x14ac:dyDescent="0.25">
      <c r="A104" s="1">
        <v>7.1</v>
      </c>
      <c r="B104" s="1">
        <v>3</v>
      </c>
      <c r="C104" s="11">
        <v>5.9</v>
      </c>
      <c r="D104" s="12">
        <v>2.1</v>
      </c>
      <c r="E104" s="1" t="s">
        <v>7</v>
      </c>
      <c r="F104" s="27">
        <f t="shared" ca="1" si="2"/>
        <v>2</v>
      </c>
      <c r="G104" s="36" cm="1">
        <f t="array" aca="1" ref="G104" ca="1">$O$5*NMultDensity(C104:D104,$M$7:$N$7,$M$5:$N$6)+$O$9*NMultDensity(C104:D104,$M$11:$N$11,$M$9:$N$10)</f>
        <v>3.2891448681638999E-2</v>
      </c>
      <c r="H104" s="37" cm="1">
        <f t="array" aca="1" ref="H104" ca="1">$O$5*NMultDensity(C104:D104,$M$7:$N$7,$M$5:$N$6)/G104</f>
        <v>0.16178585943954393</v>
      </c>
      <c r="I104" s="37" cm="1">
        <f t="array" aca="1" ref="I104" ca="1">$O$9*NMultDensity(C104:D104,$M$11:$N$11,$M$9:$N$10)/G104</f>
        <v>0.83821414056045596</v>
      </c>
      <c r="J104" s="38">
        <f t="shared" ca="1" si="3"/>
        <v>0.83821414056045596</v>
      </c>
      <c r="Q104" s="15">
        <v>5.9</v>
      </c>
      <c r="R104" s="21">
        <v>2.1</v>
      </c>
      <c r="S104" s="25">
        <v>2</v>
      </c>
    </row>
    <row r="105" spans="1:19" x14ac:dyDescent="0.25">
      <c r="A105" s="1">
        <v>6.3</v>
      </c>
      <c r="B105" s="1">
        <v>2.9</v>
      </c>
      <c r="C105" s="11">
        <v>5.6</v>
      </c>
      <c r="D105" s="12">
        <v>1.8</v>
      </c>
      <c r="E105" s="1" t="s">
        <v>7</v>
      </c>
      <c r="F105" s="27">
        <f t="shared" ca="1" si="2"/>
        <v>2</v>
      </c>
      <c r="G105" s="36" cm="1">
        <f t="array" aca="1" ref="G105" ca="1">$O$5*NMultDensity(C105:D105,$M$7:$N$7,$M$5:$N$6)+$O$9*NMultDensity(C105:D105,$M$11:$N$11,$M$9:$N$10)</f>
        <v>5.5564737057933293E-2</v>
      </c>
      <c r="H105" s="37" cm="1">
        <f t="array" aca="1" ref="H105" ca="1">$O$5*NMultDensity(C105:D105,$M$7:$N$7,$M$5:$N$6)/G105</f>
        <v>0.22183581507529956</v>
      </c>
      <c r="I105" s="37" cm="1">
        <f t="array" aca="1" ref="I105" ca="1">$O$9*NMultDensity(C105:D105,$M$11:$N$11,$M$9:$N$10)/G105</f>
        <v>0.77816418492470041</v>
      </c>
      <c r="J105" s="38">
        <f t="shared" ca="1" si="3"/>
        <v>0.77816418492470041</v>
      </c>
      <c r="Q105" s="15">
        <v>5.6</v>
      </c>
      <c r="R105" s="21">
        <v>1.8</v>
      </c>
      <c r="S105" s="25">
        <v>2</v>
      </c>
    </row>
    <row r="106" spans="1:19" x14ac:dyDescent="0.25">
      <c r="A106" s="1">
        <v>6.5</v>
      </c>
      <c r="B106" s="1">
        <v>3</v>
      </c>
      <c r="C106" s="11">
        <v>5.8</v>
      </c>
      <c r="D106" s="12">
        <v>2.2000000000000002</v>
      </c>
      <c r="E106" s="1" t="s">
        <v>7</v>
      </c>
      <c r="F106" s="27">
        <f t="shared" ca="1" si="2"/>
        <v>2</v>
      </c>
      <c r="G106" s="36" cm="1">
        <f t="array" aca="1" ref="G106" ca="1">$O$5*NMultDensity(C106:D106,$M$7:$N$7,$M$5:$N$6)+$O$9*NMultDensity(C106:D106,$M$11:$N$11,$M$9:$N$10)</f>
        <v>3.6047494475719401E-2</v>
      </c>
      <c r="H106" s="37" cm="1">
        <f t="array" aca="1" ref="H106" ca="1">$O$5*NMultDensity(C106:D106,$M$7:$N$7,$M$5:$N$6)/G106</f>
        <v>0.16314656214056908</v>
      </c>
      <c r="I106" s="37" cm="1">
        <f t="array" aca="1" ref="I106" ca="1">$O$9*NMultDensity(C106:D106,$M$11:$N$11,$M$9:$N$10)/G106</f>
        <v>0.83685343785943089</v>
      </c>
      <c r="J106" s="38">
        <f t="shared" ca="1" si="3"/>
        <v>0.83685343785943089</v>
      </c>
      <c r="Q106" s="15">
        <v>5.8</v>
      </c>
      <c r="R106" s="21">
        <v>2.2000000000000002</v>
      </c>
      <c r="S106" s="25">
        <v>2</v>
      </c>
    </row>
    <row r="107" spans="1:19" x14ac:dyDescent="0.25">
      <c r="A107" s="1">
        <v>7.6</v>
      </c>
      <c r="B107" s="1">
        <v>3</v>
      </c>
      <c r="C107" s="11">
        <v>6.6</v>
      </c>
      <c r="D107" s="12">
        <v>2.1</v>
      </c>
      <c r="E107" s="1" t="s">
        <v>7</v>
      </c>
      <c r="F107" s="27">
        <f t="shared" ca="1" si="2"/>
        <v>2</v>
      </c>
      <c r="G107" s="36" cm="1">
        <f t="array" aca="1" ref="G107" ca="1">$O$5*NMultDensity(C107:D107,$M$7:$N$7,$M$5:$N$6)+$O$9*NMultDensity(C107:D107,$M$11:$N$11,$M$9:$N$10)</f>
        <v>9.0565763085932414E-3</v>
      </c>
      <c r="H107" s="37" cm="1">
        <f t="array" aca="1" ref="H107" ca="1">$O$5*NMultDensity(C107:D107,$M$7:$N$7,$M$5:$N$6)/G107</f>
        <v>0.10574125857099784</v>
      </c>
      <c r="I107" s="37" cm="1">
        <f t="array" aca="1" ref="I107" ca="1">$O$9*NMultDensity(C107:D107,$M$11:$N$11,$M$9:$N$10)/G107</f>
        <v>0.89425874142900219</v>
      </c>
      <c r="J107" s="38">
        <f t="shared" ca="1" si="3"/>
        <v>0.89425874142900219</v>
      </c>
      <c r="Q107" s="15">
        <v>6.6</v>
      </c>
      <c r="R107" s="21">
        <v>2.1</v>
      </c>
      <c r="S107" s="25">
        <v>2</v>
      </c>
    </row>
    <row r="108" spans="1:19" x14ac:dyDescent="0.25">
      <c r="A108" s="1">
        <v>4.9000000000000004</v>
      </c>
      <c r="B108" s="1">
        <v>2.5</v>
      </c>
      <c r="C108" s="11">
        <v>4.5</v>
      </c>
      <c r="D108" s="12">
        <v>1.7</v>
      </c>
      <c r="E108" s="1" t="s">
        <v>7</v>
      </c>
      <c r="F108" s="27">
        <f t="shared" ca="1" si="2"/>
        <v>2</v>
      </c>
      <c r="G108" s="36" cm="1">
        <f t="array" aca="1" ref="G108" ca="1">$O$5*NMultDensity(C108:D108,$M$7:$N$7,$M$5:$N$6)+$O$9*NMultDensity(C108:D108,$M$11:$N$11,$M$9:$N$10)</f>
        <v>0.1316028180197184</v>
      </c>
      <c r="H108" s="37" cm="1">
        <f t="array" aca="1" ref="H108" ca="1">$O$5*NMultDensity(C108:D108,$M$7:$N$7,$M$5:$N$6)/G108</f>
        <v>0.39532091528599067</v>
      </c>
      <c r="I108" s="37" cm="1">
        <f t="array" aca="1" ref="I108" ca="1">$O$9*NMultDensity(C108:D108,$M$11:$N$11,$M$9:$N$10)/G108</f>
        <v>0.60467908471400944</v>
      </c>
      <c r="J108" s="38">
        <f t="shared" ca="1" si="3"/>
        <v>0.60467908471400944</v>
      </c>
      <c r="Q108" s="15">
        <v>4.5</v>
      </c>
      <c r="R108" s="21">
        <v>1.7</v>
      </c>
      <c r="S108" s="25">
        <v>2</v>
      </c>
    </row>
    <row r="109" spans="1:19" x14ac:dyDescent="0.25">
      <c r="A109" s="1">
        <v>7.3</v>
      </c>
      <c r="B109" s="1">
        <v>2.9</v>
      </c>
      <c r="C109" s="11">
        <v>6.3</v>
      </c>
      <c r="D109" s="12">
        <v>1.8</v>
      </c>
      <c r="E109" s="1" t="s">
        <v>7</v>
      </c>
      <c r="F109" s="27">
        <f t="shared" ca="1" si="2"/>
        <v>2</v>
      </c>
      <c r="G109" s="36" cm="1">
        <f t="array" aca="1" ref="G109" ca="1">$O$5*NMultDensity(C109:D109,$M$7:$N$7,$M$5:$N$6)+$O$9*NMultDensity(C109:D109,$M$11:$N$11,$M$9:$N$10)</f>
        <v>1.8406373617802303E-2</v>
      </c>
      <c r="H109" s="37" cm="1">
        <f t="array" aca="1" ref="H109" ca="1">$O$5*NMultDensity(C109:D109,$M$7:$N$7,$M$5:$N$6)/G109</f>
        <v>0.14867895458390734</v>
      </c>
      <c r="I109" s="37" cm="1">
        <f t="array" aca="1" ref="I109" ca="1">$O$9*NMultDensity(C109:D109,$M$11:$N$11,$M$9:$N$10)/G109</f>
        <v>0.85132104541609266</v>
      </c>
      <c r="J109" s="38">
        <f t="shared" ca="1" si="3"/>
        <v>0.85132104541609266</v>
      </c>
      <c r="Q109" s="15">
        <v>6.3</v>
      </c>
      <c r="R109" s="21">
        <v>1.8</v>
      </c>
      <c r="S109" s="25">
        <v>2</v>
      </c>
    </row>
    <row r="110" spans="1:19" x14ac:dyDescent="0.25">
      <c r="A110" s="1">
        <v>6.7</v>
      </c>
      <c r="B110" s="1">
        <v>2.5</v>
      </c>
      <c r="C110" s="11">
        <v>5.8</v>
      </c>
      <c r="D110" s="12">
        <v>1.8</v>
      </c>
      <c r="E110" s="1" t="s">
        <v>7</v>
      </c>
      <c r="F110" s="27">
        <f t="shared" ca="1" si="2"/>
        <v>2</v>
      </c>
      <c r="G110" s="36" cm="1">
        <f t="array" aca="1" ref="G110" ca="1">$O$5*NMultDensity(C110:D110,$M$7:$N$7,$M$5:$N$6)+$O$9*NMultDensity(C110:D110,$M$11:$N$11,$M$9:$N$10)</f>
        <v>4.2442045415470996E-2</v>
      </c>
      <c r="H110" s="37" cm="1">
        <f t="array" aca="1" ref="H110" ca="1">$O$5*NMultDensity(C110:D110,$M$7:$N$7,$M$5:$N$6)/G110</f>
        <v>0.19861073488544273</v>
      </c>
      <c r="I110" s="37" cm="1">
        <f t="array" aca="1" ref="I110" ca="1">$O$9*NMultDensity(C110:D110,$M$11:$N$11,$M$9:$N$10)/G110</f>
        <v>0.80138926511455733</v>
      </c>
      <c r="J110" s="38">
        <f t="shared" ca="1" si="3"/>
        <v>0.80138926511455733</v>
      </c>
      <c r="Q110" s="15">
        <v>5.8</v>
      </c>
      <c r="R110" s="21">
        <v>1.8</v>
      </c>
      <c r="S110" s="25">
        <v>2</v>
      </c>
    </row>
    <row r="111" spans="1:19" x14ac:dyDescent="0.25">
      <c r="A111" s="1">
        <v>7.2</v>
      </c>
      <c r="B111" s="1">
        <v>3.6</v>
      </c>
      <c r="C111" s="11">
        <v>6.1</v>
      </c>
      <c r="D111" s="12">
        <v>2.5</v>
      </c>
      <c r="E111" s="1" t="s">
        <v>7</v>
      </c>
      <c r="F111" s="27">
        <f t="shared" ca="1" si="2"/>
        <v>2</v>
      </c>
      <c r="G111" s="36" cm="1">
        <f t="array" aca="1" ref="G111" ca="1">$O$5*NMultDensity(C111:D111,$M$7:$N$7,$M$5:$N$6)+$O$9*NMultDensity(C111:D111,$M$11:$N$11,$M$9:$N$10)</f>
        <v>1.8187082200954632E-2</v>
      </c>
      <c r="H111" s="37" cm="1">
        <f t="array" aca="1" ref="H111" ca="1">$O$5*NMultDensity(C111:D111,$M$7:$N$7,$M$5:$N$6)/G111</f>
        <v>0.11660296916113938</v>
      </c>
      <c r="I111" s="37" cm="1">
        <f t="array" aca="1" ref="I111" ca="1">$O$9*NMultDensity(C111:D111,$M$11:$N$11,$M$9:$N$10)/G111</f>
        <v>0.88339703083886068</v>
      </c>
      <c r="J111" s="38">
        <f t="shared" ca="1" si="3"/>
        <v>0.88339703083886068</v>
      </c>
      <c r="Q111" s="15">
        <v>6.1</v>
      </c>
      <c r="R111" s="21">
        <v>2.5</v>
      </c>
      <c r="S111" s="25">
        <v>2</v>
      </c>
    </row>
    <row r="112" spans="1:19" x14ac:dyDescent="0.25">
      <c r="A112" s="1">
        <v>6.5</v>
      </c>
      <c r="B112" s="1">
        <v>3.2</v>
      </c>
      <c r="C112" s="11">
        <v>5.0999999999999996</v>
      </c>
      <c r="D112" s="12">
        <v>2</v>
      </c>
      <c r="E112" s="1" t="s">
        <v>7</v>
      </c>
      <c r="F112" s="27">
        <f t="shared" ca="1" si="2"/>
        <v>2</v>
      </c>
      <c r="G112" s="36" cm="1">
        <f t="array" aca="1" ref="G112" ca="1">$O$5*NMultDensity(C112:D112,$M$7:$N$7,$M$5:$N$6)+$O$9*NMultDensity(C112:D112,$M$11:$N$11,$M$9:$N$10)</f>
        <v>8.6343228997221369E-2</v>
      </c>
      <c r="H112" s="37" cm="1">
        <f t="array" aca="1" ref="H112" ca="1">$O$5*NMultDensity(C112:D112,$M$7:$N$7,$M$5:$N$6)/G112</f>
        <v>0.26405460607285158</v>
      </c>
      <c r="I112" s="37" cm="1">
        <f t="array" aca="1" ref="I112" ca="1">$O$9*NMultDensity(C112:D112,$M$11:$N$11,$M$9:$N$10)/G112</f>
        <v>0.73594539392714842</v>
      </c>
      <c r="J112" s="38">
        <f t="shared" ca="1" si="3"/>
        <v>0.73594539392714842</v>
      </c>
      <c r="Q112" s="15">
        <v>5.0999999999999996</v>
      </c>
      <c r="R112" s="21">
        <v>2</v>
      </c>
      <c r="S112" s="25">
        <v>2</v>
      </c>
    </row>
    <row r="113" spans="1:19" x14ac:dyDescent="0.25">
      <c r="A113" s="1">
        <v>6.4</v>
      </c>
      <c r="B113" s="1">
        <v>2.7</v>
      </c>
      <c r="C113" s="11">
        <v>5.3</v>
      </c>
      <c r="D113" s="12">
        <v>1.9</v>
      </c>
      <c r="E113" s="1" t="s">
        <v>7</v>
      </c>
      <c r="F113" s="27">
        <f t="shared" ca="1" si="2"/>
        <v>2</v>
      </c>
      <c r="G113" s="36" cm="1">
        <f t="array" aca="1" ref="G113" ca="1">$O$5*NMultDensity(C113:D113,$M$7:$N$7,$M$5:$N$6)+$O$9*NMultDensity(C113:D113,$M$11:$N$11,$M$9:$N$10)</f>
        <v>7.5400959306084606E-2</v>
      </c>
      <c r="H113" s="37" cm="1">
        <f t="array" aca="1" ref="H113" ca="1">$O$5*NMultDensity(C113:D113,$M$7:$N$7,$M$5:$N$6)/G113</f>
        <v>0.24880421776913864</v>
      </c>
      <c r="I113" s="37" cm="1">
        <f t="array" aca="1" ref="I113" ca="1">$O$9*NMultDensity(C113:D113,$M$11:$N$11,$M$9:$N$10)/G113</f>
        <v>0.75119578223086136</v>
      </c>
      <c r="J113" s="38">
        <f t="shared" ca="1" si="3"/>
        <v>0.75119578223086136</v>
      </c>
      <c r="Q113" s="15">
        <v>5.3</v>
      </c>
      <c r="R113" s="21">
        <v>1.9</v>
      </c>
      <c r="S113" s="25">
        <v>2</v>
      </c>
    </row>
    <row r="114" spans="1:19" x14ac:dyDescent="0.25">
      <c r="A114" s="1">
        <v>6.8</v>
      </c>
      <c r="B114" s="1">
        <v>3</v>
      </c>
      <c r="C114" s="11">
        <v>5.5</v>
      </c>
      <c r="D114" s="12">
        <v>2.1</v>
      </c>
      <c r="E114" s="1" t="s">
        <v>7</v>
      </c>
      <c r="F114" s="27">
        <f t="shared" ca="1" si="2"/>
        <v>2</v>
      </c>
      <c r="G114" s="36" cm="1">
        <f t="array" aca="1" ref="G114" ca="1">$O$5*NMultDensity(C114:D114,$M$7:$N$7,$M$5:$N$6)+$O$9*NMultDensity(C114:D114,$M$11:$N$11,$M$9:$N$10)</f>
        <v>5.593385803060201E-2</v>
      </c>
      <c r="H114" s="37" cm="1">
        <f t="array" aca="1" ref="H114" ca="1">$O$5*NMultDensity(C114:D114,$M$7:$N$7,$M$5:$N$6)/G114</f>
        <v>0.20342887290906728</v>
      </c>
      <c r="I114" s="37" cm="1">
        <f t="array" aca="1" ref="I114" ca="1">$O$9*NMultDensity(C114:D114,$M$11:$N$11,$M$9:$N$10)/G114</f>
        <v>0.7965711270909327</v>
      </c>
      <c r="J114" s="38">
        <f t="shared" ca="1" si="3"/>
        <v>0.7965711270909327</v>
      </c>
      <c r="Q114" s="15">
        <v>5.5</v>
      </c>
      <c r="R114" s="21">
        <v>2.1</v>
      </c>
      <c r="S114" s="25">
        <v>2</v>
      </c>
    </row>
    <row r="115" spans="1:19" x14ac:dyDescent="0.25">
      <c r="A115" s="1">
        <v>5.7</v>
      </c>
      <c r="B115" s="1">
        <v>2.5</v>
      </c>
      <c r="C115" s="11">
        <v>5</v>
      </c>
      <c r="D115" s="12">
        <v>2</v>
      </c>
      <c r="E115" s="1" t="s">
        <v>7</v>
      </c>
      <c r="F115" s="27">
        <f t="shared" ca="1" si="2"/>
        <v>2</v>
      </c>
      <c r="G115" s="36" cm="1">
        <f t="array" aca="1" ref="G115" ca="1">$O$5*NMultDensity(C115:D115,$M$7:$N$7,$M$5:$N$6)+$O$9*NMultDensity(C115:D115,$M$11:$N$11,$M$9:$N$10)</f>
        <v>9.2971735420546667E-2</v>
      </c>
      <c r="H115" s="37" cm="1">
        <f t="array" aca="1" ref="H115" ca="1">$O$5*NMultDensity(C115:D115,$M$7:$N$7,$M$5:$N$6)/G115</f>
        <v>0.27788039415064275</v>
      </c>
      <c r="I115" s="37" cm="1">
        <f t="array" aca="1" ref="I115" ca="1">$O$9*NMultDensity(C115:D115,$M$11:$N$11,$M$9:$N$10)/G115</f>
        <v>0.72211960584935719</v>
      </c>
      <c r="J115" s="38">
        <f t="shared" ca="1" si="3"/>
        <v>0.72211960584935719</v>
      </c>
      <c r="Q115" s="15">
        <v>5</v>
      </c>
      <c r="R115" s="21">
        <v>2</v>
      </c>
      <c r="S115" s="25">
        <v>2</v>
      </c>
    </row>
    <row r="116" spans="1:19" x14ac:dyDescent="0.25">
      <c r="A116" s="1">
        <v>5.8</v>
      </c>
      <c r="B116" s="1">
        <v>2.8</v>
      </c>
      <c r="C116" s="11">
        <v>5.0999999999999996</v>
      </c>
      <c r="D116" s="12">
        <v>2.4</v>
      </c>
      <c r="E116" s="1" t="s">
        <v>7</v>
      </c>
      <c r="F116" s="27">
        <f t="shared" ca="1" si="2"/>
        <v>2</v>
      </c>
      <c r="G116" s="36" cm="1">
        <f t="array" aca="1" ref="G116" ca="1">$O$5*NMultDensity(C116:D116,$M$7:$N$7,$M$5:$N$6)+$O$9*NMultDensity(C116:D116,$M$11:$N$11,$M$9:$N$10)</f>
        <v>6.6708943643994684E-2</v>
      </c>
      <c r="H116" s="37" cm="1">
        <f t="array" aca="1" ref="H116" ca="1">$O$5*NMultDensity(C116:D116,$M$7:$N$7,$M$5:$N$6)/G116</f>
        <v>0.22011437099927417</v>
      </c>
      <c r="I116" s="37" cm="1">
        <f t="array" aca="1" ref="I116" ca="1">$O$9*NMultDensity(C116:D116,$M$11:$N$11,$M$9:$N$10)/G116</f>
        <v>0.77988562900072578</v>
      </c>
      <c r="J116" s="38">
        <f t="shared" ca="1" si="3"/>
        <v>0.77988562900072578</v>
      </c>
      <c r="Q116" s="15">
        <v>5.0999999999999996</v>
      </c>
      <c r="R116" s="21">
        <v>2.4</v>
      </c>
      <c r="S116" s="25">
        <v>2</v>
      </c>
    </row>
    <row r="117" spans="1:19" x14ac:dyDescent="0.25">
      <c r="A117" s="1">
        <v>6.4</v>
      </c>
      <c r="B117" s="1">
        <v>3.2</v>
      </c>
      <c r="C117" s="11">
        <v>5.3</v>
      </c>
      <c r="D117" s="12">
        <v>2.2999999999999998</v>
      </c>
      <c r="E117" s="1" t="s">
        <v>7</v>
      </c>
      <c r="F117" s="27">
        <f t="shared" ca="1" si="2"/>
        <v>2</v>
      </c>
      <c r="G117" s="36" cm="1">
        <f t="array" aca="1" ref="G117" ca="1">$O$5*NMultDensity(C117:D117,$M$7:$N$7,$M$5:$N$6)+$O$9*NMultDensity(C117:D117,$M$11:$N$11,$M$9:$N$10)</f>
        <v>6.0841431791662168E-2</v>
      </c>
      <c r="H117" s="37" cm="1">
        <f t="array" aca="1" ref="H117" ca="1">$O$5*NMultDensity(C117:D117,$M$7:$N$7,$M$5:$N$6)/G117</f>
        <v>0.20668901283744179</v>
      </c>
      <c r="I117" s="37" cm="1">
        <f t="array" aca="1" ref="I117" ca="1">$O$9*NMultDensity(C117:D117,$M$11:$N$11,$M$9:$N$10)/G117</f>
        <v>0.79331098716255821</v>
      </c>
      <c r="J117" s="38">
        <f t="shared" ca="1" si="3"/>
        <v>0.79331098716255821</v>
      </c>
      <c r="Q117" s="15">
        <v>5.3</v>
      </c>
      <c r="R117" s="21">
        <v>2.2999999999999998</v>
      </c>
      <c r="S117" s="25">
        <v>2</v>
      </c>
    </row>
    <row r="118" spans="1:19" x14ac:dyDescent="0.25">
      <c r="A118" s="1">
        <v>6.5</v>
      </c>
      <c r="B118" s="1">
        <v>3</v>
      </c>
      <c r="C118" s="11">
        <v>5.5</v>
      </c>
      <c r="D118" s="12">
        <v>1.8</v>
      </c>
      <c r="E118" s="1" t="s">
        <v>7</v>
      </c>
      <c r="F118" s="27">
        <f t="shared" ca="1" si="2"/>
        <v>2</v>
      </c>
      <c r="G118" s="36" cm="1">
        <f t="array" aca="1" ref="G118" ca="1">$O$5*NMultDensity(C118:D118,$M$7:$N$7,$M$5:$N$6)+$O$9*NMultDensity(C118:D118,$M$11:$N$11,$M$9:$N$10)</f>
        <v>6.2709044926590005E-2</v>
      </c>
      <c r="H118" s="37" cm="1">
        <f t="array" aca="1" ref="H118" ca="1">$O$5*NMultDensity(C118:D118,$M$7:$N$7,$M$5:$N$6)/G118</f>
        <v>0.23415437418020288</v>
      </c>
      <c r="I118" s="37" cm="1">
        <f t="array" aca="1" ref="I118" ca="1">$O$9*NMultDensity(C118:D118,$M$11:$N$11,$M$9:$N$10)/G118</f>
        <v>0.76584562581979709</v>
      </c>
      <c r="J118" s="38">
        <f t="shared" ca="1" si="3"/>
        <v>0.76584562581979709</v>
      </c>
      <c r="Q118" s="15">
        <v>5.5</v>
      </c>
      <c r="R118" s="21">
        <v>1.8</v>
      </c>
      <c r="S118" s="25">
        <v>2</v>
      </c>
    </row>
    <row r="119" spans="1:19" x14ac:dyDescent="0.25">
      <c r="A119" s="1">
        <v>7.7</v>
      </c>
      <c r="B119" s="1">
        <v>3.8</v>
      </c>
      <c r="C119" s="11">
        <v>6.7</v>
      </c>
      <c r="D119" s="12">
        <v>2.2000000000000002</v>
      </c>
      <c r="E119" s="1" t="s">
        <v>7</v>
      </c>
      <c r="F119" s="27">
        <f t="shared" ca="1" si="2"/>
        <v>2</v>
      </c>
      <c r="G119" s="36" cm="1">
        <f t="array" aca="1" ref="G119" ca="1">$O$5*NMultDensity(C119:D119,$M$7:$N$7,$M$5:$N$6)+$O$9*NMultDensity(C119:D119,$M$11:$N$11,$M$9:$N$10)</f>
        <v>6.8930731343719749E-3</v>
      </c>
      <c r="H119" s="37" cm="1">
        <f t="array" aca="1" ref="H119" ca="1">$O$5*NMultDensity(C119:D119,$M$7:$N$7,$M$5:$N$6)/G119</f>
        <v>9.4063425791807764E-2</v>
      </c>
      <c r="I119" s="37" cm="1">
        <f t="array" aca="1" ref="I119" ca="1">$O$9*NMultDensity(C119:D119,$M$11:$N$11,$M$9:$N$10)/G119</f>
        <v>0.90593657420819218</v>
      </c>
      <c r="J119" s="38">
        <f t="shared" ca="1" si="3"/>
        <v>0.90593657420819218</v>
      </c>
      <c r="Q119" s="15">
        <v>6.7</v>
      </c>
      <c r="R119" s="21">
        <v>2.2000000000000002</v>
      </c>
      <c r="S119" s="25">
        <v>2</v>
      </c>
    </row>
    <row r="120" spans="1:19" x14ac:dyDescent="0.25">
      <c r="A120" s="1">
        <v>7.7</v>
      </c>
      <c r="B120" s="1">
        <v>2.6</v>
      </c>
      <c r="C120" s="11">
        <v>6.9</v>
      </c>
      <c r="D120" s="12">
        <v>2.2999999999999998</v>
      </c>
      <c r="E120" s="1" t="s">
        <v>7</v>
      </c>
      <c r="F120" s="27">
        <f t="shared" ca="1" si="2"/>
        <v>2</v>
      </c>
      <c r="G120" s="36" cm="1">
        <f t="array" aca="1" ref="G120" ca="1">$O$5*NMultDensity(C120:D120,$M$7:$N$7,$M$5:$N$6)+$O$9*NMultDensity(C120:D120,$M$11:$N$11,$M$9:$N$10)</f>
        <v>4.0483895846574209E-3</v>
      </c>
      <c r="H120" s="37" cm="1">
        <f t="array" aca="1" ref="H120" ca="1">$O$5*NMultDensity(C120:D120,$M$7:$N$7,$M$5:$N$6)/G120</f>
        <v>7.8348524963059607E-2</v>
      </c>
      <c r="I120" s="37" cm="1">
        <f t="array" aca="1" ref="I120" ca="1">$O$9*NMultDensity(C120:D120,$M$11:$N$11,$M$9:$N$10)/G120</f>
        <v>0.92165147503694045</v>
      </c>
      <c r="J120" s="38">
        <f t="shared" ca="1" si="3"/>
        <v>0.92165147503694045</v>
      </c>
      <c r="Q120" s="15">
        <v>6.9</v>
      </c>
      <c r="R120" s="21">
        <v>2.2999999999999998</v>
      </c>
      <c r="S120" s="25">
        <v>2</v>
      </c>
    </row>
    <row r="121" spans="1:19" x14ac:dyDescent="0.25">
      <c r="A121" s="1">
        <v>6</v>
      </c>
      <c r="B121" s="1">
        <v>2.2000000000000002</v>
      </c>
      <c r="C121" s="11">
        <v>5</v>
      </c>
      <c r="D121" s="12">
        <v>1.5</v>
      </c>
      <c r="E121" s="1" t="s">
        <v>7</v>
      </c>
      <c r="F121" s="27">
        <f t="shared" ca="1" si="2"/>
        <v>2</v>
      </c>
      <c r="G121" s="36" cm="1">
        <f t="array" aca="1" ref="G121" ca="1">$O$5*NMultDensity(C121:D121,$M$7:$N$7,$M$5:$N$6)+$O$9*NMultDensity(C121:D121,$M$11:$N$11,$M$9:$N$10)</f>
        <v>0.10459274977343876</v>
      </c>
      <c r="H121" s="37" cm="1">
        <f t="array" aca="1" ref="H121" ca="1">$O$5*NMultDensity(C121:D121,$M$7:$N$7,$M$5:$N$6)/G121</f>
        <v>0.34186368495198183</v>
      </c>
      <c r="I121" s="37" cm="1">
        <f t="array" aca="1" ref="I121" ca="1">$O$9*NMultDensity(C121:D121,$M$11:$N$11,$M$9:$N$10)/G121</f>
        <v>0.65813631504801817</v>
      </c>
      <c r="J121" s="38">
        <f t="shared" ca="1" si="3"/>
        <v>0.65813631504801817</v>
      </c>
      <c r="Q121" s="15">
        <v>5</v>
      </c>
      <c r="R121" s="21">
        <v>1.5</v>
      </c>
      <c r="S121" s="25">
        <v>2</v>
      </c>
    </row>
    <row r="122" spans="1:19" x14ac:dyDescent="0.25">
      <c r="A122" s="1">
        <v>6.9</v>
      </c>
      <c r="B122" s="1">
        <v>3.2</v>
      </c>
      <c r="C122" s="11">
        <v>5.7</v>
      </c>
      <c r="D122" s="12">
        <v>2.2999999999999998</v>
      </c>
      <c r="E122" s="1" t="s">
        <v>7</v>
      </c>
      <c r="F122" s="27">
        <f t="shared" ca="1" si="2"/>
        <v>2</v>
      </c>
      <c r="G122" s="36" cm="1">
        <f t="array" aca="1" ref="G122" ca="1">$O$5*NMultDensity(C122:D122,$M$7:$N$7,$M$5:$N$6)+$O$9*NMultDensity(C122:D122,$M$11:$N$11,$M$9:$N$10)</f>
        <v>3.8724623637254985E-2</v>
      </c>
      <c r="H122" s="37" cm="1">
        <f t="array" aca="1" ref="H122" ca="1">$O$5*NMultDensity(C122:D122,$M$7:$N$7,$M$5:$N$6)/G122</f>
        <v>0.1645164628965631</v>
      </c>
      <c r="I122" s="37" cm="1">
        <f t="array" aca="1" ref="I122" ca="1">$O$9*NMultDensity(C122:D122,$M$11:$N$11,$M$9:$N$10)/G122</f>
        <v>0.83548353710343681</v>
      </c>
      <c r="J122" s="38">
        <f t="shared" ca="1" si="3"/>
        <v>0.83548353710343681</v>
      </c>
      <c r="Q122" s="15">
        <v>5.7</v>
      </c>
      <c r="R122" s="21">
        <v>2.2999999999999998</v>
      </c>
      <c r="S122" s="25">
        <v>2</v>
      </c>
    </row>
    <row r="123" spans="1:19" x14ac:dyDescent="0.25">
      <c r="A123" s="1">
        <v>5.6</v>
      </c>
      <c r="B123" s="1">
        <v>2.8</v>
      </c>
      <c r="C123" s="11">
        <v>4.9000000000000004</v>
      </c>
      <c r="D123" s="12">
        <v>2</v>
      </c>
      <c r="E123" s="1" t="s">
        <v>7</v>
      </c>
      <c r="F123" s="27">
        <f t="shared" ca="1" si="2"/>
        <v>2</v>
      </c>
      <c r="G123" s="36" cm="1">
        <f t="array" aca="1" ref="G123" ca="1">$O$5*NMultDensity(C123:D123,$M$7:$N$7,$M$5:$N$6)+$O$9*NMultDensity(C123:D123,$M$11:$N$11,$M$9:$N$10)</f>
        <v>9.9210497638159562E-2</v>
      </c>
      <c r="H123" s="37" cm="1">
        <f t="array" aca="1" ref="H123" ca="1">$O$5*NMultDensity(C123:D123,$M$7:$N$7,$M$5:$N$6)/G123</f>
        <v>0.2921427285755186</v>
      </c>
      <c r="I123" s="37" cm="1">
        <f t="array" aca="1" ref="I123" ca="1">$O$9*NMultDensity(C123:D123,$M$11:$N$11,$M$9:$N$10)/G123</f>
        <v>0.7078572714244814</v>
      </c>
      <c r="J123" s="38">
        <f t="shared" ca="1" si="3"/>
        <v>0.7078572714244814</v>
      </c>
      <c r="Q123" s="15">
        <v>4.9000000000000004</v>
      </c>
      <c r="R123" s="21">
        <v>2</v>
      </c>
      <c r="S123" s="25">
        <v>2</v>
      </c>
    </row>
    <row r="124" spans="1:19" x14ac:dyDescent="0.25">
      <c r="A124" s="1">
        <v>7.7</v>
      </c>
      <c r="B124" s="1">
        <v>2.8</v>
      </c>
      <c r="C124" s="11">
        <v>6.7</v>
      </c>
      <c r="D124" s="12">
        <v>2</v>
      </c>
      <c r="E124" s="1" t="s">
        <v>7</v>
      </c>
      <c r="F124" s="27">
        <f t="shared" ca="1" si="2"/>
        <v>2</v>
      </c>
      <c r="G124" s="36" cm="1">
        <f t="array" aca="1" ref="G124" ca="1">$O$5*NMultDensity(C124:D124,$M$7:$N$7,$M$5:$N$6)+$O$9*NMultDensity(C124:D124,$M$11:$N$11,$M$9:$N$10)</f>
        <v>7.5567292732111168E-3</v>
      </c>
      <c r="H124" s="37" cm="1">
        <f t="array" aca="1" ref="H124" ca="1">$O$5*NMultDensity(C124:D124,$M$7:$N$7,$M$5:$N$6)/G124</f>
        <v>0.10479937941282433</v>
      </c>
      <c r="I124" s="37" cm="1">
        <f t="array" aca="1" ref="I124" ca="1">$O$9*NMultDensity(C124:D124,$M$11:$N$11,$M$9:$N$10)/G124</f>
        <v>0.89520062058717575</v>
      </c>
      <c r="J124" s="38">
        <f t="shared" ca="1" si="3"/>
        <v>0.89520062058717575</v>
      </c>
      <c r="Q124" s="15">
        <v>6.7</v>
      </c>
      <c r="R124" s="21">
        <v>2</v>
      </c>
      <c r="S124" s="25">
        <v>2</v>
      </c>
    </row>
    <row r="125" spans="1:19" x14ac:dyDescent="0.25">
      <c r="A125" s="1">
        <v>6.3</v>
      </c>
      <c r="B125" s="1">
        <v>2.7</v>
      </c>
      <c r="C125" s="11">
        <v>4.9000000000000004</v>
      </c>
      <c r="D125" s="12">
        <v>1.8</v>
      </c>
      <c r="E125" s="1" t="s">
        <v>7</v>
      </c>
      <c r="F125" s="27">
        <f t="shared" ca="1" si="2"/>
        <v>2</v>
      </c>
      <c r="G125" s="36" cm="1">
        <f t="array" aca="1" ref="G125" ca="1">$O$5*NMultDensity(C125:D125,$M$7:$N$7,$M$5:$N$6)+$O$9*NMultDensity(C125:D125,$M$11:$N$11,$M$9:$N$10)</f>
        <v>0.10710548476202331</v>
      </c>
      <c r="H125" s="37" cm="1">
        <f t="array" aca="1" ref="H125" ca="1">$O$5*NMultDensity(C125:D125,$M$7:$N$7,$M$5:$N$6)/G125</f>
        <v>0.31756169780693511</v>
      </c>
      <c r="I125" s="37" cm="1">
        <f t="array" aca="1" ref="I125" ca="1">$O$9*NMultDensity(C125:D125,$M$11:$N$11,$M$9:$N$10)/G125</f>
        <v>0.68243830219306478</v>
      </c>
      <c r="J125" s="38">
        <f t="shared" ca="1" si="3"/>
        <v>0.68243830219306478</v>
      </c>
      <c r="Q125" s="15">
        <v>4.9000000000000004</v>
      </c>
      <c r="R125" s="21">
        <v>1.8</v>
      </c>
      <c r="S125" s="25">
        <v>2</v>
      </c>
    </row>
    <row r="126" spans="1:19" x14ac:dyDescent="0.25">
      <c r="A126" s="1">
        <v>6.7</v>
      </c>
      <c r="B126" s="1">
        <v>3.3</v>
      </c>
      <c r="C126" s="11">
        <v>5.7</v>
      </c>
      <c r="D126" s="12">
        <v>2.1</v>
      </c>
      <c r="E126" s="1" t="s">
        <v>7</v>
      </c>
      <c r="F126" s="27">
        <f t="shared" ca="1" si="2"/>
        <v>2</v>
      </c>
      <c r="G126" s="36" cm="1">
        <f t="array" aca="1" ref="G126" ca="1">$O$5*NMultDensity(C126:D126,$M$7:$N$7,$M$5:$N$6)+$O$9*NMultDensity(C126:D126,$M$11:$N$11,$M$9:$N$10)</f>
        <v>4.3695015977279532E-2</v>
      </c>
      <c r="H126" s="37" cm="1">
        <f t="array" aca="1" ref="H126" ca="1">$O$5*NMultDensity(C126:D126,$M$7:$N$7,$M$5:$N$6)/G126</f>
        <v>0.18168097534508454</v>
      </c>
      <c r="I126" s="37" cm="1">
        <f t="array" aca="1" ref="I126" ca="1">$O$9*NMultDensity(C126:D126,$M$11:$N$11,$M$9:$N$10)/G126</f>
        <v>0.81831902465491546</v>
      </c>
      <c r="J126" s="38">
        <f t="shared" ca="1" si="3"/>
        <v>0.81831902465491546</v>
      </c>
      <c r="Q126" s="15">
        <v>5.7</v>
      </c>
      <c r="R126" s="21">
        <v>2.1</v>
      </c>
      <c r="S126" s="25">
        <v>2</v>
      </c>
    </row>
    <row r="127" spans="1:19" x14ac:dyDescent="0.25">
      <c r="A127" s="1">
        <v>7.2</v>
      </c>
      <c r="B127" s="1">
        <v>3.2</v>
      </c>
      <c r="C127" s="11">
        <v>6</v>
      </c>
      <c r="D127" s="12">
        <v>1.8</v>
      </c>
      <c r="E127" s="1" t="s">
        <v>7</v>
      </c>
      <c r="F127" s="27">
        <f t="shared" ca="1" si="2"/>
        <v>2</v>
      </c>
      <c r="G127" s="36" cm="1">
        <f t="array" aca="1" ref="G127" ca="1">$O$5*NMultDensity(C127:D127,$M$7:$N$7,$M$5:$N$6)+$O$9*NMultDensity(C127:D127,$M$11:$N$11,$M$9:$N$10)</f>
        <v>3.1244710346746713E-2</v>
      </c>
      <c r="H127" s="37" cm="1">
        <f t="array" aca="1" ref="H127" ca="1">$O$5*NMultDensity(C127:D127,$M$7:$N$7,$M$5:$N$6)/G127</f>
        <v>0.17726330357825687</v>
      </c>
      <c r="I127" s="37" cm="1">
        <f t="array" aca="1" ref="I127" ca="1">$O$9*NMultDensity(C127:D127,$M$11:$N$11,$M$9:$N$10)/G127</f>
        <v>0.82273669642174319</v>
      </c>
      <c r="J127" s="38">
        <f t="shared" ca="1" si="3"/>
        <v>0.82273669642174319</v>
      </c>
      <c r="Q127" s="15">
        <v>6</v>
      </c>
      <c r="R127" s="21">
        <v>1.8</v>
      </c>
      <c r="S127" s="25">
        <v>2</v>
      </c>
    </row>
    <row r="128" spans="1:19" x14ac:dyDescent="0.25">
      <c r="A128" s="1">
        <v>6.2</v>
      </c>
      <c r="B128" s="1">
        <v>2.8</v>
      </c>
      <c r="C128" s="11">
        <v>4.8</v>
      </c>
      <c r="D128" s="12">
        <v>1.8</v>
      </c>
      <c r="E128" s="1" t="s">
        <v>7</v>
      </c>
      <c r="F128" s="27">
        <f t="shared" ca="1" si="2"/>
        <v>2</v>
      </c>
      <c r="G128" s="36" cm="1">
        <f t="array" aca="1" ref="G128" ca="1">$O$5*NMultDensity(C128:D128,$M$7:$N$7,$M$5:$N$6)+$O$9*NMultDensity(C128:D128,$M$11:$N$11,$M$9:$N$10)</f>
        <v>0.11347458770722751</v>
      </c>
      <c r="H128" s="37" cm="1">
        <f t="array" aca="1" ref="H128" ca="1">$O$5*NMultDensity(C128:D128,$M$7:$N$7,$M$5:$N$6)/G128</f>
        <v>0.33292172290437472</v>
      </c>
      <c r="I128" s="37" cm="1">
        <f t="array" aca="1" ref="I128" ca="1">$O$9*NMultDensity(C128:D128,$M$11:$N$11,$M$9:$N$10)/G128</f>
        <v>0.66707827709562528</v>
      </c>
      <c r="J128" s="38">
        <f t="shared" ca="1" si="3"/>
        <v>0.66707827709562528</v>
      </c>
      <c r="Q128" s="15">
        <v>4.8</v>
      </c>
      <c r="R128" s="21">
        <v>1.8</v>
      </c>
      <c r="S128" s="25">
        <v>2</v>
      </c>
    </row>
    <row r="129" spans="1:19" x14ac:dyDescent="0.25">
      <c r="A129" s="1">
        <v>6.1</v>
      </c>
      <c r="B129" s="1">
        <v>3</v>
      </c>
      <c r="C129" s="11">
        <v>4.9000000000000004</v>
      </c>
      <c r="D129" s="12">
        <v>1.8</v>
      </c>
      <c r="E129" s="1" t="s">
        <v>7</v>
      </c>
      <c r="F129" s="27">
        <f t="shared" ca="1" si="2"/>
        <v>2</v>
      </c>
      <c r="G129" s="36" cm="1">
        <f t="array" aca="1" ref="G129" ca="1">$O$5*NMultDensity(C129:D129,$M$7:$N$7,$M$5:$N$6)+$O$9*NMultDensity(C129:D129,$M$11:$N$11,$M$9:$N$10)</f>
        <v>0.10710548476202331</v>
      </c>
      <c r="H129" s="37" cm="1">
        <f t="array" aca="1" ref="H129" ca="1">$O$5*NMultDensity(C129:D129,$M$7:$N$7,$M$5:$N$6)/G129</f>
        <v>0.31756169780693511</v>
      </c>
      <c r="I129" s="37" cm="1">
        <f t="array" aca="1" ref="I129" ca="1">$O$9*NMultDensity(C129:D129,$M$11:$N$11,$M$9:$N$10)/G129</f>
        <v>0.68243830219306478</v>
      </c>
      <c r="J129" s="38">
        <f t="shared" ca="1" si="3"/>
        <v>0.68243830219306478</v>
      </c>
      <c r="Q129" s="15">
        <v>4.9000000000000004</v>
      </c>
      <c r="R129" s="21">
        <v>1.8</v>
      </c>
      <c r="S129" s="25">
        <v>2</v>
      </c>
    </row>
    <row r="130" spans="1:19" x14ac:dyDescent="0.25">
      <c r="A130" s="1">
        <v>6.4</v>
      </c>
      <c r="B130" s="1">
        <v>2.8</v>
      </c>
      <c r="C130" s="11">
        <v>5.6</v>
      </c>
      <c r="D130" s="12">
        <v>2.1</v>
      </c>
      <c r="E130" s="1" t="s">
        <v>7</v>
      </c>
      <c r="F130" s="27">
        <f t="shared" ca="1" si="2"/>
        <v>2</v>
      </c>
      <c r="G130" s="36" cm="1">
        <f t="array" aca="1" ref="G130" ca="1">$O$5*NMultDensity(C130:D130,$M$7:$N$7,$M$5:$N$6)+$O$9*NMultDensity(C130:D130,$M$11:$N$11,$M$9:$N$10)</f>
        <v>4.9666039403065132E-2</v>
      </c>
      <c r="H130" s="37" cm="1">
        <f t="array" aca="1" ref="H130" ca="1">$O$5*NMultDensity(C130:D130,$M$7:$N$7,$M$5:$N$6)/G130</f>
        <v>0.19232082157722294</v>
      </c>
      <c r="I130" s="37" cm="1">
        <f t="array" aca="1" ref="I130" ca="1">$O$9*NMultDensity(C130:D130,$M$11:$N$11,$M$9:$N$10)/G130</f>
        <v>0.80767917842277703</v>
      </c>
      <c r="J130" s="38">
        <f t="shared" ca="1" si="3"/>
        <v>0.80767917842277703</v>
      </c>
      <c r="Q130" s="15">
        <v>5.6</v>
      </c>
      <c r="R130" s="21">
        <v>2.1</v>
      </c>
      <c r="S130" s="25">
        <v>2</v>
      </c>
    </row>
    <row r="131" spans="1:19" x14ac:dyDescent="0.25">
      <c r="A131" s="1">
        <v>7.2</v>
      </c>
      <c r="B131" s="1">
        <v>3</v>
      </c>
      <c r="C131" s="11">
        <v>5.8</v>
      </c>
      <c r="D131" s="12">
        <v>1.6</v>
      </c>
      <c r="E131" s="1" t="s">
        <v>7</v>
      </c>
      <c r="F131" s="27">
        <f t="shared" ca="1" si="2"/>
        <v>2</v>
      </c>
      <c r="G131" s="36" cm="1">
        <f t="array" aca="1" ref="G131" ca="1">$O$5*NMultDensity(C131:D131,$M$7:$N$7,$M$5:$N$6)+$O$9*NMultDensity(C131:D131,$M$11:$N$11,$M$9:$N$10)</f>
        <v>4.3516773219355917E-2</v>
      </c>
      <c r="H131" s="37" cm="1">
        <f t="array" aca="1" ref="H131" ca="1">$O$5*NMultDensity(C131:D131,$M$7:$N$7,$M$5:$N$6)/G131</f>
        <v>0.21840253609763441</v>
      </c>
      <c r="I131" s="37" cm="1">
        <f t="array" aca="1" ref="I131" ca="1">$O$9*NMultDensity(C131:D131,$M$11:$N$11,$M$9:$N$10)/G131</f>
        <v>0.78159746390236562</v>
      </c>
      <c r="J131" s="38">
        <f t="shared" ca="1" si="3"/>
        <v>0.78159746390236562</v>
      </c>
      <c r="Q131" s="15">
        <v>5.8</v>
      </c>
      <c r="R131" s="21">
        <v>1.6</v>
      </c>
      <c r="S131" s="25">
        <v>2</v>
      </c>
    </row>
    <row r="132" spans="1:19" x14ac:dyDescent="0.25">
      <c r="A132" s="1">
        <v>7.4</v>
      </c>
      <c r="B132" s="1">
        <v>2.8</v>
      </c>
      <c r="C132" s="11">
        <v>6.1</v>
      </c>
      <c r="D132" s="12">
        <v>1.9</v>
      </c>
      <c r="E132" s="1" t="s">
        <v>7</v>
      </c>
      <c r="F132" s="27">
        <f t="shared" ref="F132:F151" ca="1" si="4">IF(H132=J132,1,2)</f>
        <v>2</v>
      </c>
      <c r="G132" s="36" cm="1">
        <f t="array" aca="1" ref="G132" ca="1">$O$5*NMultDensity(C132:D132,$M$7:$N$7,$M$5:$N$6)+$O$9*NMultDensity(C132:D132,$M$11:$N$11,$M$9:$N$10)</f>
        <v>2.5790442779779037E-2</v>
      </c>
      <c r="H132" s="37" cm="1">
        <f t="array" aca="1" ref="H132" ca="1">$O$5*NMultDensity(C132:D132,$M$7:$N$7,$M$5:$N$6)/G132</f>
        <v>0.15909194771428192</v>
      </c>
      <c r="I132" s="37" cm="1">
        <f t="array" aca="1" ref="I132" ca="1">$O$9*NMultDensity(C132:D132,$M$11:$N$11,$M$9:$N$10)/G132</f>
        <v>0.84090805228571808</v>
      </c>
      <c r="J132" s="38">
        <f t="shared" ref="J132:J151" ca="1" si="5">MAX(H132:I132)</f>
        <v>0.84090805228571808</v>
      </c>
      <c r="Q132" s="15">
        <v>6.1</v>
      </c>
      <c r="R132" s="21">
        <v>1.9</v>
      </c>
      <c r="S132" s="25">
        <v>2</v>
      </c>
    </row>
    <row r="133" spans="1:19" x14ac:dyDescent="0.25">
      <c r="A133" s="1">
        <v>7.9</v>
      </c>
      <c r="B133" s="1">
        <v>3.8</v>
      </c>
      <c r="C133" s="11">
        <v>6.4</v>
      </c>
      <c r="D133" s="12">
        <v>2</v>
      </c>
      <c r="E133" s="1" t="s">
        <v>7</v>
      </c>
      <c r="F133" s="27">
        <f t="shared" ca="1" si="4"/>
        <v>2</v>
      </c>
      <c r="G133" s="36" cm="1">
        <f t="array" aca="1" ref="G133" ca="1">$O$5*NMultDensity(C133:D133,$M$7:$N$7,$M$5:$N$6)+$O$9*NMultDensity(C133:D133,$M$11:$N$11,$M$9:$N$10)</f>
        <v>1.4319650009744302E-2</v>
      </c>
      <c r="H133" s="37" cm="1">
        <f t="array" aca="1" ref="H133" ca="1">$O$5*NMultDensity(C133:D133,$M$7:$N$7,$M$5:$N$6)/G133</f>
        <v>0.12619818782068368</v>
      </c>
      <c r="I133" s="37" cm="1">
        <f t="array" aca="1" ref="I133" ca="1">$O$9*NMultDensity(C133:D133,$M$11:$N$11,$M$9:$N$10)/G133</f>
        <v>0.87380181217931641</v>
      </c>
      <c r="J133" s="38">
        <f t="shared" ca="1" si="5"/>
        <v>0.87380181217931641</v>
      </c>
      <c r="Q133" s="15">
        <v>6.4</v>
      </c>
      <c r="R133" s="21">
        <v>2</v>
      </c>
      <c r="S133" s="25">
        <v>2</v>
      </c>
    </row>
    <row r="134" spans="1:19" x14ac:dyDescent="0.25">
      <c r="A134" s="1">
        <v>6.4</v>
      </c>
      <c r="B134" s="1">
        <v>2.8</v>
      </c>
      <c r="C134" s="11">
        <v>5.6</v>
      </c>
      <c r="D134" s="12">
        <v>2.2000000000000002</v>
      </c>
      <c r="E134" s="1" t="s">
        <v>7</v>
      </c>
      <c r="F134" s="27">
        <f t="shared" ca="1" si="4"/>
        <v>2</v>
      </c>
      <c r="G134" s="36" cm="1">
        <f t="array" aca="1" ref="G134" ca="1">$O$5*NMultDensity(C134:D134,$M$7:$N$7,$M$5:$N$6)+$O$9*NMultDensity(C134:D134,$M$11:$N$11,$M$9:$N$10)</f>
        <v>4.694883087809662E-2</v>
      </c>
      <c r="H134" s="37" cm="1">
        <f t="array" aca="1" ref="H134" ca="1">$O$5*NMultDensity(C134:D134,$M$7:$N$7,$M$5:$N$6)/G134</f>
        <v>0.18317244051905116</v>
      </c>
      <c r="I134" s="37" cm="1">
        <f t="array" aca="1" ref="I134" ca="1">$O$9*NMultDensity(C134:D134,$M$11:$N$11,$M$9:$N$10)/G134</f>
        <v>0.81682755948094876</v>
      </c>
      <c r="J134" s="38">
        <f t="shared" ca="1" si="5"/>
        <v>0.81682755948094876</v>
      </c>
      <c r="Q134" s="15">
        <v>5.6</v>
      </c>
      <c r="R134" s="21">
        <v>2.2000000000000002</v>
      </c>
      <c r="S134" s="25">
        <v>2</v>
      </c>
    </row>
    <row r="135" spans="1:19" x14ac:dyDescent="0.25">
      <c r="A135" s="1">
        <v>6.3</v>
      </c>
      <c r="B135" s="1">
        <v>2.8</v>
      </c>
      <c r="C135" s="11">
        <v>5.0999999999999996</v>
      </c>
      <c r="D135" s="12">
        <v>1.5</v>
      </c>
      <c r="E135" s="1" t="s">
        <v>7</v>
      </c>
      <c r="F135" s="27">
        <f t="shared" ca="1" si="4"/>
        <v>2</v>
      </c>
      <c r="G135" s="36" cm="1">
        <f t="array" aca="1" ref="G135" ca="1">$O$5*NMultDensity(C135:D135,$M$7:$N$7,$M$5:$N$6)+$O$9*NMultDensity(C135:D135,$M$11:$N$11,$M$9:$N$10)</f>
        <v>9.6707490925369927E-2</v>
      </c>
      <c r="H135" s="37" cm="1">
        <f t="array" aca="1" ref="H135" ca="1">$O$5*NMultDensity(C135:D135,$M$7:$N$7,$M$5:$N$6)/G135</f>
        <v>0.32629290054547866</v>
      </c>
      <c r="I135" s="37" cm="1">
        <f t="array" aca="1" ref="I135" ca="1">$O$9*NMultDensity(C135:D135,$M$11:$N$11,$M$9:$N$10)/G135</f>
        <v>0.67370709945452145</v>
      </c>
      <c r="J135" s="38">
        <f t="shared" ca="1" si="5"/>
        <v>0.67370709945452145</v>
      </c>
      <c r="Q135" s="15">
        <v>5.0999999999999996</v>
      </c>
      <c r="R135" s="21">
        <v>1.5</v>
      </c>
      <c r="S135" s="25">
        <v>2</v>
      </c>
    </row>
    <row r="136" spans="1:19" x14ac:dyDescent="0.25">
      <c r="A136" s="1">
        <v>6.1</v>
      </c>
      <c r="B136" s="1">
        <v>2.6</v>
      </c>
      <c r="C136" s="11">
        <v>5.6</v>
      </c>
      <c r="D136" s="12">
        <v>1.4</v>
      </c>
      <c r="E136" s="1" t="s">
        <v>7</v>
      </c>
      <c r="F136" s="27">
        <f t="shared" ca="1" si="4"/>
        <v>2</v>
      </c>
      <c r="G136" s="36" cm="1">
        <f t="array" aca="1" ref="G136" ca="1">$O$5*NMultDensity(C136:D136,$M$7:$N$7,$M$5:$N$6)+$O$9*NMultDensity(C136:D136,$M$11:$N$11,$M$9:$N$10)</f>
        <v>5.6598397148202216E-2</v>
      </c>
      <c r="H136" s="37" cm="1">
        <f t="array" aca="1" ref="H136" ca="1">$O$5*NMultDensity(C136:D136,$M$7:$N$7,$M$5:$N$6)/G136</f>
        <v>0.26600248347843036</v>
      </c>
      <c r="I136" s="37" cm="1">
        <f t="array" aca="1" ref="I136" ca="1">$O$9*NMultDensity(C136:D136,$M$11:$N$11,$M$9:$N$10)/G136</f>
        <v>0.73399751652156964</v>
      </c>
      <c r="J136" s="38">
        <f t="shared" ca="1" si="5"/>
        <v>0.73399751652156964</v>
      </c>
      <c r="Q136" s="15">
        <v>5.6</v>
      </c>
      <c r="R136" s="21">
        <v>1.4</v>
      </c>
      <c r="S136" s="25">
        <v>2</v>
      </c>
    </row>
    <row r="137" spans="1:19" x14ac:dyDescent="0.25">
      <c r="A137" s="1">
        <v>7.7</v>
      </c>
      <c r="B137" s="1">
        <v>3</v>
      </c>
      <c r="C137" s="11">
        <v>6.1</v>
      </c>
      <c r="D137" s="12">
        <v>2.2999999999999998</v>
      </c>
      <c r="E137" s="1" t="s">
        <v>7</v>
      </c>
      <c r="F137" s="27">
        <f t="shared" ca="1" si="4"/>
        <v>2</v>
      </c>
      <c r="G137" s="36" cm="1">
        <f t="array" aca="1" ref="G137" ca="1">$O$5*NMultDensity(C137:D137,$M$7:$N$7,$M$5:$N$6)+$O$9*NMultDensity(C137:D137,$M$11:$N$11,$M$9:$N$10)</f>
        <v>2.1231133398445342E-2</v>
      </c>
      <c r="H137" s="37" cm="1">
        <f t="array" aca="1" ref="H137" ca="1">$O$5*NMultDensity(C137:D137,$M$7:$N$7,$M$5:$N$6)/G137</f>
        <v>0.12954361891967836</v>
      </c>
      <c r="I137" s="37" cm="1">
        <f t="array" aca="1" ref="I137" ca="1">$O$9*NMultDensity(C137:D137,$M$11:$N$11,$M$9:$N$10)/G137</f>
        <v>0.87045638108032164</v>
      </c>
      <c r="J137" s="38">
        <f t="shared" ca="1" si="5"/>
        <v>0.87045638108032164</v>
      </c>
      <c r="Q137" s="15">
        <v>6.1</v>
      </c>
      <c r="R137" s="21">
        <v>2.2999999999999998</v>
      </c>
      <c r="S137" s="25">
        <v>2</v>
      </c>
    </row>
    <row r="138" spans="1:19" x14ac:dyDescent="0.25">
      <c r="A138" s="1">
        <v>6.3</v>
      </c>
      <c r="B138" s="1">
        <v>3.4</v>
      </c>
      <c r="C138" s="11">
        <v>5.6</v>
      </c>
      <c r="D138" s="12">
        <v>2.4</v>
      </c>
      <c r="E138" s="1" t="s">
        <v>7</v>
      </c>
      <c r="F138" s="27">
        <f t="shared" ca="1" si="4"/>
        <v>2</v>
      </c>
      <c r="G138" s="36" cm="1">
        <f t="array" aca="1" ref="G138" ca="1">$O$5*NMultDensity(C138:D138,$M$7:$N$7,$M$5:$N$6)+$O$9*NMultDensity(C138:D138,$M$11:$N$11,$M$9:$N$10)</f>
        <v>4.0777388320450844E-2</v>
      </c>
      <c r="H138" s="37" cm="1">
        <f t="array" aca="1" ref="H138" ca="1">$O$5*NMultDensity(C138:D138,$M$7:$N$7,$M$5:$N$6)/G138</f>
        <v>0.1658955860985136</v>
      </c>
      <c r="I138" s="37" cm="1">
        <f t="array" aca="1" ref="I138" ca="1">$O$9*NMultDensity(C138:D138,$M$11:$N$11,$M$9:$N$10)/G138</f>
        <v>0.83410441390148637</v>
      </c>
      <c r="J138" s="38">
        <f t="shared" ca="1" si="5"/>
        <v>0.83410441390148637</v>
      </c>
      <c r="Q138" s="15">
        <v>5.6</v>
      </c>
      <c r="R138" s="21">
        <v>2.4</v>
      </c>
      <c r="S138" s="25">
        <v>2</v>
      </c>
    </row>
    <row r="139" spans="1:19" x14ac:dyDescent="0.25">
      <c r="A139" s="1">
        <v>6.4</v>
      </c>
      <c r="B139" s="1">
        <v>3.1</v>
      </c>
      <c r="C139" s="11">
        <v>5.5</v>
      </c>
      <c r="D139" s="12">
        <v>1.8</v>
      </c>
      <c r="E139" s="1" t="s">
        <v>7</v>
      </c>
      <c r="F139" s="27">
        <f t="shared" ca="1" si="4"/>
        <v>2</v>
      </c>
      <c r="G139" s="36" cm="1">
        <f t="array" aca="1" ref="G139" ca="1">$O$5*NMultDensity(C139:D139,$M$7:$N$7,$M$5:$N$6)+$O$9*NMultDensity(C139:D139,$M$11:$N$11,$M$9:$N$10)</f>
        <v>6.2709044926590005E-2</v>
      </c>
      <c r="H139" s="37" cm="1">
        <f t="array" aca="1" ref="H139" ca="1">$O$5*NMultDensity(C139:D139,$M$7:$N$7,$M$5:$N$6)/G139</f>
        <v>0.23415437418020288</v>
      </c>
      <c r="I139" s="37" cm="1">
        <f t="array" aca="1" ref="I139" ca="1">$O$9*NMultDensity(C139:D139,$M$11:$N$11,$M$9:$N$10)/G139</f>
        <v>0.76584562581979709</v>
      </c>
      <c r="J139" s="38">
        <f t="shared" ca="1" si="5"/>
        <v>0.76584562581979709</v>
      </c>
      <c r="Q139" s="15">
        <v>5.5</v>
      </c>
      <c r="R139" s="21">
        <v>1.8</v>
      </c>
      <c r="S139" s="25">
        <v>2</v>
      </c>
    </row>
    <row r="140" spans="1:19" x14ac:dyDescent="0.25">
      <c r="A140" s="1">
        <v>6</v>
      </c>
      <c r="B140" s="1">
        <v>3</v>
      </c>
      <c r="C140" s="11">
        <v>4.8</v>
      </c>
      <c r="D140" s="12">
        <v>1.8</v>
      </c>
      <c r="E140" s="1" t="s">
        <v>7</v>
      </c>
      <c r="F140" s="27">
        <f t="shared" ca="1" si="4"/>
        <v>2</v>
      </c>
      <c r="G140" s="36" cm="1">
        <f t="array" aca="1" ref="G140" ca="1">$O$5*NMultDensity(C140:D140,$M$7:$N$7,$M$5:$N$6)+$O$9*NMultDensity(C140:D140,$M$11:$N$11,$M$9:$N$10)</f>
        <v>0.11347458770722751</v>
      </c>
      <c r="H140" s="37" cm="1">
        <f t="array" aca="1" ref="H140" ca="1">$O$5*NMultDensity(C140:D140,$M$7:$N$7,$M$5:$N$6)/G140</f>
        <v>0.33292172290437472</v>
      </c>
      <c r="I140" s="37" cm="1">
        <f t="array" aca="1" ref="I140" ca="1">$O$9*NMultDensity(C140:D140,$M$11:$N$11,$M$9:$N$10)/G140</f>
        <v>0.66707827709562528</v>
      </c>
      <c r="J140" s="38">
        <f t="shared" ca="1" si="5"/>
        <v>0.66707827709562528</v>
      </c>
      <c r="Q140" s="15">
        <v>4.8</v>
      </c>
      <c r="R140" s="21">
        <v>1.8</v>
      </c>
      <c r="S140" s="25">
        <v>2</v>
      </c>
    </row>
    <row r="141" spans="1:19" x14ac:dyDescent="0.25">
      <c r="A141" s="1">
        <v>6.9</v>
      </c>
      <c r="B141" s="1">
        <v>3.1</v>
      </c>
      <c r="C141" s="11">
        <v>5.4</v>
      </c>
      <c r="D141" s="12">
        <v>2.1</v>
      </c>
      <c r="E141" s="1" t="s">
        <v>7</v>
      </c>
      <c r="F141" s="27">
        <f t="shared" ca="1" si="4"/>
        <v>2</v>
      </c>
      <c r="G141" s="36" cm="1">
        <f t="array" aca="1" ref="G141" ca="1">$O$5*NMultDensity(C141:D141,$M$7:$N$7,$M$5:$N$6)+$O$9*NMultDensity(C141:D141,$M$11:$N$11,$M$9:$N$10)</f>
        <v>6.241542352225761E-2</v>
      </c>
      <c r="H141" s="37" cm="1">
        <f t="array" aca="1" ref="H141" ca="1">$O$5*NMultDensity(C141:D141,$M$7:$N$7,$M$5:$N$6)/G141</f>
        <v>0.21500771137189226</v>
      </c>
      <c r="I141" s="37" cm="1">
        <f t="array" aca="1" ref="I141" ca="1">$O$9*NMultDensity(C141:D141,$M$11:$N$11,$M$9:$N$10)/G141</f>
        <v>0.78499228862810766</v>
      </c>
      <c r="J141" s="38">
        <f t="shared" ca="1" si="5"/>
        <v>0.78499228862810766</v>
      </c>
      <c r="Q141" s="15">
        <v>5.4</v>
      </c>
      <c r="R141" s="21">
        <v>2.1</v>
      </c>
      <c r="S141" s="25">
        <v>2</v>
      </c>
    </row>
    <row r="142" spans="1:19" x14ac:dyDescent="0.25">
      <c r="A142" s="1">
        <v>6.7</v>
      </c>
      <c r="B142" s="1">
        <v>3.1</v>
      </c>
      <c r="C142" s="11">
        <v>5.6</v>
      </c>
      <c r="D142" s="12">
        <v>2.4</v>
      </c>
      <c r="E142" s="1" t="s">
        <v>7</v>
      </c>
      <c r="F142" s="27">
        <f t="shared" ca="1" si="4"/>
        <v>2</v>
      </c>
      <c r="G142" s="36" cm="1">
        <f t="array" aca="1" ref="G142" ca="1">$O$5*NMultDensity(C142:D142,$M$7:$N$7,$M$5:$N$6)+$O$9*NMultDensity(C142:D142,$M$11:$N$11,$M$9:$N$10)</f>
        <v>4.0777388320450844E-2</v>
      </c>
      <c r="H142" s="37" cm="1">
        <f t="array" aca="1" ref="H142" ca="1">$O$5*NMultDensity(C142:D142,$M$7:$N$7,$M$5:$N$6)/G142</f>
        <v>0.1658955860985136</v>
      </c>
      <c r="I142" s="37" cm="1">
        <f t="array" aca="1" ref="I142" ca="1">$O$9*NMultDensity(C142:D142,$M$11:$N$11,$M$9:$N$10)/G142</f>
        <v>0.83410441390148637</v>
      </c>
      <c r="J142" s="38">
        <f t="shared" ca="1" si="5"/>
        <v>0.83410441390148637</v>
      </c>
      <c r="Q142" s="15">
        <v>5.6</v>
      </c>
      <c r="R142" s="21">
        <v>2.4</v>
      </c>
      <c r="S142" s="25">
        <v>2</v>
      </c>
    </row>
    <row r="143" spans="1:19" x14ac:dyDescent="0.25">
      <c r="A143" s="1">
        <v>6.9</v>
      </c>
      <c r="B143" s="1">
        <v>3.1</v>
      </c>
      <c r="C143" s="11">
        <v>5.0999999999999996</v>
      </c>
      <c r="D143" s="12">
        <v>2.2999999999999998</v>
      </c>
      <c r="E143" s="1" t="s">
        <v>7</v>
      </c>
      <c r="F143" s="27">
        <f t="shared" ca="1" si="4"/>
        <v>2</v>
      </c>
      <c r="G143" s="36" cm="1">
        <f t="array" aca="1" ref="G143" ca="1">$O$5*NMultDensity(C143:D143,$M$7:$N$7,$M$5:$N$6)+$O$9*NMultDensity(C143:D143,$M$11:$N$11,$M$9:$N$10)</f>
        <v>7.2158013405094465E-2</v>
      </c>
      <c r="H143" s="37" cm="1">
        <f t="array" aca="1" ref="H143" ca="1">$O$5*NMultDensity(C143:D143,$M$7:$N$7,$M$5:$N$6)/G143</f>
        <v>0.2305869387712515</v>
      </c>
      <c r="I143" s="37" cm="1">
        <f t="array" aca="1" ref="I143" ca="1">$O$9*NMultDensity(C143:D143,$M$11:$N$11,$M$9:$N$10)/G143</f>
        <v>0.76941306122874853</v>
      </c>
      <c r="J143" s="38">
        <f t="shared" ca="1" si="5"/>
        <v>0.76941306122874853</v>
      </c>
      <c r="Q143" s="15">
        <v>5.0999999999999996</v>
      </c>
      <c r="R143" s="21">
        <v>2.2999999999999998</v>
      </c>
      <c r="S143" s="25">
        <v>2</v>
      </c>
    </row>
    <row r="144" spans="1:19" x14ac:dyDescent="0.25">
      <c r="A144" s="1">
        <v>5.8</v>
      </c>
      <c r="B144" s="1">
        <v>2.7</v>
      </c>
      <c r="C144" s="11">
        <v>5.0999999999999996</v>
      </c>
      <c r="D144" s="12">
        <v>1.9</v>
      </c>
      <c r="E144" s="1" t="s">
        <v>7</v>
      </c>
      <c r="F144" s="27">
        <f t="shared" ca="1" si="4"/>
        <v>2</v>
      </c>
      <c r="G144" s="36" cm="1">
        <f t="array" aca="1" ref="G144" ca="1">$O$5*NMultDensity(C144:D144,$M$7:$N$7,$M$5:$N$6)+$O$9*NMultDensity(C144:D144,$M$11:$N$11,$M$9:$N$10)</f>
        <v>8.9974539969294637E-2</v>
      </c>
      <c r="H144" s="37" cm="1">
        <f t="array" aca="1" ref="H144" ca="1">$O$5*NMultDensity(C144:D144,$M$7:$N$7,$M$5:$N$6)/G144</f>
        <v>0.27587822922918143</v>
      </c>
      <c r="I144" s="37" cm="1">
        <f t="array" aca="1" ref="I144" ca="1">$O$9*NMultDensity(C144:D144,$M$11:$N$11,$M$9:$N$10)/G144</f>
        <v>0.72412177077081863</v>
      </c>
      <c r="J144" s="38">
        <f t="shared" ca="1" si="5"/>
        <v>0.72412177077081863</v>
      </c>
      <c r="Q144" s="15">
        <v>5.0999999999999996</v>
      </c>
      <c r="R144" s="21">
        <v>1.9</v>
      </c>
      <c r="S144" s="25">
        <v>2</v>
      </c>
    </row>
    <row r="145" spans="1:19" x14ac:dyDescent="0.25">
      <c r="A145" s="1">
        <v>6.8</v>
      </c>
      <c r="B145" s="1">
        <v>3.2</v>
      </c>
      <c r="C145" s="11">
        <v>5.9</v>
      </c>
      <c r="D145" s="12">
        <v>2.2999999999999998</v>
      </c>
      <c r="E145" s="1" t="s">
        <v>7</v>
      </c>
      <c r="F145" s="27">
        <f t="shared" ca="1" si="4"/>
        <v>2</v>
      </c>
      <c r="G145" s="36" cm="1">
        <f t="array" aca="1" ref="G145" ca="1">$O$5*NMultDensity(C145:D145,$M$7:$N$7,$M$5:$N$6)+$O$9*NMultDensity(C145:D145,$M$11:$N$11,$M$9:$N$10)</f>
        <v>2.9216938132940649E-2</v>
      </c>
      <c r="H145" s="37" cm="1">
        <f t="array" aca="1" ref="H145" ca="1">$O$5*NMultDensity(C145:D145,$M$7:$N$7,$M$5:$N$6)/G145</f>
        <v>0.14616523039738202</v>
      </c>
      <c r="I145" s="37" cm="1">
        <f t="array" aca="1" ref="I145" ca="1">$O$9*NMultDensity(C145:D145,$M$11:$N$11,$M$9:$N$10)/G145</f>
        <v>0.85383476960261795</v>
      </c>
      <c r="J145" s="38">
        <f t="shared" ca="1" si="5"/>
        <v>0.85383476960261795</v>
      </c>
      <c r="Q145" s="15">
        <v>5.9</v>
      </c>
      <c r="R145" s="21">
        <v>2.2999999999999998</v>
      </c>
      <c r="S145" s="25">
        <v>2</v>
      </c>
    </row>
    <row r="146" spans="1:19" x14ac:dyDescent="0.25">
      <c r="A146" s="1">
        <v>6.7</v>
      </c>
      <c r="B146" s="1">
        <v>3.3</v>
      </c>
      <c r="C146" s="11">
        <v>5.7</v>
      </c>
      <c r="D146" s="12">
        <v>2.5</v>
      </c>
      <c r="E146" s="1" t="s">
        <v>7</v>
      </c>
      <c r="F146" s="27">
        <f t="shared" ca="1" si="4"/>
        <v>2</v>
      </c>
      <c r="G146" s="36" cm="1">
        <f t="array" aca="1" ref="G146" ca="1">$O$5*NMultDensity(C146:D146,$M$7:$N$7,$M$5:$N$6)+$O$9*NMultDensity(C146:D146,$M$11:$N$11,$M$9:$N$10)</f>
        <v>3.3039274722275191E-2</v>
      </c>
      <c r="H146" s="37" cm="1">
        <f t="array" aca="1" ref="H146" ca="1">$O$5*NMultDensity(C146:D146,$M$7:$N$7,$M$5:$N$6)/G146</f>
        <v>0.14867895458390734</v>
      </c>
      <c r="I146" s="37" cm="1">
        <f t="array" aca="1" ref="I146" ca="1">$O$9*NMultDensity(C146:D146,$M$11:$N$11,$M$9:$N$10)/G146</f>
        <v>0.85132104541609277</v>
      </c>
      <c r="J146" s="38">
        <f t="shared" ca="1" si="5"/>
        <v>0.85132104541609277</v>
      </c>
      <c r="Q146" s="15">
        <v>5.7</v>
      </c>
      <c r="R146" s="21">
        <v>2.5</v>
      </c>
      <c r="S146" s="25">
        <v>2</v>
      </c>
    </row>
    <row r="147" spans="1:19" x14ac:dyDescent="0.25">
      <c r="A147" s="1">
        <v>6.7</v>
      </c>
      <c r="B147" s="1">
        <v>3</v>
      </c>
      <c r="C147" s="11">
        <v>5.2</v>
      </c>
      <c r="D147" s="12">
        <v>2.2999999999999998</v>
      </c>
      <c r="E147" s="1" t="s">
        <v>7</v>
      </c>
      <c r="F147" s="27">
        <f t="shared" ca="1" si="4"/>
        <v>2</v>
      </c>
      <c r="G147" s="36" cm="1">
        <f t="array" aca="1" ref="G147" ca="1">$O$5*NMultDensity(C147:D147,$M$7:$N$7,$M$5:$N$6)+$O$9*NMultDensity(C147:D147,$M$11:$N$11,$M$9:$N$10)</f>
        <v>6.6562839410990685E-2</v>
      </c>
      <c r="H147" s="37" cm="1">
        <f t="array" aca="1" ref="H147" ca="1">$O$5*NMultDensity(C147:D147,$M$7:$N$7,$M$5:$N$6)/G147</f>
        <v>0.21840253609763441</v>
      </c>
      <c r="I147" s="37" cm="1">
        <f t="array" aca="1" ref="I147" ca="1">$O$9*NMultDensity(C147:D147,$M$11:$N$11,$M$9:$N$10)/G147</f>
        <v>0.78159746390236551</v>
      </c>
      <c r="J147" s="38">
        <f t="shared" ca="1" si="5"/>
        <v>0.78159746390236551</v>
      </c>
      <c r="Q147" s="15">
        <v>5.2</v>
      </c>
      <c r="R147" s="21">
        <v>2.2999999999999998</v>
      </c>
      <c r="S147" s="25">
        <v>2</v>
      </c>
    </row>
    <row r="148" spans="1:19" x14ac:dyDescent="0.25">
      <c r="A148" s="1">
        <v>6.3</v>
      </c>
      <c r="B148" s="1">
        <v>2.5</v>
      </c>
      <c r="C148" s="11">
        <v>5</v>
      </c>
      <c r="D148" s="12">
        <v>1.9</v>
      </c>
      <c r="E148" s="1" t="s">
        <v>7</v>
      </c>
      <c r="F148" s="27">
        <f t="shared" ca="1" si="4"/>
        <v>2</v>
      </c>
      <c r="G148" s="36" cm="1">
        <f t="array" aca="1" ref="G148" ca="1">$O$5*NMultDensity(C148:D148,$M$7:$N$7,$M$5:$N$6)+$O$9*NMultDensity(C148:D148,$M$11:$N$11,$M$9:$N$10)</f>
        <v>9.6963316812987227E-2</v>
      </c>
      <c r="H148" s="37" cm="1">
        <f t="array" aca="1" ref="H148" ca="1">$O$5*NMultDensity(C148:D148,$M$7:$N$7,$M$5:$N$6)/G148</f>
        <v>0.29007908166554686</v>
      </c>
      <c r="I148" s="37" cm="1">
        <f t="array" aca="1" ref="I148" ca="1">$O$9*NMultDensity(C148:D148,$M$11:$N$11,$M$9:$N$10)/G148</f>
        <v>0.70992091833445325</v>
      </c>
      <c r="J148" s="38">
        <f t="shared" ca="1" si="5"/>
        <v>0.70992091833445325</v>
      </c>
      <c r="Q148" s="15">
        <v>5</v>
      </c>
      <c r="R148" s="21">
        <v>1.9</v>
      </c>
      <c r="S148" s="25">
        <v>2</v>
      </c>
    </row>
    <row r="149" spans="1:19" x14ac:dyDescent="0.25">
      <c r="A149" s="1">
        <v>6.5</v>
      </c>
      <c r="B149" s="1">
        <v>3</v>
      </c>
      <c r="C149" s="11">
        <v>5.2</v>
      </c>
      <c r="D149" s="12">
        <v>2</v>
      </c>
      <c r="E149" s="1" t="s">
        <v>7</v>
      </c>
      <c r="F149" s="27">
        <f t="shared" ca="1" si="4"/>
        <v>2</v>
      </c>
      <c r="G149" s="36" cm="1">
        <f t="array" aca="1" ref="G149" ca="1">$O$5*NMultDensity(C149:D149,$M$7:$N$7,$M$5:$N$6)+$O$9*NMultDensity(C149:D149,$M$11:$N$11,$M$9:$N$10)</f>
        <v>7.9465057813049758E-2</v>
      </c>
      <c r="H149" s="37" cm="1">
        <f t="array" aca="1" ref="H149" ca="1">$O$5*NMultDensity(C149:D149,$M$7:$N$7,$M$5:$N$6)/G149</f>
        <v>0.25067791559482011</v>
      </c>
      <c r="I149" s="37" cm="1">
        <f t="array" aca="1" ref="I149" ca="1">$O$9*NMultDensity(C149:D149,$M$11:$N$11,$M$9:$N$10)/G149</f>
        <v>0.74932208440517978</v>
      </c>
      <c r="J149" s="38">
        <f t="shared" ca="1" si="5"/>
        <v>0.74932208440517978</v>
      </c>
      <c r="Q149" s="15">
        <v>5.2</v>
      </c>
      <c r="R149" s="21">
        <v>2</v>
      </c>
      <c r="S149" s="25">
        <v>2</v>
      </c>
    </row>
    <row r="150" spans="1:19" x14ac:dyDescent="0.25">
      <c r="A150" s="1">
        <v>6.2</v>
      </c>
      <c r="B150" s="1">
        <v>3.4</v>
      </c>
      <c r="C150" s="11">
        <v>5.4</v>
      </c>
      <c r="D150" s="12">
        <v>2.2999999999999998</v>
      </c>
      <c r="E150" s="1" t="s">
        <v>7</v>
      </c>
      <c r="F150" s="27">
        <f t="shared" ca="1" si="4"/>
        <v>2</v>
      </c>
      <c r="G150" s="36" cm="1">
        <f t="array" aca="1" ref="G150" ca="1">$O$5*NMultDensity(C150:D150,$M$7:$N$7,$M$5:$N$6)+$O$9*NMultDensity(C150:D150,$M$11:$N$11,$M$9:$N$10)</f>
        <v>5.5102715517363232E-2</v>
      </c>
      <c r="H150" s="37" cm="1">
        <f t="array" aca="1" ref="H150" ca="1">$O$5*NMultDensity(C150:D150,$M$7:$N$7,$M$5:$N$6)/G150</f>
        <v>0.19544662272643759</v>
      </c>
      <c r="I150" s="37" cm="1">
        <f t="array" aca="1" ref="I150" ca="1">$O$9*NMultDensity(C150:D150,$M$11:$N$11,$M$9:$N$10)/G150</f>
        <v>0.80455337727356235</v>
      </c>
      <c r="J150" s="38">
        <f t="shared" ca="1" si="5"/>
        <v>0.80455337727356235</v>
      </c>
      <c r="Q150" s="15">
        <v>5.4</v>
      </c>
      <c r="R150" s="21">
        <v>2.2999999999999998</v>
      </c>
      <c r="S150" s="25">
        <v>2</v>
      </c>
    </row>
    <row r="151" spans="1:19" ht="15.75" thickBot="1" x14ac:dyDescent="0.3">
      <c r="A151" s="1">
        <v>5.9</v>
      </c>
      <c r="B151" s="1">
        <v>3</v>
      </c>
      <c r="C151" s="13">
        <v>5.0999999999999996</v>
      </c>
      <c r="D151" s="14">
        <v>1.8</v>
      </c>
      <c r="E151" s="1" t="s">
        <v>7</v>
      </c>
      <c r="F151" s="28">
        <f t="shared" ca="1" si="4"/>
        <v>2</v>
      </c>
      <c r="G151" s="39" cm="1">
        <f t="array" aca="1" ref="G151" ca="1">$O$5*NMultDensity(C151:D151,$M$7:$N$7,$M$5:$N$6)+$O$9*NMultDensity(C151:D151,$M$11:$N$11,$M$9:$N$10)</f>
        <v>9.2892435961183642E-2</v>
      </c>
      <c r="H151" s="40" cm="1">
        <f t="array" aca="1" ref="H151" ca="1">$O$5*NMultDensity(C151:D151,$M$7:$N$7,$M$5:$N$6)/G151</f>
        <v>0.28802408058720652</v>
      </c>
      <c r="I151" s="40" cm="1">
        <f t="array" aca="1" ref="I151" ca="1">$O$9*NMultDensity(C151:D151,$M$11:$N$11,$M$9:$N$10)/G151</f>
        <v>0.71197591941279348</v>
      </c>
      <c r="J151" s="41">
        <f t="shared" ca="1" si="5"/>
        <v>0.71197591941279348</v>
      </c>
      <c r="Q151" s="16">
        <v>5.0999999999999996</v>
      </c>
      <c r="R151" s="22">
        <v>1.8</v>
      </c>
      <c r="S151" s="26">
        <v>2</v>
      </c>
    </row>
  </sheetData>
  <sortState xmlns:xlrd2="http://schemas.microsoft.com/office/spreadsheetml/2017/richdata2" ref="Q2:S152">
    <sortCondition ref="S2:S152"/>
  </sortState>
  <mergeCells count="1">
    <mergeCell ref="K14:P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F39D3-3EDE-4086-BAEA-1B2570BF87C7}">
  <sheetPr codeName="Arkusz2"/>
  <dimension ref="A1:U151"/>
  <sheetViews>
    <sheetView topLeftCell="C1" workbookViewId="0">
      <selection activeCell="S1" sqref="S1:U1048576"/>
    </sheetView>
  </sheetViews>
  <sheetFormatPr defaultRowHeight="15" x14ac:dyDescent="0.25"/>
  <cols>
    <col min="1" max="1" width="12.42578125" style="1" hidden="1" customWidth="1"/>
    <col min="2" max="2" width="11.85546875" style="1" hidden="1" customWidth="1"/>
    <col min="3" max="3" width="12.140625" style="1" bestFit="1" customWidth="1"/>
    <col min="4" max="4" width="11.5703125" style="1" bestFit="1" customWidth="1"/>
    <col min="5" max="5" width="9.7109375" style="1" hidden="1" customWidth="1"/>
    <col min="6" max="6" width="9.28515625" style="1" customWidth="1"/>
    <col min="7" max="11" width="9.28515625" style="42" customWidth="1"/>
    <col min="12" max="12" width="9" style="42" customWidth="1"/>
    <col min="13" max="17" width="9.28515625" style="1" customWidth="1"/>
    <col min="18" max="18" width="9.28515625" customWidth="1"/>
    <col min="19" max="19" width="12.140625" bestFit="1" customWidth="1"/>
    <col min="20" max="20" width="11.5703125" bestFit="1" customWidth="1"/>
    <col min="21" max="21" width="6.28515625" bestFit="1" customWidth="1"/>
    <col min="22" max="22" width="9.140625" style="1" customWidth="1"/>
    <col min="23" max="16384" width="9.140625" style="1"/>
  </cols>
  <sheetData>
    <row r="1" spans="1:21" ht="15.75" thickBot="1" x14ac:dyDescent="0.3">
      <c r="A1" s="1" t="s">
        <v>0</v>
      </c>
      <c r="B1" s="1" t="s">
        <v>1</v>
      </c>
      <c r="C1" s="5" t="s">
        <v>2</v>
      </c>
      <c r="D1" s="6" t="s">
        <v>3</v>
      </c>
      <c r="E1" s="7" t="s">
        <v>4</v>
      </c>
      <c r="F1" s="30" t="s">
        <v>8</v>
      </c>
      <c r="G1" s="29" t="s">
        <v>10</v>
      </c>
      <c r="H1" s="8" t="s">
        <v>11</v>
      </c>
      <c r="I1" s="8" t="s">
        <v>12</v>
      </c>
      <c r="J1" s="32" t="s">
        <v>13</v>
      </c>
      <c r="K1" s="32" t="s">
        <v>22</v>
      </c>
      <c r="L1" s="6" t="s">
        <v>14</v>
      </c>
      <c r="N1" s="2" t="s">
        <v>8</v>
      </c>
      <c r="O1" s="2" t="s">
        <v>9</v>
      </c>
      <c r="P1" s="2" t="s">
        <v>15</v>
      </c>
      <c r="Q1" s="2" t="s">
        <v>16</v>
      </c>
      <c r="S1" s="18" t="s">
        <v>2</v>
      </c>
      <c r="T1" s="19" t="s">
        <v>3</v>
      </c>
      <c r="U1" s="23" t="s">
        <v>8</v>
      </c>
    </row>
    <row r="2" spans="1:21" x14ac:dyDescent="0.25">
      <c r="A2" s="1">
        <v>5.0999999999999996</v>
      </c>
      <c r="B2" s="1">
        <v>3.5</v>
      </c>
      <c r="C2" s="9">
        <v>1.4</v>
      </c>
      <c r="D2" s="10">
        <v>0.2</v>
      </c>
      <c r="E2" s="1" t="s">
        <v>5</v>
      </c>
      <c r="F2" s="31">
        <f>IF(H2=L2,1,IF(I2=L2,2,IF(J2=L2,3,4)))</f>
        <v>2</v>
      </c>
      <c r="G2" s="33" cm="1">
        <f t="array" ref="G2">$Q$7*NMultDensity(C2:D2,$O$9:$P$9,$O$7:$P$8)+$Q$11*NMultDensity(C2:D2,$O$13:$P$13,$O$11:$P$12)+$Q$15*NMultDensity(C2:D2,$O$17:$P$17,$O$15:$P$16)+$Q$19*NMultDensity(C2:D2,$O$21:$P$21,$O$19:$P$20)</f>
        <v>2.800162456722775</v>
      </c>
      <c r="H2" s="34" cm="1">
        <f t="array" ref="H2">$Q$7*NMultDensity(C2:D2,$O$9:$P$9,$O$7:$P$8)/G2</f>
        <v>5.9279063103155587E-5</v>
      </c>
      <c r="I2" s="34" cm="1">
        <f t="array" ref="I2">$Q$11*NMultDensity(C2:D2,$O$13:$P$13,$O$11:$P$12)/G2</f>
        <v>0.9999407209368969</v>
      </c>
      <c r="J2" s="44" cm="1">
        <f t="array" ref="J2">$Q$15*NMultDensity(C2:D2,$O$17:$P$17,$O$15:$P$16)/G2</f>
        <v>1.3645687419729269E-203</v>
      </c>
      <c r="K2" s="44" cm="1">
        <f t="array" ref="K2">$Q$19*NMultDensity(C2:D2,$O$21:$P$21,$O$19:$P$20)/G2</f>
        <v>2.5603466529859021E-19</v>
      </c>
      <c r="L2" s="35">
        <f>MAX(H2:K2)</f>
        <v>0.9999407209368969</v>
      </c>
      <c r="N2" s="2">
        <v>1</v>
      </c>
      <c r="O2" s="4">
        <f>COUNTIF(F:F,N2)</f>
        <v>68</v>
      </c>
      <c r="P2" s="3">
        <f>O2/(SUM($O$2:$O$3))</f>
        <v>0.57627118644067798</v>
      </c>
      <c r="Q2" s="3">
        <f>Q25</f>
        <v>0.46197993321964209</v>
      </c>
      <c r="S2" s="17">
        <v>4.7</v>
      </c>
      <c r="T2" s="20">
        <v>1.4</v>
      </c>
      <c r="U2" s="24">
        <v>1</v>
      </c>
    </row>
    <row r="3" spans="1:21" x14ac:dyDescent="0.25">
      <c r="A3" s="1">
        <v>4.9000000000000004</v>
      </c>
      <c r="B3" s="1">
        <v>3</v>
      </c>
      <c r="C3" s="11">
        <v>1.4</v>
      </c>
      <c r="D3" s="12">
        <v>0.2</v>
      </c>
      <c r="E3" s="1" t="s">
        <v>5</v>
      </c>
      <c r="F3" s="31">
        <f t="shared" ref="F3:F66" si="0">IF(H3=L3,1,IF(I3=L3,2,IF(J3=L3,3,4)))</f>
        <v>2</v>
      </c>
      <c r="G3" s="33" cm="1">
        <f t="array" ref="G3">$Q$7*NMultDensity(C3:D3,$O$9:$P$9,$O$7:$P$8)+$Q$11*NMultDensity(C3:D3,$O$13:$P$13,$O$11:$P$12)+$Q$15*NMultDensity(C3:D3,$O$17:$P$17,$O$15:$P$16)+$Q$19*NMultDensity(C3:D3,$O$21:$P$21,$O$19:$P$20)</f>
        <v>2.800162456722775</v>
      </c>
      <c r="H3" s="34" cm="1">
        <f t="array" ref="H3">$Q$7*NMultDensity(C3:D3,$O$9:$P$9,$O$7:$P$8)/G3</f>
        <v>5.9279063103155587E-5</v>
      </c>
      <c r="I3" s="34" cm="1">
        <f t="array" ref="I3">$Q$11*NMultDensity(C3:D3,$O$13:$P$13,$O$11:$P$12)/G3</f>
        <v>0.9999407209368969</v>
      </c>
      <c r="J3" s="44" cm="1">
        <f t="array" ref="J3">$Q$15*NMultDensity(C3:D3,$O$17:$P$17,$O$15:$P$16)/G3</f>
        <v>1.3645687419729269E-203</v>
      </c>
      <c r="K3" s="44" cm="1">
        <f t="array" ref="K3">$Q$19*NMultDensity(C3:D3,$O$21:$P$21,$O$19:$P$20)/G3</f>
        <v>2.5603466529859021E-19</v>
      </c>
      <c r="L3" s="35">
        <f t="shared" ref="L3:L66" si="1">MAX(H3:K3)</f>
        <v>0.9999407209368969</v>
      </c>
      <c r="N3" s="2">
        <v>2</v>
      </c>
      <c r="O3" s="4">
        <f>COUNTIF(F:F,N3)</f>
        <v>50</v>
      </c>
      <c r="P3" s="3">
        <f>O3/(SUM($O$2:$O$3))</f>
        <v>0.42372881355932202</v>
      </c>
      <c r="Q3" s="3">
        <f>Q29</f>
        <v>0.33237013120221337</v>
      </c>
      <c r="S3" s="15">
        <v>4.5</v>
      </c>
      <c r="T3" s="21">
        <v>1.5</v>
      </c>
      <c r="U3" s="25">
        <v>1</v>
      </c>
    </row>
    <row r="4" spans="1:21" x14ac:dyDescent="0.25">
      <c r="A4" s="1">
        <v>4.7</v>
      </c>
      <c r="B4" s="1">
        <v>3.2</v>
      </c>
      <c r="C4" s="11">
        <v>1.3</v>
      </c>
      <c r="D4" s="12">
        <v>0.2</v>
      </c>
      <c r="E4" s="1" t="s">
        <v>5</v>
      </c>
      <c r="F4" s="31">
        <f t="shared" si="0"/>
        <v>2</v>
      </c>
      <c r="G4" s="33" cm="1">
        <f t="array" ref="G4">$Q$7*NMultDensity(C4:D4,$O$9:$P$9,$O$7:$P$8)+$Q$11*NMultDensity(C4:D4,$O$13:$P$13,$O$11:$P$12)+$Q$15*NMultDensity(C4:D4,$O$17:$P$17,$O$15:$P$16)+$Q$19*NMultDensity(C4:D4,$O$21:$P$21,$O$19:$P$20)</f>
        <v>2.0136549759976594</v>
      </c>
      <c r="H4" s="34" cm="1">
        <f t="array" ref="H4">$Q$7*NMultDensity(C4:D4,$O$9:$P$9,$O$7:$P$8)/G4</f>
        <v>7.5013414432764116E-5</v>
      </c>
      <c r="I4" s="34" cm="1">
        <f t="array" ref="I4">$Q$11*NMultDensity(C4:D4,$O$13:$P$13,$O$11:$P$12)/G4</f>
        <v>0.99992498658556728</v>
      </c>
      <c r="J4" s="44" cm="1">
        <f t="array" ref="J4">$Q$15*NMultDensity(C4:D4,$O$17:$P$17,$O$15:$P$16)/G4</f>
        <v>8.2348465920322303E-207</v>
      </c>
      <c r="K4" s="44" cm="1">
        <f t="array" ref="K4">$Q$19*NMultDensity(C4:D4,$O$21:$P$21,$O$19:$P$20)/G4</f>
        <v>4.7147249869284513E-21</v>
      </c>
      <c r="L4" s="35">
        <f t="shared" si="1"/>
        <v>0.99992498658556728</v>
      </c>
      <c r="N4" s="2">
        <v>3</v>
      </c>
      <c r="O4" s="4">
        <f>COUNTIF(F:F,N4)</f>
        <v>12</v>
      </c>
      <c r="P4" s="3">
        <f>O4/(SUM($O$2:$O$4))</f>
        <v>9.2307692307692313E-2</v>
      </c>
      <c r="Q4" s="3">
        <f>Q33</f>
        <v>7.3064590335319701E-2</v>
      </c>
      <c r="S4" s="15">
        <v>4.9000000000000004</v>
      </c>
      <c r="T4" s="21">
        <v>1.5</v>
      </c>
      <c r="U4" s="25">
        <v>1</v>
      </c>
    </row>
    <row r="5" spans="1:21" x14ac:dyDescent="0.25">
      <c r="A5" s="1">
        <v>4.5999999999999996</v>
      </c>
      <c r="B5" s="1">
        <v>3.1</v>
      </c>
      <c r="C5" s="11">
        <v>1.5</v>
      </c>
      <c r="D5" s="12">
        <v>0.2</v>
      </c>
      <c r="E5" s="1" t="s">
        <v>5</v>
      </c>
      <c r="F5" s="31">
        <f t="shared" si="0"/>
        <v>2</v>
      </c>
      <c r="G5" s="33" cm="1">
        <f t="array" ref="G5">$Q$7*NMultDensity(C5:D5,$O$9:$P$9,$O$7:$P$8)+$Q$11*NMultDensity(C5:D5,$O$13:$P$13,$O$11:$P$12)+$Q$15*NMultDensity(C5:D5,$O$17:$P$17,$O$15:$P$16)+$Q$19*NMultDensity(C5:D5,$O$21:$P$21,$O$19:$P$20)</f>
        <v>2.6626817329401886</v>
      </c>
      <c r="H5" s="34" cm="1">
        <f t="array" ref="H5">$Q$7*NMultDensity(C5:D5,$O$9:$P$9,$O$7:$P$8)/G5</f>
        <v>6.4069756770667724E-5</v>
      </c>
      <c r="I5" s="34" cm="1">
        <f t="array" ref="I5">$Q$11*NMultDensity(C5:D5,$O$13:$P$13,$O$11:$P$12)/G5</f>
        <v>0.99993593024322935</v>
      </c>
      <c r="J5" s="44" cm="1">
        <f t="array" ref="J5">$Q$15*NMultDensity(C5:D5,$O$17:$P$17,$O$15:$P$16)/G5</f>
        <v>2.9592259659589658E-200</v>
      </c>
      <c r="K5" s="44" cm="1">
        <f t="array" ref="K5">$Q$19*NMultDensity(C5:D5,$O$21:$P$21,$O$19:$P$20)/G5</f>
        <v>1.3805531715499341E-17</v>
      </c>
      <c r="L5" s="35">
        <f t="shared" si="1"/>
        <v>0.99993593024322935</v>
      </c>
      <c r="N5" s="2">
        <v>4</v>
      </c>
      <c r="O5" s="4">
        <f>COUNTIF(F:F,N5)</f>
        <v>20</v>
      </c>
      <c r="P5" s="3">
        <f>O5/(SUM($O$2:$O$4))</f>
        <v>0.15384615384615385</v>
      </c>
      <c r="Q5" s="3">
        <f>Q37</f>
        <v>0.13258534524282492</v>
      </c>
      <c r="S5" s="15">
        <v>4</v>
      </c>
      <c r="T5" s="21">
        <v>1.3</v>
      </c>
      <c r="U5" s="25">
        <v>1</v>
      </c>
    </row>
    <row r="6" spans="1:21" ht="15.75" thickBot="1" x14ac:dyDescent="0.3">
      <c r="A6" s="1">
        <v>5</v>
      </c>
      <c r="B6" s="1">
        <v>3.6</v>
      </c>
      <c r="C6" s="11">
        <v>1.4</v>
      </c>
      <c r="D6" s="12">
        <v>0.2</v>
      </c>
      <c r="E6" s="1" t="s">
        <v>5</v>
      </c>
      <c r="F6" s="31">
        <f t="shared" si="0"/>
        <v>2</v>
      </c>
      <c r="G6" s="33" cm="1">
        <f t="array" ref="G6">$Q$7*NMultDensity(C6:D6,$O$9:$P$9,$O$7:$P$8)+$Q$11*NMultDensity(C6:D6,$O$13:$P$13,$O$11:$P$12)+$Q$15*NMultDensity(C6:D6,$O$17:$P$17,$O$15:$P$16)+$Q$19*NMultDensity(C6:D6,$O$21:$P$21,$O$19:$P$20)</f>
        <v>2.800162456722775</v>
      </c>
      <c r="H6" s="34" cm="1">
        <f t="array" ref="H6">$Q$7*NMultDensity(C6:D6,$O$9:$P$9,$O$7:$P$8)/G6</f>
        <v>5.9279063103155587E-5</v>
      </c>
      <c r="I6" s="34" cm="1">
        <f t="array" ref="I6">$Q$11*NMultDensity(C6:D6,$O$13:$P$13,$O$11:$P$12)/G6</f>
        <v>0.9999407209368969</v>
      </c>
      <c r="J6" s="44" cm="1">
        <f t="array" ref="J6">$Q$15*NMultDensity(C6:D6,$O$17:$P$17,$O$15:$P$16)/G6</f>
        <v>1.3645687419729269E-203</v>
      </c>
      <c r="K6" s="44" cm="1">
        <f t="array" ref="K6">$Q$19*NMultDensity(C6:D6,$O$21:$P$21,$O$19:$P$20)/G6</f>
        <v>2.5603466529859021E-19</v>
      </c>
      <c r="L6" s="35">
        <f t="shared" si="1"/>
        <v>0.9999407209368969</v>
      </c>
      <c r="S6" s="15">
        <v>4.5999999999999996</v>
      </c>
      <c r="T6" s="21">
        <v>1.5</v>
      </c>
      <c r="U6" s="25">
        <v>1</v>
      </c>
    </row>
    <row r="7" spans="1:21" ht="16.5" thickTop="1" thickBot="1" x14ac:dyDescent="0.3">
      <c r="A7" s="1">
        <v>5.4</v>
      </c>
      <c r="B7" s="1">
        <v>3.9</v>
      </c>
      <c r="C7" s="11">
        <v>1.7</v>
      </c>
      <c r="D7" s="12">
        <v>0.4</v>
      </c>
      <c r="E7" s="1" t="s">
        <v>5</v>
      </c>
      <c r="F7" s="31">
        <f t="shared" si="0"/>
        <v>2</v>
      </c>
      <c r="G7" s="33" cm="1">
        <f t="array" ref="G7">$Q$7*NMultDensity(C7:D7,$O$9:$P$9,$O$7:$P$8)+$Q$11*NMultDensity(C7:D7,$O$13:$P$13,$O$11:$P$12)+$Q$15*NMultDensity(C7:D7,$O$17:$P$17,$O$15:$P$16)+$Q$19*NMultDensity(C7:D7,$O$21:$P$21,$O$19:$P$20)</f>
        <v>0.65528380439301903</v>
      </c>
      <c r="H7" s="34" cm="1">
        <f t="array" ref="H7">$Q$7*NMultDensity(C7:D7,$O$9:$P$9,$O$7:$P$8)/G7</f>
        <v>2.0806631574693231E-3</v>
      </c>
      <c r="I7" s="34" cm="1">
        <f t="array" ref="I7">$Q$11*NMultDensity(C7:D7,$O$13:$P$13,$O$11:$P$12)/G7</f>
        <v>0.99791933684253065</v>
      </c>
      <c r="J7" s="44" cm="1">
        <f t="array" ref="J7">$Q$15*NMultDensity(C7:D7,$O$17:$P$17,$O$15:$P$16)/G7</f>
        <v>1.0282093543668205E-168</v>
      </c>
      <c r="K7" s="44" cm="1">
        <f t="array" ref="K7">$Q$19*NMultDensity(C7:D7,$O$21:$P$21,$O$19:$P$20)/G7</f>
        <v>3.6391057842959515E-17</v>
      </c>
      <c r="L7" s="35">
        <f t="shared" si="1"/>
        <v>0.99791933684253065</v>
      </c>
      <c r="N7" s="2" t="s">
        <v>17</v>
      </c>
      <c r="O7" s="3">
        <v>0.77816442549938114</v>
      </c>
      <c r="P7" s="3">
        <v>0.24923873381964981</v>
      </c>
      <c r="Q7" s="43">
        <v>0.46219972385557129</v>
      </c>
      <c r="S7" s="15">
        <v>4.5</v>
      </c>
      <c r="T7" s="21">
        <v>1.3</v>
      </c>
      <c r="U7" s="25">
        <v>1</v>
      </c>
    </row>
    <row r="8" spans="1:21" ht="15.75" thickTop="1" x14ac:dyDescent="0.25">
      <c r="A8" s="1">
        <v>4.5999999999999996</v>
      </c>
      <c r="B8" s="1">
        <v>3.4</v>
      </c>
      <c r="C8" s="11">
        <v>1.4</v>
      </c>
      <c r="D8" s="12">
        <v>0.3</v>
      </c>
      <c r="E8" s="1" t="s">
        <v>5</v>
      </c>
      <c r="F8" s="31">
        <f t="shared" si="0"/>
        <v>2</v>
      </c>
      <c r="G8" s="33" cm="1">
        <f t="array" ref="G8">$Q$7*NMultDensity(C8:D8,$O$9:$P$9,$O$7:$P$8)+$Q$11*NMultDensity(C8:D8,$O$13:$P$13,$O$11:$P$12)+$Q$15*NMultDensity(C8:D8,$O$17:$P$17,$O$15:$P$16)+$Q$19*NMultDensity(C8:D8,$O$21:$P$21,$O$19:$P$20)</f>
        <v>2.3416342306424713</v>
      </c>
      <c r="H8" s="34" cm="1">
        <f t="array" ref="H8">$Q$7*NMultDensity(C8:D8,$O$9:$P$9,$O$7:$P$8)/G8</f>
        <v>1.6907470685938994E-4</v>
      </c>
      <c r="I8" s="34" cm="1">
        <f t="array" ref="I8">$Q$11*NMultDensity(C8:D8,$O$13:$P$13,$O$11:$P$12)/G8</f>
        <v>0.99983092529314055</v>
      </c>
      <c r="J8" s="44" cm="1">
        <f t="array" ref="J8">$Q$15*NMultDensity(C8:D8,$O$17:$P$17,$O$15:$P$16)/G8</f>
        <v>7.5947376309481376E-191</v>
      </c>
      <c r="K8" s="44" cm="1">
        <f t="array" ref="K8">$Q$19*NMultDensity(C8:D8,$O$21:$P$21,$O$19:$P$20)/G8</f>
        <v>2.4371250863242335E-21</v>
      </c>
      <c r="L8" s="35">
        <f t="shared" si="1"/>
        <v>0.99983092529314055</v>
      </c>
      <c r="N8" s="2">
        <v>108</v>
      </c>
      <c r="O8" s="3">
        <v>0.24923873381964981</v>
      </c>
      <c r="P8" s="3">
        <v>9.8793987335821259E-2</v>
      </c>
      <c r="S8" s="15">
        <v>4.7</v>
      </c>
      <c r="T8" s="21">
        <v>1.6</v>
      </c>
      <c r="U8" s="25">
        <v>1</v>
      </c>
    </row>
    <row r="9" spans="1:21" x14ac:dyDescent="0.25">
      <c r="A9" s="1">
        <v>5</v>
      </c>
      <c r="B9" s="1">
        <v>3.4</v>
      </c>
      <c r="C9" s="11">
        <v>1.5</v>
      </c>
      <c r="D9" s="12">
        <v>0.2</v>
      </c>
      <c r="E9" s="1" t="s">
        <v>5</v>
      </c>
      <c r="F9" s="31">
        <f t="shared" si="0"/>
        <v>2</v>
      </c>
      <c r="G9" s="33" cm="1">
        <f t="array" ref="G9">$Q$7*NMultDensity(C9:D9,$O$9:$P$9,$O$7:$P$8)+$Q$11*NMultDensity(C9:D9,$O$13:$P$13,$O$11:$P$12)+$Q$15*NMultDensity(C9:D9,$O$17:$P$17,$O$15:$P$16)+$Q$19*NMultDensity(C9:D9,$O$21:$P$21,$O$19:$P$20)</f>
        <v>2.6626817329401886</v>
      </c>
      <c r="H9" s="34" cm="1">
        <f t="array" ref="H9">$Q$7*NMultDensity(C9:D9,$O$9:$P$9,$O$7:$P$8)/G9</f>
        <v>6.4069756770667724E-5</v>
      </c>
      <c r="I9" s="34" cm="1">
        <f t="array" ref="I9">$Q$11*NMultDensity(C9:D9,$O$13:$P$13,$O$11:$P$12)/G9</f>
        <v>0.99993593024322935</v>
      </c>
      <c r="J9" s="44" cm="1">
        <f t="array" ref="J9">$Q$15*NMultDensity(C9:D9,$O$17:$P$17,$O$15:$P$16)/G9</f>
        <v>2.9592259659589658E-200</v>
      </c>
      <c r="K9" s="44" cm="1">
        <f t="array" ref="K9">$Q$19*NMultDensity(C9:D9,$O$21:$P$21,$O$19:$P$20)/G9</f>
        <v>1.3805531715499341E-17</v>
      </c>
      <c r="L9" s="35">
        <f t="shared" si="1"/>
        <v>0.99993593024322935</v>
      </c>
      <c r="N9" s="2" t="s">
        <v>18</v>
      </c>
      <c r="O9" s="3">
        <v>4.6970845618757382</v>
      </c>
      <c r="P9" s="3">
        <v>1.4708810168009996</v>
      </c>
      <c r="S9" s="15">
        <v>3.3</v>
      </c>
      <c r="T9" s="21">
        <v>1</v>
      </c>
      <c r="U9" s="25">
        <v>1</v>
      </c>
    </row>
    <row r="10" spans="1:21" ht="15.75" thickBot="1" x14ac:dyDescent="0.3">
      <c r="A10" s="1">
        <v>4.4000000000000004</v>
      </c>
      <c r="B10" s="1">
        <v>2.9</v>
      </c>
      <c r="C10" s="11">
        <v>1.4</v>
      </c>
      <c r="D10" s="12">
        <v>0.2</v>
      </c>
      <c r="E10" s="1" t="s">
        <v>5</v>
      </c>
      <c r="F10" s="31">
        <f t="shared" si="0"/>
        <v>2</v>
      </c>
      <c r="G10" s="33" cm="1">
        <f t="array" ref="G10">$Q$7*NMultDensity(C10:D10,$O$9:$P$9,$O$7:$P$8)+$Q$11*NMultDensity(C10:D10,$O$13:$P$13,$O$11:$P$12)+$Q$15*NMultDensity(C10:D10,$O$17:$P$17,$O$15:$P$16)+$Q$19*NMultDensity(C10:D10,$O$21:$P$21,$O$19:$P$20)</f>
        <v>2.800162456722775</v>
      </c>
      <c r="H10" s="34" cm="1">
        <f t="array" ref="H10">$Q$7*NMultDensity(C10:D10,$O$9:$P$9,$O$7:$P$8)/G10</f>
        <v>5.9279063103155587E-5</v>
      </c>
      <c r="I10" s="34" cm="1">
        <f t="array" ref="I10">$Q$11*NMultDensity(C10:D10,$O$13:$P$13,$O$11:$P$12)/G10</f>
        <v>0.9999407209368969</v>
      </c>
      <c r="J10" s="44" cm="1">
        <f t="array" ref="J10">$Q$15*NMultDensity(C10:D10,$O$17:$P$17,$O$15:$P$16)/G10</f>
        <v>1.3645687419729269E-203</v>
      </c>
      <c r="K10" s="44" cm="1">
        <f t="array" ref="K10">$Q$19*NMultDensity(C10:D10,$O$21:$P$21,$O$19:$P$20)/G10</f>
        <v>2.5603466529859021E-19</v>
      </c>
      <c r="L10" s="35">
        <f t="shared" si="1"/>
        <v>0.9999407209368969</v>
      </c>
      <c r="S10" s="15">
        <v>4.5999999999999996</v>
      </c>
      <c r="T10" s="21">
        <v>1.3</v>
      </c>
      <c r="U10" s="25">
        <v>1</v>
      </c>
    </row>
    <row r="11" spans="1:21" ht="16.5" thickTop="1" thickBot="1" x14ac:dyDescent="0.3">
      <c r="A11" s="1">
        <v>4.9000000000000004</v>
      </c>
      <c r="B11" s="1">
        <v>3.1</v>
      </c>
      <c r="C11" s="11">
        <v>1.5</v>
      </c>
      <c r="D11" s="12">
        <v>0.1</v>
      </c>
      <c r="E11" s="1" t="s">
        <v>5</v>
      </c>
      <c r="F11" s="31">
        <f t="shared" si="0"/>
        <v>2</v>
      </c>
      <c r="G11" s="33" cm="1">
        <f t="array" ref="G11">$Q$7*NMultDensity(C11:D11,$O$9:$P$9,$O$7:$P$8)+$Q$11*NMultDensity(C11:D11,$O$13:$P$13,$O$11:$P$12)+$Q$15*NMultDensity(C11:D11,$O$17:$P$17,$O$15:$P$16)+$Q$19*NMultDensity(C11:D11,$O$21:$P$21,$O$19:$P$20)</f>
        <v>0.90146668496282201</v>
      </c>
      <c r="H11" s="34" cm="1">
        <f t="array" ref="H11">$Q$7*NMultDensity(C11:D11,$O$9:$P$9,$O$7:$P$8)/G11</f>
        <v>3.9552001239723876E-5</v>
      </c>
      <c r="I11" s="34" cm="1">
        <f t="array" ref="I11">$Q$11*NMultDensity(C11:D11,$O$13:$P$13,$O$11:$P$12)/G11</f>
        <v>0.99996044799875916</v>
      </c>
      <c r="J11" s="44" cm="1">
        <f t="array" ref="J11">$Q$15*NMultDensity(C11:D11,$O$17:$P$17,$O$15:$P$16)/G11</f>
        <v>6.9509037474806432E-213</v>
      </c>
      <c r="K11" s="44" cm="1">
        <f t="array" ref="K11">$Q$19*NMultDensity(C11:D11,$O$21:$P$21,$O$19:$P$20)/G11</f>
        <v>1.1023225381055007E-15</v>
      </c>
      <c r="L11" s="35">
        <f t="shared" si="1"/>
        <v>0.99996044799875916</v>
      </c>
      <c r="N11" s="2" t="s">
        <v>19</v>
      </c>
      <c r="O11" s="3">
        <v>2.9499104970557063E-2</v>
      </c>
      <c r="P11" s="3">
        <v>5.8253209800710653E-3</v>
      </c>
      <c r="Q11" s="43">
        <v>0.33237315966229197</v>
      </c>
      <c r="S11" s="15">
        <v>3.9</v>
      </c>
      <c r="T11" s="21">
        <v>1.4</v>
      </c>
      <c r="U11" s="25">
        <v>1</v>
      </c>
    </row>
    <row r="12" spans="1:21" ht="15.75" thickTop="1" x14ac:dyDescent="0.25">
      <c r="A12" s="1">
        <v>5.4</v>
      </c>
      <c r="B12" s="1">
        <v>3.7</v>
      </c>
      <c r="C12" s="11">
        <v>1.5</v>
      </c>
      <c r="D12" s="12">
        <v>0.2</v>
      </c>
      <c r="E12" s="1" t="s">
        <v>5</v>
      </c>
      <c r="F12" s="31">
        <f t="shared" si="0"/>
        <v>2</v>
      </c>
      <c r="G12" s="33" cm="1">
        <f t="array" ref="G12">$Q$7*NMultDensity(C12:D12,$O$9:$P$9,$O$7:$P$8)+$Q$11*NMultDensity(C12:D12,$O$13:$P$13,$O$11:$P$12)+$Q$15*NMultDensity(C12:D12,$O$17:$P$17,$O$15:$P$16)+$Q$19*NMultDensity(C12:D12,$O$21:$P$21,$O$19:$P$20)</f>
        <v>2.6626817329401886</v>
      </c>
      <c r="H12" s="34" cm="1">
        <f t="array" ref="H12">$Q$7*NMultDensity(C12:D12,$O$9:$P$9,$O$7:$P$8)/G12</f>
        <v>6.4069756770667724E-5</v>
      </c>
      <c r="I12" s="34" cm="1">
        <f t="array" ref="I12">$Q$11*NMultDensity(C12:D12,$O$13:$P$13,$O$11:$P$12)/G12</f>
        <v>0.99993593024322935</v>
      </c>
      <c r="J12" s="44" cm="1">
        <f t="array" ref="J12">$Q$15*NMultDensity(C12:D12,$O$17:$P$17,$O$15:$P$16)/G12</f>
        <v>2.9592259659589658E-200</v>
      </c>
      <c r="K12" s="44" cm="1">
        <f t="array" ref="K12">$Q$19*NMultDensity(C12:D12,$O$21:$P$21,$O$19:$P$20)/G12</f>
        <v>1.3805531715499341E-17</v>
      </c>
      <c r="L12" s="35">
        <f t="shared" si="1"/>
        <v>0.99993593024322935</v>
      </c>
      <c r="N12" s="2">
        <v>12</v>
      </c>
      <c r="O12" s="3">
        <v>5.8253209800710653E-3</v>
      </c>
      <c r="P12" s="3">
        <v>1.0639209952878171E-2</v>
      </c>
      <c r="S12" s="15">
        <v>3.5</v>
      </c>
      <c r="T12" s="21">
        <v>1</v>
      </c>
      <c r="U12" s="25">
        <v>1</v>
      </c>
    </row>
    <row r="13" spans="1:21" x14ac:dyDescent="0.25">
      <c r="A13" s="1">
        <v>4.8</v>
      </c>
      <c r="B13" s="1">
        <v>3.4</v>
      </c>
      <c r="C13" s="11">
        <v>1.6</v>
      </c>
      <c r="D13" s="12">
        <v>0.2</v>
      </c>
      <c r="E13" s="1" t="s">
        <v>5</v>
      </c>
      <c r="F13" s="31">
        <f t="shared" si="0"/>
        <v>2</v>
      </c>
      <c r="G13" s="33" cm="1">
        <f t="array" ref="G13">$Q$7*NMultDensity(C13:D13,$O$9:$P$9,$O$7:$P$8)+$Q$11*NMultDensity(C13:D13,$O$13:$P$13,$O$11:$P$12)+$Q$15*NMultDensity(C13:D13,$O$17:$P$17,$O$15:$P$16)+$Q$19*NMultDensity(C13:D13,$O$21:$P$21,$O$19:$P$20)</f>
        <v>1.7313922256693786</v>
      </c>
      <c r="H13" s="34" cm="1">
        <f t="array" ref="H13">$Q$7*NMultDensity(C13:D13,$O$9:$P$9,$O$7:$P$8)/G13</f>
        <v>9.4709131534039375E-5</v>
      </c>
      <c r="I13" s="34" cm="1">
        <f t="array" ref="I13">$Q$11*NMultDensity(C13:D13,$O$13:$P$13,$O$11:$P$12)/G13</f>
        <v>0.99990529086846514</v>
      </c>
      <c r="J13" s="44" cm="1">
        <f t="array" ref="J13">$Q$15*NMultDensity(C13:D13,$O$17:$P$17,$O$15:$P$16)/G13</f>
        <v>8.3984923652240281E-197</v>
      </c>
      <c r="K13" s="44" cm="1">
        <f t="array" ref="K13">$Q$19*NMultDensity(C13:D13,$O$21:$P$21,$O$19:$P$20)/G13</f>
        <v>7.3912375013699179E-16</v>
      </c>
      <c r="L13" s="35">
        <f t="shared" si="1"/>
        <v>0.99990529086846514</v>
      </c>
      <c r="N13" s="2" t="s">
        <v>18</v>
      </c>
      <c r="O13" s="3">
        <v>1.4614811196726913</v>
      </c>
      <c r="P13" s="3">
        <v>0.245161765234201</v>
      </c>
      <c r="S13" s="15">
        <v>4.2</v>
      </c>
      <c r="T13" s="21">
        <v>1.5</v>
      </c>
      <c r="U13" s="25">
        <v>1</v>
      </c>
    </row>
    <row r="14" spans="1:21" ht="15.75" thickBot="1" x14ac:dyDescent="0.3">
      <c r="A14" s="1">
        <v>4.8</v>
      </c>
      <c r="B14" s="1">
        <v>3</v>
      </c>
      <c r="C14" s="11">
        <v>1.4</v>
      </c>
      <c r="D14" s="12">
        <v>0.1</v>
      </c>
      <c r="E14" s="1" t="s">
        <v>5</v>
      </c>
      <c r="F14" s="31">
        <f t="shared" si="0"/>
        <v>2</v>
      </c>
      <c r="G14" s="33" cm="1">
        <f t="array" ref="G14">$Q$7*NMultDensity(C14:D14,$O$9:$P$9,$O$7:$P$8)+$Q$11*NMultDensity(C14:D14,$O$13:$P$13,$O$11:$P$12)+$Q$15*NMultDensity(C14:D14,$O$17:$P$17,$O$15:$P$16)+$Q$19*NMultDensity(C14:D14,$O$21:$P$21,$O$19:$P$20)</f>
        <v>1.1673355789996287</v>
      </c>
      <c r="H14" s="34" cm="1">
        <f t="array" ref="H14">$Q$7*NMultDensity(C14:D14,$O$9:$P$9,$O$7:$P$8)/G14</f>
        <v>3.5186806812463984E-5</v>
      </c>
      <c r="I14" s="34" cm="1">
        <f t="array" ref="I14">$Q$11*NMultDensity(C14:D14,$O$13:$P$13,$O$11:$P$12)/G14</f>
        <v>0.99996481319318753</v>
      </c>
      <c r="J14" s="44" cm="1">
        <f t="array" ref="J14">$Q$15*NMultDensity(C14:D14,$O$17:$P$17,$O$15:$P$16)/G14</f>
        <v>2.2404276302787442E-216</v>
      </c>
      <c r="K14" s="44" cm="1">
        <f t="array" ref="K14">$Q$19*NMultDensity(C14:D14,$O$21:$P$21,$O$19:$P$20)/G14</f>
        <v>2.9641454405340105E-17</v>
      </c>
      <c r="L14" s="35">
        <f t="shared" si="1"/>
        <v>0.99996481319318753</v>
      </c>
      <c r="S14" s="15">
        <v>4</v>
      </c>
      <c r="T14" s="21">
        <v>1</v>
      </c>
      <c r="U14" s="25">
        <v>1</v>
      </c>
    </row>
    <row r="15" spans="1:21" ht="16.5" thickTop="1" thickBot="1" x14ac:dyDescent="0.3">
      <c r="A15" s="1">
        <v>4.3</v>
      </c>
      <c r="B15" s="1">
        <v>3</v>
      </c>
      <c r="C15" s="11">
        <v>1.1000000000000001</v>
      </c>
      <c r="D15" s="12">
        <v>0.1</v>
      </c>
      <c r="E15" s="1" t="s">
        <v>5</v>
      </c>
      <c r="F15" s="31">
        <f t="shared" si="0"/>
        <v>2</v>
      </c>
      <c r="G15" s="33" cm="1">
        <f t="array" ref="G15">$Q$7*NMultDensity(C15:D15,$O$9:$P$9,$O$7:$P$8)+$Q$11*NMultDensity(C15:D15,$O$13:$P$13,$O$11:$P$12)+$Q$15*NMultDensity(C15:D15,$O$17:$P$17,$O$15:$P$16)+$Q$19*NMultDensity(C15:D15,$O$21:$P$21,$O$19:$P$20)</f>
        <v>0.25916023472397098</v>
      </c>
      <c r="H15" s="34" cm="1">
        <f t="array" ref="H15">$Q$7*NMultDensity(C15:D15,$O$9:$P$9,$O$7:$P$8)/G15</f>
        <v>1.6215963993628641E-4</v>
      </c>
      <c r="I15" s="34" cm="1">
        <f t="array" ref="I15">$Q$11*NMultDensity(C15:D15,$O$13:$P$13,$O$11:$P$12)/G15</f>
        <v>0.99983784036006373</v>
      </c>
      <c r="J15" s="44" cm="1">
        <f t="array" ref="J15">$Q$15*NMultDensity(C15:D15,$O$17:$P$17,$O$15:$P$16)/G15</f>
        <v>3.7692013202124451E-226</v>
      </c>
      <c r="K15" s="44" cm="1">
        <f t="array" ref="K15">$Q$19*NMultDensity(C15:D15,$O$21:$P$21,$O$19:$P$20)/G15</f>
        <v>5.5225086906367182E-22</v>
      </c>
      <c r="L15" s="35">
        <f t="shared" si="1"/>
        <v>0.99983784036006373</v>
      </c>
      <c r="N15" s="2" t="s">
        <v>23</v>
      </c>
      <c r="O15" s="3">
        <v>0.10945818003440314</v>
      </c>
      <c r="P15" s="3">
        <v>-1.4353326877655675E-2</v>
      </c>
      <c r="Q15" s="43">
        <v>7.3159770574876118E-2</v>
      </c>
      <c r="S15" s="15">
        <v>4.7</v>
      </c>
      <c r="T15" s="21">
        <v>1.4</v>
      </c>
      <c r="U15" s="25">
        <v>1</v>
      </c>
    </row>
    <row r="16" spans="1:21" ht="15.75" thickTop="1" x14ac:dyDescent="0.25">
      <c r="A16" s="1">
        <v>5.8</v>
      </c>
      <c r="B16" s="1">
        <v>4</v>
      </c>
      <c r="C16" s="11">
        <v>1.2</v>
      </c>
      <c r="D16" s="12">
        <v>0.2</v>
      </c>
      <c r="E16" s="1" t="s">
        <v>5</v>
      </c>
      <c r="F16" s="31">
        <f t="shared" si="0"/>
        <v>2</v>
      </c>
      <c r="G16" s="33" cm="1">
        <f t="array" ref="G16">$Q$7*NMultDensity(C16:D16,$O$9:$P$9,$O$7:$P$8)+$Q$11*NMultDensity(C16:D16,$O$13:$P$13,$O$11:$P$12)+$Q$15*NMultDensity(C16:D16,$O$17:$P$17,$O$15:$P$16)+$Q$19*NMultDensity(C16:D16,$O$21:$P$21,$O$19:$P$20)</f>
        <v>0.99022254678100741</v>
      </c>
      <c r="H16" s="34" cm="1">
        <f t="array" ref="H16">$Q$7*NMultDensity(C16:D16,$O$9:$P$9,$O$7:$P$8)/G16</f>
        <v>1.2982484882171965E-4</v>
      </c>
      <c r="I16" s="34" cm="1">
        <f t="array" ref="I16">$Q$11*NMultDensity(C16:D16,$O$13:$P$13,$O$11:$P$12)/G16</f>
        <v>0.99987017515117826</v>
      </c>
      <c r="J16" s="44" cm="1">
        <f t="array" ref="J16">$Q$15*NMultDensity(C16:D16,$O$17:$P$17,$O$15:$P$16)/G16</f>
        <v>6.5035480553704203E-210</v>
      </c>
      <c r="K16" s="44" cm="1">
        <f t="array" ref="K16">$Q$19*NMultDensity(C16:D16,$O$21:$P$21,$O$19:$P$20)/G16</f>
        <v>8.6202103933850698E-23</v>
      </c>
      <c r="L16" s="35">
        <f t="shared" si="1"/>
        <v>0.99987017515117826</v>
      </c>
      <c r="N16" s="2">
        <v>101</v>
      </c>
      <c r="O16" s="3">
        <v>-1.4353326877655675E-2</v>
      </c>
      <c r="P16" s="3">
        <v>1.0624019870463965E-2</v>
      </c>
      <c r="S16" s="15">
        <v>3.6</v>
      </c>
      <c r="T16" s="21">
        <v>1.3</v>
      </c>
      <c r="U16" s="25">
        <v>1</v>
      </c>
    </row>
    <row r="17" spans="1:21" x14ac:dyDescent="0.25">
      <c r="A17" s="1">
        <v>5.7</v>
      </c>
      <c r="B17" s="1">
        <v>4.4000000000000004</v>
      </c>
      <c r="C17" s="11">
        <v>1.5</v>
      </c>
      <c r="D17" s="12">
        <v>0.4</v>
      </c>
      <c r="E17" s="1" t="s">
        <v>5</v>
      </c>
      <c r="F17" s="31">
        <f t="shared" si="0"/>
        <v>2</v>
      </c>
      <c r="G17" s="33" cm="1">
        <f t="array" ref="G17">$Q$7*NMultDensity(C17:D17,$O$9:$P$9,$O$7:$P$8)+$Q$11*NMultDensity(C17:D17,$O$13:$P$13,$O$11:$P$12)+$Q$15*NMultDensity(C17:D17,$O$17:$P$17,$O$15:$P$16)+$Q$19*NMultDensity(C17:D17,$O$21:$P$21,$O$19:$P$20)</f>
        <v>0.98468398477306029</v>
      </c>
      <c r="H17" s="34" cm="1">
        <f t="array" ref="H17">$Q$7*NMultDensity(C17:D17,$O$9:$P$9,$O$7:$P$8)/G17</f>
        <v>8.1544809683249816E-4</v>
      </c>
      <c r="I17" s="34" cm="1">
        <f t="array" ref="I17">$Q$11*NMultDensity(C17:D17,$O$13:$P$13,$O$11:$P$12)/G17</f>
        <v>0.99918455190316757</v>
      </c>
      <c r="J17" s="44" cm="1">
        <f t="array" ref="J17">$Q$15*NMultDensity(C17:D17,$O$17:$P$17,$O$15:$P$16)/G17</f>
        <v>4.0908817080143656E-175</v>
      </c>
      <c r="K17" s="44" cm="1">
        <f t="array" ref="K17">$Q$19*NMultDensity(C17:D17,$O$21:$P$21,$O$19:$P$20)/G17</f>
        <v>2.8965959530061917E-21</v>
      </c>
      <c r="L17" s="35">
        <f t="shared" si="1"/>
        <v>0.99918455190316757</v>
      </c>
      <c r="N17" s="2" t="s">
        <v>18</v>
      </c>
      <c r="O17" s="3">
        <v>5.545277217152222</v>
      </c>
      <c r="P17" s="3">
        <v>2.2563229272934922</v>
      </c>
      <c r="S17" s="15">
        <v>4.4000000000000004</v>
      </c>
      <c r="T17" s="21">
        <v>1.4</v>
      </c>
      <c r="U17" s="25">
        <v>1</v>
      </c>
    </row>
    <row r="18" spans="1:21" ht="15.75" thickBot="1" x14ac:dyDescent="0.3">
      <c r="A18" s="1">
        <v>5.4</v>
      </c>
      <c r="B18" s="1">
        <v>3.9</v>
      </c>
      <c r="C18" s="11">
        <v>1.3</v>
      </c>
      <c r="D18" s="12">
        <v>0.4</v>
      </c>
      <c r="E18" s="1" t="s">
        <v>5</v>
      </c>
      <c r="F18" s="31">
        <f t="shared" si="0"/>
        <v>2</v>
      </c>
      <c r="G18" s="33" cm="1">
        <f t="array" ref="G18">$Q$7*NMultDensity(C18:D18,$O$9:$P$9,$O$7:$P$8)+$Q$11*NMultDensity(C18:D18,$O$13:$P$13,$O$11:$P$12)+$Q$15*NMultDensity(C18:D18,$O$17:$P$17,$O$15:$P$16)+$Q$19*NMultDensity(C18:D18,$O$21:$P$21,$O$19:$P$20)</f>
        <v>0.32401215023806362</v>
      </c>
      <c r="H18" s="34" cm="1">
        <f t="array" ref="H18">$Q$7*NMultDensity(C18:D18,$O$9:$P$9,$O$7:$P$8)/G18</f>
        <v>1.1166131102849004E-3</v>
      </c>
      <c r="I18" s="34" cm="1">
        <f t="array" ref="I18">$Q$11*NMultDensity(C18:D18,$O$13:$P$13,$O$11:$P$12)/G18</f>
        <v>0.99888338688971501</v>
      </c>
      <c r="J18" s="44" cm="1">
        <f t="array" ref="J18">$Q$15*NMultDensity(C18:D18,$O$17:$P$17,$O$15:$P$16)/G18</f>
        <v>4.7673603017583282E-181</v>
      </c>
      <c r="K18" s="44" cm="1">
        <f t="array" ref="K18">$Q$19*NMultDensity(C18:D18,$O$21:$P$21,$O$19:$P$20)/G18</f>
        <v>2.2376052798426168E-25</v>
      </c>
      <c r="L18" s="35">
        <f t="shared" si="1"/>
        <v>0.99888338688971501</v>
      </c>
      <c r="S18" s="15">
        <v>4.5</v>
      </c>
      <c r="T18" s="21">
        <v>1.5</v>
      </c>
      <c r="U18" s="25">
        <v>1</v>
      </c>
    </row>
    <row r="19" spans="1:21" ht="16.5" thickTop="1" thickBot="1" x14ac:dyDescent="0.3">
      <c r="A19" s="1">
        <v>5.0999999999999996</v>
      </c>
      <c r="B19" s="1">
        <v>3.5</v>
      </c>
      <c r="C19" s="11">
        <v>1.4</v>
      </c>
      <c r="D19" s="12">
        <v>0.3</v>
      </c>
      <c r="E19" s="1" t="s">
        <v>5</v>
      </c>
      <c r="F19" s="31">
        <f t="shared" si="0"/>
        <v>2</v>
      </c>
      <c r="G19" s="33" cm="1">
        <f t="array" ref="G19">$Q$7*NMultDensity(C19:D19,$O$9:$P$9,$O$7:$P$8)+$Q$11*NMultDensity(C19:D19,$O$13:$P$13,$O$11:$P$12)+$Q$15*NMultDensity(C19:D19,$O$17:$P$17,$O$15:$P$16)+$Q$19*NMultDensity(C19:D19,$O$21:$P$21,$O$19:$P$20)</f>
        <v>2.3416342306424713</v>
      </c>
      <c r="H19" s="34" cm="1">
        <f t="array" ref="H19">$Q$7*NMultDensity(C19:D19,$O$9:$P$9,$O$7:$P$8)/G19</f>
        <v>1.6907470685938994E-4</v>
      </c>
      <c r="I19" s="34" cm="1">
        <f t="array" ref="I19">$Q$11*NMultDensity(C19:D19,$O$13:$P$13,$O$11:$P$12)/G19</f>
        <v>0.99983092529314055</v>
      </c>
      <c r="J19" s="44" cm="1">
        <f t="array" ref="J19">$Q$15*NMultDensity(C19:D19,$O$17:$P$17,$O$15:$P$16)/G19</f>
        <v>7.5947376309481376E-191</v>
      </c>
      <c r="K19" s="44" cm="1">
        <f t="array" ref="K19">$Q$19*NMultDensity(C19:D19,$O$21:$P$21,$O$19:$P$20)/G19</f>
        <v>2.4371250863242335E-21</v>
      </c>
      <c r="L19" s="35">
        <f t="shared" si="1"/>
        <v>0.99983092529314055</v>
      </c>
      <c r="N19" s="2" t="s">
        <v>24</v>
      </c>
      <c r="O19" s="3">
        <v>0.27780691737120577</v>
      </c>
      <c r="P19" s="3">
        <v>0.16831842756846374</v>
      </c>
      <c r="Q19" s="43">
        <v>0.1322673459072605</v>
      </c>
      <c r="S19" s="15">
        <v>4.0999999999999996</v>
      </c>
      <c r="T19" s="21">
        <v>1</v>
      </c>
      <c r="U19" s="25">
        <v>1</v>
      </c>
    </row>
    <row r="20" spans="1:21" ht="15.75" thickTop="1" x14ac:dyDescent="0.25">
      <c r="A20" s="1">
        <v>5.7</v>
      </c>
      <c r="B20" s="1">
        <v>3.8</v>
      </c>
      <c r="C20" s="11">
        <v>1.7</v>
      </c>
      <c r="D20" s="12">
        <v>0.3</v>
      </c>
      <c r="E20" s="1" t="s">
        <v>5</v>
      </c>
      <c r="F20" s="31">
        <f t="shared" si="0"/>
        <v>2</v>
      </c>
      <c r="G20" s="33" cm="1">
        <f t="array" ref="G20">$Q$7*NMultDensity(C20:D20,$O$9:$P$9,$O$7:$P$8)+$Q$11*NMultDensity(C20:D20,$O$13:$P$13,$O$11:$P$12)+$Q$15*NMultDensity(C20:D20,$O$17:$P$17,$O$15:$P$16)+$Q$19*NMultDensity(C20:D20,$O$21:$P$21,$O$19:$P$20)</f>
        <v>1.2022390368755658</v>
      </c>
      <c r="H20" s="34" cm="1">
        <f t="array" ref="H20">$Q$7*NMultDensity(C20:D20,$O$9:$P$9,$O$7:$P$8)/G20</f>
        <v>4.8538623295236435E-4</v>
      </c>
      <c r="I20" s="34" cm="1">
        <f t="array" ref="I20">$Q$11*NMultDensity(C20:D20,$O$13:$P$13,$O$11:$P$12)/G20</f>
        <v>0.99951461376704653</v>
      </c>
      <c r="J20" s="44" cm="1">
        <f t="array" ref="J20">$Q$15*NMultDensity(C20:D20,$O$17:$P$17,$O$15:$P$16)/G20</f>
        <v>5.9279224061143231E-181</v>
      </c>
      <c r="K20" s="44" cm="1">
        <f t="array" ref="K20">$Q$19*NMultDensity(C20:D20,$O$21:$P$21,$O$19:$P$20)/G20</f>
        <v>1.1397471370048002E-15</v>
      </c>
      <c r="L20" s="35">
        <f t="shared" si="1"/>
        <v>0.99951461376704653</v>
      </c>
      <c r="N20" s="2">
        <v>79</v>
      </c>
      <c r="O20" s="3">
        <v>0.16831842756846374</v>
      </c>
      <c r="P20" s="3">
        <v>0.11243427829451069</v>
      </c>
      <c r="S20" s="15">
        <v>4.5</v>
      </c>
      <c r="T20" s="21">
        <v>1.5</v>
      </c>
      <c r="U20" s="25">
        <v>1</v>
      </c>
    </row>
    <row r="21" spans="1:21" x14ac:dyDescent="0.25">
      <c r="A21" s="1">
        <v>5.0999999999999996</v>
      </c>
      <c r="B21" s="1">
        <v>3.8</v>
      </c>
      <c r="C21" s="11">
        <v>1.5</v>
      </c>
      <c r="D21" s="12">
        <v>0.3</v>
      </c>
      <c r="E21" s="1" t="s">
        <v>5</v>
      </c>
      <c r="F21" s="31">
        <f t="shared" si="0"/>
        <v>2</v>
      </c>
      <c r="G21" s="33" cm="1">
        <f t="array" ref="G21">$Q$7*NMultDensity(C21:D21,$O$9:$P$9,$O$7:$P$8)+$Q$11*NMultDensity(C21:D21,$O$13:$P$13,$O$11:$P$12)+$Q$15*NMultDensity(C21:D21,$O$17:$P$17,$O$15:$P$16)+$Q$19*NMultDensity(C21:D21,$O$21:$P$21,$O$19:$P$20)</f>
        <v>2.7418126510260734</v>
      </c>
      <c r="H21" s="34" cm="1">
        <f t="array" ref="H21">$Q$7*NMultDensity(C21:D21,$O$9:$P$9,$O$7:$P$8)/G21</f>
        <v>1.7570855591307472E-4</v>
      </c>
      <c r="I21" s="34" cm="1">
        <f t="array" ref="I21">$Q$11*NMultDensity(C21:D21,$O$13:$P$13,$O$11:$P$12)/G21</f>
        <v>0.99982429144408691</v>
      </c>
      <c r="J21" s="44" cm="1">
        <f t="array" ref="J21">$Q$15*NMultDensity(C21:D21,$O$17:$P$17,$O$15:$P$16)/G21</f>
        <v>1.151243590525377E-187</v>
      </c>
      <c r="K21" s="44" cm="1">
        <f t="array" ref="K21">$Q$19*NMultDensity(C21:D21,$O$21:$P$21,$O$19:$P$20)/G21</f>
        <v>1.9053587675658421E-19</v>
      </c>
      <c r="L21" s="35">
        <f t="shared" si="1"/>
        <v>0.99982429144408691</v>
      </c>
      <c r="N21" s="2" t="s">
        <v>18</v>
      </c>
      <c r="O21" s="3">
        <v>5.545277217152222</v>
      </c>
      <c r="P21" s="3">
        <v>2.2563229272934922</v>
      </c>
      <c r="S21" s="15">
        <v>3.9</v>
      </c>
      <c r="T21" s="21">
        <v>1.1000000000000001</v>
      </c>
      <c r="U21" s="25">
        <v>1</v>
      </c>
    </row>
    <row r="22" spans="1:21" ht="15.75" thickBot="1" x14ac:dyDescent="0.3">
      <c r="A22" s="1">
        <v>5.4</v>
      </c>
      <c r="B22" s="1">
        <v>3.4</v>
      </c>
      <c r="C22" s="11">
        <v>1.7</v>
      </c>
      <c r="D22" s="12">
        <v>0.2</v>
      </c>
      <c r="E22" s="1" t="s">
        <v>5</v>
      </c>
      <c r="F22" s="31">
        <f t="shared" si="0"/>
        <v>2</v>
      </c>
      <c r="G22" s="33" cm="1">
        <f t="array" ref="G22">$Q$7*NMultDensity(C22:D22,$O$9:$P$9,$O$7:$P$8)+$Q$11*NMultDensity(C22:D22,$O$13:$P$13,$O$11:$P$12)+$Q$15*NMultDensity(C22:D22,$O$17:$P$17,$O$15:$P$16)+$Q$19*NMultDensity(C22:D22,$O$21:$P$21,$O$19:$P$20)</f>
        <v>0.76989116424626358</v>
      </c>
      <c r="H22" s="34" cm="1">
        <f t="array" ref="H22">$Q$7*NMultDensity(C22:D22,$O$9:$P$9,$O$7:$P$8)/G22</f>
        <v>1.9146975154716117E-4</v>
      </c>
      <c r="I22" s="34" cm="1">
        <f t="array" ref="I22">$Q$11*NMultDensity(C22:D22,$O$13:$P$13,$O$11:$P$12)/G22</f>
        <v>0.99980853024841354</v>
      </c>
      <c r="J22" s="44" cm="1">
        <f t="array" ref="J22">$Q$15*NMultDensity(C22:D22,$O$17:$P$17,$O$15:$P$16)/G22</f>
        <v>3.1192309582823201E-193</v>
      </c>
      <c r="K22" s="44" cm="1">
        <f t="array" ref="K22">$Q$19*NMultDensity(C22:D22,$O$21:$P$21,$O$19:$P$20)/G22</f>
        <v>3.9289213433253603E-14</v>
      </c>
      <c r="L22" s="35">
        <f t="shared" si="1"/>
        <v>0.99980853024841354</v>
      </c>
      <c r="S22" s="15">
        <v>4</v>
      </c>
      <c r="T22" s="21">
        <v>1.3</v>
      </c>
      <c r="U22" s="25">
        <v>1</v>
      </c>
    </row>
    <row r="23" spans="1:21" ht="16.5" thickTop="1" thickBot="1" x14ac:dyDescent="0.3">
      <c r="A23" s="1">
        <v>5.0999999999999996</v>
      </c>
      <c r="B23" s="1">
        <v>3.7</v>
      </c>
      <c r="C23" s="11">
        <v>1.5</v>
      </c>
      <c r="D23" s="12">
        <v>0.4</v>
      </c>
      <c r="E23" s="1" t="s">
        <v>5</v>
      </c>
      <c r="F23" s="31">
        <f t="shared" si="0"/>
        <v>2</v>
      </c>
      <c r="G23" s="33" cm="1">
        <f t="array" ref="G23">$Q$7*NMultDensity(C23:D23,$O$9:$P$9,$O$7:$P$8)+$Q$11*NMultDensity(C23:D23,$O$13:$P$13,$O$11:$P$12)+$Q$15*NMultDensity(C23:D23,$O$17:$P$17,$O$15:$P$16)+$Q$19*NMultDensity(C23:D23,$O$21:$P$21,$O$19:$P$20)</f>
        <v>0.98468398477306029</v>
      </c>
      <c r="H23" s="34" cm="1">
        <f t="array" ref="H23">$Q$7*NMultDensity(C23:D23,$O$9:$P$9,$O$7:$P$8)/G23</f>
        <v>8.1544809683249816E-4</v>
      </c>
      <c r="I23" s="34" cm="1">
        <f t="array" ref="I23">$Q$11*NMultDensity(C23:D23,$O$13:$P$13,$O$11:$P$12)/G23</f>
        <v>0.99918455190316757</v>
      </c>
      <c r="J23" s="44" cm="1">
        <f t="array" ref="J23">$Q$15*NMultDensity(C23:D23,$O$17:$P$17,$O$15:$P$16)/G23</f>
        <v>4.0908817080143656E-175</v>
      </c>
      <c r="K23" s="44" cm="1">
        <f t="array" ref="K23">$Q$19*NMultDensity(C23:D23,$O$21:$P$21,$O$19:$P$20)/G23</f>
        <v>2.8965959530061917E-21</v>
      </c>
      <c r="L23" s="35">
        <f t="shared" si="1"/>
        <v>0.99918455190316757</v>
      </c>
      <c r="N23" s="43" t="s">
        <v>20</v>
      </c>
      <c r="O23" s="43">
        <f>PRODUCT(G2:G151)</f>
        <v>1.3318871332013691E-59</v>
      </c>
      <c r="P23" s="43" cm="1">
        <f t="array" ref="P23">SUM(LN(G2:G151))</f>
        <v>-135.56592365295441</v>
      </c>
      <c r="Q23" s="43" t="s">
        <v>21</v>
      </c>
      <c r="S23" s="15">
        <v>4.9000000000000004</v>
      </c>
      <c r="T23" s="21">
        <v>1.5</v>
      </c>
      <c r="U23" s="25">
        <v>1</v>
      </c>
    </row>
    <row r="24" spans="1:21" ht="16.5" thickTop="1" thickBot="1" x14ac:dyDescent="0.3">
      <c r="A24" s="1">
        <v>4.5999999999999996</v>
      </c>
      <c r="B24" s="1">
        <v>3.6</v>
      </c>
      <c r="C24" s="11">
        <v>1</v>
      </c>
      <c r="D24" s="12">
        <v>0.2</v>
      </c>
      <c r="E24" s="1" t="s">
        <v>5</v>
      </c>
      <c r="F24" s="31">
        <f t="shared" si="0"/>
        <v>2</v>
      </c>
      <c r="G24" s="33" cm="1">
        <f t="array" ref="G24">$Q$7*NMultDensity(C24:D24,$O$9:$P$9,$O$7:$P$8)+$Q$11*NMultDensity(C24:D24,$O$13:$P$13,$O$11:$P$12)+$Q$15*NMultDensity(C24:D24,$O$17:$P$17,$O$15:$P$16)+$Q$19*NMultDensity(C24:D24,$O$21:$P$21,$O$19:$P$20)</f>
        <v>7.6620173960504245E-2</v>
      </c>
      <c r="H24" s="34" cm="1">
        <f t="array" ref="H24">$Q$7*NMultDensity(C24:D24,$O$9:$P$9,$O$7:$P$8)/G24</f>
        <v>9.9417402906271731E-4</v>
      </c>
      <c r="I24" s="34" cm="1">
        <f t="array" ref="I24">$Q$11*NMultDensity(C24:D24,$O$13:$P$13,$O$11:$P$12)/G24</f>
        <v>0.99900582597093734</v>
      </c>
      <c r="J24" s="44" cm="1">
        <f t="array" ref="J24">$Q$15*NMultDensity(C24:D24,$O$17:$P$17,$O$15:$P$16)/G24</f>
        <v>9.0858845191244427E-216</v>
      </c>
      <c r="K24" s="44" cm="1">
        <f t="array" ref="K24">$Q$19*NMultDensity(C24:D24,$O$21:$P$21,$O$19:$P$20)/G24</f>
        <v>2.8188730785528875E-26</v>
      </c>
      <c r="L24" s="35">
        <f t="shared" si="1"/>
        <v>0.99900582597093734</v>
      </c>
      <c r="S24" s="15">
        <v>4.7</v>
      </c>
      <c r="T24" s="21">
        <v>1.2</v>
      </c>
      <c r="U24" s="25">
        <v>1</v>
      </c>
    </row>
    <row r="25" spans="1:21" ht="16.5" thickTop="1" thickBot="1" x14ac:dyDescent="0.3">
      <c r="A25" s="1">
        <v>5.0999999999999996</v>
      </c>
      <c r="B25" s="1">
        <v>3.3</v>
      </c>
      <c r="C25" s="11">
        <v>1.7</v>
      </c>
      <c r="D25" s="12">
        <v>0.5</v>
      </c>
      <c r="E25" s="1" t="s">
        <v>5</v>
      </c>
      <c r="F25" s="31">
        <f t="shared" si="0"/>
        <v>2</v>
      </c>
      <c r="G25" s="33" cm="1">
        <f t="array" ref="G25">$Q$7*NMultDensity(C25:D25,$O$9:$P$9,$O$7:$P$8)+$Q$11*NMultDensity(C25:D25,$O$13:$P$13,$O$11:$P$12)+$Q$15*NMultDensity(C25:D25,$O$17:$P$17,$O$15:$P$16)+$Q$19*NMultDensity(C25:D25,$O$21:$P$21,$O$19:$P$20)</f>
        <v>0.12592559051252736</v>
      </c>
      <c r="H25" s="34" cm="1">
        <f t="array" ref="H25">$Q$7*NMultDensity(C25:D25,$O$9:$P$9,$O$7:$P$8)/G25</f>
        <v>1.493049850394618E-2</v>
      </c>
      <c r="I25" s="34" cm="1">
        <f t="array" ref="I25">$Q$11*NMultDensity(C25:D25,$O$13:$P$13,$O$11:$P$12)/G25</f>
        <v>0.98506950149605388</v>
      </c>
      <c r="J25" s="44" cm="1">
        <f t="array" ref="J25">$Q$15*NMultDensity(C25:D25,$O$17:$P$17,$O$15:$P$16)/G25</f>
        <v>1.6114462328422148E-156</v>
      </c>
      <c r="K25" s="44" cm="1">
        <f t="array" ref="K25">$Q$19*NMultDensity(C25:D25,$O$21:$P$21,$O$19:$P$20)/G25</f>
        <v>1.2660854297974181E-18</v>
      </c>
      <c r="L25" s="35">
        <f t="shared" si="1"/>
        <v>0.98506950149605388</v>
      </c>
      <c r="N25" s="2" t="s">
        <v>17</v>
      </c>
      <c r="O25" s="3">
        <f t="array" ref="O25:P26">MMULT(TRANSPOSE($H$2:$H$151*($C$2:$D$151-O27:P27)),$C$2:$D$151-O27:P27)/SUM(H:H)</f>
        <v>0.77838812584585981</v>
      </c>
      <c r="P25" s="3">
        <v>0.24925409174409907</v>
      </c>
      <c r="Q25" s="43">
        <f>AVERAGE(H:H)</f>
        <v>0.46197993321964209</v>
      </c>
      <c r="S25" s="15">
        <v>4.3</v>
      </c>
      <c r="T25" s="21">
        <v>1.3</v>
      </c>
      <c r="U25" s="25">
        <v>1</v>
      </c>
    </row>
    <row r="26" spans="1:21" ht="15.75" thickTop="1" x14ac:dyDescent="0.25">
      <c r="A26" s="1">
        <v>4.8</v>
      </c>
      <c r="B26" s="1">
        <v>3.4</v>
      </c>
      <c r="C26" s="11">
        <v>1.9</v>
      </c>
      <c r="D26" s="12">
        <v>0.2</v>
      </c>
      <c r="E26" s="1" t="s">
        <v>5</v>
      </c>
      <c r="F26" s="31">
        <f t="shared" si="0"/>
        <v>2</v>
      </c>
      <c r="G26" s="33" cm="1">
        <f t="array" ref="G26">$Q$7*NMultDensity(C26:D26,$O$9:$P$9,$O$7:$P$8)+$Q$11*NMultDensity(C26:D26,$O$13:$P$13,$O$11:$P$12)+$Q$15*NMultDensity(C26:D26,$O$17:$P$17,$O$15:$P$16)+$Q$19*NMultDensity(C26:D26,$O$21:$P$21,$O$19:$P$20)</f>
        <v>4.8751245912475802E-2</v>
      </c>
      <c r="H26" s="34" cm="1">
        <f t="array" ref="H26">$Q$7*NMultDensity(C26:D26,$O$9:$P$9,$O$7:$P$8)/G26</f>
        <v>1.9989862160492851E-3</v>
      </c>
      <c r="I26" s="34" cm="1">
        <f t="array" ref="I26">$Q$11*NMultDensity(C26:D26,$O$13:$P$13,$O$11:$P$12)/G26</f>
        <v>0.99800101367544658</v>
      </c>
      <c r="J26" s="44" cm="1">
        <f t="array" ref="J26">$Q$15*NMultDensity(C26:D26,$O$17:$P$17,$O$15:$P$16)/G26</f>
        <v>9.6292684330876151E-186</v>
      </c>
      <c r="K26" s="44" cm="1">
        <f t="array" ref="K26">$Q$19*NMultDensity(C26:D26,$O$21:$P$21,$O$19:$P$20)/G26</f>
        <v>1.0850419375867738E-10</v>
      </c>
      <c r="L26" s="35">
        <f t="shared" si="1"/>
        <v>0.99800101367544658</v>
      </c>
      <c r="N26" s="2"/>
      <c r="O26" s="3">
        <v>0.24925409174409907</v>
      </c>
      <c r="P26" s="3">
        <v>9.8751338438028927E-2</v>
      </c>
      <c r="S26" s="15">
        <v>4.4000000000000004</v>
      </c>
      <c r="T26" s="21">
        <v>1.4</v>
      </c>
      <c r="U26" s="25">
        <v>1</v>
      </c>
    </row>
    <row r="27" spans="1:21" x14ac:dyDescent="0.25">
      <c r="A27" s="1">
        <v>5</v>
      </c>
      <c r="B27" s="1">
        <v>3</v>
      </c>
      <c r="C27" s="11">
        <v>1.6</v>
      </c>
      <c r="D27" s="12">
        <v>0.2</v>
      </c>
      <c r="E27" s="1" t="s">
        <v>5</v>
      </c>
      <c r="F27" s="31">
        <f t="shared" si="0"/>
        <v>2</v>
      </c>
      <c r="G27" s="33" cm="1">
        <f t="array" ref="G27">$Q$7*NMultDensity(C27:D27,$O$9:$P$9,$O$7:$P$8)+$Q$11*NMultDensity(C27:D27,$O$13:$P$13,$O$11:$P$12)+$Q$15*NMultDensity(C27:D27,$O$17:$P$17,$O$15:$P$16)+$Q$19*NMultDensity(C27:D27,$O$21:$P$21,$O$19:$P$20)</f>
        <v>1.7313922256693786</v>
      </c>
      <c r="H27" s="34" cm="1">
        <f t="array" ref="H27">$Q$7*NMultDensity(C27:D27,$O$9:$P$9,$O$7:$P$8)/G27</f>
        <v>9.4709131534039375E-5</v>
      </c>
      <c r="I27" s="34" cm="1">
        <f t="array" ref="I27">$Q$11*NMultDensity(C27:D27,$O$13:$P$13,$O$11:$P$12)/G27</f>
        <v>0.99990529086846514</v>
      </c>
      <c r="J27" s="44" cm="1">
        <f t="array" ref="J27">$Q$15*NMultDensity(C27:D27,$O$17:$P$17,$O$15:$P$16)/G27</f>
        <v>8.3984923652240281E-197</v>
      </c>
      <c r="K27" s="44" cm="1">
        <f t="array" ref="K27">$Q$19*NMultDensity(C27:D27,$O$21:$P$21,$O$19:$P$20)/G27</f>
        <v>7.3912375013699179E-16</v>
      </c>
      <c r="L27" s="35">
        <f t="shared" si="1"/>
        <v>0.99990529086846514</v>
      </c>
      <c r="N27" s="2" t="s">
        <v>18</v>
      </c>
      <c r="O27" s="3">
        <f>SUMPRODUCT(C$2:C$151,$H$2:$H$151)/SUM($H:$H)</f>
        <v>4.6968533088013276</v>
      </c>
      <c r="P27" s="3">
        <f>SUMPRODUCT(D$2:D$151,$H$2:$H$151)/SUM($H:$H)</f>
        <v>1.470678807190732</v>
      </c>
      <c r="S27" s="15">
        <v>4.8</v>
      </c>
      <c r="T27" s="21">
        <v>1.4</v>
      </c>
      <c r="U27" s="25">
        <v>1</v>
      </c>
    </row>
    <row r="28" spans="1:21" ht="15.75" thickBot="1" x14ac:dyDescent="0.3">
      <c r="A28" s="1">
        <v>5</v>
      </c>
      <c r="B28" s="1">
        <v>3.4</v>
      </c>
      <c r="C28" s="11">
        <v>1.6</v>
      </c>
      <c r="D28" s="12">
        <v>0.4</v>
      </c>
      <c r="E28" s="1" t="s">
        <v>5</v>
      </c>
      <c r="F28" s="31">
        <f t="shared" si="0"/>
        <v>2</v>
      </c>
      <c r="G28" s="33" cm="1">
        <f t="array" ref="G28">$Q$7*NMultDensity(C28:D28,$O$9:$P$9,$O$7:$P$8)+$Q$11*NMultDensity(C28:D28,$O$13:$P$13,$O$11:$P$12)+$Q$15*NMultDensity(C28:D28,$O$17:$P$17,$O$15:$P$16)+$Q$19*NMultDensity(C28:D28,$O$21:$P$21,$O$19:$P$20)</f>
        <v>0.97107639204422158</v>
      </c>
      <c r="H28" s="34" cm="1">
        <f t="array" ref="H28">$Q$7*NMultDensity(C28:D28,$O$9:$P$9,$O$7:$P$8)/G28</f>
        <v>1.1141539500102867E-3</v>
      </c>
      <c r="I28" s="34" cm="1">
        <f t="array" ref="I28">$Q$11*NMultDensity(C28:D28,$O$13:$P$13,$O$11:$P$12)/G28</f>
        <v>0.99888584604998965</v>
      </c>
      <c r="J28" s="44" cm="1">
        <f t="array" ref="J28">$Q$15*NMultDensity(C28:D28,$O$17:$P$17,$O$15:$P$16)/G28</f>
        <v>5.6711177066077698E-172</v>
      </c>
      <c r="K28" s="44" cm="1">
        <f t="array" ref="K28">$Q$19*NMultDensity(C28:D28,$O$21:$P$21,$O$19:$P$20)/G28</f>
        <v>3.259313575943654E-19</v>
      </c>
      <c r="L28" s="35">
        <f t="shared" si="1"/>
        <v>0.99888584604998965</v>
      </c>
      <c r="S28" s="15">
        <v>5</v>
      </c>
      <c r="T28" s="21">
        <v>1.7</v>
      </c>
      <c r="U28" s="25">
        <v>1</v>
      </c>
    </row>
    <row r="29" spans="1:21" ht="16.5" thickTop="1" thickBot="1" x14ac:dyDescent="0.3">
      <c r="A29" s="1">
        <v>5.2</v>
      </c>
      <c r="B29" s="1">
        <v>3.5</v>
      </c>
      <c r="C29" s="11">
        <v>1.5</v>
      </c>
      <c r="D29" s="12">
        <v>0.2</v>
      </c>
      <c r="E29" s="1" t="s">
        <v>5</v>
      </c>
      <c r="F29" s="31">
        <f t="shared" si="0"/>
        <v>2</v>
      </c>
      <c r="G29" s="33" cm="1">
        <f t="array" ref="G29">$Q$7*NMultDensity(C29:D29,$O$9:$P$9,$O$7:$P$8)+$Q$11*NMultDensity(C29:D29,$O$13:$P$13,$O$11:$P$12)+$Q$15*NMultDensity(C29:D29,$O$17:$P$17,$O$15:$P$16)+$Q$19*NMultDensity(C29:D29,$O$21:$P$21,$O$19:$P$20)</f>
        <v>2.6626817329401886</v>
      </c>
      <c r="H29" s="34" cm="1">
        <f t="array" ref="H29">$Q$7*NMultDensity(C29:D29,$O$9:$P$9,$O$7:$P$8)/G29</f>
        <v>6.4069756770667724E-5</v>
      </c>
      <c r="I29" s="34" cm="1">
        <f t="array" ref="I29">$Q$11*NMultDensity(C29:D29,$O$13:$P$13,$O$11:$P$12)/G29</f>
        <v>0.99993593024322935</v>
      </c>
      <c r="J29" s="44" cm="1">
        <f t="array" ref="J29">$Q$15*NMultDensity(C29:D29,$O$17:$P$17,$O$15:$P$16)/G29</f>
        <v>2.9592259659589658E-200</v>
      </c>
      <c r="K29" s="44" cm="1">
        <f t="array" ref="K29">$Q$19*NMultDensity(C29:D29,$O$21:$P$21,$O$19:$P$20)/G29</f>
        <v>1.3805531715499341E-17</v>
      </c>
      <c r="L29" s="35">
        <f t="shared" si="1"/>
        <v>0.99993593024322935</v>
      </c>
      <c r="N29" s="2" t="s">
        <v>19</v>
      </c>
      <c r="O29" s="3">
        <f t="array" ref="O29:P30">MMULT(TRANSPOSE($I$2:$I$151*($C$2:$D$151-O31:P31)),$C$2:$D$151-O31:P31)/SUM(I:I)</f>
        <v>2.949916351788727E-2</v>
      </c>
      <c r="P29" s="3">
        <v>5.8249098934424377E-3</v>
      </c>
      <c r="Q29" s="43">
        <f>AVERAGE(I:I)</f>
        <v>0.33237013120221337</v>
      </c>
      <c r="S29" s="15">
        <v>4.5</v>
      </c>
      <c r="T29" s="21">
        <v>1.5</v>
      </c>
      <c r="U29" s="25">
        <v>1</v>
      </c>
    </row>
    <row r="30" spans="1:21" ht="15.75" thickTop="1" x14ac:dyDescent="0.25">
      <c r="A30" s="1">
        <v>5.2</v>
      </c>
      <c r="B30" s="1">
        <v>3.4</v>
      </c>
      <c r="C30" s="11">
        <v>1.4</v>
      </c>
      <c r="D30" s="12">
        <v>0.2</v>
      </c>
      <c r="E30" s="1" t="s">
        <v>5</v>
      </c>
      <c r="F30" s="31">
        <f t="shared" si="0"/>
        <v>2</v>
      </c>
      <c r="G30" s="33" cm="1">
        <f t="array" ref="G30">$Q$7*NMultDensity(C30:D30,$O$9:$P$9,$O$7:$P$8)+$Q$11*NMultDensity(C30:D30,$O$13:$P$13,$O$11:$P$12)+$Q$15*NMultDensity(C30:D30,$O$17:$P$17,$O$15:$P$16)+$Q$19*NMultDensity(C30:D30,$O$21:$P$21,$O$19:$P$20)</f>
        <v>2.800162456722775</v>
      </c>
      <c r="H30" s="34" cm="1">
        <f t="array" ref="H30">$Q$7*NMultDensity(C30:D30,$O$9:$P$9,$O$7:$P$8)/G30</f>
        <v>5.9279063103155587E-5</v>
      </c>
      <c r="I30" s="34" cm="1">
        <f t="array" ref="I30">$Q$11*NMultDensity(C30:D30,$O$13:$P$13,$O$11:$P$12)/G30</f>
        <v>0.9999407209368969</v>
      </c>
      <c r="J30" s="44" cm="1">
        <f t="array" ref="J30">$Q$15*NMultDensity(C30:D30,$O$17:$P$17,$O$15:$P$16)/G30</f>
        <v>1.3645687419729269E-203</v>
      </c>
      <c r="K30" s="44" cm="1">
        <f t="array" ref="K30">$Q$19*NMultDensity(C30:D30,$O$21:$P$21,$O$19:$P$20)/G30</f>
        <v>2.5603466529859021E-19</v>
      </c>
      <c r="L30" s="35">
        <f t="shared" si="1"/>
        <v>0.9999407209368969</v>
      </c>
      <c r="N30" s="2"/>
      <c r="O30" s="3">
        <v>5.824909893442436E-3</v>
      </c>
      <c r="P30" s="3">
        <v>1.0638256152352603E-2</v>
      </c>
      <c r="Q30"/>
      <c r="S30" s="15">
        <v>3.5</v>
      </c>
      <c r="T30" s="21">
        <v>1</v>
      </c>
      <c r="U30" s="25">
        <v>1</v>
      </c>
    </row>
    <row r="31" spans="1:21" x14ac:dyDescent="0.25">
      <c r="A31" s="1">
        <v>4.7</v>
      </c>
      <c r="B31" s="1">
        <v>3.2</v>
      </c>
      <c r="C31" s="11">
        <v>1.6</v>
      </c>
      <c r="D31" s="12">
        <v>0.2</v>
      </c>
      <c r="E31" s="1" t="s">
        <v>5</v>
      </c>
      <c r="F31" s="31">
        <f t="shared" si="0"/>
        <v>2</v>
      </c>
      <c r="G31" s="33" cm="1">
        <f t="array" ref="G31">$Q$7*NMultDensity(C31:D31,$O$9:$P$9,$O$7:$P$8)+$Q$11*NMultDensity(C31:D31,$O$13:$P$13,$O$11:$P$12)+$Q$15*NMultDensity(C31:D31,$O$17:$P$17,$O$15:$P$16)+$Q$19*NMultDensity(C31:D31,$O$21:$P$21,$O$19:$P$20)</f>
        <v>1.7313922256693786</v>
      </c>
      <c r="H31" s="34" cm="1">
        <f t="array" ref="H31">$Q$7*NMultDensity(C31:D31,$O$9:$P$9,$O$7:$P$8)/G31</f>
        <v>9.4709131534039375E-5</v>
      </c>
      <c r="I31" s="34" cm="1">
        <f t="array" ref="I31">$Q$11*NMultDensity(C31:D31,$O$13:$P$13,$O$11:$P$12)/G31</f>
        <v>0.99990529086846514</v>
      </c>
      <c r="J31" s="44" cm="1">
        <f t="array" ref="J31">$Q$15*NMultDensity(C31:D31,$O$17:$P$17,$O$15:$P$16)/G31</f>
        <v>8.3984923652240281E-197</v>
      </c>
      <c r="K31" s="44" cm="1">
        <f t="array" ref="K31">$Q$19*NMultDensity(C31:D31,$O$21:$P$21,$O$19:$P$20)/G31</f>
        <v>7.3912375013699179E-16</v>
      </c>
      <c r="L31" s="35">
        <f t="shared" si="1"/>
        <v>0.99990529086846514</v>
      </c>
      <c r="N31" s="2" t="s">
        <v>18</v>
      </c>
      <c r="O31" s="3">
        <f>SUMPRODUCT(C$2:C$151,$I$2:$I$151)/SUM($I:$I)</f>
        <v>1.461479871196935</v>
      </c>
      <c r="P31" s="3">
        <f>SUMPRODUCT(D$2:D$151,$I$2:$I$151)/SUM($I:$I)</f>
        <v>0.24515865856800992</v>
      </c>
      <c r="S31" s="15">
        <v>3.8</v>
      </c>
      <c r="T31" s="21">
        <v>1.1000000000000001</v>
      </c>
      <c r="U31" s="25">
        <v>1</v>
      </c>
    </row>
    <row r="32" spans="1:21" ht="15.75" thickBot="1" x14ac:dyDescent="0.3">
      <c r="A32" s="1">
        <v>4.8</v>
      </c>
      <c r="B32" s="1">
        <v>3.1</v>
      </c>
      <c r="C32" s="11">
        <v>1.6</v>
      </c>
      <c r="D32" s="12">
        <v>0.2</v>
      </c>
      <c r="E32" s="1" t="s">
        <v>5</v>
      </c>
      <c r="F32" s="31">
        <f t="shared" si="0"/>
        <v>2</v>
      </c>
      <c r="G32" s="33" cm="1">
        <f t="array" ref="G32">$Q$7*NMultDensity(C32:D32,$O$9:$P$9,$O$7:$P$8)+$Q$11*NMultDensity(C32:D32,$O$13:$P$13,$O$11:$P$12)+$Q$15*NMultDensity(C32:D32,$O$17:$P$17,$O$15:$P$16)+$Q$19*NMultDensity(C32:D32,$O$21:$P$21,$O$19:$P$20)</f>
        <v>1.7313922256693786</v>
      </c>
      <c r="H32" s="34" cm="1">
        <f t="array" ref="H32">$Q$7*NMultDensity(C32:D32,$O$9:$P$9,$O$7:$P$8)/G32</f>
        <v>9.4709131534039375E-5</v>
      </c>
      <c r="I32" s="34" cm="1">
        <f t="array" ref="I32">$Q$11*NMultDensity(C32:D32,$O$13:$P$13,$O$11:$P$12)/G32</f>
        <v>0.99990529086846514</v>
      </c>
      <c r="J32" s="44" cm="1">
        <f t="array" ref="J32">$Q$15*NMultDensity(C32:D32,$O$17:$P$17,$O$15:$P$16)/G32</f>
        <v>8.3984923652240281E-197</v>
      </c>
      <c r="K32" s="44" cm="1">
        <f t="array" ref="K32">$Q$19*NMultDensity(C32:D32,$O$21:$P$21,$O$19:$P$20)/G32</f>
        <v>7.3912375013699179E-16</v>
      </c>
      <c r="L32" s="35">
        <f t="shared" si="1"/>
        <v>0.99990529086846514</v>
      </c>
      <c r="S32" s="15">
        <v>3.7</v>
      </c>
      <c r="T32" s="21">
        <v>1</v>
      </c>
      <c r="U32" s="25">
        <v>1</v>
      </c>
    </row>
    <row r="33" spans="1:21" ht="16.5" thickTop="1" thickBot="1" x14ac:dyDescent="0.3">
      <c r="A33" s="1">
        <v>5.4</v>
      </c>
      <c r="B33" s="1">
        <v>3.4</v>
      </c>
      <c r="C33" s="11">
        <v>1.5</v>
      </c>
      <c r="D33" s="12">
        <v>0.4</v>
      </c>
      <c r="E33" s="1" t="s">
        <v>5</v>
      </c>
      <c r="F33" s="31">
        <f t="shared" si="0"/>
        <v>2</v>
      </c>
      <c r="G33" s="33" cm="1">
        <f t="array" ref="G33">$Q$7*NMultDensity(C33:D33,$O$9:$P$9,$O$7:$P$8)+$Q$11*NMultDensity(C33:D33,$O$13:$P$13,$O$11:$P$12)+$Q$15*NMultDensity(C33:D33,$O$17:$P$17,$O$15:$P$16)+$Q$19*NMultDensity(C33:D33,$O$21:$P$21,$O$19:$P$20)</f>
        <v>0.98468398477306029</v>
      </c>
      <c r="H33" s="34" cm="1">
        <f t="array" ref="H33">$Q$7*NMultDensity(C33:D33,$O$9:$P$9,$O$7:$P$8)/G33</f>
        <v>8.1544809683249816E-4</v>
      </c>
      <c r="I33" s="34" cm="1">
        <f t="array" ref="I33">$Q$11*NMultDensity(C33:D33,$O$13:$P$13,$O$11:$P$12)/G33</f>
        <v>0.99918455190316757</v>
      </c>
      <c r="J33" s="44" cm="1">
        <f t="array" ref="J33">$Q$15*NMultDensity(C33:D33,$O$17:$P$17,$O$15:$P$16)/G33</f>
        <v>4.0908817080143656E-175</v>
      </c>
      <c r="K33" s="44" cm="1">
        <f t="array" ref="K33">$Q$19*NMultDensity(C33:D33,$O$21:$P$21,$O$19:$P$20)/G33</f>
        <v>2.8965959530061917E-21</v>
      </c>
      <c r="L33" s="35">
        <f t="shared" si="1"/>
        <v>0.99918455190316757</v>
      </c>
      <c r="N33" s="2" t="s">
        <v>23</v>
      </c>
      <c r="O33" s="3">
        <f t="array" ref="O33:P34">MMULT(TRANSPOSE($J$2:$J$151*($C$2:$D$151-O35:P35)),$C$2:$D$151-O35:P35)/SUM(J:J)</f>
        <v>0.10964544828672193</v>
      </c>
      <c r="P33" s="3">
        <v>-1.4412802133889258E-2</v>
      </c>
      <c r="Q33" s="43">
        <f>AVERAGE(J:J)</f>
        <v>7.3064590335319701E-2</v>
      </c>
      <c r="S33" s="15">
        <v>3.9</v>
      </c>
      <c r="T33" s="21">
        <v>1.2</v>
      </c>
      <c r="U33" s="25">
        <v>1</v>
      </c>
    </row>
    <row r="34" spans="1:21" ht="15.75" thickTop="1" x14ac:dyDescent="0.25">
      <c r="A34" s="1">
        <v>5.2</v>
      </c>
      <c r="B34" s="1">
        <v>4.0999999999999996</v>
      </c>
      <c r="C34" s="11">
        <v>1.5</v>
      </c>
      <c r="D34" s="12">
        <v>0.1</v>
      </c>
      <c r="E34" s="1" t="s">
        <v>5</v>
      </c>
      <c r="F34" s="31">
        <f t="shared" si="0"/>
        <v>2</v>
      </c>
      <c r="G34" s="33" cm="1">
        <f t="array" ref="G34">$Q$7*NMultDensity(C34:D34,$O$9:$P$9,$O$7:$P$8)+$Q$11*NMultDensity(C34:D34,$O$13:$P$13,$O$11:$P$12)+$Q$15*NMultDensity(C34:D34,$O$17:$P$17,$O$15:$P$16)+$Q$19*NMultDensity(C34:D34,$O$21:$P$21,$O$19:$P$20)</f>
        <v>0.90146668496282201</v>
      </c>
      <c r="H34" s="34" cm="1">
        <f t="array" ref="H34">$Q$7*NMultDensity(C34:D34,$O$9:$P$9,$O$7:$P$8)/G34</f>
        <v>3.9552001239723876E-5</v>
      </c>
      <c r="I34" s="34" cm="1">
        <f t="array" ref="I34">$Q$11*NMultDensity(C34:D34,$O$13:$P$13,$O$11:$P$12)/G34</f>
        <v>0.99996044799875916</v>
      </c>
      <c r="J34" s="44" cm="1">
        <f t="array" ref="J34">$Q$15*NMultDensity(C34:D34,$O$17:$P$17,$O$15:$P$16)/G34</f>
        <v>6.9509037474806432E-213</v>
      </c>
      <c r="K34" s="44" cm="1">
        <f t="array" ref="K34">$Q$19*NMultDensity(C34:D34,$O$21:$P$21,$O$19:$P$20)/G34</f>
        <v>1.1023225381055007E-15</v>
      </c>
      <c r="L34" s="35">
        <f t="shared" si="1"/>
        <v>0.99996044799875916</v>
      </c>
      <c r="N34" s="2"/>
      <c r="O34" s="3">
        <v>-1.4412802133889258E-2</v>
      </c>
      <c r="P34" s="3">
        <v>1.0626873655590367E-2</v>
      </c>
      <c r="S34" s="15">
        <v>5.0999999999999996</v>
      </c>
      <c r="T34" s="21">
        <v>1.6</v>
      </c>
      <c r="U34" s="25">
        <v>1</v>
      </c>
    </row>
    <row r="35" spans="1:21" x14ac:dyDescent="0.25">
      <c r="A35" s="1">
        <v>5.5</v>
      </c>
      <c r="B35" s="1">
        <v>4.2</v>
      </c>
      <c r="C35" s="11">
        <v>1.4</v>
      </c>
      <c r="D35" s="12">
        <v>0.2</v>
      </c>
      <c r="E35" s="1" t="s">
        <v>5</v>
      </c>
      <c r="F35" s="31">
        <f t="shared" si="0"/>
        <v>2</v>
      </c>
      <c r="G35" s="33" cm="1">
        <f t="array" ref="G35">$Q$7*NMultDensity(C35:D35,$O$9:$P$9,$O$7:$P$8)+$Q$11*NMultDensity(C35:D35,$O$13:$P$13,$O$11:$P$12)+$Q$15*NMultDensity(C35:D35,$O$17:$P$17,$O$15:$P$16)+$Q$19*NMultDensity(C35:D35,$O$21:$P$21,$O$19:$P$20)</f>
        <v>2.800162456722775</v>
      </c>
      <c r="H35" s="34" cm="1">
        <f t="array" ref="H35">$Q$7*NMultDensity(C35:D35,$O$9:$P$9,$O$7:$P$8)/G35</f>
        <v>5.9279063103155587E-5</v>
      </c>
      <c r="I35" s="34" cm="1">
        <f t="array" ref="I35">$Q$11*NMultDensity(C35:D35,$O$13:$P$13,$O$11:$P$12)/G35</f>
        <v>0.9999407209368969</v>
      </c>
      <c r="J35" s="44" cm="1">
        <f t="array" ref="J35">$Q$15*NMultDensity(C35:D35,$O$17:$P$17,$O$15:$P$16)/G35</f>
        <v>1.3645687419729269E-203</v>
      </c>
      <c r="K35" s="44" cm="1">
        <f t="array" ref="K35">$Q$19*NMultDensity(C35:D35,$O$21:$P$21,$O$19:$P$20)/G35</f>
        <v>2.5603466529859021E-19</v>
      </c>
      <c r="L35" s="35">
        <f t="shared" si="1"/>
        <v>0.9999407209368969</v>
      </c>
      <c r="N35" s="2" t="s">
        <v>18</v>
      </c>
      <c r="O35" s="3">
        <f>SUMPRODUCT(C$2:C$151,$J$2:$J$151)/SUM($J:$J)</f>
        <v>5.5453083433275889</v>
      </c>
      <c r="P35" s="3">
        <f>SUMPRODUCT(D$2:D$151,$J$2:$J$151)/SUM($J:$J)</f>
        <v>2.2562577195185818</v>
      </c>
      <c r="S35" s="15">
        <v>4.5</v>
      </c>
      <c r="T35" s="21">
        <v>1.5</v>
      </c>
      <c r="U35" s="25">
        <v>1</v>
      </c>
    </row>
    <row r="36" spans="1:21" ht="15.75" thickBot="1" x14ac:dyDescent="0.3">
      <c r="A36" s="1">
        <v>4.9000000000000004</v>
      </c>
      <c r="B36" s="1">
        <v>3.1</v>
      </c>
      <c r="C36" s="11">
        <v>1.5</v>
      </c>
      <c r="D36" s="12">
        <v>0.2</v>
      </c>
      <c r="E36" s="1" t="s">
        <v>5</v>
      </c>
      <c r="F36" s="31">
        <f t="shared" si="0"/>
        <v>2</v>
      </c>
      <c r="G36" s="33" cm="1">
        <f t="array" ref="G36">$Q$7*NMultDensity(C36:D36,$O$9:$P$9,$O$7:$P$8)+$Q$11*NMultDensity(C36:D36,$O$13:$P$13,$O$11:$P$12)+$Q$15*NMultDensity(C36:D36,$O$17:$P$17,$O$15:$P$16)+$Q$19*NMultDensity(C36:D36,$O$21:$P$21,$O$19:$P$20)</f>
        <v>2.6626817329401886</v>
      </c>
      <c r="H36" s="34" cm="1">
        <f t="array" ref="H36">$Q$7*NMultDensity(C36:D36,$O$9:$P$9,$O$7:$P$8)/G36</f>
        <v>6.4069756770667724E-5</v>
      </c>
      <c r="I36" s="34" cm="1">
        <f t="array" ref="I36">$Q$11*NMultDensity(C36:D36,$O$13:$P$13,$O$11:$P$12)/G36</f>
        <v>0.99993593024322935</v>
      </c>
      <c r="J36" s="44" cm="1">
        <f t="array" ref="J36">$Q$15*NMultDensity(C36:D36,$O$17:$P$17,$O$15:$P$16)/G36</f>
        <v>2.9592259659589658E-200</v>
      </c>
      <c r="K36" s="44" cm="1">
        <f t="array" ref="K36">$Q$19*NMultDensity(C36:D36,$O$21:$P$21,$O$19:$P$20)/G36</f>
        <v>1.3805531715499341E-17</v>
      </c>
      <c r="L36" s="35">
        <f t="shared" si="1"/>
        <v>0.99993593024322935</v>
      </c>
      <c r="S36" s="15">
        <v>4.5</v>
      </c>
      <c r="T36" s="21">
        <v>1.6</v>
      </c>
      <c r="U36" s="25">
        <v>1</v>
      </c>
    </row>
    <row r="37" spans="1:21" ht="16.5" thickTop="1" thickBot="1" x14ac:dyDescent="0.3">
      <c r="A37" s="1">
        <v>5</v>
      </c>
      <c r="B37" s="1">
        <v>3.2</v>
      </c>
      <c r="C37" s="11">
        <v>1.2</v>
      </c>
      <c r="D37" s="12">
        <v>0.2</v>
      </c>
      <c r="E37" s="1" t="s">
        <v>5</v>
      </c>
      <c r="F37" s="31">
        <f t="shared" si="0"/>
        <v>2</v>
      </c>
      <c r="G37" s="33" cm="1">
        <f t="array" ref="G37">$Q$7*NMultDensity(C37:D37,$O$9:$P$9,$O$7:$P$8)+$Q$11*NMultDensity(C37:D37,$O$13:$P$13,$O$11:$P$12)+$Q$15*NMultDensity(C37:D37,$O$17:$P$17,$O$15:$P$16)+$Q$19*NMultDensity(C37:D37,$O$21:$P$21,$O$19:$P$20)</f>
        <v>0.99022254678100741</v>
      </c>
      <c r="H37" s="34" cm="1">
        <f t="array" ref="H37">$Q$7*NMultDensity(C37:D37,$O$9:$P$9,$O$7:$P$8)/G37</f>
        <v>1.2982484882171965E-4</v>
      </c>
      <c r="I37" s="34" cm="1">
        <f t="array" ref="I37">$Q$11*NMultDensity(C37:D37,$O$13:$P$13,$O$11:$P$12)/G37</f>
        <v>0.99987017515117826</v>
      </c>
      <c r="J37" s="44" cm="1">
        <f t="array" ref="J37">$Q$15*NMultDensity(C37:D37,$O$17:$P$17,$O$15:$P$16)/G37</f>
        <v>6.5035480553704203E-210</v>
      </c>
      <c r="K37" s="44" cm="1">
        <f t="array" ref="K37">$Q$19*NMultDensity(C37:D37,$O$21:$P$21,$O$19:$P$20)/G37</f>
        <v>8.6202103933850698E-23</v>
      </c>
      <c r="L37" s="35">
        <f t="shared" si="1"/>
        <v>0.99987017515117826</v>
      </c>
      <c r="N37" s="2" t="s">
        <v>24</v>
      </c>
      <c r="O37" s="3">
        <f t="array" ref="O37:P38">MMULT(TRANSPOSE($K$2:$K$151*($C$2:$D$151-O39:P39)),$C$2:$D$151-O39:P39)/SUM(K:K)</f>
        <v>0.27782578338200864</v>
      </c>
      <c r="P37" s="3">
        <v>0.16830855611312562</v>
      </c>
      <c r="Q37" s="43">
        <f>AVERAGE(K:K)</f>
        <v>0.13258534524282492</v>
      </c>
      <c r="S37" s="15">
        <v>4.7</v>
      </c>
      <c r="T37" s="21">
        <v>1.5</v>
      </c>
      <c r="U37" s="25">
        <v>1</v>
      </c>
    </row>
    <row r="38" spans="1:21" ht="15.75" thickTop="1" x14ac:dyDescent="0.25">
      <c r="A38" s="1">
        <v>5.5</v>
      </c>
      <c r="B38" s="1">
        <v>3.5</v>
      </c>
      <c r="C38" s="11">
        <v>1.3</v>
      </c>
      <c r="D38" s="12">
        <v>0.2</v>
      </c>
      <c r="E38" s="1" t="s">
        <v>5</v>
      </c>
      <c r="F38" s="31">
        <f t="shared" si="0"/>
        <v>2</v>
      </c>
      <c r="G38" s="33" cm="1">
        <f t="array" ref="G38">$Q$7*NMultDensity(C38:D38,$O$9:$P$9,$O$7:$P$8)+$Q$11*NMultDensity(C38:D38,$O$13:$P$13,$O$11:$P$12)+$Q$15*NMultDensity(C38:D38,$O$17:$P$17,$O$15:$P$16)+$Q$19*NMultDensity(C38:D38,$O$21:$P$21,$O$19:$P$20)</f>
        <v>2.0136549759976594</v>
      </c>
      <c r="H38" s="34" cm="1">
        <f t="array" ref="H38">$Q$7*NMultDensity(C38:D38,$O$9:$P$9,$O$7:$P$8)/G38</f>
        <v>7.5013414432764116E-5</v>
      </c>
      <c r="I38" s="34" cm="1">
        <f t="array" ref="I38">$Q$11*NMultDensity(C38:D38,$O$13:$P$13,$O$11:$P$12)/G38</f>
        <v>0.99992498658556728</v>
      </c>
      <c r="J38" s="44" cm="1">
        <f t="array" ref="J38">$Q$15*NMultDensity(C38:D38,$O$17:$P$17,$O$15:$P$16)/G38</f>
        <v>8.2348465920322303E-207</v>
      </c>
      <c r="K38" s="44" cm="1">
        <f t="array" ref="K38">$Q$19*NMultDensity(C38:D38,$O$21:$P$21,$O$19:$P$20)/G38</f>
        <v>4.7147249869284513E-21</v>
      </c>
      <c r="L38" s="35">
        <f t="shared" si="1"/>
        <v>0.99992498658556728</v>
      </c>
      <c r="N38" s="2"/>
      <c r="O38" s="3">
        <v>0.16830855611312562</v>
      </c>
      <c r="P38" s="3">
        <v>0.11243731113331136</v>
      </c>
      <c r="S38" s="15">
        <v>4.4000000000000004</v>
      </c>
      <c r="T38" s="21">
        <v>1.3</v>
      </c>
      <c r="U38" s="25">
        <v>1</v>
      </c>
    </row>
    <row r="39" spans="1:21" x14ac:dyDescent="0.25">
      <c r="A39" s="1">
        <v>4.9000000000000004</v>
      </c>
      <c r="B39" s="1">
        <v>3.6</v>
      </c>
      <c r="C39" s="11">
        <v>1.4</v>
      </c>
      <c r="D39" s="12">
        <v>0.1</v>
      </c>
      <c r="E39" s="1" t="s">
        <v>5</v>
      </c>
      <c r="F39" s="31">
        <f t="shared" si="0"/>
        <v>2</v>
      </c>
      <c r="G39" s="33" cm="1">
        <f t="array" ref="G39">$Q$7*NMultDensity(C39:D39,$O$9:$P$9,$O$7:$P$8)+$Q$11*NMultDensity(C39:D39,$O$13:$P$13,$O$11:$P$12)+$Q$15*NMultDensity(C39:D39,$O$17:$P$17,$O$15:$P$16)+$Q$19*NMultDensity(C39:D39,$O$21:$P$21,$O$19:$P$20)</f>
        <v>1.1673355789996287</v>
      </c>
      <c r="H39" s="34" cm="1">
        <f t="array" ref="H39">$Q$7*NMultDensity(C39:D39,$O$9:$P$9,$O$7:$P$8)/G39</f>
        <v>3.5186806812463984E-5</v>
      </c>
      <c r="I39" s="34" cm="1">
        <f t="array" ref="I39">$Q$11*NMultDensity(C39:D39,$O$13:$P$13,$O$11:$P$12)/G39</f>
        <v>0.99996481319318753</v>
      </c>
      <c r="J39" s="44" cm="1">
        <f t="array" ref="J39">$Q$15*NMultDensity(C39:D39,$O$17:$P$17,$O$15:$P$16)/G39</f>
        <v>2.2404276302787442E-216</v>
      </c>
      <c r="K39" s="44" cm="1">
        <f t="array" ref="K39">$Q$19*NMultDensity(C39:D39,$O$21:$P$21,$O$19:$P$20)/G39</f>
        <v>2.9641454405340105E-17</v>
      </c>
      <c r="L39" s="35">
        <f t="shared" si="1"/>
        <v>0.99996481319318753</v>
      </c>
      <c r="N39" s="2" t="s">
        <v>18</v>
      </c>
      <c r="O39" s="3">
        <f>SUMPRODUCT(C$2:C$151,$J$2:$J$151)/SUM($J:$J)</f>
        <v>5.5453083433275889</v>
      </c>
      <c r="P39" s="3">
        <f>SUMPRODUCT(D$2:D$151,$J$2:$J$151)/SUM($J:$J)</f>
        <v>2.2562577195185818</v>
      </c>
      <c r="S39" s="15">
        <v>4.0999999999999996</v>
      </c>
      <c r="T39" s="21">
        <v>1.3</v>
      </c>
      <c r="U39" s="25">
        <v>1</v>
      </c>
    </row>
    <row r="40" spans="1:21" x14ac:dyDescent="0.25">
      <c r="A40" s="1">
        <v>4.4000000000000004</v>
      </c>
      <c r="B40" s="1">
        <v>3</v>
      </c>
      <c r="C40" s="11">
        <v>1.3</v>
      </c>
      <c r="D40" s="12">
        <v>0.2</v>
      </c>
      <c r="E40" s="1" t="s">
        <v>5</v>
      </c>
      <c r="F40" s="31">
        <f t="shared" si="0"/>
        <v>2</v>
      </c>
      <c r="G40" s="33" cm="1">
        <f t="array" ref="G40">$Q$7*NMultDensity(C40:D40,$O$9:$P$9,$O$7:$P$8)+$Q$11*NMultDensity(C40:D40,$O$13:$P$13,$O$11:$P$12)+$Q$15*NMultDensity(C40:D40,$O$17:$P$17,$O$15:$P$16)+$Q$19*NMultDensity(C40:D40,$O$21:$P$21,$O$19:$P$20)</f>
        <v>2.0136549759976594</v>
      </c>
      <c r="H40" s="34" cm="1">
        <f t="array" ref="H40">$Q$7*NMultDensity(C40:D40,$O$9:$P$9,$O$7:$P$8)/G40</f>
        <v>7.5013414432764116E-5</v>
      </c>
      <c r="I40" s="34" cm="1">
        <f t="array" ref="I40">$Q$11*NMultDensity(C40:D40,$O$13:$P$13,$O$11:$P$12)/G40</f>
        <v>0.99992498658556728</v>
      </c>
      <c r="J40" s="44" cm="1">
        <f t="array" ref="J40">$Q$15*NMultDensity(C40:D40,$O$17:$P$17,$O$15:$P$16)/G40</f>
        <v>8.2348465920322303E-207</v>
      </c>
      <c r="K40" s="44" cm="1">
        <f t="array" ref="K40">$Q$19*NMultDensity(C40:D40,$O$21:$P$21,$O$19:$P$20)/G40</f>
        <v>4.7147249869284513E-21</v>
      </c>
      <c r="L40" s="35">
        <f t="shared" si="1"/>
        <v>0.99992498658556728</v>
      </c>
      <c r="S40" s="15">
        <v>4</v>
      </c>
      <c r="T40" s="21">
        <v>1.3</v>
      </c>
      <c r="U40" s="25">
        <v>1</v>
      </c>
    </row>
    <row r="41" spans="1:21" x14ac:dyDescent="0.25">
      <c r="A41" s="1">
        <v>5.0999999999999996</v>
      </c>
      <c r="B41" s="1">
        <v>3.4</v>
      </c>
      <c r="C41" s="11">
        <v>1.5</v>
      </c>
      <c r="D41" s="12">
        <v>0.2</v>
      </c>
      <c r="E41" s="1" t="s">
        <v>5</v>
      </c>
      <c r="F41" s="31">
        <f t="shared" si="0"/>
        <v>2</v>
      </c>
      <c r="G41" s="33" cm="1">
        <f t="array" ref="G41">$Q$7*NMultDensity(C41:D41,$O$9:$P$9,$O$7:$P$8)+$Q$11*NMultDensity(C41:D41,$O$13:$P$13,$O$11:$P$12)+$Q$15*NMultDensity(C41:D41,$O$17:$P$17,$O$15:$P$16)+$Q$19*NMultDensity(C41:D41,$O$21:$P$21,$O$19:$P$20)</f>
        <v>2.6626817329401886</v>
      </c>
      <c r="H41" s="34" cm="1">
        <f t="array" ref="H41">$Q$7*NMultDensity(C41:D41,$O$9:$P$9,$O$7:$P$8)/G41</f>
        <v>6.4069756770667724E-5</v>
      </c>
      <c r="I41" s="34" cm="1">
        <f t="array" ref="I41">$Q$11*NMultDensity(C41:D41,$O$13:$P$13,$O$11:$P$12)/G41</f>
        <v>0.99993593024322935</v>
      </c>
      <c r="J41" s="44" cm="1">
        <f t="array" ref="J41">$Q$15*NMultDensity(C41:D41,$O$17:$P$17,$O$15:$P$16)/G41</f>
        <v>2.9592259659589658E-200</v>
      </c>
      <c r="K41" s="44" cm="1">
        <f t="array" ref="K41">$Q$19*NMultDensity(C41:D41,$O$21:$P$21,$O$19:$P$20)/G41</f>
        <v>1.3805531715499341E-17</v>
      </c>
      <c r="L41" s="35">
        <f t="shared" si="1"/>
        <v>0.99993593024322935</v>
      </c>
      <c r="S41" s="15">
        <v>4.4000000000000004</v>
      </c>
      <c r="T41" s="21">
        <v>1.2</v>
      </c>
      <c r="U41" s="25">
        <v>1</v>
      </c>
    </row>
    <row r="42" spans="1:21" x14ac:dyDescent="0.25">
      <c r="A42" s="1">
        <v>5</v>
      </c>
      <c r="B42" s="1">
        <v>3.5</v>
      </c>
      <c r="C42" s="11">
        <v>1.3</v>
      </c>
      <c r="D42" s="12">
        <v>0.3</v>
      </c>
      <c r="E42" s="1" t="s">
        <v>5</v>
      </c>
      <c r="F42" s="31">
        <f t="shared" si="0"/>
        <v>2</v>
      </c>
      <c r="G42" s="33" cm="1">
        <f t="array" ref="G42">$Q$7*NMultDensity(C42:D42,$O$9:$P$9,$O$7:$P$8)+$Q$11*NMultDensity(C42:D42,$O$13:$P$13,$O$11:$P$12)+$Q$15*NMultDensity(C42:D42,$O$17:$P$17,$O$15:$P$16)+$Q$19*NMultDensity(C42:D42,$O$21:$P$21,$O$19:$P$20)</f>
        <v>1.3675883013634307</v>
      </c>
      <c r="H42" s="34" cm="1">
        <f t="array" ref="H42">$Q$7*NMultDensity(C42:D42,$O$9:$P$9,$O$7:$P$8)/G42</f>
        <v>2.225033471687194E-4</v>
      </c>
      <c r="I42" s="34" cm="1">
        <f t="array" ref="I42">$Q$11*NMultDensity(C42:D42,$O$13:$P$13,$O$11:$P$12)/G42</f>
        <v>0.99977749665283122</v>
      </c>
      <c r="J42" s="44" cm="1">
        <f t="array" ref="J42">$Q$15*NMultDensity(C42:D42,$O$17:$P$17,$O$15:$P$16)/G42</f>
        <v>6.5566794893226858E-194</v>
      </c>
      <c r="K42" s="44" cm="1">
        <f t="array" ref="K42">$Q$19*NMultDensity(C42:D42,$O$21:$P$21,$O$19:$P$20)/G42</f>
        <v>3.0950927342455931E-23</v>
      </c>
      <c r="L42" s="35">
        <f t="shared" si="1"/>
        <v>0.99977749665283122</v>
      </c>
      <c r="S42" s="15">
        <v>4.5999999999999996</v>
      </c>
      <c r="T42" s="21">
        <v>1.4</v>
      </c>
      <c r="U42" s="25">
        <v>1</v>
      </c>
    </row>
    <row r="43" spans="1:21" x14ac:dyDescent="0.25">
      <c r="A43" s="1">
        <v>4.5</v>
      </c>
      <c r="B43" s="1">
        <v>2.2999999999999998</v>
      </c>
      <c r="C43" s="11">
        <v>1.3</v>
      </c>
      <c r="D43" s="12">
        <v>0.3</v>
      </c>
      <c r="E43" s="1" t="s">
        <v>5</v>
      </c>
      <c r="F43" s="31">
        <f t="shared" si="0"/>
        <v>2</v>
      </c>
      <c r="G43" s="33" cm="1">
        <f t="array" ref="G43">$Q$7*NMultDensity(C43:D43,$O$9:$P$9,$O$7:$P$8)+$Q$11*NMultDensity(C43:D43,$O$13:$P$13,$O$11:$P$12)+$Q$15*NMultDensity(C43:D43,$O$17:$P$17,$O$15:$P$16)+$Q$19*NMultDensity(C43:D43,$O$21:$P$21,$O$19:$P$20)</f>
        <v>1.3675883013634307</v>
      </c>
      <c r="H43" s="34" cm="1">
        <f t="array" ref="H43">$Q$7*NMultDensity(C43:D43,$O$9:$P$9,$O$7:$P$8)/G43</f>
        <v>2.225033471687194E-4</v>
      </c>
      <c r="I43" s="34" cm="1">
        <f t="array" ref="I43">$Q$11*NMultDensity(C43:D43,$O$13:$P$13,$O$11:$P$12)/G43</f>
        <v>0.99977749665283122</v>
      </c>
      <c r="J43" s="44" cm="1">
        <f t="array" ref="J43">$Q$15*NMultDensity(C43:D43,$O$17:$P$17,$O$15:$P$16)/G43</f>
        <v>6.5566794893226858E-194</v>
      </c>
      <c r="K43" s="44" cm="1">
        <f t="array" ref="K43">$Q$19*NMultDensity(C43:D43,$O$21:$P$21,$O$19:$P$20)/G43</f>
        <v>3.0950927342455931E-23</v>
      </c>
      <c r="L43" s="35">
        <f t="shared" si="1"/>
        <v>0.99977749665283122</v>
      </c>
      <c r="S43" s="15">
        <v>4</v>
      </c>
      <c r="T43" s="21">
        <v>1.2</v>
      </c>
      <c r="U43" s="25">
        <v>1</v>
      </c>
    </row>
    <row r="44" spans="1:21" x14ac:dyDescent="0.25">
      <c r="A44" s="1">
        <v>4.4000000000000004</v>
      </c>
      <c r="B44" s="1">
        <v>3.2</v>
      </c>
      <c r="C44" s="11">
        <v>1.3</v>
      </c>
      <c r="D44" s="12">
        <v>0.2</v>
      </c>
      <c r="E44" s="1" t="s">
        <v>5</v>
      </c>
      <c r="F44" s="31">
        <f t="shared" si="0"/>
        <v>2</v>
      </c>
      <c r="G44" s="33" cm="1">
        <f t="array" ref="G44">$Q$7*NMultDensity(C44:D44,$O$9:$P$9,$O$7:$P$8)+$Q$11*NMultDensity(C44:D44,$O$13:$P$13,$O$11:$P$12)+$Q$15*NMultDensity(C44:D44,$O$17:$P$17,$O$15:$P$16)+$Q$19*NMultDensity(C44:D44,$O$21:$P$21,$O$19:$P$20)</f>
        <v>2.0136549759976594</v>
      </c>
      <c r="H44" s="34" cm="1">
        <f t="array" ref="H44">$Q$7*NMultDensity(C44:D44,$O$9:$P$9,$O$7:$P$8)/G44</f>
        <v>7.5013414432764116E-5</v>
      </c>
      <c r="I44" s="34" cm="1">
        <f t="array" ref="I44">$Q$11*NMultDensity(C44:D44,$O$13:$P$13,$O$11:$P$12)/G44</f>
        <v>0.99992498658556728</v>
      </c>
      <c r="J44" s="44" cm="1">
        <f t="array" ref="J44">$Q$15*NMultDensity(C44:D44,$O$17:$P$17,$O$15:$P$16)/G44</f>
        <v>8.2348465920322303E-207</v>
      </c>
      <c r="K44" s="44" cm="1">
        <f t="array" ref="K44">$Q$19*NMultDensity(C44:D44,$O$21:$P$21,$O$19:$P$20)/G44</f>
        <v>4.7147249869284513E-21</v>
      </c>
      <c r="L44" s="35">
        <f t="shared" si="1"/>
        <v>0.99992498658556728</v>
      </c>
      <c r="S44" s="15">
        <v>3.3</v>
      </c>
      <c r="T44" s="21">
        <v>1</v>
      </c>
      <c r="U44" s="25">
        <v>1</v>
      </c>
    </row>
    <row r="45" spans="1:21" x14ac:dyDescent="0.25">
      <c r="A45" s="1">
        <v>5</v>
      </c>
      <c r="B45" s="1">
        <v>3.5</v>
      </c>
      <c r="C45" s="11">
        <v>1.6</v>
      </c>
      <c r="D45" s="12">
        <v>0.6</v>
      </c>
      <c r="E45" s="1" t="s">
        <v>5</v>
      </c>
      <c r="F45" s="31">
        <f t="shared" si="0"/>
        <v>2</v>
      </c>
      <c r="G45" s="33" cm="1">
        <f t="array" ref="G45">$Q$7*NMultDensity(C45:D45,$O$9:$P$9,$O$7:$P$8)+$Q$11*NMultDensity(C45:D45,$O$13:$P$13,$O$11:$P$12)+$Q$15*NMultDensity(C45:D45,$O$17:$P$17,$O$15:$P$16)+$Q$19*NMultDensity(C45:D45,$O$21:$P$21,$O$19:$P$20)</f>
        <v>8.8909123747528841E-3</v>
      </c>
      <c r="H45" s="34" cm="1">
        <f t="array" ref="H45">$Q$7*NMultDensity(C45:D45,$O$9:$P$9,$O$7:$P$8)/G45</f>
        <v>9.7427194812361589E-2</v>
      </c>
      <c r="I45" s="34" cm="1">
        <f t="array" ref="I45">$Q$11*NMultDensity(C45:D45,$O$13:$P$13,$O$11:$P$12)/G45</f>
        <v>0.90257280518763849</v>
      </c>
      <c r="J45" s="44" cm="1">
        <f t="array" ref="J45">$Q$15*NMultDensity(C45:D45,$O$17:$P$17,$O$15:$P$16)/G45</f>
        <v>2.4160488762003915E-147</v>
      </c>
      <c r="K45" s="44" cm="1">
        <f t="array" ref="K45">$Q$19*NMultDensity(C45:D45,$O$21:$P$21,$O$19:$P$20)/G45</f>
        <v>1.9178409450147E-22</v>
      </c>
      <c r="L45" s="35">
        <f t="shared" si="1"/>
        <v>0.90257280518763849</v>
      </c>
      <c r="S45" s="15">
        <v>4.2</v>
      </c>
      <c r="T45" s="21">
        <v>1.3</v>
      </c>
      <c r="U45" s="25">
        <v>1</v>
      </c>
    </row>
    <row r="46" spans="1:21" x14ac:dyDescent="0.25">
      <c r="A46" s="1">
        <v>5.0999999999999996</v>
      </c>
      <c r="B46" s="1">
        <v>3.8</v>
      </c>
      <c r="C46" s="11">
        <v>1.9</v>
      </c>
      <c r="D46" s="12">
        <v>0.4</v>
      </c>
      <c r="E46" s="1" t="s">
        <v>5</v>
      </c>
      <c r="F46" s="31">
        <f t="shared" si="0"/>
        <v>2</v>
      </c>
      <c r="G46" s="33" cm="1">
        <f t="array" ref="G46">$Q$7*NMultDensity(C46:D46,$O$9:$P$9,$O$7:$P$8)+$Q$11*NMultDensity(C46:D46,$O$13:$P$13,$O$11:$P$12)+$Q$15*NMultDensity(C46:D46,$O$17:$P$17,$O$15:$P$16)+$Q$19*NMultDensity(C46:D46,$O$21:$P$21,$O$19:$P$20)</f>
        <v>9.679297580277138E-2</v>
      </c>
      <c r="H46" s="34" cm="1">
        <f t="array" ref="H46">$Q$7*NMultDensity(C46:D46,$O$9:$P$9,$O$7:$P$8)/G46</f>
        <v>1.8299289062698145E-2</v>
      </c>
      <c r="I46" s="34" cm="1">
        <f t="array" ref="I46">$Q$11*NMultDensity(C46:D46,$O$13:$P$13,$O$11:$P$12)/G46</f>
        <v>0.98170071093686417</v>
      </c>
      <c r="J46" s="44" cm="1">
        <f t="array" ref="J46">$Q$15*NMultDensity(C46:D46,$O$17:$P$17,$O$15:$P$16)/G46</f>
        <v>7.4677023030033309E-162</v>
      </c>
      <c r="K46" s="44" cm="1">
        <f t="array" ref="K46">$Q$19*NMultDensity(C46:D46,$O$21:$P$21,$O$19:$P$20)/G46</f>
        <v>4.3774268128986405E-13</v>
      </c>
      <c r="L46" s="35">
        <f t="shared" si="1"/>
        <v>0.98170071093686417</v>
      </c>
      <c r="S46" s="15">
        <v>4.2</v>
      </c>
      <c r="T46" s="21">
        <v>1.2</v>
      </c>
      <c r="U46" s="25">
        <v>1</v>
      </c>
    </row>
    <row r="47" spans="1:21" x14ac:dyDescent="0.25">
      <c r="A47" s="1">
        <v>4.8</v>
      </c>
      <c r="B47" s="1">
        <v>3</v>
      </c>
      <c r="C47" s="11">
        <v>1.4</v>
      </c>
      <c r="D47" s="12">
        <v>0.3</v>
      </c>
      <c r="E47" s="1" t="s">
        <v>5</v>
      </c>
      <c r="F47" s="31">
        <f t="shared" si="0"/>
        <v>2</v>
      </c>
      <c r="G47" s="33" cm="1">
        <f t="array" ref="G47">$Q$7*NMultDensity(C47:D47,$O$9:$P$9,$O$7:$P$8)+$Q$11*NMultDensity(C47:D47,$O$13:$P$13,$O$11:$P$12)+$Q$15*NMultDensity(C47:D47,$O$17:$P$17,$O$15:$P$16)+$Q$19*NMultDensity(C47:D47,$O$21:$P$21,$O$19:$P$20)</f>
        <v>2.3416342306424713</v>
      </c>
      <c r="H47" s="34" cm="1">
        <f t="array" ref="H47">$Q$7*NMultDensity(C47:D47,$O$9:$P$9,$O$7:$P$8)/G47</f>
        <v>1.6907470685938994E-4</v>
      </c>
      <c r="I47" s="34" cm="1">
        <f t="array" ref="I47">$Q$11*NMultDensity(C47:D47,$O$13:$P$13,$O$11:$P$12)/G47</f>
        <v>0.99983092529314055</v>
      </c>
      <c r="J47" s="44" cm="1">
        <f t="array" ref="J47">$Q$15*NMultDensity(C47:D47,$O$17:$P$17,$O$15:$P$16)/G47</f>
        <v>7.5947376309481376E-191</v>
      </c>
      <c r="K47" s="44" cm="1">
        <f t="array" ref="K47">$Q$19*NMultDensity(C47:D47,$O$21:$P$21,$O$19:$P$20)/G47</f>
        <v>2.4371250863242335E-21</v>
      </c>
      <c r="L47" s="35">
        <f t="shared" si="1"/>
        <v>0.99983092529314055</v>
      </c>
      <c r="S47" s="15">
        <v>4.2</v>
      </c>
      <c r="T47" s="21">
        <v>1.3</v>
      </c>
      <c r="U47" s="25">
        <v>1</v>
      </c>
    </row>
    <row r="48" spans="1:21" x14ac:dyDescent="0.25">
      <c r="A48" s="1">
        <v>5.0999999999999996</v>
      </c>
      <c r="B48" s="1">
        <v>3.8</v>
      </c>
      <c r="C48" s="11">
        <v>1.6</v>
      </c>
      <c r="D48" s="12">
        <v>0.2</v>
      </c>
      <c r="E48" s="1" t="s">
        <v>5</v>
      </c>
      <c r="F48" s="31">
        <f t="shared" si="0"/>
        <v>2</v>
      </c>
      <c r="G48" s="33" cm="1">
        <f t="array" ref="G48">$Q$7*NMultDensity(C48:D48,$O$9:$P$9,$O$7:$P$8)+$Q$11*NMultDensity(C48:D48,$O$13:$P$13,$O$11:$P$12)+$Q$15*NMultDensity(C48:D48,$O$17:$P$17,$O$15:$P$16)+$Q$19*NMultDensity(C48:D48,$O$21:$P$21,$O$19:$P$20)</f>
        <v>1.7313922256693786</v>
      </c>
      <c r="H48" s="34" cm="1">
        <f t="array" ref="H48">$Q$7*NMultDensity(C48:D48,$O$9:$P$9,$O$7:$P$8)/G48</f>
        <v>9.4709131534039375E-5</v>
      </c>
      <c r="I48" s="34" cm="1">
        <f t="array" ref="I48">$Q$11*NMultDensity(C48:D48,$O$13:$P$13,$O$11:$P$12)/G48</f>
        <v>0.99990529086846514</v>
      </c>
      <c r="J48" s="44" cm="1">
        <f t="array" ref="J48">$Q$15*NMultDensity(C48:D48,$O$17:$P$17,$O$15:$P$16)/G48</f>
        <v>8.3984923652240281E-197</v>
      </c>
      <c r="K48" s="44" cm="1">
        <f t="array" ref="K48">$Q$19*NMultDensity(C48:D48,$O$21:$P$21,$O$19:$P$20)/G48</f>
        <v>7.3912375013699179E-16</v>
      </c>
      <c r="L48" s="35">
        <f t="shared" si="1"/>
        <v>0.99990529086846514</v>
      </c>
      <c r="S48" s="15">
        <v>4.3</v>
      </c>
      <c r="T48" s="21">
        <v>1.3</v>
      </c>
      <c r="U48" s="25">
        <v>1</v>
      </c>
    </row>
    <row r="49" spans="1:21" x14ac:dyDescent="0.25">
      <c r="A49" s="1">
        <v>4.5999999999999996</v>
      </c>
      <c r="B49" s="1">
        <v>3.2</v>
      </c>
      <c r="C49" s="11">
        <v>1.4</v>
      </c>
      <c r="D49" s="12">
        <v>0.2</v>
      </c>
      <c r="E49" s="1" t="s">
        <v>5</v>
      </c>
      <c r="F49" s="31">
        <f t="shared" si="0"/>
        <v>2</v>
      </c>
      <c r="G49" s="33" cm="1">
        <f t="array" ref="G49">$Q$7*NMultDensity(C49:D49,$O$9:$P$9,$O$7:$P$8)+$Q$11*NMultDensity(C49:D49,$O$13:$P$13,$O$11:$P$12)+$Q$15*NMultDensity(C49:D49,$O$17:$P$17,$O$15:$P$16)+$Q$19*NMultDensity(C49:D49,$O$21:$P$21,$O$19:$P$20)</f>
        <v>2.800162456722775</v>
      </c>
      <c r="H49" s="34" cm="1">
        <f t="array" ref="H49">$Q$7*NMultDensity(C49:D49,$O$9:$P$9,$O$7:$P$8)/G49</f>
        <v>5.9279063103155587E-5</v>
      </c>
      <c r="I49" s="34" cm="1">
        <f t="array" ref="I49">$Q$11*NMultDensity(C49:D49,$O$13:$P$13,$O$11:$P$12)/G49</f>
        <v>0.9999407209368969</v>
      </c>
      <c r="J49" s="44" cm="1">
        <f t="array" ref="J49">$Q$15*NMultDensity(C49:D49,$O$17:$P$17,$O$15:$P$16)/G49</f>
        <v>1.3645687419729269E-203</v>
      </c>
      <c r="K49" s="44" cm="1">
        <f t="array" ref="K49">$Q$19*NMultDensity(C49:D49,$O$21:$P$21,$O$19:$P$20)/G49</f>
        <v>2.5603466529859021E-19</v>
      </c>
      <c r="L49" s="35">
        <f t="shared" si="1"/>
        <v>0.9999407209368969</v>
      </c>
      <c r="S49" s="15">
        <v>3</v>
      </c>
      <c r="T49" s="21">
        <v>1.1000000000000001</v>
      </c>
      <c r="U49" s="25">
        <v>1</v>
      </c>
    </row>
    <row r="50" spans="1:21" x14ac:dyDescent="0.25">
      <c r="A50" s="1">
        <v>5.3</v>
      </c>
      <c r="B50" s="1">
        <v>3.7</v>
      </c>
      <c r="C50" s="11">
        <v>1.5</v>
      </c>
      <c r="D50" s="12">
        <v>0.2</v>
      </c>
      <c r="E50" s="1" t="s">
        <v>5</v>
      </c>
      <c r="F50" s="31">
        <f t="shared" si="0"/>
        <v>2</v>
      </c>
      <c r="G50" s="33" cm="1">
        <f t="array" ref="G50">$Q$7*NMultDensity(C50:D50,$O$9:$P$9,$O$7:$P$8)+$Q$11*NMultDensity(C50:D50,$O$13:$P$13,$O$11:$P$12)+$Q$15*NMultDensity(C50:D50,$O$17:$P$17,$O$15:$P$16)+$Q$19*NMultDensity(C50:D50,$O$21:$P$21,$O$19:$P$20)</f>
        <v>2.6626817329401886</v>
      </c>
      <c r="H50" s="34" cm="1">
        <f t="array" ref="H50">$Q$7*NMultDensity(C50:D50,$O$9:$P$9,$O$7:$P$8)/G50</f>
        <v>6.4069756770667724E-5</v>
      </c>
      <c r="I50" s="34" cm="1">
        <f t="array" ref="I50">$Q$11*NMultDensity(C50:D50,$O$13:$P$13,$O$11:$P$12)/G50</f>
        <v>0.99993593024322935</v>
      </c>
      <c r="J50" s="44" cm="1">
        <f t="array" ref="J50">$Q$15*NMultDensity(C50:D50,$O$17:$P$17,$O$15:$P$16)/G50</f>
        <v>2.9592259659589658E-200</v>
      </c>
      <c r="K50" s="44" cm="1">
        <f t="array" ref="K50">$Q$19*NMultDensity(C50:D50,$O$21:$P$21,$O$19:$P$20)/G50</f>
        <v>1.3805531715499341E-17</v>
      </c>
      <c r="L50" s="35">
        <f t="shared" si="1"/>
        <v>0.99993593024322935</v>
      </c>
      <c r="S50" s="15">
        <v>4.0999999999999996</v>
      </c>
      <c r="T50" s="21">
        <v>1.3</v>
      </c>
      <c r="U50" s="25">
        <v>1</v>
      </c>
    </row>
    <row r="51" spans="1:21" x14ac:dyDescent="0.25">
      <c r="A51" s="1">
        <v>5</v>
      </c>
      <c r="B51" s="1">
        <v>3.3</v>
      </c>
      <c r="C51" s="11">
        <v>1.4</v>
      </c>
      <c r="D51" s="12">
        <v>0.2</v>
      </c>
      <c r="E51" s="1" t="s">
        <v>5</v>
      </c>
      <c r="F51" s="31">
        <f t="shared" si="0"/>
        <v>2</v>
      </c>
      <c r="G51" s="33" cm="1">
        <f t="array" ref="G51">$Q$7*NMultDensity(C51:D51,$O$9:$P$9,$O$7:$P$8)+$Q$11*NMultDensity(C51:D51,$O$13:$P$13,$O$11:$P$12)+$Q$15*NMultDensity(C51:D51,$O$17:$P$17,$O$15:$P$16)+$Q$19*NMultDensity(C51:D51,$O$21:$P$21,$O$19:$P$20)</f>
        <v>2.800162456722775</v>
      </c>
      <c r="H51" s="34" cm="1">
        <f t="array" ref="H51">$Q$7*NMultDensity(C51:D51,$O$9:$P$9,$O$7:$P$8)/G51</f>
        <v>5.9279063103155587E-5</v>
      </c>
      <c r="I51" s="34" cm="1">
        <f t="array" ref="I51">$Q$11*NMultDensity(C51:D51,$O$13:$P$13,$O$11:$P$12)/G51</f>
        <v>0.9999407209368969</v>
      </c>
      <c r="J51" s="44" cm="1">
        <f t="array" ref="J51">$Q$15*NMultDensity(C51:D51,$O$17:$P$17,$O$15:$P$16)/G51</f>
        <v>1.3645687419729269E-203</v>
      </c>
      <c r="K51" s="44" cm="1">
        <f t="array" ref="K51">$Q$19*NMultDensity(C51:D51,$O$21:$P$21,$O$19:$P$20)/G51</f>
        <v>2.5603466529859021E-19</v>
      </c>
      <c r="L51" s="35">
        <f t="shared" si="1"/>
        <v>0.9999407209368969</v>
      </c>
      <c r="S51" s="15">
        <v>5.6</v>
      </c>
      <c r="T51" s="21">
        <v>1.8</v>
      </c>
      <c r="U51" s="25">
        <v>1</v>
      </c>
    </row>
    <row r="52" spans="1:21" x14ac:dyDescent="0.25">
      <c r="A52" s="1">
        <v>7</v>
      </c>
      <c r="B52" s="1">
        <v>3.2</v>
      </c>
      <c r="C52" s="11">
        <v>4.7</v>
      </c>
      <c r="D52" s="12">
        <v>1.4</v>
      </c>
      <c r="E52" s="1" t="s">
        <v>6</v>
      </c>
      <c r="F52" s="31">
        <f t="shared" si="0"/>
        <v>1</v>
      </c>
      <c r="G52" s="33" cm="1">
        <f t="array" ref="G52">$Q$7*NMultDensity(C52:D52,$O$9:$P$9,$O$7:$P$8)+$Q$11*NMultDensity(C52:D52,$O$13:$P$13,$O$11:$P$12)+$Q$15*NMultDensity(C52:D52,$O$17:$P$17,$O$15:$P$16)+$Q$19*NMultDensity(C52:D52,$O$21:$P$21,$O$19:$P$20)</f>
        <v>0.52891939613078898</v>
      </c>
      <c r="H52" s="34" cm="1">
        <f t="array" ref="H52">$Q$7*NMultDensity(C52:D52,$O$9:$P$9,$O$7:$P$8)/G52</f>
        <v>0.99929366110463047</v>
      </c>
      <c r="I52" s="34" cm="1">
        <f t="array" ref="I52">$Q$11*NMultDensity(C52:D52,$O$13:$P$13,$O$11:$P$12)/G52</f>
        <v>3.1324895949885585E-83</v>
      </c>
      <c r="J52" s="44" cm="1">
        <f t="array" ref="J52">$Q$15*NMultDensity(C52:D52,$O$17:$P$17,$O$15:$P$16)/G52</f>
        <v>1.5825911609276897E-25</v>
      </c>
      <c r="K52" s="44" cm="1">
        <f t="array" ref="K52">$Q$19*NMultDensity(C52:D52,$O$21:$P$21,$O$19:$P$20)/G52</f>
        <v>7.0633889536938414E-4</v>
      </c>
      <c r="L52" s="35">
        <f t="shared" si="1"/>
        <v>0.99929366110463047</v>
      </c>
      <c r="S52" s="15">
        <v>6.6</v>
      </c>
      <c r="T52" s="21">
        <v>2.1</v>
      </c>
      <c r="U52" s="25">
        <v>1</v>
      </c>
    </row>
    <row r="53" spans="1:21" x14ac:dyDescent="0.25">
      <c r="A53" s="1">
        <v>6.4</v>
      </c>
      <c r="B53" s="1">
        <v>3.2</v>
      </c>
      <c r="C53" s="11">
        <v>4.5</v>
      </c>
      <c r="D53" s="12">
        <v>1.5</v>
      </c>
      <c r="E53" s="1" t="s">
        <v>6</v>
      </c>
      <c r="F53" s="31">
        <f t="shared" si="0"/>
        <v>1</v>
      </c>
      <c r="G53" s="33" cm="1">
        <f t="array" ref="G53">$Q$7*NMultDensity(C53:D53,$O$9:$P$9,$O$7:$P$8)+$Q$11*NMultDensity(C53:D53,$O$13:$P$13,$O$11:$P$12)+$Q$15*NMultDensity(C53:D53,$O$17:$P$17,$O$15:$P$16)+$Q$19*NMultDensity(C53:D53,$O$21:$P$21,$O$19:$P$20)</f>
        <v>0.49843543594955375</v>
      </c>
      <c r="H53" s="34" cm="1">
        <f t="array" ref="H53">$Q$7*NMultDensity(C53:D53,$O$9:$P$9,$O$7:$P$8)/G53</f>
        <v>0.94681159168005202</v>
      </c>
      <c r="I53" s="34" cm="1">
        <f t="array" ref="I53">$Q$11*NMultDensity(C53:D53,$O$13:$P$13,$O$11:$P$12)/G53</f>
        <v>1.0655484064926781E-77</v>
      </c>
      <c r="J53" s="44" cm="1">
        <f t="array" ref="J53">$Q$15*NMultDensity(C53:D53,$O$17:$P$17,$O$15:$P$16)/G53</f>
        <v>7.6661660221743787E-23</v>
      </c>
      <c r="K53" s="44" cm="1">
        <f t="array" ref="K53">$Q$19*NMultDensity(C53:D53,$O$21:$P$21,$O$19:$P$20)/G53</f>
        <v>5.3188408319947929E-2</v>
      </c>
      <c r="L53" s="35">
        <f t="shared" si="1"/>
        <v>0.94681159168005202</v>
      </c>
      <c r="S53" s="15">
        <v>4.5</v>
      </c>
      <c r="T53" s="21">
        <v>1.7</v>
      </c>
      <c r="U53" s="25">
        <v>1</v>
      </c>
    </row>
    <row r="54" spans="1:21" x14ac:dyDescent="0.25">
      <c r="A54" s="1">
        <v>6.9</v>
      </c>
      <c r="B54" s="1">
        <v>3.1</v>
      </c>
      <c r="C54" s="11">
        <v>4.9000000000000004</v>
      </c>
      <c r="D54" s="12">
        <v>1.5</v>
      </c>
      <c r="E54" s="1" t="s">
        <v>6</v>
      </c>
      <c r="F54" s="31">
        <f t="shared" si="0"/>
        <v>1</v>
      </c>
      <c r="G54" s="33" cm="1">
        <f t="array" ref="G54">$Q$7*NMultDensity(C54:D54,$O$9:$P$9,$O$7:$P$8)+$Q$11*NMultDensity(C54:D54,$O$13:$P$13,$O$11:$P$12)+$Q$15*NMultDensity(C54:D54,$O$17:$P$17,$O$15:$P$16)+$Q$19*NMultDensity(C54:D54,$O$21:$P$21,$O$19:$P$20)</f>
        <v>0.57035959813256942</v>
      </c>
      <c r="H54" s="34" cm="1">
        <f t="array" ref="H54">$Q$7*NMultDensity(C54:D54,$O$9:$P$9,$O$7:$P$8)/G54</f>
        <v>0.99945407417448207</v>
      </c>
      <c r="I54" s="34" cm="1">
        <f t="array" ref="I54">$Q$11*NMultDensity(C54:D54,$O$13:$P$13,$O$11:$P$12)/G54</f>
        <v>1.324922139614152E-94</v>
      </c>
      <c r="J54" s="44" cm="1">
        <f t="array" ref="J54">$Q$15*NMultDensity(C54:D54,$O$17:$P$17,$O$15:$P$16)/G54</f>
        <v>2.674423382254076E-19</v>
      </c>
      <c r="K54" s="44" cm="1">
        <f t="array" ref="K54">$Q$19*NMultDensity(C54:D54,$O$21:$P$21,$O$19:$P$20)/G54</f>
        <v>5.4592582551796871E-4</v>
      </c>
      <c r="L54" s="35">
        <f t="shared" si="1"/>
        <v>0.99945407417448207</v>
      </c>
      <c r="S54" s="15">
        <v>6.3</v>
      </c>
      <c r="T54" s="21">
        <v>1.8</v>
      </c>
      <c r="U54" s="25">
        <v>1</v>
      </c>
    </row>
    <row r="55" spans="1:21" x14ac:dyDescent="0.25">
      <c r="A55" s="1">
        <v>5.5</v>
      </c>
      <c r="B55" s="1">
        <v>2.2999999999999998</v>
      </c>
      <c r="C55" s="11">
        <v>4</v>
      </c>
      <c r="D55" s="12">
        <v>1.3</v>
      </c>
      <c r="E55" s="1" t="s">
        <v>6</v>
      </c>
      <c r="F55" s="31">
        <f t="shared" si="0"/>
        <v>1</v>
      </c>
      <c r="G55" s="33" cm="1">
        <f t="array" ref="G55">$Q$7*NMultDensity(C55:D55,$O$9:$P$9,$O$7:$P$8)+$Q$11*NMultDensity(C55:D55,$O$13:$P$13,$O$11:$P$12)+$Q$15*NMultDensity(C55:D55,$O$17:$P$17,$O$15:$P$16)+$Q$19*NMultDensity(C55:D55,$O$21:$P$21,$O$19:$P$20)</f>
        <v>0.41741577858549556</v>
      </c>
      <c r="H55" s="34" cm="1">
        <f t="array" ref="H55">$Q$7*NMultDensity(C55:D55,$O$9:$P$9,$O$7:$P$8)/G55</f>
        <v>0.98751571968705065</v>
      </c>
      <c r="I55" s="34" cm="1">
        <f t="array" ref="I55">$Q$11*NMultDensity(C55:D55,$O$13:$P$13,$O$11:$P$12)/G55</f>
        <v>2.7007141747155779E-54</v>
      </c>
      <c r="J55" s="44" cm="1">
        <f t="array" ref="J55">$Q$15*NMultDensity(C55:D55,$O$17:$P$17,$O$15:$P$16)/G55</f>
        <v>7.1355880340921474E-39</v>
      </c>
      <c r="K55" s="44" cm="1">
        <f t="array" ref="K55">$Q$19*NMultDensity(C55:D55,$O$21:$P$21,$O$19:$P$20)/G55</f>
        <v>1.2484280312949418E-2</v>
      </c>
      <c r="L55" s="35">
        <f t="shared" si="1"/>
        <v>0.98751571968705065</v>
      </c>
      <c r="S55" s="15">
        <v>5.8</v>
      </c>
      <c r="T55" s="21">
        <v>1.8</v>
      </c>
      <c r="U55" s="25">
        <v>1</v>
      </c>
    </row>
    <row r="56" spans="1:21" x14ac:dyDescent="0.25">
      <c r="A56" s="1">
        <v>6.5</v>
      </c>
      <c r="B56" s="1">
        <v>2.8</v>
      </c>
      <c r="C56" s="11">
        <v>4.5999999999999996</v>
      </c>
      <c r="D56" s="12">
        <v>1.5</v>
      </c>
      <c r="E56" s="1" t="s">
        <v>6</v>
      </c>
      <c r="F56" s="31">
        <f t="shared" si="0"/>
        <v>1</v>
      </c>
      <c r="G56" s="33" cm="1">
        <f t="array" ref="G56">$Q$7*NMultDensity(C56:D56,$O$9:$P$9,$O$7:$P$8)+$Q$11*NMultDensity(C56:D56,$O$13:$P$13,$O$11:$P$12)+$Q$15*NMultDensity(C56:D56,$O$17:$P$17,$O$15:$P$16)+$Q$19*NMultDensity(C56:D56,$O$21:$P$21,$O$19:$P$20)</f>
        <v>0.56260485192375675</v>
      </c>
      <c r="H56" s="34" cm="1">
        <f t="array" ref="H56">$Q$7*NMultDensity(C56:D56,$O$9:$P$9,$O$7:$P$8)/G56</f>
        <v>0.97227242964044602</v>
      </c>
      <c r="I56" s="34" cm="1">
        <f t="array" ref="I56">$Q$11*NMultDensity(C56:D56,$O$13:$P$13,$O$11:$P$12)/G56</f>
        <v>1.0253554758806547E-81</v>
      </c>
      <c r="J56" s="44" cm="1">
        <f t="array" ref="J56">$Q$15*NMultDensity(C56:D56,$O$17:$P$17,$O$15:$P$16)/G56</f>
        <v>6.3769146513588728E-22</v>
      </c>
      <c r="K56" s="44" cm="1">
        <f t="array" ref="K56">$Q$19*NMultDensity(C56:D56,$O$21:$P$21,$O$19:$P$20)/G56</f>
        <v>2.7727570359554039E-2</v>
      </c>
      <c r="L56" s="35">
        <f t="shared" si="1"/>
        <v>0.97227242964044602</v>
      </c>
      <c r="S56" s="15">
        <v>5.3</v>
      </c>
      <c r="T56" s="21">
        <v>1.9</v>
      </c>
      <c r="U56" s="25">
        <v>1</v>
      </c>
    </row>
    <row r="57" spans="1:21" x14ac:dyDescent="0.25">
      <c r="A57" s="1">
        <v>5.7</v>
      </c>
      <c r="B57" s="1">
        <v>2.8</v>
      </c>
      <c r="C57" s="11">
        <v>4.5</v>
      </c>
      <c r="D57" s="12">
        <v>1.3</v>
      </c>
      <c r="E57" s="1" t="s">
        <v>6</v>
      </c>
      <c r="F57" s="31">
        <f t="shared" si="0"/>
        <v>1</v>
      </c>
      <c r="G57" s="33" cm="1">
        <f t="array" ref="G57">$Q$7*NMultDensity(C57:D57,$O$9:$P$9,$O$7:$P$8)+$Q$11*NMultDensity(C57:D57,$O$13:$P$13,$O$11:$P$12)+$Q$15*NMultDensity(C57:D57,$O$17:$P$17,$O$15:$P$16)+$Q$19*NMultDensity(C57:D57,$O$21:$P$21,$O$19:$P$20)</f>
        <v>0.43522986773643435</v>
      </c>
      <c r="H57" s="34" cm="1">
        <f t="array" ref="H57">$Q$7*NMultDensity(C57:D57,$O$9:$P$9,$O$7:$P$8)/G57</f>
        <v>0.99914564058981559</v>
      </c>
      <c r="I57" s="34" cm="1">
        <f t="array" ref="I57">$Q$11*NMultDensity(C57:D57,$O$13:$P$13,$O$11:$P$12)/G57</f>
        <v>1.4623619926879482E-72</v>
      </c>
      <c r="J57" s="44" cm="1">
        <f t="array" ref="J57">$Q$15*NMultDensity(C57:D57,$O$17:$P$17,$O$15:$P$16)/G57</f>
        <v>1.1834785945566946E-32</v>
      </c>
      <c r="K57" s="44" cm="1">
        <f t="array" ref="K57">$Q$19*NMultDensity(C57:D57,$O$21:$P$21,$O$19:$P$20)/G57</f>
        <v>8.5435941018434174E-4</v>
      </c>
      <c r="L57" s="35">
        <f t="shared" si="1"/>
        <v>0.99914564058981559</v>
      </c>
      <c r="S57" s="15">
        <v>5.5</v>
      </c>
      <c r="T57" s="21">
        <v>1.8</v>
      </c>
      <c r="U57" s="25">
        <v>1</v>
      </c>
    </row>
    <row r="58" spans="1:21" x14ac:dyDescent="0.25">
      <c r="A58" s="1">
        <v>6.3</v>
      </c>
      <c r="B58" s="1">
        <v>3.3</v>
      </c>
      <c r="C58" s="11">
        <v>4.7</v>
      </c>
      <c r="D58" s="12">
        <v>1.6</v>
      </c>
      <c r="E58" s="1" t="s">
        <v>6</v>
      </c>
      <c r="F58" s="31">
        <f t="shared" si="0"/>
        <v>1</v>
      </c>
      <c r="G58" s="33" cm="1">
        <f t="array" ref="G58">$Q$7*NMultDensity(C58:D58,$O$9:$P$9,$O$7:$P$8)+$Q$11*NMultDensity(C58:D58,$O$13:$P$13,$O$11:$P$12)+$Q$15*NMultDensity(C58:D58,$O$17:$P$17,$O$15:$P$16)+$Q$19*NMultDensity(C58:D58,$O$21:$P$21,$O$19:$P$20)</f>
        <v>0.43258445064940149</v>
      </c>
      <c r="H58" s="34" cm="1">
        <f t="array" ref="H58">$Q$7*NMultDensity(C58:D58,$O$9:$P$9,$O$7:$P$8)/G58</f>
        <v>0.9076655872531405</v>
      </c>
      <c r="I58" s="34" cm="1">
        <f t="array" ref="I58">$Q$11*NMultDensity(C58:D58,$O$13:$P$13,$O$11:$P$12)/G58</f>
        <v>8.9282528528157385E-89</v>
      </c>
      <c r="J58" s="44" cm="1">
        <f t="array" ref="J58">$Q$15*NMultDensity(C58:D58,$O$17:$P$17,$O$15:$P$16)/G58</f>
        <v>7.9949440486728263E-17</v>
      </c>
      <c r="K58" s="44" cm="1">
        <f t="array" ref="K58">$Q$19*NMultDensity(C58:D58,$O$21:$P$21,$O$19:$P$20)/G58</f>
        <v>9.233441274685944E-2</v>
      </c>
      <c r="L58" s="35">
        <f t="shared" si="1"/>
        <v>0.9076655872531405</v>
      </c>
      <c r="S58" s="15">
        <v>6.7</v>
      </c>
      <c r="T58" s="21">
        <v>2.2000000000000002</v>
      </c>
      <c r="U58" s="25">
        <v>1</v>
      </c>
    </row>
    <row r="59" spans="1:21" x14ac:dyDescent="0.25">
      <c r="A59" s="1">
        <v>4.9000000000000004</v>
      </c>
      <c r="B59" s="1">
        <v>2.4</v>
      </c>
      <c r="C59" s="11">
        <v>3.3</v>
      </c>
      <c r="D59" s="12">
        <v>1</v>
      </c>
      <c r="E59" s="1" t="s">
        <v>6</v>
      </c>
      <c r="F59" s="31">
        <f t="shared" si="0"/>
        <v>1</v>
      </c>
      <c r="G59" s="33" cm="1">
        <f t="array" ref="G59">$Q$7*NMultDensity(C59:D59,$O$9:$P$9,$O$7:$P$8)+$Q$11*NMultDensity(C59:D59,$O$13:$P$13,$O$11:$P$12)+$Q$15*NMultDensity(C59:D59,$O$17:$P$17,$O$15:$P$16)+$Q$19*NMultDensity(C59:D59,$O$21:$P$21,$O$19:$P$20)</f>
        <v>0.17032034425674167</v>
      </c>
      <c r="H59" s="34" cm="1">
        <f t="array" ref="H59">$Q$7*NMultDensity(C59:D59,$O$9:$P$9,$O$7:$P$8)/G59</f>
        <v>0.99984328766587283</v>
      </c>
      <c r="I59" s="34" cm="1">
        <f t="array" ref="I59">$Q$11*NMultDensity(C59:D59,$O$13:$P$13,$O$11:$P$12)/G59</f>
        <v>7.4877025920238547E-28</v>
      </c>
      <c r="J59" s="44" cm="1">
        <f t="array" ref="J59">$Q$15*NMultDensity(C59:D59,$O$17:$P$17,$O$15:$P$16)/G59</f>
        <v>4.0531588096153002E-70</v>
      </c>
      <c r="K59" s="44" cm="1">
        <f t="array" ref="K59">$Q$19*NMultDensity(C59:D59,$O$21:$P$21,$O$19:$P$20)/G59</f>
        <v>1.567123341272082E-4</v>
      </c>
      <c r="L59" s="35">
        <f t="shared" si="1"/>
        <v>0.99984328766587283</v>
      </c>
      <c r="S59" s="15">
        <v>6.9</v>
      </c>
      <c r="T59" s="21">
        <v>2.2999999999999998</v>
      </c>
      <c r="U59" s="25">
        <v>1</v>
      </c>
    </row>
    <row r="60" spans="1:21" x14ac:dyDescent="0.25">
      <c r="A60" s="1">
        <v>6.6</v>
      </c>
      <c r="B60" s="1">
        <v>2.9</v>
      </c>
      <c r="C60" s="11">
        <v>4.5999999999999996</v>
      </c>
      <c r="D60" s="12">
        <v>1.3</v>
      </c>
      <c r="E60" s="1" t="s">
        <v>6</v>
      </c>
      <c r="F60" s="31">
        <f t="shared" si="0"/>
        <v>1</v>
      </c>
      <c r="G60" s="33" cm="1">
        <f t="array" ref="G60">$Q$7*NMultDensity(C60:D60,$O$9:$P$9,$O$7:$P$8)+$Q$11*NMultDensity(C60:D60,$O$13:$P$13,$O$11:$P$12)+$Q$15*NMultDensity(C60:D60,$O$17:$P$17,$O$15:$P$16)+$Q$19*NMultDensity(C60:D60,$O$21:$P$21,$O$19:$P$20)</f>
        <v>0.35963250506548089</v>
      </c>
      <c r="H60" s="34" cm="1">
        <f t="array" ref="H60">$Q$7*NMultDensity(C60:D60,$O$9:$P$9,$O$7:$P$8)/G60</f>
        <v>0.9998091310778392</v>
      </c>
      <c r="I60" s="34" cm="1">
        <f t="array" ref="I60">$Q$11*NMultDensity(C60:D60,$O$13:$P$13,$O$11:$P$12)/G60</f>
        <v>1.2677881980725253E-76</v>
      </c>
      <c r="J60" s="44" cm="1">
        <f t="array" ref="J60">$Q$15*NMultDensity(C60:D60,$O$17:$P$17,$O$15:$P$16)/G60</f>
        <v>1.8152575539135342E-31</v>
      </c>
      <c r="K60" s="44" cm="1">
        <f t="array" ref="K60">$Q$19*NMultDensity(C60:D60,$O$21:$P$21,$O$19:$P$20)/G60</f>
        <v>1.9086892216074305E-4</v>
      </c>
      <c r="L60" s="35">
        <f t="shared" si="1"/>
        <v>0.9998091310778392</v>
      </c>
      <c r="S60" s="15">
        <v>5</v>
      </c>
      <c r="T60" s="21">
        <v>1.5</v>
      </c>
      <c r="U60" s="25">
        <v>1</v>
      </c>
    </row>
    <row r="61" spans="1:21" x14ac:dyDescent="0.25">
      <c r="A61" s="1">
        <v>5.2</v>
      </c>
      <c r="B61" s="1">
        <v>2.7</v>
      </c>
      <c r="C61" s="11">
        <v>3.9</v>
      </c>
      <c r="D61" s="12">
        <v>1.4</v>
      </c>
      <c r="E61" s="1" t="s">
        <v>6</v>
      </c>
      <c r="F61" s="31">
        <f t="shared" si="0"/>
        <v>1</v>
      </c>
      <c r="G61" s="33" cm="1">
        <f t="array" ref="G61">$Q$7*NMultDensity(C61:D61,$O$9:$P$9,$O$7:$P$8)+$Q$11*NMultDensity(C61:D61,$O$13:$P$13,$O$11:$P$12)+$Q$15*NMultDensity(C61:D61,$O$17:$P$17,$O$15:$P$16)+$Q$19*NMultDensity(C61:D61,$O$21:$P$21,$O$19:$P$20)</f>
        <v>0.16538737052254715</v>
      </c>
      <c r="H61" s="34" cm="1">
        <f t="array" ref="H61">$Q$7*NMultDensity(C61:D61,$O$9:$P$9,$O$7:$P$8)/G61</f>
        <v>0.99296604158792079</v>
      </c>
      <c r="I61" s="34" cm="1">
        <f t="array" ref="I61">$Q$11*NMultDensity(C61:D61,$O$13:$P$13,$O$11:$P$12)/G61</f>
        <v>1.3653504938946549E-53</v>
      </c>
      <c r="J61" s="44" cm="1">
        <f t="array" ref="J61">$Q$15*NMultDensity(C61:D61,$O$17:$P$17,$O$15:$P$16)/G61</f>
        <v>2.7396119689270621E-34</v>
      </c>
      <c r="K61" s="44" cm="1">
        <f t="array" ref="K61">$Q$19*NMultDensity(C61:D61,$O$21:$P$21,$O$19:$P$20)/G61</f>
        <v>7.0339584120791745E-3</v>
      </c>
      <c r="L61" s="35">
        <f t="shared" si="1"/>
        <v>0.99296604158792079</v>
      </c>
      <c r="S61" s="15">
        <v>6.7</v>
      </c>
      <c r="T61" s="21">
        <v>2</v>
      </c>
      <c r="U61" s="25">
        <v>1</v>
      </c>
    </row>
    <row r="62" spans="1:21" x14ac:dyDescent="0.25">
      <c r="A62" s="1">
        <v>5</v>
      </c>
      <c r="B62" s="1">
        <v>2</v>
      </c>
      <c r="C62" s="11">
        <v>3.5</v>
      </c>
      <c r="D62" s="12">
        <v>1</v>
      </c>
      <c r="E62" s="1" t="s">
        <v>6</v>
      </c>
      <c r="F62" s="31">
        <f t="shared" si="0"/>
        <v>1</v>
      </c>
      <c r="G62" s="33" cm="1">
        <f t="array" ref="G62">$Q$7*NMultDensity(C62:D62,$O$9:$P$9,$O$7:$P$8)+$Q$11*NMultDensity(C62:D62,$O$13:$P$13,$O$11:$P$12)+$Q$15*NMultDensity(C62:D62,$O$17:$P$17,$O$15:$P$16)+$Q$19*NMultDensity(C62:D62,$O$21:$P$21,$O$19:$P$20)</f>
        <v>0.19729421773531317</v>
      </c>
      <c r="H62" s="34" cm="1">
        <f t="array" ref="H62">$Q$7*NMultDensity(C62:D62,$O$9:$P$9,$O$7:$P$8)/G62</f>
        <v>0.99895090330557712</v>
      </c>
      <c r="I62" s="34" cm="1">
        <f t="array" ref="I62">$Q$11*NMultDensity(C62:D62,$O$13:$P$13,$O$11:$P$12)/G62</f>
        <v>5.9580998156191565E-33</v>
      </c>
      <c r="J62" s="44" cm="1">
        <f t="array" ref="J62">$Q$15*NMultDensity(C62:D62,$O$17:$P$17,$O$15:$P$16)/G62</f>
        <v>1.7770518030325656E-66</v>
      </c>
      <c r="K62" s="44" cm="1">
        <f t="array" ref="K62">$Q$19*NMultDensity(C62:D62,$O$21:$P$21,$O$19:$P$20)/G62</f>
        <v>1.049096694422835E-3</v>
      </c>
      <c r="L62" s="35">
        <f t="shared" si="1"/>
        <v>0.99895090330557712</v>
      </c>
      <c r="S62" s="15">
        <v>6</v>
      </c>
      <c r="T62" s="21">
        <v>1.8</v>
      </c>
      <c r="U62" s="25">
        <v>1</v>
      </c>
    </row>
    <row r="63" spans="1:21" x14ac:dyDescent="0.25">
      <c r="A63" s="1">
        <v>5.9</v>
      </c>
      <c r="B63" s="1">
        <v>3</v>
      </c>
      <c r="C63" s="11">
        <v>4.2</v>
      </c>
      <c r="D63" s="12">
        <v>1.5</v>
      </c>
      <c r="E63" s="1" t="s">
        <v>6</v>
      </c>
      <c r="F63" s="31">
        <f t="shared" si="0"/>
        <v>1</v>
      </c>
      <c r="G63" s="33" cm="1">
        <f t="array" ref="G63">$Q$7*NMultDensity(C63:D63,$O$9:$P$9,$O$7:$P$8)+$Q$11*NMultDensity(C63:D63,$O$13:$P$13,$O$11:$P$12)+$Q$15*NMultDensity(C63:D63,$O$17:$P$17,$O$15:$P$16)+$Q$19*NMultDensity(C63:D63,$O$21:$P$21,$O$19:$P$20)</f>
        <v>0.21555350909466439</v>
      </c>
      <c r="H63" s="34" cm="1">
        <f t="array" ref="H63">$Q$7*NMultDensity(C63:D63,$O$9:$P$9,$O$7:$P$8)/G63</f>
        <v>0.94085723762003881</v>
      </c>
      <c r="I63" s="34" cm="1">
        <f t="array" ref="I63">$Q$11*NMultDensity(C63:D63,$O$13:$P$13,$O$11:$P$12)/G63</f>
        <v>1.9656816257926294E-66</v>
      </c>
      <c r="J63" s="44" cm="1">
        <f t="array" ref="J63">$Q$15*NMultDensity(C63:D63,$O$17:$P$17,$O$15:$P$16)/G63</f>
        <v>1.1001076652820347E-25</v>
      </c>
      <c r="K63" s="44" cm="1">
        <f t="array" ref="K63">$Q$19*NMultDensity(C63:D63,$O$21:$P$21,$O$19:$P$20)/G63</f>
        <v>5.9142762379961286E-2</v>
      </c>
      <c r="L63" s="35">
        <f t="shared" si="1"/>
        <v>0.94085723762003881</v>
      </c>
      <c r="S63" s="15">
        <v>5.8</v>
      </c>
      <c r="T63" s="21">
        <v>1.6</v>
      </c>
      <c r="U63" s="25">
        <v>1</v>
      </c>
    </row>
    <row r="64" spans="1:21" x14ac:dyDescent="0.25">
      <c r="A64" s="1">
        <v>6</v>
      </c>
      <c r="B64" s="1">
        <v>2.2000000000000002</v>
      </c>
      <c r="C64" s="11">
        <v>4</v>
      </c>
      <c r="D64" s="12">
        <v>1</v>
      </c>
      <c r="E64" s="1" t="s">
        <v>6</v>
      </c>
      <c r="F64" s="31">
        <f t="shared" si="0"/>
        <v>1</v>
      </c>
      <c r="G64" s="33" cm="1">
        <f t="array" ref="G64">$Q$7*NMultDensity(C64:D64,$O$9:$P$9,$O$7:$P$8)+$Q$11*NMultDensity(C64:D64,$O$13:$P$13,$O$11:$P$12)+$Q$15*NMultDensity(C64:D64,$O$17:$P$17,$O$15:$P$16)+$Q$19*NMultDensity(C64:D64,$O$21:$P$21,$O$19:$P$20)</f>
        <v>8.8050108306196986E-2</v>
      </c>
      <c r="H64" s="34" cm="1">
        <f t="array" ref="H64">$Q$7*NMultDensity(C64:D64,$O$9:$P$9,$O$7:$P$8)/G64</f>
        <v>0.99955076627904149</v>
      </c>
      <c r="I64" s="34" cm="1">
        <f t="array" ref="I64">$Q$11*NMultDensity(C64:D64,$O$13:$P$13,$O$11:$P$12)/G64</f>
        <v>4.4490404967651398E-48</v>
      </c>
      <c r="J64" s="44" cm="1">
        <f t="array" ref="J64">$Q$15*NMultDensity(C64:D64,$O$17:$P$17,$O$15:$P$16)/G64</f>
        <v>1.0486533680571807E-57</v>
      </c>
      <c r="K64" s="44" cm="1">
        <f t="array" ref="K64">$Q$19*NMultDensity(C64:D64,$O$21:$P$21,$O$19:$P$20)/G64</f>
        <v>4.4923372095856336E-4</v>
      </c>
      <c r="L64" s="35">
        <f t="shared" si="1"/>
        <v>0.99955076627904149</v>
      </c>
      <c r="S64" s="15">
        <v>6.1</v>
      </c>
      <c r="T64" s="21">
        <v>1.9</v>
      </c>
      <c r="U64" s="25">
        <v>1</v>
      </c>
    </row>
    <row r="65" spans="1:21" x14ac:dyDescent="0.25">
      <c r="A65" s="1">
        <v>6.1</v>
      </c>
      <c r="B65" s="1">
        <v>2.9</v>
      </c>
      <c r="C65" s="11">
        <v>4.7</v>
      </c>
      <c r="D65" s="12">
        <v>1.4</v>
      </c>
      <c r="E65" s="1" t="s">
        <v>6</v>
      </c>
      <c r="F65" s="31">
        <f t="shared" si="0"/>
        <v>1</v>
      </c>
      <c r="G65" s="33" cm="1">
        <f t="array" ref="G65">$Q$7*NMultDensity(C65:D65,$O$9:$P$9,$O$7:$P$8)+$Q$11*NMultDensity(C65:D65,$O$13:$P$13,$O$11:$P$12)+$Q$15*NMultDensity(C65:D65,$O$17:$P$17,$O$15:$P$16)+$Q$19*NMultDensity(C65:D65,$O$21:$P$21,$O$19:$P$20)</f>
        <v>0.52891939613078898</v>
      </c>
      <c r="H65" s="34" cm="1">
        <f t="array" ref="H65">$Q$7*NMultDensity(C65:D65,$O$9:$P$9,$O$7:$P$8)/G65</f>
        <v>0.99929366110463047</v>
      </c>
      <c r="I65" s="34" cm="1">
        <f t="array" ref="I65">$Q$11*NMultDensity(C65:D65,$O$13:$P$13,$O$11:$P$12)/G65</f>
        <v>3.1324895949885585E-83</v>
      </c>
      <c r="J65" s="44" cm="1">
        <f t="array" ref="J65">$Q$15*NMultDensity(C65:D65,$O$17:$P$17,$O$15:$P$16)/G65</f>
        <v>1.5825911609276897E-25</v>
      </c>
      <c r="K65" s="44" cm="1">
        <f t="array" ref="K65">$Q$19*NMultDensity(C65:D65,$O$21:$P$21,$O$19:$P$20)/G65</f>
        <v>7.0633889536938414E-4</v>
      </c>
      <c r="L65" s="35">
        <f t="shared" si="1"/>
        <v>0.99929366110463047</v>
      </c>
      <c r="S65" s="15">
        <v>6.4</v>
      </c>
      <c r="T65" s="21">
        <v>2</v>
      </c>
      <c r="U65" s="25">
        <v>1</v>
      </c>
    </row>
    <row r="66" spans="1:21" x14ac:dyDescent="0.25">
      <c r="A66" s="1">
        <v>5.6</v>
      </c>
      <c r="B66" s="1">
        <v>2.9</v>
      </c>
      <c r="C66" s="11">
        <v>3.6</v>
      </c>
      <c r="D66" s="12">
        <v>1.3</v>
      </c>
      <c r="E66" s="1" t="s">
        <v>6</v>
      </c>
      <c r="F66" s="31">
        <f t="shared" si="0"/>
        <v>1</v>
      </c>
      <c r="G66" s="33" cm="1">
        <f t="array" ref="G66">$Q$7*NMultDensity(C66:D66,$O$9:$P$9,$O$7:$P$8)+$Q$11*NMultDensity(C66:D66,$O$13:$P$13,$O$11:$P$12)+$Q$15*NMultDensity(C66:D66,$O$17:$P$17,$O$15:$P$16)+$Q$19*NMultDensity(C66:D66,$O$21:$P$21,$O$19:$P$20)</f>
        <v>0.11840322575089028</v>
      </c>
      <c r="H66" s="34" cm="1">
        <f t="array" ref="H66">$Q$7*NMultDensity(C66:D66,$O$9:$P$9,$O$7:$P$8)/G66</f>
        <v>0.9996579227816339</v>
      </c>
      <c r="I66" s="34" cm="1">
        <f t="array" ref="I66">$Q$11*NMultDensity(C66:D66,$O$13:$P$13,$O$11:$P$12)/G66</f>
        <v>4.0366781129211101E-42</v>
      </c>
      <c r="J66" s="44" cm="1">
        <f t="array" ref="J66">$Q$15*NMultDensity(C66:D66,$O$17:$P$17,$O$15:$P$16)/G66</f>
        <v>3.486444151786647E-44</v>
      </c>
      <c r="K66" s="44" cm="1">
        <f t="array" ref="K66">$Q$19*NMultDensity(C66:D66,$O$21:$P$21,$O$19:$P$20)/G66</f>
        <v>3.4207721836602094E-4</v>
      </c>
      <c r="L66" s="35">
        <f t="shared" si="1"/>
        <v>0.9996579227816339</v>
      </c>
      <c r="S66" s="15">
        <v>5.0999999999999996</v>
      </c>
      <c r="T66" s="21">
        <v>1.5</v>
      </c>
      <c r="U66" s="25">
        <v>1</v>
      </c>
    </row>
    <row r="67" spans="1:21" x14ac:dyDescent="0.25">
      <c r="A67" s="1">
        <v>6.7</v>
      </c>
      <c r="B67" s="1">
        <v>3.1</v>
      </c>
      <c r="C67" s="11">
        <v>4.4000000000000004</v>
      </c>
      <c r="D67" s="12">
        <v>1.4</v>
      </c>
      <c r="E67" s="1" t="s">
        <v>6</v>
      </c>
      <c r="F67" s="31">
        <f t="shared" ref="F67:F130" si="2">IF(H67=L67,1,IF(I67=L67,2,IF(J67=L67,3,4)))</f>
        <v>1</v>
      </c>
      <c r="G67" s="33" cm="1">
        <f t="array" ref="G67">$Q$7*NMultDensity(C67:D67,$O$9:$P$9,$O$7:$P$8)+$Q$11*NMultDensity(C67:D67,$O$13:$P$13,$O$11:$P$12)+$Q$15*NMultDensity(C67:D67,$O$17:$P$17,$O$15:$P$16)+$Q$19*NMultDensity(C67:D67,$O$21:$P$21,$O$19:$P$20)</f>
        <v>0.5737635916513133</v>
      </c>
      <c r="H67" s="34" cm="1">
        <f t="array" ref="H67">$Q$7*NMultDensity(C67:D67,$O$9:$P$9,$O$7:$P$8)/G67</f>
        <v>0.98181207054559272</v>
      </c>
      <c r="I67" s="34" cm="1">
        <f t="array" ref="I67">$Q$11*NMultDensity(C67:D67,$O$13:$P$13,$O$11:$P$12)/G67</f>
        <v>4.2073079679240626E-71</v>
      </c>
      <c r="J67" s="44" cm="1">
        <f t="array" ref="J67">$Q$15*NMultDensity(C67:D67,$O$17:$P$17,$O$15:$P$16)/G67</f>
        <v>1.1238482774256293E-28</v>
      </c>
      <c r="K67" s="44" cm="1">
        <f t="array" ref="K67">$Q$19*NMultDensity(C67:D67,$O$21:$P$21,$O$19:$P$20)/G67</f>
        <v>1.8187929454407187E-2</v>
      </c>
      <c r="L67" s="35">
        <f t="shared" ref="L67:L130" si="3">MAX(H67:K67)</f>
        <v>0.98181207054559272</v>
      </c>
      <c r="S67" s="15">
        <v>5.6</v>
      </c>
      <c r="T67" s="21">
        <v>1.4</v>
      </c>
      <c r="U67" s="25">
        <v>1</v>
      </c>
    </row>
    <row r="68" spans="1:21" x14ac:dyDescent="0.25">
      <c r="A68" s="1">
        <v>5.6</v>
      </c>
      <c r="B68" s="1">
        <v>3</v>
      </c>
      <c r="C68" s="11">
        <v>4.5</v>
      </c>
      <c r="D68" s="12">
        <v>1.5</v>
      </c>
      <c r="E68" s="1" t="s">
        <v>6</v>
      </c>
      <c r="F68" s="31">
        <f t="shared" si="2"/>
        <v>1</v>
      </c>
      <c r="G68" s="33" cm="1">
        <f t="array" ref="G68">$Q$7*NMultDensity(C68:D68,$O$9:$P$9,$O$7:$P$8)+$Q$11*NMultDensity(C68:D68,$O$13:$P$13,$O$11:$P$12)+$Q$15*NMultDensity(C68:D68,$O$17:$P$17,$O$15:$P$16)+$Q$19*NMultDensity(C68:D68,$O$21:$P$21,$O$19:$P$20)</f>
        <v>0.49843543594955375</v>
      </c>
      <c r="H68" s="34" cm="1">
        <f t="array" ref="H68">$Q$7*NMultDensity(C68:D68,$O$9:$P$9,$O$7:$P$8)/G68</f>
        <v>0.94681159168005202</v>
      </c>
      <c r="I68" s="34" cm="1">
        <f t="array" ref="I68">$Q$11*NMultDensity(C68:D68,$O$13:$P$13,$O$11:$P$12)/G68</f>
        <v>1.0655484064926781E-77</v>
      </c>
      <c r="J68" s="44" cm="1">
        <f t="array" ref="J68">$Q$15*NMultDensity(C68:D68,$O$17:$P$17,$O$15:$P$16)/G68</f>
        <v>7.6661660221743787E-23</v>
      </c>
      <c r="K68" s="44" cm="1">
        <f t="array" ref="K68">$Q$19*NMultDensity(C68:D68,$O$21:$P$21,$O$19:$P$20)/G68</f>
        <v>5.3188408319947929E-2</v>
      </c>
      <c r="L68" s="35">
        <f t="shared" si="3"/>
        <v>0.94681159168005202</v>
      </c>
      <c r="S68" s="15">
        <v>5.5</v>
      </c>
      <c r="T68" s="21">
        <v>1.8</v>
      </c>
      <c r="U68" s="25">
        <v>1</v>
      </c>
    </row>
    <row r="69" spans="1:21" x14ac:dyDescent="0.25">
      <c r="A69" s="1">
        <v>5.8</v>
      </c>
      <c r="B69" s="1">
        <v>2.7</v>
      </c>
      <c r="C69" s="11">
        <v>4.0999999999999996</v>
      </c>
      <c r="D69" s="12">
        <v>1</v>
      </c>
      <c r="E69" s="1" t="s">
        <v>6</v>
      </c>
      <c r="F69" s="31">
        <f t="shared" si="2"/>
        <v>1</v>
      </c>
      <c r="G69" s="33" cm="1">
        <f t="array" ref="G69">$Q$7*NMultDensity(C69:D69,$O$9:$P$9,$O$7:$P$8)+$Q$11*NMultDensity(C69:D69,$O$13:$P$13,$O$11:$P$12)+$Q$15*NMultDensity(C69:D69,$O$17:$P$17,$O$15:$P$16)+$Q$19*NMultDensity(C69:D69,$O$21:$P$21,$O$19:$P$20)</f>
        <v>6.1285064171467667E-2</v>
      </c>
      <c r="H69" s="34" cm="1">
        <f t="array" ref="H69">$Q$7*NMultDensity(C69:D69,$O$9:$P$9,$O$7:$P$8)/G69</f>
        <v>0.99985490530071708</v>
      </c>
      <c r="I69" s="34" cm="1">
        <f t="array" ref="I69">$Q$11*NMultDensity(C69:D69,$O$13:$P$13,$O$11:$P$12)/G69</f>
        <v>1.6405265885900711E-51</v>
      </c>
      <c r="J69" s="44" cm="1">
        <f t="array" ref="J69">$Q$15*NMultDensity(C69:D69,$O$17:$P$17,$O$15:$P$16)/G69</f>
        <v>5.2174546757806867E-56</v>
      </c>
      <c r="K69" s="44" cm="1">
        <f t="array" ref="K69">$Q$19*NMultDensity(C69:D69,$O$21:$P$21,$O$19:$P$20)/G69</f>
        <v>1.4509469928295347E-4</v>
      </c>
      <c r="L69" s="35">
        <f t="shared" si="3"/>
        <v>0.99985490530071708</v>
      </c>
      <c r="S69" s="15">
        <v>5.0999999999999996</v>
      </c>
      <c r="T69" s="21">
        <v>1.8</v>
      </c>
      <c r="U69" s="25">
        <v>1</v>
      </c>
    </row>
    <row r="70" spans="1:21" x14ac:dyDescent="0.25">
      <c r="A70" s="1">
        <v>6.2</v>
      </c>
      <c r="B70" s="1">
        <v>2.2000000000000002</v>
      </c>
      <c r="C70" s="11">
        <v>4.5</v>
      </c>
      <c r="D70" s="12">
        <v>1.5</v>
      </c>
      <c r="E70" s="1" t="s">
        <v>6</v>
      </c>
      <c r="F70" s="31">
        <f t="shared" si="2"/>
        <v>1</v>
      </c>
      <c r="G70" s="33" cm="1">
        <f t="array" ref="G70">$Q$7*NMultDensity(C70:D70,$O$9:$P$9,$O$7:$P$8)+$Q$11*NMultDensity(C70:D70,$O$13:$P$13,$O$11:$P$12)+$Q$15*NMultDensity(C70:D70,$O$17:$P$17,$O$15:$P$16)+$Q$19*NMultDensity(C70:D70,$O$21:$P$21,$O$19:$P$20)</f>
        <v>0.49843543594955375</v>
      </c>
      <c r="H70" s="34" cm="1">
        <f t="array" ref="H70">$Q$7*NMultDensity(C70:D70,$O$9:$P$9,$O$7:$P$8)/G70</f>
        <v>0.94681159168005202</v>
      </c>
      <c r="I70" s="34" cm="1">
        <f t="array" ref="I70">$Q$11*NMultDensity(C70:D70,$O$13:$P$13,$O$11:$P$12)/G70</f>
        <v>1.0655484064926781E-77</v>
      </c>
      <c r="J70" s="44" cm="1">
        <f t="array" ref="J70">$Q$15*NMultDensity(C70:D70,$O$17:$P$17,$O$15:$P$16)/G70</f>
        <v>7.6661660221743787E-23</v>
      </c>
      <c r="K70" s="44" cm="1">
        <f t="array" ref="K70">$Q$19*NMultDensity(C70:D70,$O$21:$P$21,$O$19:$P$20)/G70</f>
        <v>5.3188408319947929E-2</v>
      </c>
      <c r="L70" s="35">
        <f t="shared" si="3"/>
        <v>0.94681159168005202</v>
      </c>
      <c r="S70" s="15">
        <v>1.4</v>
      </c>
      <c r="T70" s="21">
        <v>0.2</v>
      </c>
      <c r="U70" s="25">
        <v>2</v>
      </c>
    </row>
    <row r="71" spans="1:21" x14ac:dyDescent="0.25">
      <c r="A71" s="1">
        <v>5.6</v>
      </c>
      <c r="B71" s="1">
        <v>2.5</v>
      </c>
      <c r="C71" s="11">
        <v>3.9</v>
      </c>
      <c r="D71" s="12">
        <v>1.1000000000000001</v>
      </c>
      <c r="E71" s="1" t="s">
        <v>6</v>
      </c>
      <c r="F71" s="31">
        <f t="shared" si="2"/>
        <v>1</v>
      </c>
      <c r="G71" s="33" cm="1">
        <f t="array" ref="G71">$Q$7*NMultDensity(C71:D71,$O$9:$P$9,$O$7:$P$8)+$Q$11*NMultDensity(C71:D71,$O$13:$P$13,$O$11:$P$12)+$Q$15*NMultDensity(C71:D71,$O$17:$P$17,$O$15:$P$16)+$Q$19*NMultDensity(C71:D71,$O$21:$P$21,$O$19:$P$20)</f>
        <v>0.28394839739023447</v>
      </c>
      <c r="H71" s="34" cm="1">
        <f t="array" ref="H71">$Q$7*NMultDensity(C71:D71,$O$9:$P$9,$O$7:$P$8)/G71</f>
        <v>0.99687873938787552</v>
      </c>
      <c r="I71" s="34" cm="1">
        <f t="array" ref="I71">$Q$11*NMultDensity(C71:D71,$O$13:$P$13,$O$11:$P$12)/G71</f>
        <v>1.2180586653352844E-46</v>
      </c>
      <c r="J71" s="44" cm="1">
        <f t="array" ref="J71">$Q$15*NMultDensity(C71:D71,$O$17:$P$17,$O$15:$P$16)/G71</f>
        <v>9.7560705711091401E-53</v>
      </c>
      <c r="K71" s="44" cm="1">
        <f t="array" ref="K71">$Q$19*NMultDensity(C71:D71,$O$21:$P$21,$O$19:$P$20)/G71</f>
        <v>3.1212606121243922E-3</v>
      </c>
      <c r="L71" s="35">
        <f t="shared" si="3"/>
        <v>0.99687873938787552</v>
      </c>
      <c r="S71" s="15">
        <v>1.4</v>
      </c>
      <c r="T71" s="21">
        <v>0.2</v>
      </c>
      <c r="U71" s="25">
        <v>2</v>
      </c>
    </row>
    <row r="72" spans="1:21" x14ac:dyDescent="0.25">
      <c r="A72" s="1">
        <v>5.9</v>
      </c>
      <c r="B72" s="1">
        <v>3.2</v>
      </c>
      <c r="C72" s="11">
        <v>4.8</v>
      </c>
      <c r="D72" s="12">
        <v>1.8</v>
      </c>
      <c r="E72" s="1" t="s">
        <v>6</v>
      </c>
      <c r="F72" s="31">
        <f t="shared" si="2"/>
        <v>4</v>
      </c>
      <c r="G72" s="33" cm="1">
        <f t="array" ref="G72">$Q$7*NMultDensity(C72:D72,$O$9:$P$9,$O$7:$P$8)+$Q$11*NMultDensity(C72:D72,$O$13:$P$13,$O$11:$P$12)+$Q$15*NMultDensity(C72:D72,$O$17:$P$17,$O$15:$P$16)+$Q$19*NMultDensity(C72:D72,$O$21:$P$21,$O$19:$P$20)</f>
        <v>0.20315593399551296</v>
      </c>
      <c r="H72" s="34" cm="1">
        <f t="array" ref="H72">$Q$7*NMultDensity(C72:D72,$O$9:$P$9,$O$7:$P$8)/G72</f>
        <v>0.29316159057738078</v>
      </c>
      <c r="I72" s="34" cm="1">
        <f t="array" ref="I72">$Q$11*NMultDensity(C72:D72,$O$13:$P$13,$O$11:$P$12)/G72</f>
        <v>6.2045445794983641E-100</v>
      </c>
      <c r="J72" s="44" cm="1">
        <f t="array" ref="J72">$Q$15*NMultDensity(C72:D72,$O$17:$P$17,$O$15:$P$16)/G72</f>
        <v>3.4732913259595834E-9</v>
      </c>
      <c r="K72" s="44" cm="1">
        <f t="array" ref="K72">$Q$19*NMultDensity(C72:D72,$O$21:$P$21,$O$19:$P$20)/G72</f>
        <v>0.7068384059493279</v>
      </c>
      <c r="L72" s="35">
        <f t="shared" si="3"/>
        <v>0.7068384059493279</v>
      </c>
      <c r="S72" s="15">
        <v>1.3</v>
      </c>
      <c r="T72" s="21">
        <v>0.2</v>
      </c>
      <c r="U72" s="25">
        <v>2</v>
      </c>
    </row>
    <row r="73" spans="1:21" x14ac:dyDescent="0.25">
      <c r="A73" s="1">
        <v>6.1</v>
      </c>
      <c r="B73" s="1">
        <v>2.8</v>
      </c>
      <c r="C73" s="11">
        <v>4</v>
      </c>
      <c r="D73" s="12">
        <v>1.3</v>
      </c>
      <c r="E73" s="1" t="s">
        <v>6</v>
      </c>
      <c r="F73" s="31">
        <f t="shared" si="2"/>
        <v>1</v>
      </c>
      <c r="G73" s="33" cm="1">
        <f t="array" ref="G73">$Q$7*NMultDensity(C73:D73,$O$9:$P$9,$O$7:$P$8)+$Q$11*NMultDensity(C73:D73,$O$13:$P$13,$O$11:$P$12)+$Q$15*NMultDensity(C73:D73,$O$17:$P$17,$O$15:$P$16)+$Q$19*NMultDensity(C73:D73,$O$21:$P$21,$O$19:$P$20)</f>
        <v>0.41741577858549556</v>
      </c>
      <c r="H73" s="34" cm="1">
        <f t="array" ref="H73">$Q$7*NMultDensity(C73:D73,$O$9:$P$9,$O$7:$P$8)/G73</f>
        <v>0.98751571968705065</v>
      </c>
      <c r="I73" s="34" cm="1">
        <f t="array" ref="I73">$Q$11*NMultDensity(C73:D73,$O$13:$P$13,$O$11:$P$12)/G73</f>
        <v>2.7007141747155779E-54</v>
      </c>
      <c r="J73" s="44" cm="1">
        <f t="array" ref="J73">$Q$15*NMultDensity(C73:D73,$O$17:$P$17,$O$15:$P$16)/G73</f>
        <v>7.1355880340921474E-39</v>
      </c>
      <c r="K73" s="44" cm="1">
        <f t="array" ref="K73">$Q$19*NMultDensity(C73:D73,$O$21:$P$21,$O$19:$P$20)/G73</f>
        <v>1.2484280312949418E-2</v>
      </c>
      <c r="L73" s="35">
        <f t="shared" si="3"/>
        <v>0.98751571968705065</v>
      </c>
      <c r="S73" s="15">
        <v>1.5</v>
      </c>
      <c r="T73" s="21">
        <v>0.2</v>
      </c>
      <c r="U73" s="25">
        <v>2</v>
      </c>
    </row>
    <row r="74" spans="1:21" x14ac:dyDescent="0.25">
      <c r="A74" s="1">
        <v>6.3</v>
      </c>
      <c r="B74" s="1">
        <v>2.5</v>
      </c>
      <c r="C74" s="11">
        <v>4.9000000000000004</v>
      </c>
      <c r="D74" s="12">
        <v>1.5</v>
      </c>
      <c r="E74" s="1" t="s">
        <v>6</v>
      </c>
      <c r="F74" s="31">
        <f t="shared" si="2"/>
        <v>1</v>
      </c>
      <c r="G74" s="33" cm="1">
        <f t="array" ref="G74">$Q$7*NMultDensity(C74:D74,$O$9:$P$9,$O$7:$P$8)+$Q$11*NMultDensity(C74:D74,$O$13:$P$13,$O$11:$P$12)+$Q$15*NMultDensity(C74:D74,$O$17:$P$17,$O$15:$P$16)+$Q$19*NMultDensity(C74:D74,$O$21:$P$21,$O$19:$P$20)</f>
        <v>0.57035959813256942</v>
      </c>
      <c r="H74" s="34" cm="1">
        <f t="array" ref="H74">$Q$7*NMultDensity(C74:D74,$O$9:$P$9,$O$7:$P$8)/G74</f>
        <v>0.99945407417448207</v>
      </c>
      <c r="I74" s="34" cm="1">
        <f t="array" ref="I74">$Q$11*NMultDensity(C74:D74,$O$13:$P$13,$O$11:$P$12)/G74</f>
        <v>1.324922139614152E-94</v>
      </c>
      <c r="J74" s="44" cm="1">
        <f t="array" ref="J74">$Q$15*NMultDensity(C74:D74,$O$17:$P$17,$O$15:$P$16)/G74</f>
        <v>2.674423382254076E-19</v>
      </c>
      <c r="K74" s="44" cm="1">
        <f t="array" ref="K74">$Q$19*NMultDensity(C74:D74,$O$21:$P$21,$O$19:$P$20)/G74</f>
        <v>5.4592582551796871E-4</v>
      </c>
      <c r="L74" s="35">
        <f t="shared" si="3"/>
        <v>0.99945407417448207</v>
      </c>
      <c r="S74" s="15">
        <v>1.4</v>
      </c>
      <c r="T74" s="21">
        <v>0.2</v>
      </c>
      <c r="U74" s="25">
        <v>2</v>
      </c>
    </row>
    <row r="75" spans="1:21" x14ac:dyDescent="0.25">
      <c r="A75" s="1">
        <v>6.1</v>
      </c>
      <c r="B75" s="1">
        <v>2.8</v>
      </c>
      <c r="C75" s="11">
        <v>4.7</v>
      </c>
      <c r="D75" s="12">
        <v>1.2</v>
      </c>
      <c r="E75" s="1" t="s">
        <v>6</v>
      </c>
      <c r="F75" s="31">
        <f t="shared" si="2"/>
        <v>1</v>
      </c>
      <c r="G75" s="33" cm="1">
        <f t="array" ref="G75">$Q$7*NMultDensity(C75:D75,$O$9:$P$9,$O$7:$P$8)+$Q$11*NMultDensity(C75:D75,$O$13:$P$13,$O$11:$P$12)+$Q$15*NMultDensity(C75:D75,$O$17:$P$17,$O$15:$P$16)+$Q$19*NMultDensity(C75:D75,$O$21:$P$21,$O$19:$P$20)</f>
        <v>8.6334723992423604E-2</v>
      </c>
      <c r="H75" s="34" cm="1">
        <f t="array" ref="H75">$Q$7*NMultDensity(C75:D75,$O$9:$P$9,$O$7:$P$8)/G75</f>
        <v>0.99999911834701249</v>
      </c>
      <c r="I75" s="34" cm="1">
        <f t="array" ref="I75">$Q$11*NMultDensity(C75:D75,$O$13:$P$13,$O$11:$P$12)/G75</f>
        <v>1.2155694116207012E-78</v>
      </c>
      <c r="J75" s="44" cm="1">
        <f t="array" ref="J75">$Q$15*NMultDensity(C75:D75,$O$17:$P$17,$O$15:$P$16)/G75</f>
        <v>2.4168480459657413E-35</v>
      </c>
      <c r="K75" s="44" cm="1">
        <f t="array" ref="K75">$Q$19*NMultDensity(C75:D75,$O$21:$P$21,$O$19:$P$20)/G75</f>
        <v>8.8165298747302067E-7</v>
      </c>
      <c r="L75" s="35">
        <f t="shared" si="3"/>
        <v>0.99999911834701249</v>
      </c>
      <c r="S75" s="15">
        <v>1.7</v>
      </c>
      <c r="T75" s="21">
        <v>0.4</v>
      </c>
      <c r="U75" s="25">
        <v>2</v>
      </c>
    </row>
    <row r="76" spans="1:21" x14ac:dyDescent="0.25">
      <c r="A76" s="1">
        <v>6.4</v>
      </c>
      <c r="B76" s="1">
        <v>2.9</v>
      </c>
      <c r="C76" s="11">
        <v>4.3</v>
      </c>
      <c r="D76" s="12">
        <v>1.3</v>
      </c>
      <c r="E76" s="1" t="s">
        <v>6</v>
      </c>
      <c r="F76" s="31">
        <f t="shared" si="2"/>
        <v>1</v>
      </c>
      <c r="G76" s="33" cm="1">
        <f t="array" ref="G76">$Q$7*NMultDensity(C76:D76,$O$9:$P$9,$O$7:$P$8)+$Q$11*NMultDensity(C76:D76,$O$13:$P$13,$O$11:$P$12)+$Q$15*NMultDensity(C76:D76,$O$17:$P$17,$O$15:$P$16)+$Q$19*NMultDensity(C76:D76,$O$21:$P$21,$O$19:$P$20)</f>
        <v>0.52373717695115363</v>
      </c>
      <c r="H76" s="34" cm="1">
        <f t="array" ref="H76">$Q$7*NMultDensity(C76:D76,$O$9:$P$9,$O$7:$P$8)/G76</f>
        <v>0.9934788280805672</v>
      </c>
      <c r="I76" s="34" cm="1">
        <f t="array" ref="I76">$Q$11*NMultDensity(C76:D76,$O$13:$P$13,$O$11:$P$12)/G76</f>
        <v>7.5715169618433186E-65</v>
      </c>
      <c r="J76" s="44" cm="1">
        <f t="array" ref="J76">$Q$15*NMultDensity(C76:D76,$O$17:$P$17,$O$15:$P$16)/G76</f>
        <v>4.3880494152105231E-35</v>
      </c>
      <c r="K76" s="44" cm="1">
        <f t="array" ref="K76">$Q$19*NMultDensity(C76:D76,$O$21:$P$21,$O$19:$P$20)/G76</f>
        <v>6.5211719194329405E-3</v>
      </c>
      <c r="L76" s="35">
        <f t="shared" si="3"/>
        <v>0.9934788280805672</v>
      </c>
      <c r="S76" s="15">
        <v>1.4</v>
      </c>
      <c r="T76" s="21">
        <v>0.3</v>
      </c>
      <c r="U76" s="25">
        <v>2</v>
      </c>
    </row>
    <row r="77" spans="1:21" x14ac:dyDescent="0.25">
      <c r="A77" s="1">
        <v>6.6</v>
      </c>
      <c r="B77" s="1">
        <v>3</v>
      </c>
      <c r="C77" s="11">
        <v>4.4000000000000004</v>
      </c>
      <c r="D77" s="12">
        <v>1.4</v>
      </c>
      <c r="E77" s="1" t="s">
        <v>6</v>
      </c>
      <c r="F77" s="31">
        <f t="shared" si="2"/>
        <v>1</v>
      </c>
      <c r="G77" s="33" cm="1">
        <f t="array" ref="G77">$Q$7*NMultDensity(C77:D77,$O$9:$P$9,$O$7:$P$8)+$Q$11*NMultDensity(C77:D77,$O$13:$P$13,$O$11:$P$12)+$Q$15*NMultDensity(C77:D77,$O$17:$P$17,$O$15:$P$16)+$Q$19*NMultDensity(C77:D77,$O$21:$P$21,$O$19:$P$20)</f>
        <v>0.5737635916513133</v>
      </c>
      <c r="H77" s="34" cm="1">
        <f t="array" ref="H77">$Q$7*NMultDensity(C77:D77,$O$9:$P$9,$O$7:$P$8)/G77</f>
        <v>0.98181207054559272</v>
      </c>
      <c r="I77" s="34" cm="1">
        <f t="array" ref="I77">$Q$11*NMultDensity(C77:D77,$O$13:$P$13,$O$11:$P$12)/G77</f>
        <v>4.2073079679240626E-71</v>
      </c>
      <c r="J77" s="44" cm="1">
        <f t="array" ref="J77">$Q$15*NMultDensity(C77:D77,$O$17:$P$17,$O$15:$P$16)/G77</f>
        <v>1.1238482774256293E-28</v>
      </c>
      <c r="K77" s="44" cm="1">
        <f t="array" ref="K77">$Q$19*NMultDensity(C77:D77,$O$21:$P$21,$O$19:$P$20)/G77</f>
        <v>1.8187929454407187E-2</v>
      </c>
      <c r="L77" s="35">
        <f t="shared" si="3"/>
        <v>0.98181207054559272</v>
      </c>
      <c r="S77" s="15">
        <v>1.5</v>
      </c>
      <c r="T77" s="21">
        <v>0.2</v>
      </c>
      <c r="U77" s="25">
        <v>2</v>
      </c>
    </row>
    <row r="78" spans="1:21" x14ac:dyDescent="0.25">
      <c r="A78" s="1">
        <v>6.8</v>
      </c>
      <c r="B78" s="1">
        <v>2.8</v>
      </c>
      <c r="C78" s="11">
        <v>4.8</v>
      </c>
      <c r="D78" s="12">
        <v>1.4</v>
      </c>
      <c r="E78" s="1" t="s">
        <v>6</v>
      </c>
      <c r="F78" s="31">
        <f t="shared" si="2"/>
        <v>1</v>
      </c>
      <c r="G78" s="33" cm="1">
        <f t="array" ref="G78">$Q$7*NMultDensity(C78:D78,$O$9:$P$9,$O$7:$P$8)+$Q$11*NMultDensity(C78:D78,$O$13:$P$13,$O$11:$P$12)+$Q$15*NMultDensity(C78:D78,$O$17:$P$17,$O$15:$P$16)+$Q$19*NMultDensity(C78:D78,$O$21:$P$21,$O$19:$P$20)</f>
        <v>0.45265285592355459</v>
      </c>
      <c r="H78" s="34" cm="1">
        <f t="array" ref="H78">$Q$7*NMultDensity(C78:D78,$O$9:$P$9,$O$7:$P$8)/G78</f>
        <v>0.99987459954177715</v>
      </c>
      <c r="I78" s="34" cm="1">
        <f t="array" ref="I78">$Q$11*NMultDensity(C78:D78,$O$13:$P$13,$O$11:$P$12)/G78</f>
        <v>1.5096827989943727E-87</v>
      </c>
      <c r="J78" s="44" cm="1">
        <f t="array" ref="J78">$Q$15*NMultDensity(C78:D78,$O$17:$P$17,$O$15:$P$16)/G78</f>
        <v>1.6155738548903169E-24</v>
      </c>
      <c r="K78" s="44" cm="1">
        <f t="array" ref="K78">$Q$19*NMultDensity(C78:D78,$O$21:$P$21,$O$19:$P$20)/G78</f>
        <v>1.2540045822282032E-4</v>
      </c>
      <c r="L78" s="35">
        <f t="shared" si="3"/>
        <v>0.99987459954177715</v>
      </c>
      <c r="S78" s="15">
        <v>1.4</v>
      </c>
      <c r="T78" s="21">
        <v>0.2</v>
      </c>
      <c r="U78" s="25">
        <v>2</v>
      </c>
    </row>
    <row r="79" spans="1:21" x14ac:dyDescent="0.25">
      <c r="A79" s="1">
        <v>6.7</v>
      </c>
      <c r="B79" s="1">
        <v>3</v>
      </c>
      <c r="C79" s="11">
        <v>5</v>
      </c>
      <c r="D79" s="12">
        <v>1.7</v>
      </c>
      <c r="E79" s="1" t="s">
        <v>6</v>
      </c>
      <c r="F79" s="31">
        <f t="shared" si="2"/>
        <v>1</v>
      </c>
      <c r="G79" s="33" cm="1">
        <f t="array" ref="G79">$Q$7*NMultDensity(C79:D79,$O$9:$P$9,$O$7:$P$8)+$Q$11*NMultDensity(C79:D79,$O$13:$P$13,$O$11:$P$12)+$Q$15*NMultDensity(C79:D79,$O$17:$P$17,$O$15:$P$16)+$Q$19*NMultDensity(C79:D79,$O$21:$P$21,$O$19:$P$20)</f>
        <v>0.38025574758652464</v>
      </c>
      <c r="H79" s="34" cm="1">
        <f t="array" ref="H79">$Q$7*NMultDensity(C79:D79,$O$9:$P$9,$O$7:$P$8)/G79</f>
        <v>0.94767045348318757</v>
      </c>
      <c r="I79" s="34" cm="1">
        <f t="array" ref="I79">$Q$11*NMultDensity(C79:D79,$O$13:$P$13,$O$11:$P$12)/G79</f>
        <v>4.6595794134757715E-105</v>
      </c>
      <c r="J79" s="44" cm="1">
        <f t="array" ref="J79">$Q$15*NMultDensity(C79:D79,$O$17:$P$17,$O$15:$P$16)/G79</f>
        <v>4.1182221442631942E-11</v>
      </c>
      <c r="K79" s="44" cm="1">
        <f t="array" ref="K79">$Q$19*NMultDensity(C79:D79,$O$21:$P$21,$O$19:$P$20)/G79</f>
        <v>5.2329546475630186E-2</v>
      </c>
      <c r="L79" s="35">
        <f t="shared" si="3"/>
        <v>0.94767045348318757</v>
      </c>
      <c r="S79" s="15">
        <v>1.5</v>
      </c>
      <c r="T79" s="21">
        <v>0.1</v>
      </c>
      <c r="U79" s="25">
        <v>2</v>
      </c>
    </row>
    <row r="80" spans="1:21" x14ac:dyDescent="0.25">
      <c r="A80" s="1">
        <v>6</v>
      </c>
      <c r="B80" s="1">
        <v>2.9</v>
      </c>
      <c r="C80" s="11">
        <v>4.5</v>
      </c>
      <c r="D80" s="12">
        <v>1.5</v>
      </c>
      <c r="E80" s="1" t="s">
        <v>6</v>
      </c>
      <c r="F80" s="31">
        <f t="shared" si="2"/>
        <v>1</v>
      </c>
      <c r="G80" s="33" cm="1">
        <f t="array" ref="G80">$Q$7*NMultDensity(C80:D80,$O$9:$P$9,$O$7:$P$8)+$Q$11*NMultDensity(C80:D80,$O$13:$P$13,$O$11:$P$12)+$Q$15*NMultDensity(C80:D80,$O$17:$P$17,$O$15:$P$16)+$Q$19*NMultDensity(C80:D80,$O$21:$P$21,$O$19:$P$20)</f>
        <v>0.49843543594955375</v>
      </c>
      <c r="H80" s="34" cm="1">
        <f t="array" ref="H80">$Q$7*NMultDensity(C80:D80,$O$9:$P$9,$O$7:$P$8)/G80</f>
        <v>0.94681159168005202</v>
      </c>
      <c r="I80" s="34" cm="1">
        <f t="array" ref="I80">$Q$11*NMultDensity(C80:D80,$O$13:$P$13,$O$11:$P$12)/G80</f>
        <v>1.0655484064926781E-77</v>
      </c>
      <c r="J80" s="44" cm="1">
        <f t="array" ref="J80">$Q$15*NMultDensity(C80:D80,$O$17:$P$17,$O$15:$P$16)/G80</f>
        <v>7.6661660221743787E-23</v>
      </c>
      <c r="K80" s="44" cm="1">
        <f t="array" ref="K80">$Q$19*NMultDensity(C80:D80,$O$21:$P$21,$O$19:$P$20)/G80</f>
        <v>5.3188408319947929E-2</v>
      </c>
      <c r="L80" s="35">
        <f t="shared" si="3"/>
        <v>0.94681159168005202</v>
      </c>
      <c r="S80" s="15">
        <v>1.5</v>
      </c>
      <c r="T80" s="21">
        <v>0.2</v>
      </c>
      <c r="U80" s="25">
        <v>2</v>
      </c>
    </row>
    <row r="81" spans="1:21" x14ac:dyDescent="0.25">
      <c r="A81" s="1">
        <v>5.7</v>
      </c>
      <c r="B81" s="1">
        <v>2.6</v>
      </c>
      <c r="C81" s="11">
        <v>3.5</v>
      </c>
      <c r="D81" s="12">
        <v>1</v>
      </c>
      <c r="E81" s="1" t="s">
        <v>6</v>
      </c>
      <c r="F81" s="31">
        <f t="shared" si="2"/>
        <v>1</v>
      </c>
      <c r="G81" s="33" cm="1">
        <f t="array" ref="G81">$Q$7*NMultDensity(C81:D81,$O$9:$P$9,$O$7:$P$8)+$Q$11*NMultDensity(C81:D81,$O$13:$P$13,$O$11:$P$12)+$Q$15*NMultDensity(C81:D81,$O$17:$P$17,$O$15:$P$16)+$Q$19*NMultDensity(C81:D81,$O$21:$P$21,$O$19:$P$20)</f>
        <v>0.19729421773531317</v>
      </c>
      <c r="H81" s="34" cm="1">
        <f t="array" ref="H81">$Q$7*NMultDensity(C81:D81,$O$9:$P$9,$O$7:$P$8)/G81</f>
        <v>0.99895090330557712</v>
      </c>
      <c r="I81" s="34" cm="1">
        <f t="array" ref="I81">$Q$11*NMultDensity(C81:D81,$O$13:$P$13,$O$11:$P$12)/G81</f>
        <v>5.9580998156191565E-33</v>
      </c>
      <c r="J81" s="44" cm="1">
        <f t="array" ref="J81">$Q$15*NMultDensity(C81:D81,$O$17:$P$17,$O$15:$P$16)/G81</f>
        <v>1.7770518030325656E-66</v>
      </c>
      <c r="K81" s="44" cm="1">
        <f t="array" ref="K81">$Q$19*NMultDensity(C81:D81,$O$21:$P$21,$O$19:$P$20)/G81</f>
        <v>1.049096694422835E-3</v>
      </c>
      <c r="L81" s="35">
        <f t="shared" si="3"/>
        <v>0.99895090330557712</v>
      </c>
      <c r="S81" s="15">
        <v>1.6</v>
      </c>
      <c r="T81" s="21">
        <v>0.2</v>
      </c>
      <c r="U81" s="25">
        <v>2</v>
      </c>
    </row>
    <row r="82" spans="1:21" x14ac:dyDescent="0.25">
      <c r="A82" s="1">
        <v>5.5</v>
      </c>
      <c r="B82" s="1">
        <v>2.4</v>
      </c>
      <c r="C82" s="11">
        <v>3.8</v>
      </c>
      <c r="D82" s="12">
        <v>1.1000000000000001</v>
      </c>
      <c r="E82" s="1" t="s">
        <v>6</v>
      </c>
      <c r="F82" s="31">
        <f t="shared" si="2"/>
        <v>1</v>
      </c>
      <c r="G82" s="33" cm="1">
        <f t="array" ref="G82">$Q$7*NMultDensity(C82:D82,$O$9:$P$9,$O$7:$P$8)+$Q$11*NMultDensity(C82:D82,$O$13:$P$13,$O$11:$P$12)+$Q$15*NMultDensity(C82:D82,$O$17:$P$17,$O$15:$P$16)+$Q$19*NMultDensity(C82:D82,$O$21:$P$21,$O$19:$P$20)</f>
        <v>0.30137243838526129</v>
      </c>
      <c r="H82" s="34" cm="1">
        <f t="array" ref="H82">$Q$7*NMultDensity(C82:D82,$O$9:$P$9,$O$7:$P$8)/G82</f>
        <v>0.9966221966558434</v>
      </c>
      <c r="I82" s="34" cm="1">
        <f t="array" ref="I82">$Q$11*NMultDensity(C82:D82,$O$13:$P$13,$O$11:$P$12)/G82</f>
        <v>1.6980029390503846E-43</v>
      </c>
      <c r="J82" s="44" cm="1">
        <f t="array" ref="J82">$Q$15*NMultDensity(C82:D82,$O$17:$P$17,$O$15:$P$16)/G82</f>
        <v>2.4698253768809633E-54</v>
      </c>
      <c r="K82" s="44" cm="1">
        <f t="array" ref="K82">$Q$19*NMultDensity(C82:D82,$O$21:$P$21,$O$19:$P$20)/G82</f>
        <v>3.3778033441566571E-3</v>
      </c>
      <c r="L82" s="35">
        <f t="shared" si="3"/>
        <v>0.9966221966558434</v>
      </c>
      <c r="S82" s="15">
        <v>1.4</v>
      </c>
      <c r="T82" s="21">
        <v>0.1</v>
      </c>
      <c r="U82" s="25">
        <v>2</v>
      </c>
    </row>
    <row r="83" spans="1:21" x14ac:dyDescent="0.25">
      <c r="A83" s="1">
        <v>5.5</v>
      </c>
      <c r="B83" s="1">
        <v>2.4</v>
      </c>
      <c r="C83" s="11">
        <v>3.7</v>
      </c>
      <c r="D83" s="12">
        <v>1</v>
      </c>
      <c r="E83" s="1" t="s">
        <v>6</v>
      </c>
      <c r="F83" s="31">
        <f t="shared" si="2"/>
        <v>1</v>
      </c>
      <c r="G83" s="33" cm="1">
        <f t="array" ref="G83">$Q$7*NMultDensity(C83:D83,$O$9:$P$9,$O$7:$P$8)+$Q$11*NMultDensity(C83:D83,$O$13:$P$13,$O$11:$P$12)+$Q$15*NMultDensity(C83:D83,$O$17:$P$17,$O$15:$P$16)+$Q$19*NMultDensity(C83:D83,$O$21:$P$21,$O$19:$P$20)</f>
        <v>0.17485394155452244</v>
      </c>
      <c r="H83" s="34" cm="1">
        <f t="array" ref="H83">$Q$7*NMultDensity(C83:D83,$O$9:$P$9,$O$7:$P$8)/G83</f>
        <v>0.99804919472870912</v>
      </c>
      <c r="I83" s="34" cm="1">
        <f t="array" ref="I83">$Q$11*NMultDensity(C83:D83,$O$13:$P$13,$O$11:$P$12)/G83</f>
        <v>1.3547822962030968E-38</v>
      </c>
      <c r="J83" s="44" cm="1">
        <f t="array" ref="J83">$Q$15*NMultDensity(C83:D83,$O$17:$P$17,$O$15:$P$16)/G83</f>
        <v>6.5315458857323502E-63</v>
      </c>
      <c r="K83" s="44" cm="1">
        <f t="array" ref="K83">$Q$19*NMultDensity(C83:D83,$O$21:$P$21,$O$19:$P$20)/G83</f>
        <v>1.9508052712908998E-3</v>
      </c>
      <c r="L83" s="35">
        <f t="shared" si="3"/>
        <v>0.99804919472870912</v>
      </c>
      <c r="S83" s="15">
        <v>1.1000000000000001</v>
      </c>
      <c r="T83" s="21">
        <v>0.1</v>
      </c>
      <c r="U83" s="25">
        <v>2</v>
      </c>
    </row>
    <row r="84" spans="1:21" x14ac:dyDescent="0.25">
      <c r="A84" s="1">
        <v>5.8</v>
      </c>
      <c r="B84" s="1">
        <v>2.7</v>
      </c>
      <c r="C84" s="11">
        <v>3.9</v>
      </c>
      <c r="D84" s="12">
        <v>1.2</v>
      </c>
      <c r="E84" s="1" t="s">
        <v>6</v>
      </c>
      <c r="F84" s="31">
        <f t="shared" si="2"/>
        <v>1</v>
      </c>
      <c r="G84" s="33" cm="1">
        <f t="array" ref="G84">$Q$7*NMultDensity(C84:D84,$O$9:$P$9,$O$7:$P$8)+$Q$11*NMultDensity(C84:D84,$O$13:$P$13,$O$11:$P$12)+$Q$15*NMultDensity(C84:D84,$O$17:$P$17,$O$15:$P$16)+$Q$19*NMultDensity(C84:D84,$O$21:$P$21,$O$19:$P$20)</f>
        <v>0.40252830839027021</v>
      </c>
      <c r="H84" s="34" cm="1">
        <f t="array" ref="H84">$Q$7*NMultDensity(C84:D84,$O$9:$P$9,$O$7:$P$8)/G84</f>
        <v>0.99372487366406625</v>
      </c>
      <c r="I84" s="34" cm="1">
        <f t="array" ref="I84">$Q$11*NMultDensity(C84:D84,$O$13:$P$13,$O$11:$P$12)/G84</f>
        <v>9.9253627931020983E-49</v>
      </c>
      <c r="J84" s="44" cm="1">
        <f t="array" ref="J84">$Q$15*NMultDensity(C84:D84,$O$17:$P$17,$O$15:$P$16)/G84</f>
        <v>2.5453202119448922E-46</v>
      </c>
      <c r="K84" s="44" cm="1">
        <f t="array" ref="K84">$Q$19*NMultDensity(C84:D84,$O$21:$P$21,$O$19:$P$20)/G84</f>
        <v>6.2751263359336808E-3</v>
      </c>
      <c r="L84" s="35">
        <f t="shared" si="3"/>
        <v>0.99372487366406625</v>
      </c>
      <c r="S84" s="15">
        <v>1.2</v>
      </c>
      <c r="T84" s="21">
        <v>0.2</v>
      </c>
      <c r="U84" s="25">
        <v>2</v>
      </c>
    </row>
    <row r="85" spans="1:21" x14ac:dyDescent="0.25">
      <c r="A85" s="1">
        <v>6</v>
      </c>
      <c r="B85" s="1">
        <v>2.7</v>
      </c>
      <c r="C85" s="11">
        <v>5.0999999999999996</v>
      </c>
      <c r="D85" s="12">
        <v>1.6</v>
      </c>
      <c r="E85" s="1" t="s">
        <v>6</v>
      </c>
      <c r="F85" s="31">
        <f t="shared" si="2"/>
        <v>1</v>
      </c>
      <c r="G85" s="33" cm="1">
        <f t="array" ref="G85">$Q$7*NMultDensity(C85:D85,$O$9:$P$9,$O$7:$P$8)+$Q$11*NMultDensity(C85:D85,$O$13:$P$13,$O$11:$P$12)+$Q$15*NMultDensity(C85:D85,$O$17:$P$17,$O$15:$P$16)+$Q$19*NMultDensity(C85:D85,$O$21:$P$21,$O$19:$P$20)</f>
        <v>0.54576507927520801</v>
      </c>
      <c r="H85" s="34" cm="1">
        <f t="array" ref="H85">$Q$7*NMultDensity(C85:D85,$O$9:$P$9,$O$7:$P$8)/G85</f>
        <v>0.99960554915537903</v>
      </c>
      <c r="I85" s="34" cm="1">
        <f t="array" ref="I85">$Q$11*NMultDensity(C85:D85,$O$13:$P$13,$O$11:$P$12)/G85</f>
        <v>1.1064907346528371E-106</v>
      </c>
      <c r="J85" s="44" cm="1">
        <f t="array" ref="J85">$Q$15*NMultDensity(C85:D85,$O$17:$P$17,$O$15:$P$16)/G85</f>
        <v>5.7113057690842408E-14</v>
      </c>
      <c r="K85" s="44" cm="1">
        <f t="array" ref="K85">$Q$19*NMultDensity(C85:D85,$O$21:$P$21,$O$19:$P$20)/G85</f>
        <v>3.9445084456382449E-4</v>
      </c>
      <c r="L85" s="35">
        <f t="shared" si="3"/>
        <v>0.99960554915537903</v>
      </c>
      <c r="S85" s="15">
        <v>1.5</v>
      </c>
      <c r="T85" s="21">
        <v>0.4</v>
      </c>
      <c r="U85" s="25">
        <v>2</v>
      </c>
    </row>
    <row r="86" spans="1:21" x14ac:dyDescent="0.25">
      <c r="A86" s="1">
        <v>5.4</v>
      </c>
      <c r="B86" s="1">
        <v>3</v>
      </c>
      <c r="C86" s="11">
        <v>4.5</v>
      </c>
      <c r="D86" s="12">
        <v>1.5</v>
      </c>
      <c r="E86" s="1" t="s">
        <v>6</v>
      </c>
      <c r="F86" s="31">
        <f t="shared" si="2"/>
        <v>1</v>
      </c>
      <c r="G86" s="33" cm="1">
        <f t="array" ref="G86">$Q$7*NMultDensity(C86:D86,$O$9:$P$9,$O$7:$P$8)+$Q$11*NMultDensity(C86:D86,$O$13:$P$13,$O$11:$P$12)+$Q$15*NMultDensity(C86:D86,$O$17:$P$17,$O$15:$P$16)+$Q$19*NMultDensity(C86:D86,$O$21:$P$21,$O$19:$P$20)</f>
        <v>0.49843543594955375</v>
      </c>
      <c r="H86" s="34" cm="1">
        <f t="array" ref="H86">$Q$7*NMultDensity(C86:D86,$O$9:$P$9,$O$7:$P$8)/G86</f>
        <v>0.94681159168005202</v>
      </c>
      <c r="I86" s="34" cm="1">
        <f t="array" ref="I86">$Q$11*NMultDensity(C86:D86,$O$13:$P$13,$O$11:$P$12)/G86</f>
        <v>1.0655484064926781E-77</v>
      </c>
      <c r="J86" s="44" cm="1">
        <f t="array" ref="J86">$Q$15*NMultDensity(C86:D86,$O$17:$P$17,$O$15:$P$16)/G86</f>
        <v>7.6661660221743787E-23</v>
      </c>
      <c r="K86" s="44" cm="1">
        <f t="array" ref="K86">$Q$19*NMultDensity(C86:D86,$O$21:$P$21,$O$19:$P$20)/G86</f>
        <v>5.3188408319947929E-2</v>
      </c>
      <c r="L86" s="35">
        <f t="shared" si="3"/>
        <v>0.94681159168005202</v>
      </c>
      <c r="S86" s="15">
        <v>1.3</v>
      </c>
      <c r="T86" s="21">
        <v>0.4</v>
      </c>
      <c r="U86" s="25">
        <v>2</v>
      </c>
    </row>
    <row r="87" spans="1:21" x14ac:dyDescent="0.25">
      <c r="A87" s="1">
        <v>6</v>
      </c>
      <c r="B87" s="1">
        <v>3.4</v>
      </c>
      <c r="C87" s="11">
        <v>4.5</v>
      </c>
      <c r="D87" s="12">
        <v>1.6</v>
      </c>
      <c r="E87" s="1" t="s">
        <v>6</v>
      </c>
      <c r="F87" s="31">
        <f t="shared" si="2"/>
        <v>1</v>
      </c>
      <c r="G87" s="33" cm="1">
        <f t="array" ref="G87">$Q$7*NMultDensity(C87:D87,$O$9:$P$9,$O$7:$P$8)+$Q$11*NMultDensity(C87:D87,$O$13:$P$13,$O$11:$P$12)+$Q$15*NMultDensity(C87:D87,$O$17:$P$17,$O$15:$P$16)+$Q$19*NMultDensity(C87:D87,$O$21:$P$21,$O$19:$P$20)</f>
        <v>0.27621895150409304</v>
      </c>
      <c r="H87" s="34" cm="1">
        <f t="array" ref="H87">$Q$7*NMultDensity(C87:D87,$O$9:$P$9,$O$7:$P$8)/G87</f>
        <v>0.80702639698254697</v>
      </c>
      <c r="I87" s="34" cm="1">
        <f t="array" ref="I87">$Q$11*NMultDensity(C87:D87,$O$13:$P$13,$O$11:$P$12)/G87</f>
        <v>1.1431402737391073E-80</v>
      </c>
      <c r="J87" s="44" cm="1">
        <f t="array" ref="J87">$Q$15*NMultDensity(C87:D87,$O$17:$P$17,$O$15:$P$16)/G87</f>
        <v>2.1423451808131535E-18</v>
      </c>
      <c r="K87" s="44" cm="1">
        <f t="array" ref="K87">$Q$19*NMultDensity(C87:D87,$O$21:$P$21,$O$19:$P$20)/G87</f>
        <v>0.19297360301745314</v>
      </c>
      <c r="L87" s="35">
        <f t="shared" si="3"/>
        <v>0.80702639698254697</v>
      </c>
      <c r="S87" s="15">
        <v>1.4</v>
      </c>
      <c r="T87" s="21">
        <v>0.3</v>
      </c>
      <c r="U87" s="25">
        <v>2</v>
      </c>
    </row>
    <row r="88" spans="1:21" x14ac:dyDescent="0.25">
      <c r="A88" s="1">
        <v>6.7</v>
      </c>
      <c r="B88" s="1">
        <v>3.1</v>
      </c>
      <c r="C88" s="11">
        <v>4.7</v>
      </c>
      <c r="D88" s="12">
        <v>1.5</v>
      </c>
      <c r="E88" s="1" t="s">
        <v>6</v>
      </c>
      <c r="F88" s="31">
        <f t="shared" si="2"/>
        <v>1</v>
      </c>
      <c r="G88" s="33" cm="1">
        <f t="array" ref="G88">$Q$7*NMultDensity(C88:D88,$O$9:$P$9,$O$7:$P$8)+$Q$11*NMultDensity(C88:D88,$O$13:$P$13,$O$11:$P$12)+$Q$15*NMultDensity(C88:D88,$O$17:$P$17,$O$15:$P$16)+$Q$19*NMultDensity(C88:D88,$O$21:$P$21,$O$19:$P$20)</f>
        <v>0.59920907578807092</v>
      </c>
      <c r="H88" s="34" cm="1">
        <f t="array" ref="H88">$Q$7*NMultDensity(C88:D88,$O$9:$P$9,$O$7:$P$8)/G88</f>
        <v>0.98959897557603371</v>
      </c>
      <c r="I88" s="34" cm="1">
        <f t="array" ref="I88">$Q$11*NMultDensity(C88:D88,$O$13:$P$13,$O$11:$P$12)/G88</f>
        <v>7.1503010342058588E-86</v>
      </c>
      <c r="J88" s="44" cm="1">
        <f t="array" ref="J88">$Q$15*NMultDensity(C88:D88,$O$17:$P$17,$O$15:$P$16)/G88</f>
        <v>5.0308724645430225E-21</v>
      </c>
      <c r="K88" s="44" cm="1">
        <f t="array" ref="K88">$Q$19*NMultDensity(C88:D88,$O$21:$P$21,$O$19:$P$20)/G88</f>
        <v>1.0401024423966293E-2</v>
      </c>
      <c r="L88" s="35">
        <f t="shared" si="3"/>
        <v>0.98959897557603371</v>
      </c>
      <c r="S88" s="15">
        <v>1.7</v>
      </c>
      <c r="T88" s="21">
        <v>0.3</v>
      </c>
      <c r="U88" s="25">
        <v>2</v>
      </c>
    </row>
    <row r="89" spans="1:21" x14ac:dyDescent="0.25">
      <c r="A89" s="1">
        <v>6.3</v>
      </c>
      <c r="B89" s="1">
        <v>2.2999999999999998</v>
      </c>
      <c r="C89" s="11">
        <v>4.4000000000000004</v>
      </c>
      <c r="D89" s="12">
        <v>1.3</v>
      </c>
      <c r="E89" s="1" t="s">
        <v>6</v>
      </c>
      <c r="F89" s="31">
        <f t="shared" si="2"/>
        <v>1</v>
      </c>
      <c r="G89" s="33" cm="1">
        <f t="array" ref="G89">$Q$7*NMultDensity(C89:D89,$O$9:$P$9,$O$7:$P$8)+$Q$11*NMultDensity(C89:D89,$O$13:$P$13,$O$11:$P$12)+$Q$15*NMultDensity(C89:D89,$O$17:$P$17,$O$15:$P$16)+$Q$19*NMultDensity(C89:D89,$O$21:$P$21,$O$19:$P$20)</f>
        <v>0.49323290784390056</v>
      </c>
      <c r="H89" s="34" cm="1">
        <f t="array" ref="H89">$Q$7*NMultDensity(C89:D89,$O$9:$P$9,$O$7:$P$8)/G89</f>
        <v>0.99722717654791304</v>
      </c>
      <c r="I89" s="34" cm="1">
        <f t="array" ref="I89">$Q$11*NMultDensity(C89:D89,$O$13:$P$13,$O$11:$P$12)/G89</f>
        <v>1.2317382398341136E-68</v>
      </c>
      <c r="J89" s="44" cm="1">
        <f t="array" ref="J89">$Q$15*NMultDensity(C89:D89,$O$17:$P$17,$O$15:$P$16)/G89</f>
        <v>7.3737706947253707E-34</v>
      </c>
      <c r="K89" s="44" cm="1">
        <f t="array" ref="K89">$Q$19*NMultDensity(C89:D89,$O$21:$P$21,$O$19:$P$20)/G89</f>
        <v>2.7728234520869393E-3</v>
      </c>
      <c r="L89" s="35">
        <f t="shared" si="3"/>
        <v>0.99722717654791304</v>
      </c>
      <c r="S89" s="15">
        <v>1.5</v>
      </c>
      <c r="T89" s="21">
        <v>0.3</v>
      </c>
      <c r="U89" s="25">
        <v>2</v>
      </c>
    </row>
    <row r="90" spans="1:21" x14ac:dyDescent="0.25">
      <c r="A90" s="1">
        <v>5.6</v>
      </c>
      <c r="B90" s="1">
        <v>3</v>
      </c>
      <c r="C90" s="11">
        <v>4.0999999999999996</v>
      </c>
      <c r="D90" s="12">
        <v>1.3</v>
      </c>
      <c r="E90" s="1" t="s">
        <v>6</v>
      </c>
      <c r="F90" s="31">
        <f t="shared" si="2"/>
        <v>1</v>
      </c>
      <c r="G90" s="33" cm="1">
        <f t="array" ref="G90">$Q$7*NMultDensity(C90:D90,$O$9:$P$9,$O$7:$P$8)+$Q$11*NMultDensity(C90:D90,$O$13:$P$13,$O$11:$P$12)+$Q$15*NMultDensity(C90:D90,$O$17:$P$17,$O$15:$P$16)+$Q$19*NMultDensity(C90:D90,$O$21:$P$21,$O$19:$P$20)</f>
        <v>0.48299401264174485</v>
      </c>
      <c r="H90" s="34" cm="1">
        <f t="array" ref="H90">$Q$7*NMultDensity(C90:D90,$O$9:$P$9,$O$7:$P$8)/G90</f>
        <v>0.98619690869922871</v>
      </c>
      <c r="I90" s="34" cm="1">
        <f t="array" ref="I90">$Q$11*NMultDensity(C90:D90,$O$13:$P$13,$O$11:$P$12)/G90</f>
        <v>1.1183894553376187E-57</v>
      </c>
      <c r="J90" s="44" cm="1">
        <f t="array" ref="J90">$Q$15*NMultDensity(C90:D90,$O$17:$P$17,$O$15:$P$16)/G90</f>
        <v>1.3616692946919622E-37</v>
      </c>
      <c r="K90" s="44" cm="1">
        <f t="array" ref="K90">$Q$19*NMultDensity(C90:D90,$O$21:$P$21,$O$19:$P$20)/G90</f>
        <v>1.3803091300771307E-2</v>
      </c>
      <c r="L90" s="35">
        <f t="shared" si="3"/>
        <v>0.98619690869922871</v>
      </c>
      <c r="S90" s="15">
        <v>1.7</v>
      </c>
      <c r="T90" s="21">
        <v>0.2</v>
      </c>
      <c r="U90" s="25">
        <v>2</v>
      </c>
    </row>
    <row r="91" spans="1:21" x14ac:dyDescent="0.25">
      <c r="A91" s="1">
        <v>5.5</v>
      </c>
      <c r="B91" s="1">
        <v>2.5</v>
      </c>
      <c r="C91" s="11">
        <v>4</v>
      </c>
      <c r="D91" s="12">
        <v>1.3</v>
      </c>
      <c r="E91" s="1" t="s">
        <v>6</v>
      </c>
      <c r="F91" s="31">
        <f t="shared" si="2"/>
        <v>1</v>
      </c>
      <c r="G91" s="33" cm="1">
        <f t="array" ref="G91">$Q$7*NMultDensity(C91:D91,$O$9:$P$9,$O$7:$P$8)+$Q$11*NMultDensity(C91:D91,$O$13:$P$13,$O$11:$P$12)+$Q$15*NMultDensity(C91:D91,$O$17:$P$17,$O$15:$P$16)+$Q$19*NMultDensity(C91:D91,$O$21:$P$21,$O$19:$P$20)</f>
        <v>0.41741577858549556</v>
      </c>
      <c r="H91" s="34" cm="1">
        <f t="array" ref="H91">$Q$7*NMultDensity(C91:D91,$O$9:$P$9,$O$7:$P$8)/G91</f>
        <v>0.98751571968705065</v>
      </c>
      <c r="I91" s="34" cm="1">
        <f t="array" ref="I91">$Q$11*NMultDensity(C91:D91,$O$13:$P$13,$O$11:$P$12)/G91</f>
        <v>2.7007141747155779E-54</v>
      </c>
      <c r="J91" s="44" cm="1">
        <f t="array" ref="J91">$Q$15*NMultDensity(C91:D91,$O$17:$P$17,$O$15:$P$16)/G91</f>
        <v>7.1355880340921474E-39</v>
      </c>
      <c r="K91" s="44" cm="1">
        <f t="array" ref="K91">$Q$19*NMultDensity(C91:D91,$O$21:$P$21,$O$19:$P$20)/G91</f>
        <v>1.2484280312949418E-2</v>
      </c>
      <c r="L91" s="35">
        <f t="shared" si="3"/>
        <v>0.98751571968705065</v>
      </c>
      <c r="S91" s="15">
        <v>1.5</v>
      </c>
      <c r="T91" s="21">
        <v>0.4</v>
      </c>
      <c r="U91" s="25">
        <v>2</v>
      </c>
    </row>
    <row r="92" spans="1:21" x14ac:dyDescent="0.25">
      <c r="A92" s="1">
        <v>5.5</v>
      </c>
      <c r="B92" s="1">
        <v>2.6</v>
      </c>
      <c r="C92" s="11">
        <v>4.4000000000000004</v>
      </c>
      <c r="D92" s="12">
        <v>1.2</v>
      </c>
      <c r="E92" s="1" t="s">
        <v>6</v>
      </c>
      <c r="F92" s="31">
        <f t="shared" si="2"/>
        <v>1</v>
      </c>
      <c r="G92" s="33" cm="1">
        <f t="array" ref="G92">$Q$7*NMultDensity(C92:D92,$O$9:$P$9,$O$7:$P$8)+$Q$11*NMultDensity(C92:D92,$O$13:$P$13,$O$11:$P$12)+$Q$15*NMultDensity(C92:D92,$O$17:$P$17,$O$15:$P$16)+$Q$19*NMultDensity(C92:D92,$O$21:$P$21,$O$19:$P$20)</f>
        <v>0.25354384474610397</v>
      </c>
      <c r="H92" s="34" cm="1">
        <f t="array" ref="H92">$Q$7*NMultDensity(C92:D92,$O$9:$P$9,$O$7:$P$8)/G92</f>
        <v>0.9997284140365551</v>
      </c>
      <c r="I92" s="34" cm="1">
        <f t="array" ref="I92">$Q$11*NMultDensity(C92:D92,$O$13:$P$13,$O$11:$P$12)/G92</f>
        <v>2.1021401882241049E-66</v>
      </c>
      <c r="J92" s="44" cm="1">
        <f t="array" ref="J92">$Q$15*NMultDensity(C92:D92,$O$17:$P$17,$O$15:$P$16)/G92</f>
        <v>2.5774531740187365E-39</v>
      </c>
      <c r="K92" s="44" cm="1">
        <f t="array" ref="K92">$Q$19*NMultDensity(C92:D92,$O$21:$P$21,$O$19:$P$20)/G92</f>
        <v>2.7158596344493995E-4</v>
      </c>
      <c r="L92" s="35">
        <f t="shared" si="3"/>
        <v>0.9997284140365551</v>
      </c>
      <c r="S92" s="15">
        <v>1</v>
      </c>
      <c r="T92" s="21">
        <v>0.2</v>
      </c>
      <c r="U92" s="25">
        <v>2</v>
      </c>
    </row>
    <row r="93" spans="1:21" x14ac:dyDescent="0.25">
      <c r="A93" s="1">
        <v>6.1</v>
      </c>
      <c r="B93" s="1">
        <v>3</v>
      </c>
      <c r="C93" s="11">
        <v>4.5999999999999996</v>
      </c>
      <c r="D93" s="12">
        <v>1.4</v>
      </c>
      <c r="E93" s="1" t="s">
        <v>6</v>
      </c>
      <c r="F93" s="31">
        <f t="shared" si="2"/>
        <v>1</v>
      </c>
      <c r="G93" s="33" cm="1">
        <f t="array" ref="G93">$Q$7*NMultDensity(C93:D93,$O$9:$P$9,$O$7:$P$8)+$Q$11*NMultDensity(C93:D93,$O$13:$P$13,$O$11:$P$12)+$Q$15*NMultDensity(C93:D93,$O$17:$P$17,$O$15:$P$16)+$Q$19*NMultDensity(C93:D93,$O$21:$P$21,$O$19:$P$20)</f>
        <v>0.57894306735104284</v>
      </c>
      <c r="H93" s="34" cm="1">
        <f t="array" ref="H93">$Q$7*NMultDensity(C93:D93,$O$9:$P$9,$O$7:$P$8)/G93</f>
        <v>0.99711626857763491</v>
      </c>
      <c r="I93" s="34" cm="1">
        <f t="array" ref="I93">$Q$11*NMultDensity(C93:D93,$O$13:$P$13,$O$11:$P$12)/G93</f>
        <v>4.7446084575356072E-79</v>
      </c>
      <c r="J93" s="44" cm="1">
        <f t="array" ref="J93">$Q$15*NMultDensity(C93:D93,$O$17:$P$17,$O$15:$P$16)/G93</f>
        <v>1.4810481764567912E-26</v>
      </c>
      <c r="K93" s="44" cm="1">
        <f t="array" ref="K93">$Q$19*NMultDensity(C93:D93,$O$21:$P$21,$O$19:$P$20)/G93</f>
        <v>2.8837314223650683E-3</v>
      </c>
      <c r="L93" s="35">
        <f t="shared" si="3"/>
        <v>0.99711626857763491</v>
      </c>
      <c r="S93" s="15">
        <v>1.7</v>
      </c>
      <c r="T93" s="21">
        <v>0.5</v>
      </c>
      <c r="U93" s="25">
        <v>2</v>
      </c>
    </row>
    <row r="94" spans="1:21" x14ac:dyDescent="0.25">
      <c r="A94" s="1">
        <v>5.8</v>
      </c>
      <c r="B94" s="1">
        <v>2.6</v>
      </c>
      <c r="C94" s="11">
        <v>4</v>
      </c>
      <c r="D94" s="12">
        <v>1.2</v>
      </c>
      <c r="E94" s="1" t="s">
        <v>6</v>
      </c>
      <c r="F94" s="31">
        <f t="shared" si="2"/>
        <v>1</v>
      </c>
      <c r="G94" s="33" cm="1">
        <f t="array" ref="G94">$Q$7*NMultDensity(C94:D94,$O$9:$P$9,$O$7:$P$8)+$Q$11*NMultDensity(C94:D94,$O$13:$P$13,$O$11:$P$12)+$Q$15*NMultDensity(C94:D94,$O$17:$P$17,$O$15:$P$16)+$Q$19*NMultDensity(C94:D94,$O$21:$P$21,$O$19:$P$20)</f>
        <v>0.42009485549324282</v>
      </c>
      <c r="H94" s="34" cm="1">
        <f t="array" ref="H94">$Q$7*NMultDensity(C94:D94,$O$9:$P$9,$O$7:$P$8)/G94</f>
        <v>0.99365429050398713</v>
      </c>
      <c r="I94" s="34" cm="1">
        <f t="array" ref="I94">$Q$11*NMultDensity(C94:D94,$O$13:$P$13,$O$11:$P$12)/G94</f>
        <v>5.4121764445913387E-52</v>
      </c>
      <c r="J94" s="44" cm="1">
        <f t="array" ref="J94">$Q$15*NMultDensity(C94:D94,$O$17:$P$17,$O$15:$P$16)/G94</f>
        <v>6.991512831199313E-45</v>
      </c>
      <c r="K94" s="44" cm="1">
        <f t="array" ref="K94">$Q$19*NMultDensity(C94:D94,$O$21:$P$21,$O$19:$P$20)/G94</f>
        <v>6.3457094960128703E-3</v>
      </c>
      <c r="L94" s="35">
        <f t="shared" si="3"/>
        <v>0.99365429050398713</v>
      </c>
      <c r="S94" s="15">
        <v>1.9</v>
      </c>
      <c r="T94" s="21">
        <v>0.2</v>
      </c>
      <c r="U94" s="25">
        <v>2</v>
      </c>
    </row>
    <row r="95" spans="1:21" x14ac:dyDescent="0.25">
      <c r="A95" s="1">
        <v>5</v>
      </c>
      <c r="B95" s="1">
        <v>2.2999999999999998</v>
      </c>
      <c r="C95" s="11">
        <v>3.3</v>
      </c>
      <c r="D95" s="12">
        <v>1</v>
      </c>
      <c r="E95" s="1" t="s">
        <v>6</v>
      </c>
      <c r="F95" s="31">
        <f t="shared" si="2"/>
        <v>1</v>
      </c>
      <c r="G95" s="33" cm="1">
        <f t="array" ref="G95">$Q$7*NMultDensity(C95:D95,$O$9:$P$9,$O$7:$P$8)+$Q$11*NMultDensity(C95:D95,$O$13:$P$13,$O$11:$P$12)+$Q$15*NMultDensity(C95:D95,$O$17:$P$17,$O$15:$P$16)+$Q$19*NMultDensity(C95:D95,$O$21:$P$21,$O$19:$P$20)</f>
        <v>0.17032034425674167</v>
      </c>
      <c r="H95" s="34" cm="1">
        <f t="array" ref="H95">$Q$7*NMultDensity(C95:D95,$O$9:$P$9,$O$7:$P$8)/G95</f>
        <v>0.99984328766587283</v>
      </c>
      <c r="I95" s="34" cm="1">
        <f t="array" ref="I95">$Q$11*NMultDensity(C95:D95,$O$13:$P$13,$O$11:$P$12)/G95</f>
        <v>7.4877025920238547E-28</v>
      </c>
      <c r="J95" s="44" cm="1">
        <f t="array" ref="J95">$Q$15*NMultDensity(C95:D95,$O$17:$P$17,$O$15:$P$16)/G95</f>
        <v>4.0531588096153002E-70</v>
      </c>
      <c r="K95" s="44" cm="1">
        <f t="array" ref="K95">$Q$19*NMultDensity(C95:D95,$O$21:$P$21,$O$19:$P$20)/G95</f>
        <v>1.567123341272082E-4</v>
      </c>
      <c r="L95" s="35">
        <f t="shared" si="3"/>
        <v>0.99984328766587283</v>
      </c>
      <c r="S95" s="15">
        <v>1.6</v>
      </c>
      <c r="T95" s="21">
        <v>0.2</v>
      </c>
      <c r="U95" s="25">
        <v>2</v>
      </c>
    </row>
    <row r="96" spans="1:21" x14ac:dyDescent="0.25">
      <c r="A96" s="1">
        <v>5.6</v>
      </c>
      <c r="B96" s="1">
        <v>2.7</v>
      </c>
      <c r="C96" s="11">
        <v>4.2</v>
      </c>
      <c r="D96" s="12">
        <v>1.3</v>
      </c>
      <c r="E96" s="1" t="s">
        <v>6</v>
      </c>
      <c r="F96" s="31">
        <f t="shared" si="2"/>
        <v>1</v>
      </c>
      <c r="G96" s="33" cm="1">
        <f t="array" ref="G96">$Q$7*NMultDensity(C96:D96,$O$9:$P$9,$O$7:$P$8)+$Q$11*NMultDensity(C96:D96,$O$13:$P$13,$O$11:$P$12)+$Q$15*NMultDensity(C96:D96,$O$17:$P$17,$O$15:$P$16)+$Q$19*NMultDensity(C96:D96,$O$21:$P$21,$O$19:$P$20)</f>
        <v>0.5205750691621388</v>
      </c>
      <c r="H96" s="34" cm="1">
        <f t="array" ref="H96">$Q$7*NMultDensity(C96:D96,$O$9:$P$9,$O$7:$P$8)/G96</f>
        <v>0.98887576122514731</v>
      </c>
      <c r="I96" s="34" cm="1">
        <f t="array" ref="I96">$Q$11*NMultDensity(C96:D96,$O$13:$P$13,$O$11:$P$12)/G96</f>
        <v>3.3999123237376611E-61</v>
      </c>
      <c r="J96" s="44" cm="1">
        <f t="array" ref="J96">$Q$15*NMultDensity(C96:D96,$O$17:$P$17,$O$15:$P$16)/G96</f>
        <v>2.4964648375386745E-36</v>
      </c>
      <c r="K96" s="44" cm="1">
        <f t="array" ref="K96">$Q$19*NMultDensity(C96:D96,$O$21:$P$21,$O$19:$P$20)/G96</f>
        <v>1.1124238774852626E-2</v>
      </c>
      <c r="L96" s="35">
        <f t="shared" si="3"/>
        <v>0.98887576122514731</v>
      </c>
      <c r="S96" s="15">
        <v>1.6</v>
      </c>
      <c r="T96" s="21">
        <v>0.4</v>
      </c>
      <c r="U96" s="25">
        <v>2</v>
      </c>
    </row>
    <row r="97" spans="1:21" x14ac:dyDescent="0.25">
      <c r="A97" s="1">
        <v>5.7</v>
      </c>
      <c r="B97" s="1">
        <v>3</v>
      </c>
      <c r="C97" s="11">
        <v>4.2</v>
      </c>
      <c r="D97" s="12">
        <v>1.2</v>
      </c>
      <c r="E97" s="1" t="s">
        <v>6</v>
      </c>
      <c r="F97" s="31">
        <f t="shared" si="2"/>
        <v>1</v>
      </c>
      <c r="G97" s="33" cm="1">
        <f t="array" ref="G97">$Q$7*NMultDensity(C97:D97,$O$9:$P$9,$O$7:$P$8)+$Q$11*NMultDensity(C97:D97,$O$13:$P$13,$O$11:$P$12)+$Q$15*NMultDensity(C97:D97,$O$17:$P$17,$O$15:$P$16)+$Q$19*NMultDensity(C97:D97,$O$21:$P$21,$O$19:$P$20)</f>
        <v>0.37281079655538146</v>
      </c>
      <c r="H97" s="34" cm="1">
        <f t="array" ref="H97">$Q$7*NMultDensity(C97:D97,$O$9:$P$9,$O$7:$P$8)/G97</f>
        <v>0.99750709436445828</v>
      </c>
      <c r="I97" s="34" cm="1">
        <f t="array" ref="I97">$Q$11*NMultDensity(C97:D97,$O$13:$P$13,$O$11:$P$12)/G97</f>
        <v>6.3149607171799278E-59</v>
      </c>
      <c r="J97" s="44" cm="1">
        <f t="array" ref="J97">$Q$15*NMultDensity(C97:D97,$O$17:$P$17,$O$15:$P$16)/G97</f>
        <v>4.6401431142473172E-42</v>
      </c>
      <c r="K97" s="44" cm="1">
        <f t="array" ref="K97">$Q$19*NMultDensity(C97:D97,$O$21:$P$21,$O$19:$P$20)/G97</f>
        <v>2.4929056355417092E-3</v>
      </c>
      <c r="L97" s="35">
        <f t="shared" si="3"/>
        <v>0.99750709436445828</v>
      </c>
      <c r="S97" s="15">
        <v>1.5</v>
      </c>
      <c r="T97" s="21">
        <v>0.2</v>
      </c>
      <c r="U97" s="25">
        <v>2</v>
      </c>
    </row>
    <row r="98" spans="1:21" x14ac:dyDescent="0.25">
      <c r="A98" s="1">
        <v>5.7</v>
      </c>
      <c r="B98" s="1">
        <v>2.9</v>
      </c>
      <c r="C98" s="11">
        <v>4.2</v>
      </c>
      <c r="D98" s="12">
        <v>1.3</v>
      </c>
      <c r="E98" s="1" t="s">
        <v>6</v>
      </c>
      <c r="F98" s="31">
        <f t="shared" si="2"/>
        <v>1</v>
      </c>
      <c r="G98" s="33" cm="1">
        <f t="array" ref="G98">$Q$7*NMultDensity(C98:D98,$O$9:$P$9,$O$7:$P$8)+$Q$11*NMultDensity(C98:D98,$O$13:$P$13,$O$11:$P$12)+$Q$15*NMultDensity(C98:D98,$O$17:$P$17,$O$15:$P$16)+$Q$19*NMultDensity(C98:D98,$O$21:$P$21,$O$19:$P$20)</f>
        <v>0.5205750691621388</v>
      </c>
      <c r="H98" s="34" cm="1">
        <f t="array" ref="H98">$Q$7*NMultDensity(C98:D98,$O$9:$P$9,$O$7:$P$8)/G98</f>
        <v>0.98887576122514731</v>
      </c>
      <c r="I98" s="34" cm="1">
        <f t="array" ref="I98">$Q$11*NMultDensity(C98:D98,$O$13:$P$13,$O$11:$P$12)/G98</f>
        <v>3.3999123237376611E-61</v>
      </c>
      <c r="J98" s="44" cm="1">
        <f t="array" ref="J98">$Q$15*NMultDensity(C98:D98,$O$17:$P$17,$O$15:$P$16)/G98</f>
        <v>2.4964648375386745E-36</v>
      </c>
      <c r="K98" s="44" cm="1">
        <f t="array" ref="K98">$Q$19*NMultDensity(C98:D98,$O$21:$P$21,$O$19:$P$20)/G98</f>
        <v>1.1124238774852626E-2</v>
      </c>
      <c r="L98" s="35">
        <f t="shared" si="3"/>
        <v>0.98887576122514731</v>
      </c>
      <c r="S98" s="15">
        <v>1.4</v>
      </c>
      <c r="T98" s="21">
        <v>0.2</v>
      </c>
      <c r="U98" s="25">
        <v>2</v>
      </c>
    </row>
    <row r="99" spans="1:21" x14ac:dyDescent="0.25">
      <c r="A99" s="1">
        <v>6.2</v>
      </c>
      <c r="B99" s="1">
        <v>2.9</v>
      </c>
      <c r="C99" s="11">
        <v>4.3</v>
      </c>
      <c r="D99" s="12">
        <v>1.3</v>
      </c>
      <c r="E99" s="1" t="s">
        <v>6</v>
      </c>
      <c r="F99" s="31">
        <f t="shared" si="2"/>
        <v>1</v>
      </c>
      <c r="G99" s="33" cm="1">
        <f t="array" ref="G99">$Q$7*NMultDensity(C99:D99,$O$9:$P$9,$O$7:$P$8)+$Q$11*NMultDensity(C99:D99,$O$13:$P$13,$O$11:$P$12)+$Q$15*NMultDensity(C99:D99,$O$17:$P$17,$O$15:$P$16)+$Q$19*NMultDensity(C99:D99,$O$21:$P$21,$O$19:$P$20)</f>
        <v>0.52373717695115363</v>
      </c>
      <c r="H99" s="34" cm="1">
        <f t="array" ref="H99">$Q$7*NMultDensity(C99:D99,$O$9:$P$9,$O$7:$P$8)/G99</f>
        <v>0.9934788280805672</v>
      </c>
      <c r="I99" s="34" cm="1">
        <f t="array" ref="I99">$Q$11*NMultDensity(C99:D99,$O$13:$P$13,$O$11:$P$12)/G99</f>
        <v>7.5715169618433186E-65</v>
      </c>
      <c r="J99" s="44" cm="1">
        <f t="array" ref="J99">$Q$15*NMultDensity(C99:D99,$O$17:$P$17,$O$15:$P$16)/G99</f>
        <v>4.3880494152105231E-35</v>
      </c>
      <c r="K99" s="44" cm="1">
        <f t="array" ref="K99">$Q$19*NMultDensity(C99:D99,$O$21:$P$21,$O$19:$P$20)/G99</f>
        <v>6.5211719194329405E-3</v>
      </c>
      <c r="L99" s="35">
        <f t="shared" si="3"/>
        <v>0.9934788280805672</v>
      </c>
      <c r="S99" s="15">
        <v>1.6</v>
      </c>
      <c r="T99" s="21">
        <v>0.2</v>
      </c>
      <c r="U99" s="25">
        <v>2</v>
      </c>
    </row>
    <row r="100" spans="1:21" x14ac:dyDescent="0.25">
      <c r="A100" s="1">
        <v>5.0999999999999996</v>
      </c>
      <c r="B100" s="1">
        <v>2.5</v>
      </c>
      <c r="C100" s="11">
        <v>3</v>
      </c>
      <c r="D100" s="12">
        <v>1.1000000000000001</v>
      </c>
      <c r="E100" s="1" t="s">
        <v>6</v>
      </c>
      <c r="F100" s="31">
        <f t="shared" si="2"/>
        <v>1</v>
      </c>
      <c r="G100" s="33" cm="1">
        <f t="array" ref="G100">$Q$7*NMultDensity(C100:D100,$O$9:$P$9,$O$7:$P$8)+$Q$11*NMultDensity(C100:D100,$O$13:$P$13,$O$11:$P$12)+$Q$15*NMultDensity(C100:D100,$O$17:$P$17,$O$15:$P$16)+$Q$19*NMultDensity(C100:D100,$O$21:$P$21,$O$19:$P$20)</f>
        <v>4.3354310097697697E-2</v>
      </c>
      <c r="H100" s="34" cm="1">
        <f t="array" ref="H100">$Q$7*NMultDensity(C100:D100,$O$9:$P$9,$O$7:$P$8)/G100</f>
        <v>0.99999993710055157</v>
      </c>
      <c r="I100" s="34" cm="1">
        <f t="array" ref="I100">$Q$11*NMultDensity(C100:D100,$O$13:$P$13,$O$11:$P$12)/G100</f>
        <v>3.0940442361053533E-23</v>
      </c>
      <c r="J100" s="44" cm="1">
        <f t="array" ref="J100">$Q$15*NMultDensity(C100:D100,$O$17:$P$17,$O$15:$P$16)/G100</f>
        <v>8.5681071425184151E-68</v>
      </c>
      <c r="K100" s="44" cm="1">
        <f t="array" ref="K100">$Q$19*NMultDensity(C100:D100,$O$21:$P$21,$O$19:$P$20)/G100</f>
        <v>6.2899448411729848E-8</v>
      </c>
      <c r="L100" s="35">
        <f t="shared" si="3"/>
        <v>0.99999993710055157</v>
      </c>
      <c r="S100" s="15">
        <v>1.6</v>
      </c>
      <c r="T100" s="21">
        <v>0.2</v>
      </c>
      <c r="U100" s="25">
        <v>2</v>
      </c>
    </row>
    <row r="101" spans="1:21" x14ac:dyDescent="0.25">
      <c r="A101" s="1">
        <v>5.7</v>
      </c>
      <c r="B101" s="1">
        <v>2.8</v>
      </c>
      <c r="C101" s="11">
        <v>4.0999999999999996</v>
      </c>
      <c r="D101" s="12">
        <v>1.3</v>
      </c>
      <c r="E101" s="1" t="s">
        <v>6</v>
      </c>
      <c r="F101" s="31">
        <f t="shared" si="2"/>
        <v>1</v>
      </c>
      <c r="G101" s="33" cm="1">
        <f t="array" ref="G101">$Q$7*NMultDensity(C101:D101,$O$9:$P$9,$O$7:$P$8)+$Q$11*NMultDensity(C101:D101,$O$13:$P$13,$O$11:$P$12)+$Q$15*NMultDensity(C101:D101,$O$17:$P$17,$O$15:$P$16)+$Q$19*NMultDensity(C101:D101,$O$21:$P$21,$O$19:$P$20)</f>
        <v>0.48299401264174485</v>
      </c>
      <c r="H101" s="34" cm="1">
        <f t="array" ref="H101">$Q$7*NMultDensity(C101:D101,$O$9:$P$9,$O$7:$P$8)/G101</f>
        <v>0.98619690869922871</v>
      </c>
      <c r="I101" s="34" cm="1">
        <f t="array" ref="I101">$Q$11*NMultDensity(C101:D101,$O$13:$P$13,$O$11:$P$12)/G101</f>
        <v>1.1183894553376187E-57</v>
      </c>
      <c r="J101" s="44" cm="1">
        <f t="array" ref="J101">$Q$15*NMultDensity(C101:D101,$O$17:$P$17,$O$15:$P$16)/G101</f>
        <v>1.3616692946919622E-37</v>
      </c>
      <c r="K101" s="44" cm="1">
        <f t="array" ref="K101">$Q$19*NMultDensity(C101:D101,$O$21:$P$21,$O$19:$P$20)/G101</f>
        <v>1.3803091300771307E-2</v>
      </c>
      <c r="L101" s="35">
        <f t="shared" si="3"/>
        <v>0.98619690869922871</v>
      </c>
      <c r="S101" s="15">
        <v>1.5</v>
      </c>
      <c r="T101" s="21">
        <v>0.4</v>
      </c>
      <c r="U101" s="25">
        <v>2</v>
      </c>
    </row>
    <row r="102" spans="1:21" x14ac:dyDescent="0.25">
      <c r="A102" s="1">
        <v>6.3</v>
      </c>
      <c r="B102" s="1">
        <v>3.3</v>
      </c>
      <c r="C102" s="11">
        <v>6</v>
      </c>
      <c r="D102" s="12">
        <v>2.5</v>
      </c>
      <c r="E102" s="1" t="s">
        <v>7</v>
      </c>
      <c r="F102" s="31">
        <f t="shared" si="2"/>
        <v>4</v>
      </c>
      <c r="G102" s="33" cm="1">
        <f t="array" ref="G102">$Q$7*NMultDensity(C102:D102,$O$9:$P$9,$O$7:$P$8)+$Q$11*NMultDensity(C102:D102,$O$13:$P$13,$O$11:$P$12)+$Q$15*NMultDensity(C102:D102,$O$17:$P$17,$O$15:$P$16)+$Q$19*NMultDensity(C102:D102,$O$21:$P$21,$O$19:$P$20)</f>
        <v>0.25728155501277583</v>
      </c>
      <c r="H102" s="34" cm="1">
        <f t="array" ref="H102">$Q$7*NMultDensity(C102:D102,$O$9:$P$9,$O$7:$P$8)/G102</f>
        <v>4.095069646075544E-5</v>
      </c>
      <c r="I102" s="34" cm="1">
        <f t="array" ref="I102">$Q$11*NMultDensity(C102:D102,$O$13:$P$13,$O$11:$P$12)/G102</f>
        <v>1.673947513088494E-193</v>
      </c>
      <c r="J102" s="44" cm="1">
        <f t="array" ref="J102">$Q$15*NMultDensity(C102:D102,$O$17:$P$17,$O$15:$P$16)/G102</f>
        <v>2.9507183700687731E-3</v>
      </c>
      <c r="K102" s="44" cm="1">
        <f t="array" ref="K102">$Q$19*NMultDensity(C102:D102,$O$21:$P$21,$O$19:$P$20)/G102</f>
        <v>0.99700833093347041</v>
      </c>
      <c r="L102" s="35">
        <f t="shared" si="3"/>
        <v>0.99700833093347041</v>
      </c>
      <c r="S102" s="15">
        <v>1.5</v>
      </c>
      <c r="T102" s="21">
        <v>0.1</v>
      </c>
      <c r="U102" s="25">
        <v>2</v>
      </c>
    </row>
    <row r="103" spans="1:21" x14ac:dyDescent="0.25">
      <c r="A103" s="1">
        <v>5.8</v>
      </c>
      <c r="B103" s="1">
        <v>2.7</v>
      </c>
      <c r="C103" s="11">
        <v>5.0999999999999996</v>
      </c>
      <c r="D103" s="12">
        <v>1.9</v>
      </c>
      <c r="E103" s="1" t="s">
        <v>7</v>
      </c>
      <c r="F103" s="31">
        <f t="shared" si="2"/>
        <v>4</v>
      </c>
      <c r="G103" s="33" cm="1">
        <f t="array" ref="G103">$Q$7*NMultDensity(C103:D103,$O$9:$P$9,$O$7:$P$8)+$Q$11*NMultDensity(C103:D103,$O$13:$P$13,$O$11:$P$12)+$Q$15*NMultDensity(C103:D103,$O$17:$P$17,$O$15:$P$16)+$Q$19*NMultDensity(C103:D103,$O$21:$P$21,$O$19:$P$20)</f>
        <v>0.24189841602519088</v>
      </c>
      <c r="H103" s="34" cm="1">
        <f t="array" ref="H103">$Q$7*NMultDensity(C103:D103,$O$9:$P$9,$O$7:$P$8)/G103</f>
        <v>0.21001307091263505</v>
      </c>
      <c r="I103" s="34" cm="1">
        <f t="array" ref="I103">$Q$11*NMultDensity(C103:D103,$O$13:$P$13,$O$11:$P$12)/G103</f>
        <v>3.9863347010900959E-117</v>
      </c>
      <c r="J103" s="44" cm="1">
        <f t="array" ref="J103">$Q$15*NMultDensity(C103:D103,$O$17:$P$17,$O$15:$P$16)/G103</f>
        <v>3.3617257030566285E-5</v>
      </c>
      <c r="K103" s="44" cm="1">
        <f t="array" ref="K103">$Q$19*NMultDensity(C103:D103,$O$21:$P$21,$O$19:$P$20)/G103</f>
        <v>0.78995331183033435</v>
      </c>
      <c r="L103" s="35">
        <f t="shared" si="3"/>
        <v>0.78995331183033435</v>
      </c>
      <c r="S103" s="15">
        <v>1.4</v>
      </c>
      <c r="T103" s="21">
        <v>0.2</v>
      </c>
      <c r="U103" s="25">
        <v>2</v>
      </c>
    </row>
    <row r="104" spans="1:21" x14ac:dyDescent="0.25">
      <c r="A104" s="1">
        <v>7.1</v>
      </c>
      <c r="B104" s="1">
        <v>3</v>
      </c>
      <c r="C104" s="11">
        <v>5.9</v>
      </c>
      <c r="D104" s="12">
        <v>2.1</v>
      </c>
      <c r="E104" s="1" t="s">
        <v>7</v>
      </c>
      <c r="F104" s="31">
        <f t="shared" si="2"/>
        <v>3</v>
      </c>
      <c r="G104" s="33" cm="1">
        <f t="array" ref="G104">$Q$7*NMultDensity(C104:D104,$O$9:$P$9,$O$7:$P$8)+$Q$11*NMultDensity(C104:D104,$O$13:$P$13,$O$11:$P$12)+$Q$15*NMultDensity(C104:D104,$O$17:$P$17,$O$15:$P$16)+$Q$19*NMultDensity(C104:D104,$O$21:$P$21,$O$19:$P$20)</f>
        <v>0.15656695486653854</v>
      </c>
      <c r="H104" s="34" cm="1">
        <f t="array" ref="H104">$Q$7*NMultDensity(C104:D104,$O$9:$P$9,$O$7:$P$8)/G104</f>
        <v>0.31833642677563101</v>
      </c>
      <c r="I104" s="34" cm="1">
        <f t="array" ref="I104">$Q$11*NMultDensity(C104:D104,$O$13:$P$13,$O$11:$P$12)/G104</f>
        <v>2.4172869809666017E-166</v>
      </c>
      <c r="J104" s="44" cm="1">
        <f t="array" ref="J104">$Q$15*NMultDensity(C104:D104,$O$17:$P$17,$O$15:$P$16)/G104</f>
        <v>0.67893663175870322</v>
      </c>
      <c r="K104" s="44" cm="1">
        <f t="array" ref="K104">$Q$19*NMultDensity(C104:D104,$O$21:$P$21,$O$19:$P$20)/G104</f>
        <v>2.7269414656656021E-3</v>
      </c>
      <c r="L104" s="35">
        <f t="shared" si="3"/>
        <v>0.67893663175870322</v>
      </c>
      <c r="S104" s="15">
        <v>1.5</v>
      </c>
      <c r="T104" s="21">
        <v>0.2</v>
      </c>
      <c r="U104" s="25">
        <v>2</v>
      </c>
    </row>
    <row r="105" spans="1:21" x14ac:dyDescent="0.25">
      <c r="A105" s="1">
        <v>6.3</v>
      </c>
      <c r="B105" s="1">
        <v>2.9</v>
      </c>
      <c r="C105" s="11">
        <v>5.6</v>
      </c>
      <c r="D105" s="12">
        <v>1.8</v>
      </c>
      <c r="E105" s="1" t="s">
        <v>7</v>
      </c>
      <c r="F105" s="31">
        <f t="shared" si="2"/>
        <v>1</v>
      </c>
      <c r="G105" s="33" cm="1">
        <f t="array" ref="G105">$Q$7*NMultDensity(C105:D105,$O$9:$P$9,$O$7:$P$8)+$Q$11*NMultDensity(C105:D105,$O$13:$P$13,$O$11:$P$12)+$Q$15*NMultDensity(C105:D105,$O$17:$P$17,$O$15:$P$16)+$Q$19*NMultDensity(C105:D105,$O$21:$P$21,$O$19:$P$20)</f>
        <v>0.34387289265428062</v>
      </c>
      <c r="H105" s="34" cm="1">
        <f t="array" ref="H105">$Q$7*NMultDensity(C105:D105,$O$9:$P$9,$O$7:$P$8)/G105</f>
        <v>0.99997756336658816</v>
      </c>
      <c r="I105" s="34" cm="1">
        <f t="array" ref="I105">$Q$11*NMultDensity(C105:D105,$O$13:$P$13,$O$11:$P$12)/G105</f>
        <v>2.7338751293451177E-138</v>
      </c>
      <c r="J105" s="44" cm="1">
        <f t="array" ref="J105">$Q$15*NMultDensity(C105:D105,$O$17:$P$17,$O$15:$P$16)/G105</f>
        <v>1.0526627403136135E-5</v>
      </c>
      <c r="K105" s="44" cm="1">
        <f t="array" ref="K105">$Q$19*NMultDensity(C105:D105,$O$21:$P$21,$O$19:$P$20)/G105</f>
        <v>1.1910006008740273E-5</v>
      </c>
      <c r="L105" s="35">
        <f t="shared" si="3"/>
        <v>0.99997756336658816</v>
      </c>
      <c r="S105" s="15">
        <v>1.2</v>
      </c>
      <c r="T105" s="21">
        <v>0.2</v>
      </c>
      <c r="U105" s="25">
        <v>2</v>
      </c>
    </row>
    <row r="106" spans="1:21" x14ac:dyDescent="0.25">
      <c r="A106" s="1">
        <v>6.5</v>
      </c>
      <c r="B106" s="1">
        <v>3</v>
      </c>
      <c r="C106" s="11">
        <v>5.8</v>
      </c>
      <c r="D106" s="12">
        <v>2.2000000000000002</v>
      </c>
      <c r="E106" s="1" t="s">
        <v>7</v>
      </c>
      <c r="F106" s="31">
        <f t="shared" si="2"/>
        <v>3</v>
      </c>
      <c r="G106" s="33" cm="1">
        <f t="array" ref="G106">$Q$7*NMultDensity(C106:D106,$O$9:$P$9,$O$7:$P$8)+$Q$11*NMultDensity(C106:D106,$O$13:$P$13,$O$11:$P$12)+$Q$15*NMultDensity(C106:D106,$O$17:$P$17,$O$15:$P$16)+$Q$19*NMultDensity(C106:D106,$O$21:$P$21,$O$19:$P$20)</f>
        <v>0.31987773453417007</v>
      </c>
      <c r="H106" s="34" cm="1">
        <f t="array" ref="H106">$Q$7*NMultDensity(C106:D106,$O$9:$P$9,$O$7:$P$8)/G106</f>
        <v>2.0899693717487677E-2</v>
      </c>
      <c r="I106" s="34" cm="1">
        <f t="array" ref="I106">$Q$11*NMultDensity(C106:D106,$O$13:$P$13,$O$11:$P$12)/G106</f>
        <v>6.9788338760481442E-166</v>
      </c>
      <c r="J106" s="44" cm="1">
        <f t="array" ref="J106">$Q$15*NMultDensity(C106:D106,$O$17:$P$17,$O$15:$P$16)/G106</f>
        <v>0.84901154321980943</v>
      </c>
      <c r="K106" s="44" cm="1">
        <f t="array" ref="K106">$Q$19*NMultDensity(C106:D106,$O$21:$P$21,$O$19:$P$20)/G106</f>
        <v>0.13008876306270278</v>
      </c>
      <c r="L106" s="35">
        <f t="shared" si="3"/>
        <v>0.84901154321980943</v>
      </c>
      <c r="S106" s="15">
        <v>1.3</v>
      </c>
      <c r="T106" s="21">
        <v>0.2</v>
      </c>
      <c r="U106" s="25">
        <v>2</v>
      </c>
    </row>
    <row r="107" spans="1:21" x14ac:dyDescent="0.25">
      <c r="A107" s="1">
        <v>7.6</v>
      </c>
      <c r="B107" s="1">
        <v>3</v>
      </c>
      <c r="C107" s="11">
        <v>6.6</v>
      </c>
      <c r="D107" s="12">
        <v>2.1</v>
      </c>
      <c r="E107" s="1" t="s">
        <v>7</v>
      </c>
      <c r="F107" s="31">
        <f t="shared" si="2"/>
        <v>1</v>
      </c>
      <c r="G107" s="33" cm="1">
        <f t="array" ref="G107">$Q$7*NMultDensity(C107:D107,$O$9:$P$9,$O$7:$P$8)+$Q$11*NMultDensity(C107:D107,$O$13:$P$13,$O$11:$P$12)+$Q$15*NMultDensity(C107:D107,$O$17:$P$17,$O$15:$P$16)+$Q$19*NMultDensity(C107:D107,$O$21:$P$21,$O$19:$P$20)</f>
        <v>6.0808048418502549E-2</v>
      </c>
      <c r="H107" s="34" cm="1">
        <f t="array" ref="H107">$Q$7*NMultDensity(C107:D107,$O$9:$P$9,$O$7:$P$8)/G107</f>
        <v>0.96226519337743699</v>
      </c>
      <c r="I107" s="34" cm="1">
        <f t="array" ref="I107">$Q$11*NMultDensity(C107:D107,$O$13:$P$13,$O$11:$P$12)/G107</f>
        <v>1.5773280382774522E-209</v>
      </c>
      <c r="J107" s="44" cm="1">
        <f t="array" ref="J107">$Q$15*NMultDensity(C107:D107,$O$17:$P$17,$O$15:$P$16)/G107</f>
        <v>3.7734806622500269E-2</v>
      </c>
      <c r="K107" s="44" cm="1">
        <f t="array" ref="K107">$Q$19*NMultDensity(C107:D107,$O$21:$P$21,$O$19:$P$20)/G107</f>
        <v>6.2649086814191308E-14</v>
      </c>
      <c r="L107" s="35">
        <f t="shared" si="3"/>
        <v>0.96226519337743699</v>
      </c>
      <c r="S107" s="15">
        <v>1.4</v>
      </c>
      <c r="T107" s="21">
        <v>0.1</v>
      </c>
      <c r="U107" s="25">
        <v>2</v>
      </c>
    </row>
    <row r="108" spans="1:21" x14ac:dyDescent="0.25">
      <c r="A108" s="1">
        <v>4.9000000000000004</v>
      </c>
      <c r="B108" s="1">
        <v>2.5</v>
      </c>
      <c r="C108" s="11">
        <v>4.5</v>
      </c>
      <c r="D108" s="12">
        <v>1.7</v>
      </c>
      <c r="E108" s="1" t="s">
        <v>7</v>
      </c>
      <c r="F108" s="31">
        <f t="shared" si="2"/>
        <v>1</v>
      </c>
      <c r="G108" s="33" cm="1">
        <f t="array" ref="G108">$Q$7*NMultDensity(C108:D108,$O$9:$P$9,$O$7:$P$8)+$Q$11*NMultDensity(C108:D108,$O$13:$P$13,$O$11:$P$12)+$Q$15*NMultDensity(C108:D108,$O$17:$P$17,$O$15:$P$16)+$Q$19*NMultDensity(C108:D108,$O$21:$P$21,$O$19:$P$20)</f>
        <v>0.10331841739741561</v>
      </c>
      <c r="H108" s="34" cm="1">
        <f t="array" ref="H108">$Q$7*NMultDensity(C108:D108,$O$9:$P$9,$O$7:$P$8)/G108</f>
        <v>0.60150101491669417</v>
      </c>
      <c r="I108" s="34" cm="1">
        <f t="array" ref="I108">$Q$11*NMultDensity(C108:D108,$O$13:$P$13,$O$11:$P$12)/G108</f>
        <v>6.3336965800422312E-84</v>
      </c>
      <c r="J108" s="44" cm="1">
        <f t="array" ref="J108">$Q$15*NMultDensity(C108:D108,$O$17:$P$17,$O$15:$P$16)/G108</f>
        <v>2.8256745753095889E-14</v>
      </c>
      <c r="K108" s="44" cm="1">
        <f t="array" ref="K108">$Q$19*NMultDensity(C108:D108,$O$21:$P$21,$O$19:$P$20)/G108</f>
        <v>0.39849898508327752</v>
      </c>
      <c r="L108" s="35">
        <f t="shared" si="3"/>
        <v>0.60150101491669417</v>
      </c>
      <c r="S108" s="15">
        <v>1.3</v>
      </c>
      <c r="T108" s="21">
        <v>0.2</v>
      </c>
      <c r="U108" s="25">
        <v>2</v>
      </c>
    </row>
    <row r="109" spans="1:21" x14ac:dyDescent="0.25">
      <c r="A109" s="1">
        <v>7.3</v>
      </c>
      <c r="B109" s="1">
        <v>2.9</v>
      </c>
      <c r="C109" s="11">
        <v>6.3</v>
      </c>
      <c r="D109" s="12">
        <v>1.8</v>
      </c>
      <c r="E109" s="1" t="s">
        <v>7</v>
      </c>
      <c r="F109" s="31">
        <f t="shared" si="2"/>
        <v>1</v>
      </c>
      <c r="G109" s="33" cm="1">
        <f t="array" ref="G109">$Q$7*NMultDensity(C109:D109,$O$9:$P$9,$O$7:$P$8)+$Q$11*NMultDensity(C109:D109,$O$13:$P$13,$O$11:$P$12)+$Q$15*NMultDensity(C109:D109,$O$17:$P$17,$O$15:$P$16)+$Q$19*NMultDensity(C109:D109,$O$21:$P$21,$O$19:$P$20)</f>
        <v>4.7479764957611692E-2</v>
      </c>
      <c r="H109" s="34" cm="1">
        <f t="array" ref="H109">$Q$7*NMultDensity(C109:D109,$O$9:$P$9,$O$7:$P$8)/G109</f>
        <v>0.99960461925199517</v>
      </c>
      <c r="I109" s="34" cm="1">
        <f t="array" ref="I109">$Q$11*NMultDensity(C109:D109,$O$13:$P$13,$O$11:$P$12)/G109</f>
        <v>1.8577844318527318E-179</v>
      </c>
      <c r="J109" s="44" cm="1">
        <f t="array" ref="J109">$Q$15*NMultDensity(C109:D109,$O$17:$P$17,$O$15:$P$16)/G109</f>
        <v>3.9538074800478623E-4</v>
      </c>
      <c r="K109" s="44" cm="1">
        <f t="array" ref="K109">$Q$19*NMultDensity(C109:D109,$O$21:$P$21,$O$19:$P$20)/G109</f>
        <v>1.3526406128441146E-17</v>
      </c>
      <c r="L109" s="35">
        <f t="shared" si="3"/>
        <v>0.99960461925199517</v>
      </c>
      <c r="S109" s="15">
        <v>1.5</v>
      </c>
      <c r="T109" s="21">
        <v>0.2</v>
      </c>
      <c r="U109" s="25">
        <v>2</v>
      </c>
    </row>
    <row r="110" spans="1:21" x14ac:dyDescent="0.25">
      <c r="A110" s="1">
        <v>6.7</v>
      </c>
      <c r="B110" s="1">
        <v>2.5</v>
      </c>
      <c r="C110" s="11">
        <v>5.8</v>
      </c>
      <c r="D110" s="12">
        <v>1.8</v>
      </c>
      <c r="E110" s="1" t="s">
        <v>7</v>
      </c>
      <c r="F110" s="31">
        <f t="shared" si="2"/>
        <v>1</v>
      </c>
      <c r="G110" s="33" cm="1">
        <f t="array" ref="G110">$Q$7*NMultDensity(C110:D110,$O$9:$P$9,$O$7:$P$8)+$Q$11*NMultDensity(C110:D110,$O$13:$P$13,$O$11:$P$12)+$Q$15*NMultDensity(C110:D110,$O$17:$P$17,$O$15:$P$16)+$Q$19*NMultDensity(C110:D110,$O$21:$P$21,$O$19:$P$20)</f>
        <v>0.2729224486303804</v>
      </c>
      <c r="H110" s="34" cm="1">
        <f t="array" ref="H110">$Q$7*NMultDensity(C110:D110,$O$9:$P$9,$O$7:$P$8)/G110</f>
        <v>0.99996299573612391</v>
      </c>
      <c r="I110" s="34" cm="1">
        <f t="array" ref="I110">$Q$11*NMultDensity(C110:D110,$O$13:$P$13,$O$11:$P$12)/G110</f>
        <v>2.2624871735427693E-149</v>
      </c>
      <c r="J110" s="44" cm="1">
        <f t="array" ref="J110">$Q$15*NMultDensity(C110:D110,$O$17:$P$17,$O$15:$P$16)/G110</f>
        <v>3.6981431086162776E-5</v>
      </c>
      <c r="K110" s="44" cm="1">
        <f t="array" ref="K110">$Q$19*NMultDensity(C110:D110,$O$21:$P$21,$O$19:$P$20)/G110</f>
        <v>2.2832790054021762E-8</v>
      </c>
      <c r="L110" s="35">
        <f t="shared" si="3"/>
        <v>0.99996299573612391</v>
      </c>
      <c r="S110" s="15">
        <v>1.3</v>
      </c>
      <c r="T110" s="21">
        <v>0.3</v>
      </c>
      <c r="U110" s="25">
        <v>2</v>
      </c>
    </row>
    <row r="111" spans="1:21" x14ac:dyDescent="0.25">
      <c r="A111" s="1">
        <v>7.2</v>
      </c>
      <c r="B111" s="1">
        <v>3.6</v>
      </c>
      <c r="C111" s="11">
        <v>6.1</v>
      </c>
      <c r="D111" s="12">
        <v>2.5</v>
      </c>
      <c r="E111" s="1" t="s">
        <v>7</v>
      </c>
      <c r="F111" s="31">
        <f t="shared" si="2"/>
        <v>4</v>
      </c>
      <c r="G111" s="33" cm="1">
        <f t="array" ref="G111">$Q$7*NMultDensity(C111:D111,$O$9:$P$9,$O$7:$P$8)+$Q$11*NMultDensity(C111:D111,$O$13:$P$13,$O$11:$P$12)+$Q$15*NMultDensity(C111:D111,$O$17:$P$17,$O$15:$P$16)+$Q$19*NMultDensity(C111:D111,$O$21:$P$21,$O$19:$P$20)</f>
        <v>0.14954146713683392</v>
      </c>
      <c r="H111" s="34" cm="1">
        <f t="array" ref="H111">$Q$7*NMultDensity(C111:D111,$O$9:$P$9,$O$7:$P$8)/G111</f>
        <v>1.6195244160692408E-4</v>
      </c>
      <c r="I111" s="34" cm="1">
        <f t="array" ref="I111">$Q$11*NMultDensity(C111:D111,$O$13:$P$13,$O$11:$P$12)/G111</f>
        <v>8.3760209879292041E-199</v>
      </c>
      <c r="J111" s="44" cm="1">
        <f t="array" ref="J111">$Q$15*NMultDensity(C111:D111,$O$17:$P$17,$O$15:$P$16)/G111</f>
        <v>2.0112033653918878E-3</v>
      </c>
      <c r="K111" s="44" cm="1">
        <f t="array" ref="K111">$Q$19*NMultDensity(C111:D111,$O$21:$P$21,$O$19:$P$20)/G111</f>
        <v>0.99782684419300116</v>
      </c>
      <c r="L111" s="35">
        <f t="shared" si="3"/>
        <v>0.99782684419300116</v>
      </c>
      <c r="S111" s="15">
        <v>1.3</v>
      </c>
      <c r="T111" s="21">
        <v>0.3</v>
      </c>
      <c r="U111" s="25">
        <v>2</v>
      </c>
    </row>
    <row r="112" spans="1:21" x14ac:dyDescent="0.25">
      <c r="A112" s="1">
        <v>6.5</v>
      </c>
      <c r="B112" s="1">
        <v>3.2</v>
      </c>
      <c r="C112" s="11">
        <v>5.0999999999999996</v>
      </c>
      <c r="D112" s="12">
        <v>2</v>
      </c>
      <c r="E112" s="1" t="s">
        <v>7</v>
      </c>
      <c r="F112" s="31">
        <f t="shared" si="2"/>
        <v>4</v>
      </c>
      <c r="G112" s="33" cm="1">
        <f t="array" ref="G112">$Q$7*NMultDensity(C112:D112,$O$9:$P$9,$O$7:$P$8)+$Q$11*NMultDensity(C112:D112,$O$13:$P$13,$O$11:$P$12)+$Q$15*NMultDensity(C112:D112,$O$17:$P$17,$O$15:$P$16)+$Q$19*NMultDensity(C112:D112,$O$21:$P$21,$O$19:$P$20)</f>
        <v>0.27959006463579045</v>
      </c>
      <c r="H112" s="34" cm="1">
        <f t="array" ref="H112">$Q$7*NMultDensity(C112:D112,$O$9:$P$9,$O$7:$P$8)/G112</f>
        <v>2.8688923592528455E-2</v>
      </c>
      <c r="I112" s="34" cm="1">
        <f t="array" ref="I112">$Q$11*NMultDensity(C112:D112,$O$13:$P$13,$O$11:$P$12)/G112</f>
        <v>1.0553382188860076E-121</v>
      </c>
      <c r="J112" s="44" cm="1">
        <f t="array" ref="J112">$Q$15*NMultDensity(C112:D112,$O$17:$P$17,$O$15:$P$16)/G112</f>
        <v>1.8860823117806957E-3</v>
      </c>
      <c r="K112" s="44" cm="1">
        <f t="array" ref="K112">$Q$19*NMultDensity(C112:D112,$O$21:$P$21,$O$19:$P$20)/G112</f>
        <v>0.96942499409569094</v>
      </c>
      <c r="L112" s="35">
        <f t="shared" si="3"/>
        <v>0.96942499409569094</v>
      </c>
      <c r="S112" s="15">
        <v>1.3</v>
      </c>
      <c r="T112" s="21">
        <v>0.2</v>
      </c>
      <c r="U112" s="25">
        <v>2</v>
      </c>
    </row>
    <row r="113" spans="1:21" x14ac:dyDescent="0.25">
      <c r="A113" s="1">
        <v>6.4</v>
      </c>
      <c r="B113" s="1">
        <v>2.7</v>
      </c>
      <c r="C113" s="11">
        <v>5.3</v>
      </c>
      <c r="D113" s="12">
        <v>1.9</v>
      </c>
      <c r="E113" s="1" t="s">
        <v>7</v>
      </c>
      <c r="F113" s="31">
        <f t="shared" si="2"/>
        <v>1</v>
      </c>
      <c r="G113" s="33" cm="1">
        <f t="array" ref="G113">$Q$7*NMultDensity(C113:D113,$O$9:$P$9,$O$7:$P$8)+$Q$11*NMultDensity(C113:D113,$O$13:$P$13,$O$11:$P$12)+$Q$15*NMultDensity(C113:D113,$O$17:$P$17,$O$15:$P$16)+$Q$19*NMultDensity(C113:D113,$O$21:$P$21,$O$19:$P$20)</f>
        <v>0.15495392924111218</v>
      </c>
      <c r="H113" s="34" cm="1">
        <f t="array" ref="H113">$Q$7*NMultDensity(C113:D113,$O$9:$P$9,$O$7:$P$8)/G113</f>
        <v>0.71241011976915691</v>
      </c>
      <c r="I113" s="34" cm="1">
        <f t="array" ref="I113">$Q$11*NMultDensity(C113:D113,$O$13:$P$13,$O$11:$P$12)/G113</f>
        <v>2.7728556617173244E-126</v>
      </c>
      <c r="J113" s="44" cm="1">
        <f t="array" ref="J113">$Q$15*NMultDensity(C113:D113,$O$17:$P$17,$O$15:$P$16)/G113</f>
        <v>3.2902634840340715E-4</v>
      </c>
      <c r="K113" s="44" cm="1">
        <f t="array" ref="K113">$Q$19*NMultDensity(C113:D113,$O$21:$P$21,$O$19:$P$20)/G113</f>
        <v>0.28726085388243955</v>
      </c>
      <c r="L113" s="35">
        <f t="shared" si="3"/>
        <v>0.71241011976915691</v>
      </c>
      <c r="S113" s="15">
        <v>1.6</v>
      </c>
      <c r="T113" s="21">
        <v>0.6</v>
      </c>
      <c r="U113" s="25">
        <v>2</v>
      </c>
    </row>
    <row r="114" spans="1:21" x14ac:dyDescent="0.25">
      <c r="A114" s="1">
        <v>6.8</v>
      </c>
      <c r="B114" s="1">
        <v>3</v>
      </c>
      <c r="C114" s="11">
        <v>5.5</v>
      </c>
      <c r="D114" s="12">
        <v>2.1</v>
      </c>
      <c r="E114" s="1" t="s">
        <v>7</v>
      </c>
      <c r="F114" s="31">
        <f t="shared" si="2"/>
        <v>4</v>
      </c>
      <c r="G114" s="33" cm="1">
        <f t="array" ref="G114">$Q$7*NMultDensity(C114:D114,$O$9:$P$9,$O$7:$P$8)+$Q$11*NMultDensity(C114:D114,$O$13:$P$13,$O$11:$P$12)+$Q$15*NMultDensity(C114:D114,$O$17:$P$17,$O$15:$P$16)+$Q$19*NMultDensity(C114:D114,$O$21:$P$21,$O$19:$P$20)</f>
        <v>0.2689677966013424</v>
      </c>
      <c r="H114" s="34" cm="1">
        <f t="array" ref="H114">$Q$7*NMultDensity(C114:D114,$O$9:$P$9,$O$7:$P$8)/G114</f>
        <v>3.8768023559712594E-2</v>
      </c>
      <c r="I114" s="34" cm="1">
        <f t="array" ref="I114">$Q$11*NMultDensity(C114:D114,$O$13:$P$13,$O$11:$P$12)/G114</f>
        <v>2.6844038631950795E-145</v>
      </c>
      <c r="J114" s="44" cm="1">
        <f t="array" ref="J114">$Q$15*NMultDensity(C114:D114,$O$17:$P$17,$O$15:$P$16)/G114</f>
        <v>0.30754195875321566</v>
      </c>
      <c r="K114" s="44" cm="1">
        <f t="array" ref="K114">$Q$19*NMultDensity(C114:D114,$O$21:$P$21,$O$19:$P$20)/G114</f>
        <v>0.6536900176870718</v>
      </c>
      <c r="L114" s="35">
        <f t="shared" si="3"/>
        <v>0.6536900176870718</v>
      </c>
      <c r="S114" s="15">
        <v>1.9</v>
      </c>
      <c r="T114" s="21">
        <v>0.4</v>
      </c>
      <c r="U114" s="25">
        <v>2</v>
      </c>
    </row>
    <row r="115" spans="1:21" x14ac:dyDescent="0.25">
      <c r="A115" s="1">
        <v>5.7</v>
      </c>
      <c r="B115" s="1">
        <v>2.5</v>
      </c>
      <c r="C115" s="11">
        <v>5</v>
      </c>
      <c r="D115" s="12">
        <v>2</v>
      </c>
      <c r="E115" s="1" t="s">
        <v>7</v>
      </c>
      <c r="F115" s="31">
        <f t="shared" si="2"/>
        <v>4</v>
      </c>
      <c r="G115" s="33" cm="1">
        <f t="array" ref="G115">$Q$7*NMultDensity(C115:D115,$O$9:$P$9,$O$7:$P$8)+$Q$11*NMultDensity(C115:D115,$O$13:$P$13,$O$11:$P$12)+$Q$15*NMultDensity(C115:D115,$O$17:$P$17,$O$15:$P$16)+$Q$19*NMultDensity(C115:D115,$O$21:$P$21,$O$19:$P$20)</f>
        <v>0.18034302160740559</v>
      </c>
      <c r="H115" s="34" cm="1">
        <f t="array" ref="H115">$Q$7*NMultDensity(C115:D115,$O$9:$P$9,$O$7:$P$8)/G115</f>
        <v>2.3049185763127148E-2</v>
      </c>
      <c r="I115" s="34" cm="1">
        <f t="array" ref="I115">$Q$11*NMultDensity(C115:D115,$O$13:$P$13,$O$11:$P$12)/G115</f>
        <v>3.5592955922357344E-117</v>
      </c>
      <c r="J115" s="44" cm="1">
        <f t="array" ref="J115">$Q$15*NMultDensity(C115:D115,$O$17:$P$17,$O$15:$P$16)/G115</f>
        <v>1.1486312323794039E-3</v>
      </c>
      <c r="K115" s="44" cm="1">
        <f t="array" ref="K115">$Q$19*NMultDensity(C115:D115,$O$21:$P$21,$O$19:$P$20)/G115</f>
        <v>0.9758021830044934</v>
      </c>
      <c r="L115" s="35">
        <f t="shared" si="3"/>
        <v>0.9758021830044934</v>
      </c>
      <c r="S115" s="15">
        <v>1.4</v>
      </c>
      <c r="T115" s="21">
        <v>0.3</v>
      </c>
      <c r="U115" s="25">
        <v>2</v>
      </c>
    </row>
    <row r="116" spans="1:21" x14ac:dyDescent="0.25">
      <c r="A116" s="1">
        <v>5.8</v>
      </c>
      <c r="B116" s="1">
        <v>2.8</v>
      </c>
      <c r="C116" s="11">
        <v>5.0999999999999996</v>
      </c>
      <c r="D116" s="12">
        <v>2.4</v>
      </c>
      <c r="E116" s="1" t="s">
        <v>7</v>
      </c>
      <c r="F116" s="31">
        <f t="shared" si="2"/>
        <v>3</v>
      </c>
      <c r="G116" s="33" cm="1">
        <f t="array" ref="G116">$Q$7*NMultDensity(C116:D116,$O$9:$P$9,$O$7:$P$8)+$Q$11*NMultDensity(C116:D116,$O$13:$P$13,$O$11:$P$12)+$Q$15*NMultDensity(C116:D116,$O$17:$P$17,$O$15:$P$16)+$Q$19*NMultDensity(C116:D116,$O$21:$P$21,$O$19:$P$20)</f>
        <v>0.10045577002070794</v>
      </c>
      <c r="H116" s="34" cm="1">
        <f t="array" ref="H116">$Q$7*NMultDensity(C116:D116,$O$9:$P$9,$O$7:$P$8)/G116</f>
        <v>2.5452430878358985E-7</v>
      </c>
      <c r="I116" s="34" cm="1">
        <f t="array" ref="I116">$Q$11*NMultDensity(C116:D116,$O$13:$P$13,$O$11:$P$12)/G116</f>
        <v>6.821438371110783E-144</v>
      </c>
      <c r="J116" s="44" cm="1">
        <f t="array" ref="J116">$Q$15*NMultDensity(C116:D116,$O$17:$P$17,$O$15:$P$16)/G116</f>
        <v>0.99923494493135345</v>
      </c>
      <c r="K116" s="44" cm="1">
        <f t="array" ref="K116">$Q$19*NMultDensity(C116:D116,$O$21:$P$21,$O$19:$P$20)/G116</f>
        <v>7.648005443378652E-4</v>
      </c>
      <c r="L116" s="35">
        <f t="shared" si="3"/>
        <v>0.99923494493135345</v>
      </c>
      <c r="S116" s="15">
        <v>1.6</v>
      </c>
      <c r="T116" s="21">
        <v>0.2</v>
      </c>
      <c r="U116" s="25">
        <v>2</v>
      </c>
    </row>
    <row r="117" spans="1:21" x14ac:dyDescent="0.25">
      <c r="A117" s="1">
        <v>6.4</v>
      </c>
      <c r="B117" s="1">
        <v>3.2</v>
      </c>
      <c r="C117" s="11">
        <v>5.3</v>
      </c>
      <c r="D117" s="12">
        <v>2.2999999999999998</v>
      </c>
      <c r="E117" s="1" t="s">
        <v>7</v>
      </c>
      <c r="F117" s="31">
        <f t="shared" si="2"/>
        <v>3</v>
      </c>
      <c r="G117" s="33" cm="1">
        <f t="array" ref="G117">$Q$7*NMultDensity(C117:D117,$O$9:$P$9,$O$7:$P$8)+$Q$11*NMultDensity(C117:D117,$O$13:$P$13,$O$11:$P$12)+$Q$15*NMultDensity(C117:D117,$O$17:$P$17,$O$15:$P$16)+$Q$19*NMultDensity(C117:D117,$O$21:$P$21,$O$19:$P$20)</f>
        <v>0.3436147965480888</v>
      </c>
      <c r="H117" s="34" cm="1">
        <f t="array" ref="H117">$Q$7*NMultDensity(C117:D117,$O$9:$P$9,$O$7:$P$8)/G117</f>
        <v>3.2589223591191056E-5</v>
      </c>
      <c r="I117" s="34" cm="1">
        <f t="array" ref="I117">$Q$11*NMultDensity(C117:D117,$O$13:$P$13,$O$11:$P$12)/G117</f>
        <v>1.0394560861323902E-146</v>
      </c>
      <c r="J117" s="44" cm="1">
        <f t="array" ref="J117">$Q$15*NMultDensity(C117:D117,$O$17:$P$17,$O$15:$P$16)/G117</f>
        <v>0.82594709476672612</v>
      </c>
      <c r="K117" s="44" cm="1">
        <f t="array" ref="K117">$Q$19*NMultDensity(C117:D117,$O$21:$P$21,$O$19:$P$20)/G117</f>
        <v>0.17402031600968271</v>
      </c>
      <c r="L117" s="35">
        <f t="shared" si="3"/>
        <v>0.82594709476672612</v>
      </c>
      <c r="S117" s="15">
        <v>1.4</v>
      </c>
      <c r="T117" s="21">
        <v>0.2</v>
      </c>
      <c r="U117" s="25">
        <v>2</v>
      </c>
    </row>
    <row r="118" spans="1:21" x14ac:dyDescent="0.25">
      <c r="A118" s="1">
        <v>6.5</v>
      </c>
      <c r="B118" s="1">
        <v>3</v>
      </c>
      <c r="C118" s="11">
        <v>5.5</v>
      </c>
      <c r="D118" s="12">
        <v>1.8</v>
      </c>
      <c r="E118" s="1" t="s">
        <v>7</v>
      </c>
      <c r="F118" s="31">
        <f t="shared" si="2"/>
        <v>1</v>
      </c>
      <c r="G118" s="33" cm="1">
        <f t="array" ref="G118">$Q$7*NMultDensity(C118:D118,$O$9:$P$9,$O$7:$P$8)+$Q$11*NMultDensity(C118:D118,$O$13:$P$13,$O$11:$P$12)+$Q$15*NMultDensity(C118:D118,$O$17:$P$17,$O$15:$P$16)+$Q$19*NMultDensity(C118:D118,$O$21:$P$21,$O$19:$P$20)</f>
        <v>0.3491699543048119</v>
      </c>
      <c r="H118" s="34" cm="1">
        <f t="array" ref="H118">$Q$7*NMultDensity(C118:D118,$O$9:$P$9,$O$7:$P$8)/G118</f>
        <v>0.99982651394988142</v>
      </c>
      <c r="I118" s="34" cm="1">
        <f t="array" ref="I118">$Q$11*NMultDensity(C118:D118,$O$13:$P$13,$O$11:$P$12)/G118</f>
        <v>5.9403055756654149E-133</v>
      </c>
      <c r="J118" s="44" cm="1">
        <f t="array" ref="J118">$Q$15*NMultDensity(C118:D118,$O$17:$P$17,$O$15:$P$16)/G118</f>
        <v>5.2559767638893175E-6</v>
      </c>
      <c r="K118" s="44" cm="1">
        <f t="array" ref="K118">$Q$19*NMultDensity(C118:D118,$O$21:$P$21,$O$19:$P$20)/G118</f>
        <v>1.6823007335475842E-4</v>
      </c>
      <c r="L118" s="35">
        <f t="shared" si="3"/>
        <v>0.99982651394988142</v>
      </c>
      <c r="S118" s="15">
        <v>1.5</v>
      </c>
      <c r="T118" s="21">
        <v>0.2</v>
      </c>
      <c r="U118" s="25">
        <v>2</v>
      </c>
    </row>
    <row r="119" spans="1:21" x14ac:dyDescent="0.25">
      <c r="A119" s="1">
        <v>7.7</v>
      </c>
      <c r="B119" s="1">
        <v>3.8</v>
      </c>
      <c r="C119" s="11">
        <v>6.7</v>
      </c>
      <c r="D119" s="12">
        <v>2.2000000000000002</v>
      </c>
      <c r="E119" s="1" t="s">
        <v>7</v>
      </c>
      <c r="F119" s="31">
        <f t="shared" si="2"/>
        <v>1</v>
      </c>
      <c r="G119" s="33" cm="1">
        <f t="array" ref="G119">$Q$7*NMultDensity(C119:D119,$O$9:$P$9,$O$7:$P$8)+$Q$11*NMultDensity(C119:D119,$O$13:$P$13,$O$11:$P$12)+$Q$15*NMultDensity(C119:D119,$O$17:$P$17,$O$15:$P$16)+$Q$19*NMultDensity(C119:D119,$O$21:$P$21,$O$19:$P$20)</f>
        <v>3.807487327359569E-2</v>
      </c>
      <c r="H119" s="34" cm="1">
        <f t="array" ref="H119">$Q$7*NMultDensity(C119:D119,$O$9:$P$9,$O$7:$P$8)/G119</f>
        <v>0.98665948783020985</v>
      </c>
      <c r="I119" s="34" cm="1">
        <f t="array" ref="I119">$Q$11*NMultDensity(C119:D119,$O$13:$P$13,$O$11:$P$12)/G119</f>
        <v>3.3835972412163521E-220</v>
      </c>
      <c r="J119" s="44" cm="1">
        <f t="array" ref="J119">$Q$15*NMultDensity(C119:D119,$O$17:$P$17,$O$15:$P$16)/G119</f>
        <v>1.3340512168538233E-2</v>
      </c>
      <c r="K119" s="44" cm="1">
        <f t="array" ref="K119">$Q$19*NMultDensity(C119:D119,$O$21:$P$21,$O$19:$P$20)/G119</f>
        <v>1.2520755772244901E-12</v>
      </c>
      <c r="L119" s="35">
        <f t="shared" si="3"/>
        <v>0.98665948783020985</v>
      </c>
      <c r="S119" s="15">
        <v>1.4</v>
      </c>
      <c r="T119" s="21">
        <v>0.2</v>
      </c>
      <c r="U119" s="25">
        <v>2</v>
      </c>
    </row>
    <row r="120" spans="1:21" x14ac:dyDescent="0.25">
      <c r="A120" s="1">
        <v>7.7</v>
      </c>
      <c r="B120" s="1">
        <v>2.6</v>
      </c>
      <c r="C120" s="11">
        <v>6.9</v>
      </c>
      <c r="D120" s="12">
        <v>2.2999999999999998</v>
      </c>
      <c r="E120" s="1" t="s">
        <v>7</v>
      </c>
      <c r="F120" s="31">
        <f t="shared" si="2"/>
        <v>1</v>
      </c>
      <c r="G120" s="33" cm="1">
        <f t="array" ref="G120">$Q$7*NMultDensity(C120:D120,$O$9:$P$9,$O$7:$P$8)+$Q$11*NMultDensity(C120:D120,$O$13:$P$13,$O$11:$P$12)+$Q$15*NMultDensity(C120:D120,$O$17:$P$17,$O$15:$P$16)+$Q$19*NMultDensity(C120:D120,$O$21:$P$21,$O$19:$P$20)</f>
        <v>1.7918867300702707E-2</v>
      </c>
      <c r="H120" s="34" cm="1">
        <f t="array" ref="H120">$Q$7*NMultDensity(C120:D120,$O$9:$P$9,$O$7:$P$8)/G120</f>
        <v>0.99970844762620026</v>
      </c>
      <c r="I120" s="34" cm="1">
        <f t="array" ref="I120">$Q$11*NMultDensity(C120:D120,$O$13:$P$13,$O$11:$P$12)/G120</f>
        <v>3.2000822609574035E-238</v>
      </c>
      <c r="J120" s="44" cm="1">
        <f t="array" ref="J120">$Q$15*NMultDensity(C120:D120,$O$17:$P$17,$O$15:$P$16)/G120</f>
        <v>2.9155237357170557E-4</v>
      </c>
      <c r="K120" s="44" cm="1">
        <f t="array" ref="K120">$Q$19*NMultDensity(C120:D120,$O$21:$P$21,$O$19:$P$20)/G120</f>
        <v>2.2815898690932305E-13</v>
      </c>
      <c r="L120" s="35">
        <f t="shared" si="3"/>
        <v>0.99970844762620026</v>
      </c>
      <c r="S120" s="15">
        <v>5.9</v>
      </c>
      <c r="T120" s="21">
        <v>2.1</v>
      </c>
      <c r="U120" s="25">
        <v>3</v>
      </c>
    </row>
    <row r="121" spans="1:21" x14ac:dyDescent="0.25">
      <c r="A121" s="1">
        <v>6</v>
      </c>
      <c r="B121" s="1">
        <v>2.2000000000000002</v>
      </c>
      <c r="C121" s="11">
        <v>5</v>
      </c>
      <c r="D121" s="12">
        <v>1.5</v>
      </c>
      <c r="E121" s="1" t="s">
        <v>7</v>
      </c>
      <c r="F121" s="31">
        <f t="shared" si="2"/>
        <v>1</v>
      </c>
      <c r="G121" s="33" cm="1">
        <f t="array" ref="G121">$Q$7*NMultDensity(C121:D121,$O$9:$P$9,$O$7:$P$8)+$Q$11*NMultDensity(C121:D121,$O$13:$P$13,$O$11:$P$12)+$Q$15*NMultDensity(C121:D121,$O$17:$P$17,$O$15:$P$16)+$Q$19*NMultDensity(C121:D121,$O$21:$P$21,$O$19:$P$20)</f>
        <v>0.50556016726436437</v>
      </c>
      <c r="H121" s="34" cm="1">
        <f t="array" ref="H121">$Q$7*NMultDensity(C121:D121,$O$9:$P$9,$O$7:$P$8)/G121</f>
        <v>0.99992298093709253</v>
      </c>
      <c r="I121" s="34" cm="1">
        <f t="array" ref="I121">$Q$11*NMultDensity(C121:D121,$O$13:$P$13,$O$11:$P$12)/G121</f>
        <v>3.5495874854529258E-99</v>
      </c>
      <c r="J121" s="44" cm="1">
        <f t="array" ref="J121">$Q$15*NMultDensity(C121:D121,$O$17:$P$17,$O$15:$P$16)/G121</f>
        <v>1.8170031390293711E-18</v>
      </c>
      <c r="K121" s="44" cm="1">
        <f t="array" ref="K121">$Q$19*NMultDensity(C121:D121,$O$21:$P$21,$O$19:$P$20)/G121</f>
        <v>7.7019062907554615E-5</v>
      </c>
      <c r="L121" s="35">
        <f t="shared" si="3"/>
        <v>0.99992298093709253</v>
      </c>
      <c r="S121" s="15">
        <v>5.8</v>
      </c>
      <c r="T121" s="21">
        <v>2.2000000000000002</v>
      </c>
      <c r="U121" s="25">
        <v>3</v>
      </c>
    </row>
    <row r="122" spans="1:21" x14ac:dyDescent="0.25">
      <c r="A122" s="1">
        <v>6.9</v>
      </c>
      <c r="B122" s="1">
        <v>3.2</v>
      </c>
      <c r="C122" s="11">
        <v>5.7</v>
      </c>
      <c r="D122" s="12">
        <v>2.2999999999999998</v>
      </c>
      <c r="E122" s="1" t="s">
        <v>7</v>
      </c>
      <c r="F122" s="31">
        <f t="shared" si="2"/>
        <v>4</v>
      </c>
      <c r="G122" s="33" cm="1">
        <f t="array" ref="G122">$Q$7*NMultDensity(C122:D122,$O$9:$P$9,$O$7:$P$8)+$Q$11*NMultDensity(C122:D122,$O$13:$P$13,$O$11:$P$12)+$Q$15*NMultDensity(C122:D122,$O$17:$P$17,$O$15:$P$16)+$Q$19*NMultDensity(C122:D122,$O$21:$P$21,$O$19:$P$20)</f>
        <v>0.59926077372100495</v>
      </c>
      <c r="H122" s="34" cm="1">
        <f t="array" ref="H122">$Q$7*NMultDensity(C122:D122,$O$9:$P$9,$O$7:$P$8)/G122</f>
        <v>5.8923227103506741E-4</v>
      </c>
      <c r="I122" s="34" cm="1">
        <f t="array" ref="I122">$Q$11*NMultDensity(C122:D122,$O$13:$P$13,$O$11:$P$12)/G122</f>
        <v>3.4543460912420682E-166</v>
      </c>
      <c r="J122" s="44" cm="1">
        <f t="array" ref="J122">$Q$15*NMultDensity(C122:D122,$O$17:$P$17,$O$15:$P$16)/G122</f>
        <v>0.44557725046472307</v>
      </c>
      <c r="K122" s="44" cm="1">
        <f t="array" ref="K122">$Q$19*NMultDensity(C122:D122,$O$21:$P$21,$O$19:$P$20)/G122</f>
        <v>0.5538335172642419</v>
      </c>
      <c r="L122" s="35">
        <f t="shared" si="3"/>
        <v>0.5538335172642419</v>
      </c>
      <c r="S122" s="15">
        <v>5.0999999999999996</v>
      </c>
      <c r="T122" s="21">
        <v>2.4</v>
      </c>
      <c r="U122" s="25">
        <v>3</v>
      </c>
    </row>
    <row r="123" spans="1:21" x14ac:dyDescent="0.25">
      <c r="A123" s="1">
        <v>5.6</v>
      </c>
      <c r="B123" s="1">
        <v>2.8</v>
      </c>
      <c r="C123" s="11">
        <v>4.9000000000000004</v>
      </c>
      <c r="D123" s="12">
        <v>2</v>
      </c>
      <c r="E123" s="1" t="s">
        <v>7</v>
      </c>
      <c r="F123" s="31">
        <f t="shared" si="2"/>
        <v>4</v>
      </c>
      <c r="G123" s="33" cm="1">
        <f t="array" ref="G123">$Q$7*NMultDensity(C123:D123,$O$9:$P$9,$O$7:$P$8)+$Q$11*NMultDensity(C123:D123,$O$13:$P$13,$O$11:$P$12)+$Q$15*NMultDensity(C123:D123,$O$17:$P$17,$O$15:$P$16)+$Q$19*NMultDensity(C123:D123,$O$21:$P$21,$O$19:$P$20)</f>
        <v>7.9665041072676995E-2</v>
      </c>
      <c r="H123" s="34" cm="1">
        <f t="array" ref="H123">$Q$7*NMultDensity(C123:D123,$O$9:$P$9,$O$7:$P$8)/G123</f>
        <v>2.5289095466860721E-2</v>
      </c>
      <c r="I123" s="34" cm="1">
        <f t="array" ref="I123">$Q$11*NMultDensity(C123:D123,$O$13:$P$13,$O$11:$P$12)/G123</f>
        <v>1.1986007888262264E-112</v>
      </c>
      <c r="J123" s="44" cm="1">
        <f t="array" ref="J123">$Q$15*NMultDensity(C123:D123,$O$17:$P$17,$O$15:$P$16)/G123</f>
        <v>9.1409310057053155E-4</v>
      </c>
      <c r="K123" s="44" cm="1">
        <f t="array" ref="K123">$Q$19*NMultDensity(C123:D123,$O$21:$P$21,$O$19:$P$20)/G123</f>
        <v>0.9737968114325688</v>
      </c>
      <c r="L123" s="35">
        <f t="shared" si="3"/>
        <v>0.9737968114325688</v>
      </c>
      <c r="S123" s="15">
        <v>5.3</v>
      </c>
      <c r="T123" s="21">
        <v>2.2999999999999998</v>
      </c>
      <c r="U123" s="25">
        <v>3</v>
      </c>
    </row>
    <row r="124" spans="1:21" x14ac:dyDescent="0.25">
      <c r="A124" s="1">
        <v>7.7</v>
      </c>
      <c r="B124" s="1">
        <v>2.8</v>
      </c>
      <c r="C124" s="11">
        <v>6.7</v>
      </c>
      <c r="D124" s="12">
        <v>2</v>
      </c>
      <c r="E124" s="1" t="s">
        <v>7</v>
      </c>
      <c r="F124" s="31">
        <f t="shared" si="2"/>
        <v>1</v>
      </c>
      <c r="G124" s="33" cm="1">
        <f t="array" ref="G124">$Q$7*NMultDensity(C124:D124,$O$9:$P$9,$O$7:$P$8)+$Q$11*NMultDensity(C124:D124,$O$13:$P$13,$O$11:$P$12)+$Q$15*NMultDensity(C124:D124,$O$17:$P$17,$O$15:$P$16)+$Q$19*NMultDensity(C124:D124,$O$21:$P$21,$O$19:$P$20)</f>
        <v>3.341753560624959E-2</v>
      </c>
      <c r="H124" s="34" cm="1">
        <f t="array" ref="H124">$Q$7*NMultDensity(C124:D124,$O$9:$P$9,$O$7:$P$8)/G124</f>
        <v>0.98641320006020061</v>
      </c>
      <c r="I124" s="34" cm="1">
        <f t="array" ref="I124">$Q$11*NMultDensity(C124:D124,$O$13:$P$13,$O$11:$P$12)/G124</f>
        <v>1.2458788385615057E-212</v>
      </c>
      <c r="J124" s="44" cm="1">
        <f t="array" ref="J124">$Q$15*NMultDensity(C124:D124,$O$17:$P$17,$O$15:$P$16)/G124</f>
        <v>1.3586799939799356E-2</v>
      </c>
      <c r="K124" s="44" cm="1">
        <f t="array" ref="K124">$Q$19*NMultDensity(C124:D124,$O$21:$P$21,$O$19:$P$20)/G124</f>
        <v>1.1011205652569033E-19</v>
      </c>
      <c r="L124" s="35">
        <f t="shared" si="3"/>
        <v>0.98641320006020061</v>
      </c>
      <c r="S124" s="15">
        <v>5.7</v>
      </c>
      <c r="T124" s="21">
        <v>2.1</v>
      </c>
      <c r="U124" s="25">
        <v>3</v>
      </c>
    </row>
    <row r="125" spans="1:21" x14ac:dyDescent="0.25">
      <c r="A125" s="1">
        <v>6.3</v>
      </c>
      <c r="B125" s="1">
        <v>2.7</v>
      </c>
      <c r="C125" s="11">
        <v>4.9000000000000004</v>
      </c>
      <c r="D125" s="12">
        <v>1.8</v>
      </c>
      <c r="E125" s="1" t="s">
        <v>7</v>
      </c>
      <c r="F125" s="31">
        <f t="shared" si="2"/>
        <v>4</v>
      </c>
      <c r="G125" s="33" cm="1">
        <f t="array" ref="G125">$Q$7*NMultDensity(C125:D125,$O$9:$P$9,$O$7:$P$8)+$Q$11*NMultDensity(C125:D125,$O$13:$P$13,$O$11:$P$12)+$Q$15*NMultDensity(C125:D125,$O$17:$P$17,$O$15:$P$16)+$Q$19*NMultDensity(C125:D125,$O$21:$P$21,$O$19:$P$20)</f>
        <v>0.24424046068264449</v>
      </c>
      <c r="H125" s="34" cm="1">
        <f t="array" ref="H125">$Q$7*NMultDensity(C125:D125,$O$9:$P$9,$O$7:$P$8)/G125</f>
        <v>0.38375601254723707</v>
      </c>
      <c r="I125" s="34" cm="1">
        <f t="array" ref="I125">$Q$11*NMultDensity(C125:D125,$O$13:$P$13,$O$11:$P$12)/G125</f>
        <v>3.3461865236578052E-104</v>
      </c>
      <c r="J125" s="44" cm="1">
        <f t="array" ref="J125">$Q$15*NMultDensity(C125:D125,$O$17:$P$17,$O$15:$P$16)/G125</f>
        <v>1.2396107687959606E-8</v>
      </c>
      <c r="K125" s="44" cm="1">
        <f t="array" ref="K125">$Q$19*NMultDensity(C125:D125,$O$21:$P$21,$O$19:$P$20)/G125</f>
        <v>0.61624397505665529</v>
      </c>
      <c r="L125" s="35">
        <f t="shared" si="3"/>
        <v>0.61624397505665529</v>
      </c>
      <c r="S125" s="15">
        <v>5.6</v>
      </c>
      <c r="T125" s="21">
        <v>2.1</v>
      </c>
      <c r="U125" s="25">
        <v>3</v>
      </c>
    </row>
    <row r="126" spans="1:21" x14ac:dyDescent="0.25">
      <c r="A126" s="1">
        <v>6.7</v>
      </c>
      <c r="B126" s="1">
        <v>3.3</v>
      </c>
      <c r="C126" s="11">
        <v>5.7</v>
      </c>
      <c r="D126" s="12">
        <v>2.1</v>
      </c>
      <c r="E126" s="1" t="s">
        <v>7</v>
      </c>
      <c r="F126" s="31">
        <f t="shared" si="2"/>
        <v>3</v>
      </c>
      <c r="G126" s="33" cm="1">
        <f t="array" ref="G126">$Q$7*NMultDensity(C126:D126,$O$9:$P$9,$O$7:$P$8)+$Q$11*NMultDensity(C126:D126,$O$13:$P$13,$O$11:$P$12)+$Q$15*NMultDensity(C126:D126,$O$17:$P$17,$O$15:$P$16)+$Q$19*NMultDensity(C126:D126,$O$21:$P$21,$O$19:$P$20)</f>
        <v>0.16194349477794406</v>
      </c>
      <c r="H126" s="34" cm="1">
        <f t="array" ref="H126">$Q$7*NMultDensity(C126:D126,$O$9:$P$9,$O$7:$P$8)/G126</f>
        <v>0.16093935984006802</v>
      </c>
      <c r="I126" s="34" cm="1">
        <f t="array" ref="I126">$Q$11*NMultDensity(C126:D126,$O$13:$P$13,$O$11:$P$12)/G126</f>
        <v>2.1830658094595119E-155</v>
      </c>
      <c r="J126" s="44" cm="1">
        <f t="array" ref="J126">$Q$15*NMultDensity(C126:D126,$O$17:$P$17,$O$15:$P$16)/G126</f>
        <v>0.72300643757490468</v>
      </c>
      <c r="K126" s="44" cm="1">
        <f t="array" ref="K126">$Q$19*NMultDensity(C126:D126,$O$21:$P$21,$O$19:$P$20)/G126</f>
        <v>0.11605420258502734</v>
      </c>
      <c r="L126" s="35">
        <f t="shared" si="3"/>
        <v>0.72300643757490468</v>
      </c>
      <c r="S126" s="15">
        <v>5.6</v>
      </c>
      <c r="T126" s="21">
        <v>2.2000000000000002</v>
      </c>
      <c r="U126" s="25">
        <v>3</v>
      </c>
    </row>
    <row r="127" spans="1:21" x14ac:dyDescent="0.25">
      <c r="A127" s="1">
        <v>7.2</v>
      </c>
      <c r="B127" s="1">
        <v>3.2</v>
      </c>
      <c r="C127" s="11">
        <v>6</v>
      </c>
      <c r="D127" s="12">
        <v>1.8</v>
      </c>
      <c r="E127" s="1" t="s">
        <v>7</v>
      </c>
      <c r="F127" s="31">
        <f t="shared" si="2"/>
        <v>1</v>
      </c>
      <c r="G127" s="33" cm="1">
        <f t="array" ref="G127">$Q$7*NMultDensity(C127:D127,$O$9:$P$9,$O$7:$P$8)+$Q$11*NMultDensity(C127:D127,$O$13:$P$13,$O$11:$P$12)+$Q$15*NMultDensity(C127:D127,$O$17:$P$17,$O$15:$P$16)+$Q$19*NMultDensity(C127:D127,$O$21:$P$21,$O$19:$P$20)</f>
        <v>0.1657350311871707</v>
      </c>
      <c r="H127" s="34" cm="1">
        <f t="array" ref="H127">$Q$7*NMultDensity(C127:D127,$O$9:$P$9,$O$7:$P$8)/G127</f>
        <v>0.99989109015234956</v>
      </c>
      <c r="I127" s="34" cm="1">
        <f t="array" ref="I127">$Q$11*NMultDensity(C127:D127,$O$13:$P$13,$O$11:$P$12)/G127</f>
        <v>5.3502691155767615E-161</v>
      </c>
      <c r="J127" s="44" cm="1">
        <f t="array" ref="J127">$Q$15*NMultDensity(C127:D127,$O$17:$P$17,$O$15:$P$16)/G127</f>
        <v>1.0890983549215209E-4</v>
      </c>
      <c r="K127" s="44" cm="1">
        <f t="array" ref="K127">$Q$19*NMultDensity(C127:D127,$O$21:$P$21,$O$19:$P$20)/G127</f>
        <v>1.2158263427648089E-11</v>
      </c>
      <c r="L127" s="35">
        <f t="shared" si="3"/>
        <v>0.99989109015234956</v>
      </c>
      <c r="S127" s="15">
        <v>6.1</v>
      </c>
      <c r="T127" s="21">
        <v>2.2999999999999998</v>
      </c>
      <c r="U127" s="25">
        <v>3</v>
      </c>
    </row>
    <row r="128" spans="1:21" x14ac:dyDescent="0.25">
      <c r="A128" s="1">
        <v>6.2</v>
      </c>
      <c r="B128" s="1">
        <v>2.8</v>
      </c>
      <c r="C128" s="11">
        <v>4.8</v>
      </c>
      <c r="D128" s="12">
        <v>1.8</v>
      </c>
      <c r="E128" s="1" t="s">
        <v>7</v>
      </c>
      <c r="F128" s="31">
        <f t="shared" si="2"/>
        <v>4</v>
      </c>
      <c r="G128" s="33" cm="1">
        <f t="array" ref="G128">$Q$7*NMultDensity(C128:D128,$O$9:$P$9,$O$7:$P$8)+$Q$11*NMultDensity(C128:D128,$O$13:$P$13,$O$11:$P$12)+$Q$15*NMultDensity(C128:D128,$O$17:$P$17,$O$15:$P$16)+$Q$19*NMultDensity(C128:D128,$O$21:$P$21,$O$19:$P$20)</f>
        <v>0.20315593399551296</v>
      </c>
      <c r="H128" s="34" cm="1">
        <f t="array" ref="H128">$Q$7*NMultDensity(C128:D128,$O$9:$P$9,$O$7:$P$8)/G128</f>
        <v>0.29316159057738078</v>
      </c>
      <c r="I128" s="34" cm="1">
        <f t="array" ref="I128">$Q$11*NMultDensity(C128:D128,$O$13:$P$13,$O$11:$P$12)/G128</f>
        <v>6.2045445794983641E-100</v>
      </c>
      <c r="J128" s="44" cm="1">
        <f t="array" ref="J128">$Q$15*NMultDensity(C128:D128,$O$17:$P$17,$O$15:$P$16)/G128</f>
        <v>3.4732913259595834E-9</v>
      </c>
      <c r="K128" s="44" cm="1">
        <f t="array" ref="K128">$Q$19*NMultDensity(C128:D128,$O$21:$P$21,$O$19:$P$20)/G128</f>
        <v>0.7068384059493279</v>
      </c>
      <c r="L128" s="35">
        <f t="shared" si="3"/>
        <v>0.7068384059493279</v>
      </c>
      <c r="S128" s="15">
        <v>5.0999999999999996</v>
      </c>
      <c r="T128" s="21">
        <v>2.2999999999999998</v>
      </c>
      <c r="U128" s="25">
        <v>3</v>
      </c>
    </row>
    <row r="129" spans="1:21" x14ac:dyDescent="0.25">
      <c r="A129" s="1">
        <v>6.1</v>
      </c>
      <c r="B129" s="1">
        <v>3</v>
      </c>
      <c r="C129" s="11">
        <v>4.9000000000000004</v>
      </c>
      <c r="D129" s="12">
        <v>1.8</v>
      </c>
      <c r="E129" s="1" t="s">
        <v>7</v>
      </c>
      <c r="F129" s="31">
        <f t="shared" si="2"/>
        <v>4</v>
      </c>
      <c r="G129" s="33" cm="1">
        <f t="array" ref="G129">$Q$7*NMultDensity(C129:D129,$O$9:$P$9,$O$7:$P$8)+$Q$11*NMultDensity(C129:D129,$O$13:$P$13,$O$11:$P$12)+$Q$15*NMultDensity(C129:D129,$O$17:$P$17,$O$15:$P$16)+$Q$19*NMultDensity(C129:D129,$O$21:$P$21,$O$19:$P$20)</f>
        <v>0.24424046068264449</v>
      </c>
      <c r="H129" s="34" cm="1">
        <f t="array" ref="H129">$Q$7*NMultDensity(C129:D129,$O$9:$P$9,$O$7:$P$8)/G129</f>
        <v>0.38375601254723707</v>
      </c>
      <c r="I129" s="34" cm="1">
        <f t="array" ref="I129">$Q$11*NMultDensity(C129:D129,$O$13:$P$13,$O$11:$P$12)/G129</f>
        <v>3.3461865236578052E-104</v>
      </c>
      <c r="J129" s="44" cm="1">
        <f t="array" ref="J129">$Q$15*NMultDensity(C129:D129,$O$17:$P$17,$O$15:$P$16)/G129</f>
        <v>1.2396107687959606E-8</v>
      </c>
      <c r="K129" s="44" cm="1">
        <f t="array" ref="K129">$Q$19*NMultDensity(C129:D129,$O$21:$P$21,$O$19:$P$20)/G129</f>
        <v>0.61624397505665529</v>
      </c>
      <c r="L129" s="35">
        <f t="shared" si="3"/>
        <v>0.61624397505665529</v>
      </c>
      <c r="S129" s="15">
        <v>5.9</v>
      </c>
      <c r="T129" s="21">
        <v>2.2999999999999998</v>
      </c>
      <c r="U129" s="25">
        <v>3</v>
      </c>
    </row>
    <row r="130" spans="1:21" x14ac:dyDescent="0.25">
      <c r="A130" s="1">
        <v>6.4</v>
      </c>
      <c r="B130" s="1">
        <v>2.8</v>
      </c>
      <c r="C130" s="11">
        <v>5.6</v>
      </c>
      <c r="D130" s="12">
        <v>2.1</v>
      </c>
      <c r="E130" s="1" t="s">
        <v>7</v>
      </c>
      <c r="F130" s="31">
        <f t="shared" si="2"/>
        <v>3</v>
      </c>
      <c r="G130" s="33" cm="1">
        <f t="array" ref="G130">$Q$7*NMultDensity(C130:D130,$O$9:$P$9,$O$7:$P$8)+$Q$11*NMultDensity(C130:D130,$O$13:$P$13,$O$11:$P$12)+$Q$15*NMultDensity(C130:D130,$O$17:$P$17,$O$15:$P$16)+$Q$19*NMultDensity(C130:D130,$O$21:$P$21,$O$19:$P$20)</f>
        <v>0.190840744589928</v>
      </c>
      <c r="H130" s="34" cm="1">
        <f t="array" ref="H130">$Q$7*NMultDensity(C130:D130,$O$9:$P$9,$O$7:$P$8)/G130</f>
        <v>8.9323381285960166E-2</v>
      </c>
      <c r="I130" s="34" cm="1">
        <f t="array" ref="I130">$Q$11*NMultDensity(C130:D130,$O$13:$P$13,$O$11:$P$12)/G130</f>
        <v>3.2015011480082961E-150</v>
      </c>
      <c r="J130" s="44" cm="1">
        <f t="array" ref="J130">$Q$15*NMultDensity(C130:D130,$O$17:$P$17,$O$15:$P$16)/G130</f>
        <v>0.54512202675556998</v>
      </c>
      <c r="K130" s="44" cm="1">
        <f t="array" ref="K130">$Q$19*NMultDensity(C130:D130,$O$21:$P$21,$O$19:$P$20)/G130</f>
        <v>0.3655545919584699</v>
      </c>
      <c r="L130" s="35">
        <f t="shared" si="3"/>
        <v>0.54512202675556998</v>
      </c>
      <c r="S130" s="15">
        <v>5.2</v>
      </c>
      <c r="T130" s="21">
        <v>2.2999999999999998</v>
      </c>
      <c r="U130" s="25">
        <v>3</v>
      </c>
    </row>
    <row r="131" spans="1:21" x14ac:dyDescent="0.25">
      <c r="A131" s="1">
        <v>7.2</v>
      </c>
      <c r="B131" s="1">
        <v>3</v>
      </c>
      <c r="C131" s="11">
        <v>5.8</v>
      </c>
      <c r="D131" s="12">
        <v>1.6</v>
      </c>
      <c r="E131" s="1" t="s">
        <v>7</v>
      </c>
      <c r="F131" s="31">
        <f t="shared" ref="F131:F151" si="4">IF(H131=L131,1,IF(I131=L131,2,IF(J131=L131,3,4)))</f>
        <v>1</v>
      </c>
      <c r="G131" s="33" cm="1">
        <f t="array" ref="G131">$Q$7*NMultDensity(C131:D131,$O$9:$P$9,$O$7:$P$8)+$Q$11*NMultDensity(C131:D131,$O$13:$P$13,$O$11:$P$12)+$Q$15*NMultDensity(C131:D131,$O$17:$P$17,$O$15:$P$16)+$Q$19*NMultDensity(C131:D131,$O$21:$P$21,$O$19:$P$20)</f>
        <v>7.3705141293730222E-2</v>
      </c>
      <c r="H131" s="34" cm="1">
        <f t="array" ref="H131">$Q$7*NMultDensity(C131:D131,$O$9:$P$9,$O$7:$P$8)/G131</f>
        <v>0.99999999912733539</v>
      </c>
      <c r="I131" s="34" cm="1">
        <f t="array" ref="I131">$Q$11*NMultDensity(C131:D131,$O$13:$P$13,$O$11:$P$12)/G131</f>
        <v>2.4999046663714982E-143</v>
      </c>
      <c r="J131" s="44" cm="1">
        <f t="array" ref="J131">$Q$15*NMultDensity(C131:D131,$O$17:$P$17,$O$15:$P$16)/G131</f>
        <v>8.7255931816702329E-10</v>
      </c>
      <c r="K131" s="44" cm="1">
        <f t="array" ref="K131">$Q$19*NMultDensity(C131:D131,$O$21:$P$21,$O$19:$P$20)/G131</f>
        <v>1.0518561811290204E-13</v>
      </c>
      <c r="L131" s="35">
        <f t="shared" ref="L131:L151" si="5">MAX(H131:K131)</f>
        <v>0.99999999912733539</v>
      </c>
      <c r="S131" s="15">
        <v>5.4</v>
      </c>
      <c r="T131" s="21">
        <v>2.2999999999999998</v>
      </c>
      <c r="U131" s="25">
        <v>3</v>
      </c>
    </row>
    <row r="132" spans="1:21" x14ac:dyDescent="0.25">
      <c r="A132" s="1">
        <v>7.4</v>
      </c>
      <c r="B132" s="1">
        <v>2.8</v>
      </c>
      <c r="C132" s="11">
        <v>6.1</v>
      </c>
      <c r="D132" s="12">
        <v>1.9</v>
      </c>
      <c r="E132" s="1" t="s">
        <v>7</v>
      </c>
      <c r="F132" s="31">
        <f t="shared" si="4"/>
        <v>1</v>
      </c>
      <c r="G132" s="33" cm="1">
        <f t="array" ref="G132">$Q$7*NMultDensity(C132:D132,$O$9:$P$9,$O$7:$P$8)+$Q$11*NMultDensity(C132:D132,$O$13:$P$13,$O$11:$P$12)+$Q$15*NMultDensity(C132:D132,$O$17:$P$17,$O$15:$P$16)+$Q$19*NMultDensity(C132:D132,$O$21:$P$21,$O$19:$P$20)</f>
        <v>0.17006345724167479</v>
      </c>
      <c r="H132" s="34" cm="1">
        <f t="array" ref="H132">$Q$7*NMultDensity(C132:D132,$O$9:$P$9,$O$7:$P$8)/G132</f>
        <v>0.99454241116450415</v>
      </c>
      <c r="I132" s="34" cm="1">
        <f t="array" ref="I132">$Q$11*NMultDensity(C132:D132,$O$13:$P$13,$O$11:$P$12)/G132</f>
        <v>2.4852439287113384E-170</v>
      </c>
      <c r="J132" s="44" cm="1">
        <f t="array" ref="J132">$Q$15*NMultDensity(C132:D132,$O$17:$P$17,$O$15:$P$16)/G132</f>
        <v>5.4575886906721481E-3</v>
      </c>
      <c r="K132" s="44" cm="1">
        <f t="array" ref="K132">$Q$19*NMultDensity(C132:D132,$O$21:$P$21,$O$19:$P$20)/G132</f>
        <v>1.4482362421241783E-10</v>
      </c>
      <c r="L132" s="35">
        <f t="shared" si="5"/>
        <v>0.99454241116450415</v>
      </c>
      <c r="S132" s="15">
        <v>4.8</v>
      </c>
      <c r="T132" s="21">
        <v>1.8</v>
      </c>
      <c r="U132" s="25">
        <v>4</v>
      </c>
    </row>
    <row r="133" spans="1:21" x14ac:dyDescent="0.25">
      <c r="A133" s="1">
        <v>7.9</v>
      </c>
      <c r="B133" s="1">
        <v>3.8</v>
      </c>
      <c r="C133" s="11">
        <v>6.4</v>
      </c>
      <c r="D133" s="12">
        <v>2</v>
      </c>
      <c r="E133" s="1" t="s">
        <v>7</v>
      </c>
      <c r="F133" s="31">
        <f t="shared" si="4"/>
        <v>1</v>
      </c>
      <c r="G133" s="33" cm="1">
        <f t="array" ref="G133">$Q$7*NMultDensity(C133:D133,$O$9:$P$9,$O$7:$P$8)+$Q$11*NMultDensity(C133:D133,$O$13:$P$13,$O$11:$P$12)+$Q$15*NMultDensity(C133:D133,$O$17:$P$17,$O$15:$P$16)+$Q$19*NMultDensity(C133:D133,$O$21:$P$21,$O$19:$P$20)</f>
        <v>9.7366206519024986E-2</v>
      </c>
      <c r="H133" s="34" cm="1">
        <f t="array" ref="H133">$Q$7*NMultDensity(C133:D133,$O$9:$P$9,$O$7:$P$8)/G133</f>
        <v>0.95820290195358016</v>
      </c>
      <c r="I133" s="34" cm="1">
        <f t="array" ref="I133">$Q$11*NMultDensity(C133:D133,$O$13:$P$13,$O$11:$P$12)/G133</f>
        <v>1.1800199695902465E-192</v>
      </c>
      <c r="J133" s="44" cm="1">
        <f t="array" ref="J133">$Q$15*NMultDensity(C133:D133,$O$17:$P$17,$O$15:$P$16)/G133</f>
        <v>4.1797098046038351E-2</v>
      </c>
      <c r="K133" s="44" cm="1">
        <f t="array" ref="K133">$Q$19*NMultDensity(C133:D133,$O$21:$P$21,$O$19:$P$20)/G133</f>
        <v>3.8144721612017964E-13</v>
      </c>
      <c r="L133" s="35">
        <f t="shared" si="5"/>
        <v>0.95820290195358016</v>
      </c>
      <c r="S133" s="15">
        <v>6</v>
      </c>
      <c r="T133" s="21">
        <v>2.5</v>
      </c>
      <c r="U133" s="25">
        <v>4</v>
      </c>
    </row>
    <row r="134" spans="1:21" x14ac:dyDescent="0.25">
      <c r="A134" s="1">
        <v>6.4</v>
      </c>
      <c r="B134" s="1">
        <v>2.8</v>
      </c>
      <c r="C134" s="11">
        <v>5.6</v>
      </c>
      <c r="D134" s="12">
        <v>2.2000000000000002</v>
      </c>
      <c r="E134" s="1" t="s">
        <v>7</v>
      </c>
      <c r="F134" s="31">
        <f t="shared" si="4"/>
        <v>3</v>
      </c>
      <c r="G134" s="33" cm="1">
        <f t="array" ref="G134">$Q$7*NMultDensity(C134:D134,$O$9:$P$9,$O$7:$P$8)+$Q$11*NMultDensity(C134:D134,$O$13:$P$13,$O$11:$P$12)+$Q$15*NMultDensity(C134:D134,$O$17:$P$17,$O$15:$P$16)+$Q$19*NMultDensity(C134:D134,$O$21:$P$21,$O$19:$P$20)</f>
        <v>0.59049283499843241</v>
      </c>
      <c r="H134" s="34" cm="1">
        <f t="array" ref="H134">$Q$7*NMultDensity(C134:D134,$O$9:$P$9,$O$7:$P$8)/G134</f>
        <v>3.6941339041794393E-3</v>
      </c>
      <c r="I134" s="34" cm="1">
        <f t="array" ref="I134">$Q$11*NMultDensity(C134:D134,$O$13:$P$13,$O$11:$P$12)/G134</f>
        <v>1.0890514000990411E-155</v>
      </c>
      <c r="J134" s="44" cm="1">
        <f t="array" ref="J134">$Q$15*NMultDensity(C134:D134,$O$17:$P$17,$O$15:$P$16)/G134</f>
        <v>0.54766095236725576</v>
      </c>
      <c r="K134" s="44" cm="1">
        <f t="array" ref="K134">$Q$19*NMultDensity(C134:D134,$O$21:$P$21,$O$19:$P$20)/G134</f>
        <v>0.44864491372856474</v>
      </c>
      <c r="L134" s="35">
        <f t="shared" si="5"/>
        <v>0.54766095236725576</v>
      </c>
      <c r="S134" s="15">
        <v>5.0999999999999996</v>
      </c>
      <c r="T134" s="21">
        <v>1.9</v>
      </c>
      <c r="U134" s="25">
        <v>4</v>
      </c>
    </row>
    <row r="135" spans="1:21" x14ac:dyDescent="0.25">
      <c r="A135" s="1">
        <v>6.3</v>
      </c>
      <c r="B135" s="1">
        <v>2.8</v>
      </c>
      <c r="C135" s="11">
        <v>5.0999999999999996</v>
      </c>
      <c r="D135" s="12">
        <v>1.5</v>
      </c>
      <c r="E135" s="1" t="s">
        <v>7</v>
      </c>
      <c r="F135" s="31">
        <f t="shared" si="4"/>
        <v>1</v>
      </c>
      <c r="G135" s="33" cm="1">
        <f t="array" ref="G135">$Q$7*NMultDensity(C135:D135,$O$9:$P$9,$O$7:$P$8)+$Q$11*NMultDensity(C135:D135,$O$13:$P$13,$O$11:$P$12)+$Q$15*NMultDensity(C135:D135,$O$17:$P$17,$O$15:$P$16)+$Q$19*NMultDensity(C135:D135,$O$21:$P$21,$O$19:$P$20)</f>
        <v>0.4192739049532595</v>
      </c>
      <c r="H135" s="34" cm="1">
        <f t="array" ref="H135">$Q$7*NMultDensity(C135:D135,$O$9:$P$9,$O$7:$P$8)/G135</f>
        <v>0.99999211481737527</v>
      </c>
      <c r="I135" s="34" cm="1">
        <f t="array" ref="I135">$Q$11*NMultDensity(C135:D135,$O$13:$P$13,$O$11:$P$12)/G135</f>
        <v>6.9501386557084885E-104</v>
      </c>
      <c r="J135" s="44" cm="1">
        <f t="array" ref="J135">$Q$15*NMultDensity(C135:D135,$O$17:$P$17,$O$15:$P$16)/G135</f>
        <v>1.1807582014163135E-17</v>
      </c>
      <c r="K135" s="44" cm="1">
        <f t="array" ref="K135">$Q$19*NMultDensity(C135:D135,$O$21:$P$21,$O$19:$P$20)/G135</f>
        <v>7.885182624679317E-6</v>
      </c>
      <c r="L135" s="35">
        <f t="shared" si="5"/>
        <v>0.99999211481737527</v>
      </c>
      <c r="S135" s="15">
        <v>6.1</v>
      </c>
      <c r="T135" s="21">
        <v>2.5</v>
      </c>
      <c r="U135" s="25">
        <v>4</v>
      </c>
    </row>
    <row r="136" spans="1:21" x14ac:dyDescent="0.25">
      <c r="A136" s="1">
        <v>6.1</v>
      </c>
      <c r="B136" s="1">
        <v>2.6</v>
      </c>
      <c r="C136" s="11">
        <v>5.6</v>
      </c>
      <c r="D136" s="12">
        <v>1.4</v>
      </c>
      <c r="E136" s="1" t="s">
        <v>7</v>
      </c>
      <c r="F136" s="31">
        <f t="shared" si="4"/>
        <v>1</v>
      </c>
      <c r="G136" s="33" cm="1">
        <f t="array" ref="G136">$Q$7*NMultDensity(C136:D136,$O$9:$P$9,$O$7:$P$8)+$Q$11*NMultDensity(C136:D136,$O$13:$P$13,$O$11:$P$12)+$Q$15*NMultDensity(C136:D136,$O$17:$P$17,$O$15:$P$16)+$Q$19*NMultDensity(C136:D136,$O$21:$P$21,$O$19:$P$20)</f>
        <v>1.1752106241074206E-2</v>
      </c>
      <c r="H136" s="34" cm="1">
        <f t="array" ref="H136">$Q$7*NMultDensity(C136:D136,$O$9:$P$9,$O$7:$P$8)/G136</f>
        <v>0.99999999999999878</v>
      </c>
      <c r="I136" s="34" cm="1">
        <f t="array" ref="I136">$Q$11*NMultDensity(C136:D136,$O$13:$P$13,$O$11:$P$12)/G136</f>
        <v>5.5584292742310154E-127</v>
      </c>
      <c r="J136" s="44" cm="1">
        <f t="array" ref="J136">$Q$15*NMultDensity(C136:D136,$O$17:$P$17,$O$15:$P$16)/G136</f>
        <v>3.8792803863115152E-17</v>
      </c>
      <c r="K136" s="44" cm="1">
        <f t="array" ref="K136">$Q$19*NMultDensity(C136:D136,$O$21:$P$21,$O$19:$P$20)/G136</f>
        <v>1.2129323257629811E-15</v>
      </c>
      <c r="L136" s="35">
        <f t="shared" si="5"/>
        <v>0.99999999999999878</v>
      </c>
      <c r="S136" s="15">
        <v>5.0999999999999996</v>
      </c>
      <c r="T136" s="21">
        <v>2</v>
      </c>
      <c r="U136" s="25">
        <v>4</v>
      </c>
    </row>
    <row r="137" spans="1:21" x14ac:dyDescent="0.25">
      <c r="A137" s="1">
        <v>7.7</v>
      </c>
      <c r="B137" s="1">
        <v>3</v>
      </c>
      <c r="C137" s="11">
        <v>6.1</v>
      </c>
      <c r="D137" s="12">
        <v>2.2999999999999998</v>
      </c>
      <c r="E137" s="1" t="s">
        <v>7</v>
      </c>
      <c r="F137" s="31">
        <f t="shared" si="4"/>
        <v>3</v>
      </c>
      <c r="G137" s="33" cm="1">
        <f t="array" ref="G137">$Q$7*NMultDensity(C137:D137,$O$9:$P$9,$O$7:$P$8)+$Q$11*NMultDensity(C137:D137,$O$13:$P$13,$O$11:$P$12)+$Q$15*NMultDensity(C137:D137,$O$17:$P$17,$O$15:$P$16)+$Q$19*NMultDensity(C137:D137,$O$21:$P$21,$O$19:$P$20)</f>
        <v>5.008784700499383E-2</v>
      </c>
      <c r="H137" s="34" cm="1">
        <f t="array" ref="H137">$Q$7*NMultDensity(C137:D137,$O$9:$P$9,$O$7:$P$8)/G137</f>
        <v>7.6166123535018851E-2</v>
      </c>
      <c r="I137" s="34" cm="1">
        <f t="array" ref="I137">$Q$11*NMultDensity(C137:D137,$O$13:$P$13,$O$11:$P$12)/G137</f>
        <v>5.4728832143757955E-187</v>
      </c>
      <c r="J137" s="44" cm="1">
        <f t="array" ref="J137">$Q$15*NMultDensity(C137:D137,$O$17:$P$17,$O$15:$P$16)/G137</f>
        <v>0.84881281567072142</v>
      </c>
      <c r="K137" s="44" cm="1">
        <f t="array" ref="K137">$Q$19*NMultDensity(C137:D137,$O$21:$P$21,$O$19:$P$20)/G137</f>
        <v>7.50210607942597E-2</v>
      </c>
      <c r="L137" s="35">
        <f t="shared" si="5"/>
        <v>0.84881281567072142</v>
      </c>
      <c r="S137" s="15">
        <v>5.5</v>
      </c>
      <c r="T137" s="21">
        <v>2.1</v>
      </c>
      <c r="U137" s="25">
        <v>4</v>
      </c>
    </row>
    <row r="138" spans="1:21" x14ac:dyDescent="0.25">
      <c r="A138" s="1">
        <v>6.3</v>
      </c>
      <c r="B138" s="1">
        <v>3.4</v>
      </c>
      <c r="C138" s="11">
        <v>5.6</v>
      </c>
      <c r="D138" s="12">
        <v>2.4</v>
      </c>
      <c r="E138" s="1" t="s">
        <v>7</v>
      </c>
      <c r="F138" s="31">
        <f t="shared" si="4"/>
        <v>4</v>
      </c>
      <c r="G138" s="33" cm="1">
        <f t="array" ref="G138">$Q$7*NMultDensity(C138:D138,$O$9:$P$9,$O$7:$P$8)+$Q$11*NMultDensity(C138:D138,$O$13:$P$13,$O$11:$P$12)+$Q$15*NMultDensity(C138:D138,$O$17:$P$17,$O$15:$P$16)+$Q$19*NMultDensity(C138:D138,$O$21:$P$21,$O$19:$P$20)</f>
        <v>0.31765361464389852</v>
      </c>
      <c r="H138" s="34" cm="1">
        <f t="array" ref="H138">$Q$7*NMultDensity(C138:D138,$O$9:$P$9,$O$7:$P$8)/G138</f>
        <v>2.3118942540990068E-5</v>
      </c>
      <c r="I138" s="34" cm="1">
        <f t="array" ref="I138">$Q$11*NMultDensity(C138:D138,$O$13:$P$13,$O$11:$P$12)/G138</f>
        <v>9.4998991380301226E-167</v>
      </c>
      <c r="J138" s="44" cm="1">
        <f t="array" ref="J138">$Q$15*NMultDensity(C138:D138,$O$17:$P$17,$O$15:$P$16)/G138</f>
        <v>0.31805285979854514</v>
      </c>
      <c r="K138" s="44" cm="1">
        <f t="array" ref="K138">$Q$19*NMultDensity(C138:D138,$O$21:$P$21,$O$19:$P$20)/G138</f>
        <v>0.68192402125891372</v>
      </c>
      <c r="L138" s="35">
        <f t="shared" si="5"/>
        <v>0.68192402125891372</v>
      </c>
      <c r="S138" s="15">
        <v>5</v>
      </c>
      <c r="T138" s="21">
        <v>2</v>
      </c>
      <c r="U138" s="25">
        <v>4</v>
      </c>
    </row>
    <row r="139" spans="1:21" x14ac:dyDescent="0.25">
      <c r="A139" s="1">
        <v>6.4</v>
      </c>
      <c r="B139" s="1">
        <v>3.1</v>
      </c>
      <c r="C139" s="11">
        <v>5.5</v>
      </c>
      <c r="D139" s="12">
        <v>1.8</v>
      </c>
      <c r="E139" s="1" t="s">
        <v>7</v>
      </c>
      <c r="F139" s="31">
        <f t="shared" si="4"/>
        <v>1</v>
      </c>
      <c r="G139" s="33" cm="1">
        <f t="array" ref="G139">$Q$7*NMultDensity(C139:D139,$O$9:$P$9,$O$7:$P$8)+$Q$11*NMultDensity(C139:D139,$O$13:$P$13,$O$11:$P$12)+$Q$15*NMultDensity(C139:D139,$O$17:$P$17,$O$15:$P$16)+$Q$19*NMultDensity(C139:D139,$O$21:$P$21,$O$19:$P$20)</f>
        <v>0.3491699543048119</v>
      </c>
      <c r="H139" s="34" cm="1">
        <f t="array" ref="H139">$Q$7*NMultDensity(C139:D139,$O$9:$P$9,$O$7:$P$8)/G139</f>
        <v>0.99982651394988142</v>
      </c>
      <c r="I139" s="34" cm="1">
        <f t="array" ref="I139">$Q$11*NMultDensity(C139:D139,$O$13:$P$13,$O$11:$P$12)/G139</f>
        <v>5.9403055756654149E-133</v>
      </c>
      <c r="J139" s="44" cm="1">
        <f t="array" ref="J139">$Q$15*NMultDensity(C139:D139,$O$17:$P$17,$O$15:$P$16)/G139</f>
        <v>5.2559767638893175E-6</v>
      </c>
      <c r="K139" s="44" cm="1">
        <f t="array" ref="K139">$Q$19*NMultDensity(C139:D139,$O$21:$P$21,$O$19:$P$20)/G139</f>
        <v>1.6823007335475842E-4</v>
      </c>
      <c r="L139" s="35">
        <f t="shared" si="5"/>
        <v>0.99982651394988142</v>
      </c>
      <c r="S139" s="15">
        <v>5.7</v>
      </c>
      <c r="T139" s="21">
        <v>2.2999999999999998</v>
      </c>
      <c r="U139" s="25">
        <v>4</v>
      </c>
    </row>
    <row r="140" spans="1:21" x14ac:dyDescent="0.25">
      <c r="A140" s="1">
        <v>6</v>
      </c>
      <c r="B140" s="1">
        <v>3</v>
      </c>
      <c r="C140" s="11">
        <v>4.8</v>
      </c>
      <c r="D140" s="12">
        <v>1.8</v>
      </c>
      <c r="E140" s="1" t="s">
        <v>7</v>
      </c>
      <c r="F140" s="31">
        <f t="shared" si="4"/>
        <v>4</v>
      </c>
      <c r="G140" s="33" cm="1">
        <f t="array" ref="G140">$Q$7*NMultDensity(C140:D140,$O$9:$P$9,$O$7:$P$8)+$Q$11*NMultDensity(C140:D140,$O$13:$P$13,$O$11:$P$12)+$Q$15*NMultDensity(C140:D140,$O$17:$P$17,$O$15:$P$16)+$Q$19*NMultDensity(C140:D140,$O$21:$P$21,$O$19:$P$20)</f>
        <v>0.20315593399551296</v>
      </c>
      <c r="H140" s="34" cm="1">
        <f t="array" ref="H140">$Q$7*NMultDensity(C140:D140,$O$9:$P$9,$O$7:$P$8)/G140</f>
        <v>0.29316159057738078</v>
      </c>
      <c r="I140" s="34" cm="1">
        <f t="array" ref="I140">$Q$11*NMultDensity(C140:D140,$O$13:$P$13,$O$11:$P$12)/G140</f>
        <v>6.2045445794983641E-100</v>
      </c>
      <c r="J140" s="44" cm="1">
        <f t="array" ref="J140">$Q$15*NMultDensity(C140:D140,$O$17:$P$17,$O$15:$P$16)/G140</f>
        <v>3.4732913259595834E-9</v>
      </c>
      <c r="K140" s="44" cm="1">
        <f t="array" ref="K140">$Q$19*NMultDensity(C140:D140,$O$21:$P$21,$O$19:$P$20)/G140</f>
        <v>0.7068384059493279</v>
      </c>
      <c r="L140" s="35">
        <f t="shared" si="5"/>
        <v>0.7068384059493279</v>
      </c>
      <c r="S140" s="15">
        <v>4.9000000000000004</v>
      </c>
      <c r="T140" s="21">
        <v>2</v>
      </c>
      <c r="U140" s="25">
        <v>4</v>
      </c>
    </row>
    <row r="141" spans="1:21" x14ac:dyDescent="0.25">
      <c r="A141" s="1">
        <v>6.9</v>
      </c>
      <c r="B141" s="1">
        <v>3.1</v>
      </c>
      <c r="C141" s="11">
        <v>5.4</v>
      </c>
      <c r="D141" s="12">
        <v>2.1</v>
      </c>
      <c r="E141" s="1" t="s">
        <v>7</v>
      </c>
      <c r="F141" s="31">
        <f t="shared" si="4"/>
        <v>4</v>
      </c>
      <c r="G141" s="33" cm="1">
        <f t="array" ref="G141">$Q$7*NMultDensity(C141:D141,$O$9:$P$9,$O$7:$P$8)+$Q$11*NMultDensity(C141:D141,$O$13:$P$13,$O$11:$P$12)+$Q$15*NMultDensity(C141:D141,$O$17:$P$17,$O$15:$P$16)+$Q$19*NMultDensity(C141:D141,$O$21:$P$21,$O$19:$P$20)</f>
        <v>0.36569042131699836</v>
      </c>
      <c r="H141" s="34" cm="1">
        <f t="array" ref="H141">$Q$7*NMultDensity(C141:D141,$O$9:$P$9,$O$7:$P$8)/G141</f>
        <v>1.6312677813227098E-2</v>
      </c>
      <c r="I141" s="34" cm="1">
        <f t="array" ref="I141">$Q$11*NMultDensity(C141:D141,$O$13:$P$13,$O$11:$P$12)/G141</f>
        <v>1.59546352043292E-140</v>
      </c>
      <c r="J141" s="44" cm="1">
        <f t="array" ref="J141">$Q$15*NMultDensity(C141:D141,$O$17:$P$17,$O$15:$P$16)/G141</f>
        <v>0.16095763074383132</v>
      </c>
      <c r="K141" s="44" cm="1">
        <f t="array" ref="K141">$Q$19*NMultDensity(C141:D141,$O$21:$P$21,$O$19:$P$20)/G141</f>
        <v>0.82272969144294161</v>
      </c>
      <c r="L141" s="35">
        <f t="shared" si="5"/>
        <v>0.82272969144294161</v>
      </c>
      <c r="S141" s="15">
        <v>4.9000000000000004</v>
      </c>
      <c r="T141" s="21">
        <v>1.8</v>
      </c>
      <c r="U141" s="25">
        <v>4</v>
      </c>
    </row>
    <row r="142" spans="1:21" x14ac:dyDescent="0.25">
      <c r="A142" s="1">
        <v>6.7</v>
      </c>
      <c r="B142" s="1">
        <v>3.1</v>
      </c>
      <c r="C142" s="11">
        <v>5.6</v>
      </c>
      <c r="D142" s="12">
        <v>2.4</v>
      </c>
      <c r="E142" s="1" t="s">
        <v>7</v>
      </c>
      <c r="F142" s="31">
        <f t="shared" si="4"/>
        <v>4</v>
      </c>
      <c r="G142" s="33" cm="1">
        <f t="array" ref="G142">$Q$7*NMultDensity(C142:D142,$O$9:$P$9,$O$7:$P$8)+$Q$11*NMultDensity(C142:D142,$O$13:$P$13,$O$11:$P$12)+$Q$15*NMultDensity(C142:D142,$O$17:$P$17,$O$15:$P$16)+$Q$19*NMultDensity(C142:D142,$O$21:$P$21,$O$19:$P$20)</f>
        <v>0.31765361464389852</v>
      </c>
      <c r="H142" s="34" cm="1">
        <f t="array" ref="H142">$Q$7*NMultDensity(C142:D142,$O$9:$P$9,$O$7:$P$8)/G142</f>
        <v>2.3118942540990068E-5</v>
      </c>
      <c r="I142" s="34" cm="1">
        <f t="array" ref="I142">$Q$11*NMultDensity(C142:D142,$O$13:$P$13,$O$11:$P$12)/G142</f>
        <v>9.4998991380301226E-167</v>
      </c>
      <c r="J142" s="44" cm="1">
        <f t="array" ref="J142">$Q$15*NMultDensity(C142:D142,$O$17:$P$17,$O$15:$P$16)/G142</f>
        <v>0.31805285979854514</v>
      </c>
      <c r="K142" s="44" cm="1">
        <f t="array" ref="K142">$Q$19*NMultDensity(C142:D142,$O$21:$P$21,$O$19:$P$20)/G142</f>
        <v>0.68192402125891372</v>
      </c>
      <c r="L142" s="35">
        <f t="shared" si="5"/>
        <v>0.68192402125891372</v>
      </c>
      <c r="S142" s="15">
        <v>4.8</v>
      </c>
      <c r="T142" s="21">
        <v>1.8</v>
      </c>
      <c r="U142" s="25">
        <v>4</v>
      </c>
    </row>
    <row r="143" spans="1:21" x14ac:dyDescent="0.25">
      <c r="A143" s="1">
        <v>6.9</v>
      </c>
      <c r="B143" s="1">
        <v>3.1</v>
      </c>
      <c r="C143" s="11">
        <v>5.0999999999999996</v>
      </c>
      <c r="D143" s="12">
        <v>2.2999999999999998</v>
      </c>
      <c r="E143" s="1" t="s">
        <v>7</v>
      </c>
      <c r="F143" s="31">
        <f t="shared" si="4"/>
        <v>3</v>
      </c>
      <c r="G143" s="33" cm="1">
        <f t="array" ref="G143">$Q$7*NMultDensity(C143:D143,$O$9:$P$9,$O$7:$P$8)+$Q$11*NMultDensity(C143:D143,$O$13:$P$13,$O$11:$P$12)+$Q$15*NMultDensity(C143:D143,$O$17:$P$17,$O$15:$P$16)+$Q$19*NMultDensity(C143:D143,$O$21:$P$21,$O$19:$P$20)</f>
        <v>0.15278508624167222</v>
      </c>
      <c r="H143" s="34" cm="1">
        <f t="array" ref="H143">$Q$7*NMultDensity(C143:D143,$O$9:$P$9,$O$7:$P$8)/G143</f>
        <v>8.7347384844781652E-6</v>
      </c>
      <c r="I143" s="34" cm="1">
        <f t="array" ref="I143">$Q$11*NMultDensity(C143:D143,$O$13:$P$13,$O$11:$P$12)/G143</f>
        <v>9.9270194861722223E-138</v>
      </c>
      <c r="J143" s="44" cm="1">
        <f t="array" ref="J143">$Q$15*NMultDensity(C143:D143,$O$17:$P$17,$O$15:$P$16)/G143</f>
        <v>0.98371599685791544</v>
      </c>
      <c r="K143" s="44" cm="1">
        <f t="array" ref="K143">$Q$19*NMultDensity(C143:D143,$O$21:$P$21,$O$19:$P$20)/G143</f>
        <v>1.6275268403600114E-2</v>
      </c>
      <c r="L143" s="35">
        <f t="shared" si="5"/>
        <v>0.98371599685791544</v>
      </c>
      <c r="S143" s="15">
        <v>4.9000000000000004</v>
      </c>
      <c r="T143" s="21">
        <v>1.8</v>
      </c>
      <c r="U143" s="25">
        <v>4</v>
      </c>
    </row>
    <row r="144" spans="1:21" x14ac:dyDescent="0.25">
      <c r="A144" s="1">
        <v>5.8</v>
      </c>
      <c r="B144" s="1">
        <v>2.7</v>
      </c>
      <c r="C144" s="11">
        <v>5.0999999999999996</v>
      </c>
      <c r="D144" s="12">
        <v>1.9</v>
      </c>
      <c r="E144" s="1" t="s">
        <v>7</v>
      </c>
      <c r="F144" s="31">
        <f t="shared" si="4"/>
        <v>4</v>
      </c>
      <c r="G144" s="33" cm="1">
        <f t="array" ref="G144">$Q$7*NMultDensity(C144:D144,$O$9:$P$9,$O$7:$P$8)+$Q$11*NMultDensity(C144:D144,$O$13:$P$13,$O$11:$P$12)+$Q$15*NMultDensity(C144:D144,$O$17:$P$17,$O$15:$P$16)+$Q$19*NMultDensity(C144:D144,$O$21:$P$21,$O$19:$P$20)</f>
        <v>0.24189841602519088</v>
      </c>
      <c r="H144" s="34" cm="1">
        <f t="array" ref="H144">$Q$7*NMultDensity(C144:D144,$O$9:$P$9,$O$7:$P$8)/G144</f>
        <v>0.21001307091263505</v>
      </c>
      <c r="I144" s="34" cm="1">
        <f t="array" ref="I144">$Q$11*NMultDensity(C144:D144,$O$13:$P$13,$O$11:$P$12)/G144</f>
        <v>3.9863347010900959E-117</v>
      </c>
      <c r="J144" s="44" cm="1">
        <f t="array" ref="J144">$Q$15*NMultDensity(C144:D144,$O$17:$P$17,$O$15:$P$16)/G144</f>
        <v>3.3617257030566285E-5</v>
      </c>
      <c r="K144" s="44" cm="1">
        <f t="array" ref="K144">$Q$19*NMultDensity(C144:D144,$O$21:$P$21,$O$19:$P$20)/G144</f>
        <v>0.78995331183033435</v>
      </c>
      <c r="L144" s="35">
        <f t="shared" si="5"/>
        <v>0.78995331183033435</v>
      </c>
      <c r="S144" s="15">
        <v>5.6</v>
      </c>
      <c r="T144" s="21">
        <v>2.4</v>
      </c>
      <c r="U144" s="25">
        <v>4</v>
      </c>
    </row>
    <row r="145" spans="1:21" x14ac:dyDescent="0.25">
      <c r="A145" s="1">
        <v>6.8</v>
      </c>
      <c r="B145" s="1">
        <v>3.2</v>
      </c>
      <c r="C145" s="11">
        <v>5.9</v>
      </c>
      <c r="D145" s="12">
        <v>2.2999999999999998</v>
      </c>
      <c r="E145" s="1" t="s">
        <v>7</v>
      </c>
      <c r="F145" s="31">
        <f t="shared" si="4"/>
        <v>3</v>
      </c>
      <c r="G145" s="33" cm="1">
        <f t="array" ref="G145">$Q$7*NMultDensity(C145:D145,$O$9:$P$9,$O$7:$P$8)+$Q$11*NMultDensity(C145:D145,$O$13:$P$13,$O$11:$P$12)+$Q$15*NMultDensity(C145:D145,$O$17:$P$17,$O$15:$P$16)+$Q$19*NMultDensity(C145:D145,$O$21:$P$21,$O$19:$P$20)</f>
        <v>0.21097105265126526</v>
      </c>
      <c r="H145" s="34" cm="1">
        <f t="array" ref="H145">$Q$7*NMultDensity(C145:D145,$O$9:$P$9,$O$7:$P$8)/G145</f>
        <v>6.2895707806829172E-3</v>
      </c>
      <c r="I145" s="34" cm="1">
        <f t="array" ref="I145">$Q$11*NMultDensity(C145:D145,$O$13:$P$13,$O$11:$P$12)/G145</f>
        <v>2.4148177404156477E-176</v>
      </c>
      <c r="J145" s="44" cm="1">
        <f t="array" ref="J145">$Q$15*NMultDensity(C145:D145,$O$17:$P$17,$O$15:$P$16)/G145</f>
        <v>0.63060494770241793</v>
      </c>
      <c r="K145" s="44" cm="1">
        <f t="array" ref="K145">$Q$19*NMultDensity(C145:D145,$O$21:$P$21,$O$19:$P$20)/G145</f>
        <v>0.36310548151689914</v>
      </c>
      <c r="L145" s="35">
        <f t="shared" si="5"/>
        <v>0.63060494770241793</v>
      </c>
      <c r="S145" s="15">
        <v>4.8</v>
      </c>
      <c r="T145" s="21">
        <v>1.8</v>
      </c>
      <c r="U145" s="25">
        <v>4</v>
      </c>
    </row>
    <row r="146" spans="1:21" x14ac:dyDescent="0.25">
      <c r="A146" s="1">
        <v>6.7</v>
      </c>
      <c r="B146" s="1">
        <v>3.3</v>
      </c>
      <c r="C146" s="11">
        <v>5.7</v>
      </c>
      <c r="D146" s="12">
        <v>2.5</v>
      </c>
      <c r="E146" s="1" t="s">
        <v>7</v>
      </c>
      <c r="F146" s="31">
        <f t="shared" si="4"/>
        <v>4</v>
      </c>
      <c r="G146" s="33" cm="1">
        <f t="array" ref="G146">$Q$7*NMultDensity(C146:D146,$O$9:$P$9,$O$7:$P$8)+$Q$11*NMultDensity(C146:D146,$O$13:$P$13,$O$11:$P$12)+$Q$15*NMultDensity(C146:D146,$O$17:$P$17,$O$15:$P$16)+$Q$19*NMultDensity(C146:D146,$O$21:$P$21,$O$19:$P$20)</f>
        <v>0.13393903811652536</v>
      </c>
      <c r="H146" s="34" cm="1">
        <f t="array" ref="H146">$Q$7*NMultDensity(C146:D146,$O$9:$P$9,$O$7:$P$8)/G146</f>
        <v>4.3339953616337576E-6</v>
      </c>
      <c r="I146" s="34" cm="1">
        <f t="array" ref="I146">$Q$11*NMultDensity(C146:D146,$O$13:$P$13,$O$11:$P$12)/G146</f>
        <v>1.3361963405946108E-177</v>
      </c>
      <c r="J146" s="44" cm="1">
        <f t="array" ref="J146">$Q$15*NMultDensity(C146:D146,$O$17:$P$17,$O$15:$P$16)/G146</f>
        <v>4.682411723549712E-2</v>
      </c>
      <c r="K146" s="44" cm="1">
        <f t="array" ref="K146">$Q$19*NMultDensity(C146:D146,$O$21:$P$21,$O$19:$P$20)/G146</f>
        <v>0.95317154876914134</v>
      </c>
      <c r="L146" s="35">
        <f t="shared" si="5"/>
        <v>0.95317154876914134</v>
      </c>
      <c r="S146" s="15">
        <v>5.4</v>
      </c>
      <c r="T146" s="21">
        <v>2.1</v>
      </c>
      <c r="U146" s="25">
        <v>4</v>
      </c>
    </row>
    <row r="147" spans="1:21" x14ac:dyDescent="0.25">
      <c r="A147" s="1">
        <v>6.7</v>
      </c>
      <c r="B147" s="1">
        <v>3</v>
      </c>
      <c r="C147" s="11">
        <v>5.2</v>
      </c>
      <c r="D147" s="12">
        <v>2.2999999999999998</v>
      </c>
      <c r="E147" s="1" t="s">
        <v>7</v>
      </c>
      <c r="F147" s="31">
        <f t="shared" si="4"/>
        <v>3</v>
      </c>
      <c r="G147" s="33" cm="1">
        <f t="array" ref="G147">$Q$7*NMultDensity(C147:D147,$O$9:$P$9,$O$7:$P$8)+$Q$11*NMultDensity(C147:D147,$O$13:$P$13,$O$11:$P$12)+$Q$15*NMultDensity(C147:D147,$O$17:$P$17,$O$15:$P$16)+$Q$19*NMultDensity(C147:D147,$O$21:$P$21,$O$19:$P$20)</f>
        <v>0.23312420209896256</v>
      </c>
      <c r="H147" s="34" cm="1">
        <f t="array" ref="H147">$Q$7*NMultDensity(C147:D147,$O$9:$P$9,$O$7:$P$8)/G147</f>
        <v>1.7146970616881514E-5</v>
      </c>
      <c r="I147" s="34" cm="1">
        <f t="array" ref="I147">$Q$11*NMultDensity(C147:D147,$O$13:$P$13,$O$11:$P$12)/G147</f>
        <v>3.8180102014652615E-142</v>
      </c>
      <c r="J147" s="44" cm="1">
        <f t="array" ref="J147">$Q$15*NMultDensity(C147:D147,$O$17:$P$17,$O$15:$P$16)/G147</f>
        <v>0.93650412861044541</v>
      </c>
      <c r="K147" s="44" cm="1">
        <f t="array" ref="K147">$Q$19*NMultDensity(C147:D147,$O$21:$P$21,$O$19:$P$20)/G147</f>
        <v>6.3478724418937787E-2</v>
      </c>
      <c r="L147" s="35">
        <f t="shared" si="5"/>
        <v>0.93650412861044541</v>
      </c>
      <c r="S147" s="15">
        <v>5.6</v>
      </c>
      <c r="T147" s="21">
        <v>2.4</v>
      </c>
      <c r="U147" s="25">
        <v>4</v>
      </c>
    </row>
    <row r="148" spans="1:21" x14ac:dyDescent="0.25">
      <c r="A148" s="1">
        <v>6.3</v>
      </c>
      <c r="B148" s="1">
        <v>2.5</v>
      </c>
      <c r="C148" s="11">
        <v>5</v>
      </c>
      <c r="D148" s="12">
        <v>1.9</v>
      </c>
      <c r="E148" s="1" t="s">
        <v>7</v>
      </c>
      <c r="F148" s="31">
        <f t="shared" si="4"/>
        <v>4</v>
      </c>
      <c r="G148" s="33" cm="1">
        <f t="array" ref="G148">$Q$7*NMultDensity(C148:D148,$O$9:$P$9,$O$7:$P$8)+$Q$11*NMultDensity(C148:D148,$O$13:$P$13,$O$11:$P$12)+$Q$15*NMultDensity(C148:D148,$O$17:$P$17,$O$15:$P$16)+$Q$19*NMultDensity(C148:D148,$O$21:$P$21,$O$19:$P$20)</f>
        <v>0.25267994234815044</v>
      </c>
      <c r="H148" s="34" cm="1">
        <f t="array" ref="H148">$Q$7*NMultDensity(C148:D148,$O$9:$P$9,$O$7:$P$8)/G148</f>
        <v>0.12335953741894114</v>
      </c>
      <c r="I148" s="34" cm="1">
        <f t="array" ref="I148">$Q$11*NMultDensity(C148:D148,$O$13:$P$13,$O$11:$P$12)/G148</f>
        <v>1.0222753766344081E-112</v>
      </c>
      <c r="J148" s="44" cm="1">
        <f t="array" ref="J148">$Q$15*NMultDensity(C148:D148,$O$17:$P$17,$O$15:$P$16)/G148</f>
        <v>1.0881193754722815E-5</v>
      </c>
      <c r="K148" s="44" cm="1">
        <f t="array" ref="K148">$Q$19*NMultDensity(C148:D148,$O$21:$P$21,$O$19:$P$20)/G148</f>
        <v>0.87662958138730407</v>
      </c>
      <c r="L148" s="35">
        <f t="shared" si="5"/>
        <v>0.87662958138730407</v>
      </c>
      <c r="S148" s="15">
        <v>5.0999999999999996</v>
      </c>
      <c r="T148" s="21">
        <v>1.9</v>
      </c>
      <c r="U148" s="25">
        <v>4</v>
      </c>
    </row>
    <row r="149" spans="1:21" x14ac:dyDescent="0.25">
      <c r="A149" s="1">
        <v>6.5</v>
      </c>
      <c r="B149" s="1">
        <v>3</v>
      </c>
      <c r="C149" s="11">
        <v>5.2</v>
      </c>
      <c r="D149" s="12">
        <v>2</v>
      </c>
      <c r="E149" s="1" t="s">
        <v>7</v>
      </c>
      <c r="F149" s="31">
        <f t="shared" si="4"/>
        <v>4</v>
      </c>
      <c r="G149" s="33" cm="1">
        <f t="array" ref="G149">$Q$7*NMultDensity(C149:D149,$O$9:$P$9,$O$7:$P$8)+$Q$11*NMultDensity(C149:D149,$O$13:$P$13,$O$11:$P$12)+$Q$15*NMultDensity(C149:D149,$O$17:$P$17,$O$15:$P$16)+$Q$19*NMultDensity(C149:D149,$O$21:$P$21,$O$19:$P$20)</f>
        <v>0.29911683767981367</v>
      </c>
      <c r="H149" s="34" cm="1">
        <f t="array" ref="H149">$Q$7*NMultDensity(C149:D149,$O$9:$P$9,$O$7:$P$8)/G149</f>
        <v>4.8395323199251487E-2</v>
      </c>
      <c r="I149" s="34" cm="1">
        <f t="array" ref="I149">$Q$11*NMultDensity(C149:D149,$O$13:$P$13,$O$11:$P$12)/G149</f>
        <v>3.1006410270415225E-126</v>
      </c>
      <c r="J149" s="44" cm="1">
        <f t="array" ref="J149">$Q$15*NMultDensity(C149:D149,$O$17:$P$17,$O$15:$P$16)/G149</f>
        <v>4.0162856715576034E-3</v>
      </c>
      <c r="K149" s="44" cm="1">
        <f t="array" ref="K149">$Q$19*NMultDensity(C149:D149,$O$21:$P$21,$O$19:$P$20)/G149</f>
        <v>0.94758839112919102</v>
      </c>
      <c r="L149" s="35">
        <f t="shared" si="5"/>
        <v>0.94758839112919102</v>
      </c>
      <c r="S149" s="15">
        <v>5.7</v>
      </c>
      <c r="T149" s="21">
        <v>2.5</v>
      </c>
      <c r="U149" s="25">
        <v>4</v>
      </c>
    </row>
    <row r="150" spans="1:21" x14ac:dyDescent="0.25">
      <c r="A150" s="1">
        <v>6.2</v>
      </c>
      <c r="B150" s="1">
        <v>3.4</v>
      </c>
      <c r="C150" s="11">
        <v>5.4</v>
      </c>
      <c r="D150" s="12">
        <v>2.2999999999999998</v>
      </c>
      <c r="E150" s="1" t="s">
        <v>7</v>
      </c>
      <c r="F150" s="31">
        <f t="shared" si="4"/>
        <v>3</v>
      </c>
      <c r="G150" s="33" cm="1">
        <f t="array" ref="G150">$Q$7*NMultDensity(C150:D150,$O$9:$P$9,$O$7:$P$8)+$Q$11*NMultDensity(C150:D150,$O$13:$P$13,$O$11:$P$12)+$Q$15*NMultDensity(C150:D150,$O$17:$P$17,$O$15:$P$16)+$Q$19*NMultDensity(C150:D150,$O$21:$P$21,$O$19:$P$20)</f>
        <v>0.49424553319343301</v>
      </c>
      <c r="H150" s="34" cm="1">
        <f t="array" ref="H150">$Q$7*NMultDensity(C150:D150,$O$9:$P$9,$O$7:$P$8)/G150</f>
        <v>5.9361030398815907E-5</v>
      </c>
      <c r="I150" s="34" cm="1">
        <f t="array" ref="I150">$Q$11*NMultDensity(C150:D150,$O$13:$P$13,$O$11:$P$12)/G150</f>
        <v>1.9829773493860172E-151</v>
      </c>
      <c r="J150" s="44" cm="1">
        <f t="array" ref="J150">$Q$15*NMultDensity(C150:D150,$O$17:$P$17,$O$15:$P$16)/G150</f>
        <v>0.66801932730305069</v>
      </c>
      <c r="K150" s="44" cm="1">
        <f t="array" ref="K150">$Q$19*NMultDensity(C150:D150,$O$21:$P$21,$O$19:$P$20)/G150</f>
        <v>0.33192131166655042</v>
      </c>
      <c r="L150" s="35">
        <f t="shared" si="5"/>
        <v>0.66801932730305069</v>
      </c>
      <c r="S150" s="15">
        <v>5</v>
      </c>
      <c r="T150" s="21">
        <v>1.9</v>
      </c>
      <c r="U150" s="25">
        <v>4</v>
      </c>
    </row>
    <row r="151" spans="1:21" ht="15.75" thickBot="1" x14ac:dyDescent="0.3">
      <c r="A151" s="1">
        <v>5.9</v>
      </c>
      <c r="B151" s="1">
        <v>3</v>
      </c>
      <c r="C151" s="13">
        <v>5.0999999999999996</v>
      </c>
      <c r="D151" s="14">
        <v>1.8</v>
      </c>
      <c r="E151" s="1" t="s">
        <v>7</v>
      </c>
      <c r="F151" s="31">
        <f t="shared" si="4"/>
        <v>1</v>
      </c>
      <c r="G151" s="33" cm="1">
        <f t="array" ref="G151">$Q$7*NMultDensity(C151:D151,$O$9:$P$9,$O$7:$P$8)+$Q$11*NMultDensity(C151:D151,$O$13:$P$13,$O$11:$P$12)+$Q$15*NMultDensity(C151:D151,$O$17:$P$17,$O$15:$P$16)+$Q$19*NMultDensity(C151:D151,$O$21:$P$21,$O$19:$P$20)</f>
        <v>0.24165691717024235</v>
      </c>
      <c r="H151" s="34" cm="1">
        <f t="array" ref="H151">$Q$7*NMultDensity(C151:D151,$O$9:$P$9,$O$7:$P$8)/G151</f>
        <v>0.78582825847145188</v>
      </c>
      <c r="I151" s="34" cm="1">
        <f t="array" ref="I151">$Q$11*NMultDensity(C151:D151,$O$13:$P$13,$O$11:$P$12)/G151</f>
        <v>4.5458179163771481E-113</v>
      </c>
      <c r="J151" s="44" cm="1">
        <f t="array" ref="J151">$Q$15*NMultDensity(C151:D151,$O$17:$P$17,$O$15:$P$16)/G151</f>
        <v>1.6531420482038391E-7</v>
      </c>
      <c r="K151" s="44" cm="1">
        <f t="array" ref="K151">$Q$19*NMultDensity(C151:D151,$O$21:$P$21,$O$19:$P$20)/G151</f>
        <v>0.21417157621434335</v>
      </c>
      <c r="L151" s="35">
        <f t="shared" si="5"/>
        <v>0.78582825847145188</v>
      </c>
      <c r="S151" s="16">
        <v>5.2</v>
      </c>
      <c r="T151" s="22">
        <v>2</v>
      </c>
      <c r="U151" s="26">
        <v>4</v>
      </c>
    </row>
  </sheetData>
  <sortState xmlns:xlrd2="http://schemas.microsoft.com/office/spreadsheetml/2017/richdata2" ref="S2:U151">
    <sortCondition ref="U2:U15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6</vt:i4>
      </vt:variant>
    </vt:vector>
  </HeadingPairs>
  <TitlesOfParts>
    <vt:vector size="8" baseType="lpstr">
      <vt:lpstr>2-grupy(EM)</vt:lpstr>
      <vt:lpstr>4-grupy(EM)</vt:lpstr>
      <vt:lpstr>'4-grupy(EM)'!_m1</vt:lpstr>
      <vt:lpstr>'4-grupy(EM)'!_m2</vt:lpstr>
      <vt:lpstr>'4-grupy(EM)'!_m3</vt:lpstr>
      <vt:lpstr>'4-grupy(EM)'!_m4</vt:lpstr>
      <vt:lpstr>'2-grupy(EM)'!_n1</vt:lpstr>
      <vt:lpstr>'2-grupy(EM)'!_n2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2020-06-25T07:15:02Z</dcterms:created>
  <dcterms:modified xsi:type="dcterms:W3CDTF">2020-07-02T08:02:50Z</dcterms:modified>
</cp:coreProperties>
</file>