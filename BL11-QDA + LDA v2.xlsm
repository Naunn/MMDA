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en_skoroszy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tudia\IV semestr\Matematyczne metody analizy danych\Moje\"/>
    </mc:Choice>
  </mc:AlternateContent>
  <xr:revisionPtr revIDLastSave="0" documentId="13_ncr:1_{552F8B66-0531-4E80-BDDA-951D0DE09BF1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QDA" sheetId="3" r:id="rId1"/>
    <sheet name="LDA" sheetId="2" r:id="rId2"/>
  </sheets>
  <functionGroups builtInGroupCount="19"/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63" i="2" l="1"/>
  <c r="AC64" i="2"/>
  <c r="AC65" i="2"/>
  <c r="AB63" i="2"/>
  <c r="AB64" i="2"/>
  <c r="AB65" i="2"/>
  <c r="AC62" i="2"/>
  <c r="AB62" i="2"/>
  <c r="AA63" i="2"/>
  <c r="AA64" i="2"/>
  <c r="AA65" i="2"/>
  <c r="AA62" i="2"/>
  <c r="Z63" i="2"/>
  <c r="Z64" i="2"/>
  <c r="Z65" i="2"/>
  <c r="Z6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H2" i="2"/>
  <c r="G2" i="2"/>
  <c r="U2" i="2" a="1"/>
  <c r="U108" i="2" a="1"/>
  <c r="U69" i="2" a="1"/>
  <c r="U61" i="2" a="1"/>
  <c r="U36" i="2" a="1"/>
  <c r="U118" i="2" a="1"/>
  <c r="U27" i="2" a="1"/>
  <c r="U149" i="2" a="1"/>
  <c r="U50" i="2" a="1"/>
  <c r="U68" i="2" a="1"/>
  <c r="U33" i="2" a="1"/>
  <c r="U13" i="2" a="1"/>
  <c r="U16" i="2" a="1"/>
  <c r="U82" i="2" a="1"/>
  <c r="U39" i="2" a="1"/>
  <c r="U45" i="2" a="1"/>
  <c r="U66" i="2" a="1"/>
  <c r="U107" i="2" a="1"/>
  <c r="U9" i="2" a="1"/>
  <c r="U28" i="2" a="1"/>
  <c r="U78" i="2" a="1"/>
  <c r="U140" i="2" a="1"/>
  <c r="U138" i="2" a="1"/>
  <c r="U151" i="2" a="1"/>
  <c r="U135" i="2" a="1"/>
  <c r="U38" i="2" a="1"/>
  <c r="U76" i="2" a="1"/>
  <c r="U10" i="2" a="1"/>
  <c r="U59" i="2" a="1"/>
  <c r="U81" i="2" a="1"/>
  <c r="U102" i="2" a="1"/>
  <c r="U132" i="2" a="1"/>
  <c r="U97" i="2" a="1"/>
  <c r="U146" i="2" a="1"/>
  <c r="U52" i="2" a="1"/>
  <c r="U142" i="2" a="1"/>
  <c r="U71" i="2" a="1"/>
  <c r="U101" i="2" a="1"/>
  <c r="U130" i="2" a="1"/>
  <c r="U96" i="2" a="1"/>
  <c r="U49" i="2" a="1"/>
  <c r="U106" i="2" a="1"/>
  <c r="U115" i="2" a="1"/>
  <c r="U14" i="2" a="1"/>
  <c r="U112" i="2" a="1"/>
  <c r="U32" i="2" a="1"/>
  <c r="U110" i="2" a="1"/>
  <c r="U23" i="2" a="1"/>
  <c r="U144" i="2" a="1"/>
  <c r="U46" i="2" a="1"/>
  <c r="U91" i="2" a="1"/>
  <c r="U133" i="2" a="1"/>
  <c r="U15" i="2" a="1"/>
  <c r="U12" i="2" a="1"/>
  <c r="U74" i="2" a="1"/>
  <c r="U3" i="2" a="1"/>
  <c r="U100" i="2" a="1"/>
  <c r="U22" i="2" a="1"/>
  <c r="U103" i="2" a="1"/>
  <c r="U5" i="2" a="1"/>
  <c r="U47" i="2" a="1"/>
  <c r="U137" i="2" a="1"/>
  <c r="U129" i="2" a="1"/>
  <c r="U4" i="2" a="1"/>
  <c r="U95" i="2" a="1"/>
  <c r="U26" i="2" a="1"/>
  <c r="U72" i="2" a="1"/>
  <c r="U6" i="2" a="1"/>
  <c r="U55" i="2" a="1"/>
  <c r="U73" i="2" a="1"/>
  <c r="U94" i="2" a="1"/>
  <c r="U40" i="2" a="1"/>
  <c r="U29" i="2" a="1"/>
  <c r="U64" i="2" a="1"/>
  <c r="U48" i="2" a="1"/>
  <c r="U134" i="2" a="1"/>
  <c r="U35" i="2" a="1"/>
  <c r="U25" i="2" a="1"/>
  <c r="U58" i="2" a="1"/>
  <c r="U88" i="2" a="1"/>
  <c r="U41" i="2" a="1"/>
  <c r="U128" i="2" a="1"/>
  <c r="U24" i="2" a="1"/>
  <c r="U98" i="2" a="1"/>
  <c r="U79" i="2" a="1"/>
  <c r="U105" i="2" a="1"/>
  <c r="U19" i="2" a="1"/>
  <c r="U136" i="2" a="1"/>
  <c r="U42" i="2" a="1"/>
  <c r="U87" i="2" a="1"/>
  <c r="U125" i="2" a="1"/>
  <c r="U124" i="2" a="1"/>
  <c r="U85" i="2" a="1"/>
  <c r="U145" i="2" a="1"/>
  <c r="U92" i="2" a="1"/>
  <c r="U18" i="2" a="1"/>
  <c r="U67" i="2" a="1"/>
  <c r="U93" i="2" a="1"/>
  <c r="U122" i="2" a="1"/>
  <c r="U148" i="2" a="1"/>
  <c r="U117" i="2" a="1"/>
  <c r="U147" i="2" a="1"/>
  <c r="U60" i="2" a="1"/>
  <c r="U119" i="2" a="1"/>
  <c r="U30" i="2" a="1"/>
  <c r="U131" i="2" a="1"/>
  <c r="U109" i="2" a="1"/>
  <c r="U51" i="2" a="1"/>
  <c r="U65" i="2" a="1"/>
  <c r="U86" i="2" a="1"/>
  <c r="U139" i="2" a="1"/>
  <c r="U21" i="2" a="1"/>
  <c r="U104" i="2" a="1"/>
  <c r="U8" i="2" a="1"/>
  <c r="U62" i="2" a="1"/>
  <c r="U31" i="2" a="1"/>
  <c r="U143" i="2" a="1"/>
  <c r="U54" i="2" a="1"/>
  <c r="U99" i="2" a="1"/>
  <c r="U123" i="2" a="1"/>
  <c r="U111" i="2" a="1"/>
  <c r="U20" i="2" a="1"/>
  <c r="U90" i="2" a="1"/>
  <c r="U11" i="2" a="1"/>
  <c r="U120" i="2" a="1"/>
  <c r="U34" i="2" a="1"/>
  <c r="U84" i="2" a="1"/>
  <c r="U7" i="2" a="1"/>
  <c r="U83" i="2" a="1"/>
  <c r="U121" i="2" a="1"/>
  <c r="U127" i="2" a="1"/>
  <c r="U116" i="2" a="1"/>
  <c r="U77" i="2" a="1"/>
  <c r="U113" i="2" a="1"/>
  <c r="U44" i="2" a="1"/>
  <c r="U126" i="2" a="1"/>
  <c r="U63" i="2" a="1"/>
  <c r="U89" i="2" a="1"/>
  <c r="U114" i="2" a="1"/>
  <c r="U80" i="2" a="1"/>
  <c r="U37" i="2" a="1"/>
  <c r="U57" i="2" a="1"/>
  <c r="U56" i="2" a="1"/>
  <c r="U150" i="2" a="1"/>
  <c r="U43" i="2" a="1"/>
  <c r="U53" i="2" a="1"/>
  <c r="U70" i="2" a="1"/>
  <c r="U17" i="2" a="1"/>
  <c r="U141" i="2" a="1"/>
  <c r="U75" i="2" a="1"/>
  <c r="U2" i="2" l="1"/>
  <c r="U127" i="2"/>
  <c r="U146" i="2"/>
  <c r="U138" i="2"/>
  <c r="U130" i="2"/>
  <c r="U122" i="2"/>
  <c r="U114" i="2"/>
  <c r="U102" i="2"/>
  <c r="U94" i="2"/>
  <c r="U86" i="2"/>
  <c r="U78" i="2"/>
  <c r="U70" i="2"/>
  <c r="U66" i="2"/>
  <c r="U58" i="2"/>
  <c r="U54" i="2"/>
  <c r="U50" i="2"/>
  <c r="U46" i="2"/>
  <c r="U42" i="2"/>
  <c r="U38" i="2"/>
  <c r="U34" i="2"/>
  <c r="U26" i="2"/>
  <c r="U22" i="2"/>
  <c r="U18" i="2"/>
  <c r="U14" i="2"/>
  <c r="U10" i="2"/>
  <c r="U6" i="2"/>
  <c r="U147" i="2"/>
  <c r="U119" i="2"/>
  <c r="U150" i="2"/>
  <c r="U142" i="2"/>
  <c r="U134" i="2"/>
  <c r="U126" i="2"/>
  <c r="U118" i="2"/>
  <c r="U110" i="2"/>
  <c r="U106" i="2"/>
  <c r="U98" i="2"/>
  <c r="U90" i="2"/>
  <c r="U82" i="2"/>
  <c r="U74" i="2"/>
  <c r="U62" i="2"/>
  <c r="U30" i="2"/>
  <c r="U135" i="2"/>
  <c r="U145" i="2"/>
  <c r="U129" i="2"/>
  <c r="U117" i="2"/>
  <c r="U105" i="2"/>
  <c r="U97" i="2"/>
  <c r="U85" i="2"/>
  <c r="U77" i="2"/>
  <c r="U69" i="2"/>
  <c r="U57" i="2"/>
  <c r="U49" i="2"/>
  <c r="U41" i="2"/>
  <c r="U37" i="2"/>
  <c r="U33" i="2"/>
  <c r="U29" i="2"/>
  <c r="U21" i="2"/>
  <c r="U17" i="2"/>
  <c r="U13" i="2"/>
  <c r="U9" i="2"/>
  <c r="U5" i="2"/>
  <c r="U123" i="2"/>
  <c r="U141" i="2"/>
  <c r="U133" i="2"/>
  <c r="U125" i="2"/>
  <c r="U121" i="2"/>
  <c r="U113" i="2"/>
  <c r="U109" i="2"/>
  <c r="U101" i="2"/>
  <c r="U93" i="2"/>
  <c r="U89" i="2"/>
  <c r="U81" i="2"/>
  <c r="U73" i="2"/>
  <c r="U65" i="2"/>
  <c r="U61" i="2"/>
  <c r="U53" i="2"/>
  <c r="U45" i="2"/>
  <c r="U25" i="2"/>
  <c r="U143" i="2"/>
  <c r="U149" i="2"/>
  <c r="U144" i="2"/>
  <c r="U136" i="2"/>
  <c r="U128" i="2"/>
  <c r="U120" i="2"/>
  <c r="U112" i="2"/>
  <c r="U100" i="2"/>
  <c r="U92" i="2"/>
  <c r="U84" i="2"/>
  <c r="U76" i="2"/>
  <c r="U72" i="2"/>
  <c r="U64" i="2"/>
  <c r="U60" i="2"/>
  <c r="U56" i="2"/>
  <c r="U52" i="2"/>
  <c r="U48" i="2"/>
  <c r="U44" i="2"/>
  <c r="U36" i="2"/>
  <c r="U32" i="2"/>
  <c r="U28" i="2"/>
  <c r="U24" i="2"/>
  <c r="U20" i="2"/>
  <c r="U16" i="2"/>
  <c r="U12" i="2"/>
  <c r="U8" i="2"/>
  <c r="U4" i="2"/>
  <c r="U151" i="2"/>
  <c r="U131" i="2"/>
  <c r="U137" i="2"/>
  <c r="U148" i="2"/>
  <c r="U140" i="2"/>
  <c r="U132" i="2"/>
  <c r="U124" i="2"/>
  <c r="U116" i="2"/>
  <c r="U108" i="2"/>
  <c r="U104" i="2"/>
  <c r="U96" i="2"/>
  <c r="U88" i="2"/>
  <c r="U80" i="2"/>
  <c r="U68" i="2"/>
  <c r="U40" i="2"/>
  <c r="U139" i="2"/>
  <c r="U115" i="2"/>
  <c r="U111" i="2"/>
  <c r="U107" i="2"/>
  <c r="U103" i="2"/>
  <c r="U99" i="2"/>
  <c r="U95" i="2"/>
  <c r="U91" i="2"/>
  <c r="U87" i="2"/>
  <c r="U83" i="2"/>
  <c r="U79" i="2"/>
  <c r="U75" i="2"/>
  <c r="U71" i="2"/>
  <c r="U67" i="2"/>
  <c r="U63" i="2"/>
  <c r="U59" i="2"/>
  <c r="U55" i="2"/>
  <c r="U51" i="2"/>
  <c r="U47" i="2"/>
  <c r="U43" i="2"/>
  <c r="U39" i="2"/>
  <c r="U35" i="2"/>
  <c r="U31" i="2"/>
  <c r="U27" i="2"/>
  <c r="U23" i="2"/>
  <c r="U19" i="2"/>
  <c r="U15" i="2"/>
  <c r="U11" i="2"/>
  <c r="U7" i="2"/>
  <c r="U3" i="2"/>
  <c r="AE7" i="2"/>
  <c r="AA9" i="2"/>
  <c r="AB9" i="2"/>
  <c r="AC9" i="2"/>
  <c r="AA10" i="2"/>
  <c r="AB10" i="2"/>
  <c r="AC10" i="2"/>
  <c r="AA11" i="2"/>
  <c r="AB11" i="2"/>
  <c r="AC11" i="2"/>
  <c r="AA12" i="2"/>
  <c r="AB12" i="2"/>
  <c r="AC12" i="2"/>
  <c r="AA13" i="2"/>
  <c r="AB13" i="2"/>
  <c r="AC13" i="2"/>
  <c r="AA14" i="2"/>
  <c r="AB14" i="2"/>
  <c r="AC14" i="2"/>
  <c r="AA15" i="2"/>
  <c r="AB15" i="2"/>
  <c r="AC15" i="2"/>
  <c r="AA17" i="2"/>
  <c r="AA22" i="2"/>
  <c r="AB22" i="2"/>
  <c r="AC22" i="2"/>
  <c r="AA23" i="2"/>
  <c r="AB23" i="2"/>
  <c r="AC23" i="2"/>
  <c r="AA24" i="2"/>
  <c r="AB24" i="2"/>
  <c r="AC24" i="2"/>
  <c r="AA25" i="2"/>
  <c r="AB25" i="2"/>
  <c r="AC25" i="2"/>
  <c r="AA26" i="2"/>
  <c r="AB26" i="2"/>
  <c r="AC26" i="2"/>
  <c r="AA27" i="2"/>
  <c r="AB27" i="2"/>
  <c r="AC27" i="2"/>
  <c r="AA28" i="2"/>
  <c r="AB28" i="2"/>
  <c r="AC28" i="2"/>
  <c r="AA30" i="2"/>
  <c r="AA35" i="2"/>
  <c r="AB35" i="2"/>
  <c r="AC35" i="2"/>
  <c r="AA36" i="2"/>
  <c r="AB36" i="2"/>
  <c r="AC36" i="2"/>
  <c r="AA37" i="2"/>
  <c r="AB37" i="2"/>
  <c r="AC37" i="2"/>
  <c r="AA38" i="2"/>
  <c r="AB38" i="2"/>
  <c r="AC38" i="2"/>
  <c r="AA39" i="2"/>
  <c r="AB39" i="2"/>
  <c r="AC39" i="2"/>
  <c r="AA40" i="2"/>
  <c r="AB40" i="2"/>
  <c r="AC40" i="2"/>
  <c r="AA41" i="2"/>
  <c r="AB41" i="2"/>
  <c r="AC41" i="2"/>
  <c r="AA43" i="2"/>
  <c r="R42" i="3" l="1"/>
  <c r="U40" i="3"/>
  <c r="T40" i="3"/>
  <c r="S40" i="3"/>
  <c r="R40" i="3"/>
  <c r="U39" i="3"/>
  <c r="T39" i="3"/>
  <c r="S39" i="3"/>
  <c r="R39" i="3"/>
  <c r="U38" i="3"/>
  <c r="V37" i="3" s="1"/>
  <c r="T38" i="3"/>
  <c r="S38" i="3"/>
  <c r="R38" i="3"/>
  <c r="U37" i="3"/>
  <c r="T37" i="3"/>
  <c r="S37" i="3"/>
  <c r="R37" i="3"/>
  <c r="V36" i="3"/>
  <c r="U36" i="3"/>
  <c r="T36" i="3"/>
  <c r="S36" i="3"/>
  <c r="R36" i="3"/>
  <c r="V35" i="3"/>
  <c r="U35" i="3"/>
  <c r="T35" i="3"/>
  <c r="S35" i="3"/>
  <c r="R35" i="3"/>
  <c r="V34" i="3"/>
  <c r="U34" i="3"/>
  <c r="T34" i="3"/>
  <c r="S34" i="3"/>
  <c r="R34" i="3"/>
  <c r="R29" i="3"/>
  <c r="U27" i="3"/>
  <c r="T27" i="3"/>
  <c r="S27" i="3"/>
  <c r="R27" i="3"/>
  <c r="U26" i="3"/>
  <c r="T26" i="3"/>
  <c r="S26" i="3"/>
  <c r="R26" i="3"/>
  <c r="U25" i="3"/>
  <c r="T25" i="3"/>
  <c r="S25" i="3"/>
  <c r="R25" i="3"/>
  <c r="V24" i="3"/>
  <c r="U24" i="3"/>
  <c r="T24" i="3"/>
  <c r="S24" i="3"/>
  <c r="R24" i="3"/>
  <c r="V23" i="3"/>
  <c r="U23" i="3"/>
  <c r="T23" i="3"/>
  <c r="S23" i="3"/>
  <c r="R23" i="3"/>
  <c r="V22" i="3"/>
  <c r="U22" i="3"/>
  <c r="T22" i="3"/>
  <c r="S22" i="3"/>
  <c r="R22" i="3"/>
  <c r="V21" i="3"/>
  <c r="U21" i="3"/>
  <c r="T21" i="3"/>
  <c r="S21" i="3"/>
  <c r="R21" i="3"/>
  <c r="V19" i="3"/>
  <c r="V32" i="3" s="1"/>
  <c r="R16" i="3"/>
  <c r="U14" i="3"/>
  <c r="T14" i="3"/>
  <c r="S14" i="3"/>
  <c r="R14" i="3"/>
  <c r="U13" i="3"/>
  <c r="T13" i="3"/>
  <c r="S13" i="3"/>
  <c r="R13" i="3"/>
  <c r="U12" i="3"/>
  <c r="T12" i="3"/>
  <c r="S12" i="3"/>
  <c r="R12" i="3"/>
  <c r="V11" i="3"/>
  <c r="U11" i="3"/>
  <c r="T11" i="3"/>
  <c r="S11" i="3"/>
  <c r="R11" i="3"/>
  <c r="V10" i="3"/>
  <c r="U10" i="3"/>
  <c r="T10" i="3"/>
  <c r="S10" i="3"/>
  <c r="R10" i="3"/>
  <c r="V9" i="3"/>
  <c r="U9" i="3"/>
  <c r="T9" i="3"/>
  <c r="S9" i="3"/>
  <c r="R9" i="3"/>
  <c r="V8" i="3"/>
  <c r="U8" i="3"/>
  <c r="T8" i="3"/>
  <c r="S8" i="3"/>
  <c r="R8" i="3"/>
  <c r="L91" i="3" a="1"/>
  <c r="L16" i="3" a="1"/>
  <c r="G5" i="3" a="1"/>
  <c r="L23" i="3" a="1"/>
  <c r="L54" i="3" a="1"/>
  <c r="G100" i="3" a="1"/>
  <c r="L132" i="3" a="1"/>
  <c r="L61" i="3" a="1"/>
  <c r="G108" i="3" a="1"/>
  <c r="L120" i="3" a="1"/>
  <c r="L111" i="3" a="1"/>
  <c r="G104" i="3" a="1"/>
  <c r="G82" i="3" a="1"/>
  <c r="L133" i="3" a="1"/>
  <c r="L121" i="3" a="1"/>
  <c r="G38" i="3" a="1"/>
  <c r="G62" i="3" a="1"/>
  <c r="L144" i="3" a="1"/>
  <c r="G98" i="3" a="1"/>
  <c r="G133" i="3" a="1"/>
  <c r="L105" i="3" a="1"/>
  <c r="L42" i="3" a="1"/>
  <c r="G119" i="3" a="1"/>
  <c r="L31" i="3" a="1"/>
  <c r="L149" i="3" a="1"/>
  <c r="G31" i="3" a="1"/>
  <c r="L6" i="3" a="1"/>
  <c r="L123" i="3" a="1"/>
  <c r="G90" i="3" a="1"/>
  <c r="L86" i="3" a="1"/>
  <c r="L58" i="3" a="1"/>
  <c r="L98" i="3" a="1"/>
  <c r="G43" i="3" a="1"/>
  <c r="G42" i="3" a="1"/>
  <c r="L57" i="3" a="1"/>
  <c r="G123" i="3" a="1"/>
  <c r="G128" i="3" a="1"/>
  <c r="G94" i="3" a="1"/>
  <c r="L7" i="3" a="1"/>
  <c r="L126" i="3" a="1"/>
  <c r="G146" i="3" a="1"/>
  <c r="G102" i="3" a="1"/>
  <c r="G105" i="3" a="1"/>
  <c r="L100" i="3" a="1"/>
  <c r="L75" i="3" a="1"/>
  <c r="L65" i="3" a="1"/>
  <c r="G96" i="3" a="1"/>
  <c r="L79" i="3" a="1"/>
  <c r="L59" i="3" a="1"/>
  <c r="G122" i="3" a="1"/>
  <c r="L118" i="3" a="1"/>
  <c r="L19" i="3" a="1"/>
  <c r="G13" i="3" a="1"/>
  <c r="G115" i="3" a="1"/>
  <c r="L143" i="3" a="1"/>
  <c r="G120" i="3" a="1"/>
  <c r="G124" i="3" a="1"/>
  <c r="L35" i="3" a="1"/>
  <c r="G107" i="3" a="1"/>
  <c r="G74" i="3" a="1"/>
  <c r="L20" i="3" a="1"/>
  <c r="L71" i="3" a="1"/>
  <c r="G41" i="3" a="1"/>
  <c r="G15" i="3" a="1"/>
  <c r="L74" i="3" a="1"/>
  <c r="L84" i="3" a="1"/>
  <c r="G28" i="3" a="1"/>
  <c r="G16" i="3" a="1"/>
  <c r="L51" i="3" a="1"/>
  <c r="L4" i="3" a="1"/>
  <c r="L99" i="3" a="1"/>
  <c r="L130" i="3" a="1"/>
  <c r="G113" i="3" a="1"/>
  <c r="L67" i="3" a="1"/>
  <c r="G72" i="3" a="1"/>
  <c r="G89" i="3" a="1"/>
  <c r="L109" i="3" a="1"/>
  <c r="L80" i="3" a="1"/>
  <c r="G52" i="3" a="1"/>
  <c r="G73" i="3" a="1"/>
  <c r="L135" i="3" a="1"/>
  <c r="G36" i="3" a="1"/>
  <c r="G92" i="3" a="1"/>
  <c r="L8" i="3" a="1"/>
  <c r="G116" i="3" a="1"/>
  <c r="G69" i="3" a="1"/>
  <c r="L78" i="3" a="1"/>
  <c r="G145" i="3" a="1"/>
  <c r="L134" i="3" a="1"/>
  <c r="L107" i="3" a="1"/>
  <c r="L52" i="3" a="1"/>
  <c r="G150" i="3" a="1"/>
  <c r="L131" i="3" a="1"/>
  <c r="L10" i="3" a="1"/>
  <c r="G21" i="3" a="1"/>
  <c r="L115" i="3" a="1"/>
  <c r="L68" i="3" a="1"/>
  <c r="G8" i="3" a="1"/>
  <c r="G114" i="3" a="1"/>
  <c r="G81" i="3" a="1"/>
  <c r="L30" i="3" a="1"/>
  <c r="G24" i="3" a="1"/>
  <c r="L148" i="3" a="1"/>
  <c r="L147" i="3" a="1"/>
  <c r="G20" i="3" a="1"/>
  <c r="L83" i="3" a="1"/>
  <c r="L103" i="3" a="1"/>
  <c r="L82" i="3" a="1"/>
  <c r="L89" i="3" a="1"/>
  <c r="L43" i="3" a="1"/>
  <c r="L48" i="3" a="1"/>
  <c r="G60" i="3" a="1"/>
  <c r="L106" i="3" a="1"/>
  <c r="G71" i="3" a="1"/>
  <c r="L50" i="3" a="1"/>
  <c r="L28" i="3" a="1"/>
  <c r="G127" i="3" a="1"/>
  <c r="G47" i="3" a="1"/>
  <c r="L3" i="3" a="1"/>
  <c r="L34" i="3" a="1"/>
  <c r="G44" i="3" a="1"/>
  <c r="L60" i="3" a="1"/>
  <c r="G67" i="3" a="1"/>
  <c r="G111" i="3" a="1"/>
  <c r="L2" i="3" a="1"/>
  <c r="L53" i="3" a="1"/>
  <c r="G25" i="3" a="1"/>
  <c r="L55" i="3" a="1"/>
  <c r="L40" i="3" a="1"/>
  <c r="G110" i="3" a="1"/>
  <c r="L41" i="3" a="1"/>
  <c r="L90" i="3" a="1"/>
  <c r="G106" i="3" a="1"/>
  <c r="G55" i="3" a="1"/>
  <c r="L110" i="3" a="1"/>
  <c r="L125" i="3" a="1"/>
  <c r="G135" i="3" a="1"/>
  <c r="G83" i="3" a="1"/>
  <c r="L92" i="3" a="1"/>
  <c r="G134" i="3" a="1"/>
  <c r="G33" i="3" a="1"/>
  <c r="G87" i="3" a="1"/>
  <c r="L46" i="3" a="1"/>
  <c r="G7" i="3" a="1"/>
  <c r="G68" i="3" a="1"/>
  <c r="L93" i="3" a="1"/>
  <c r="G121" i="3" a="1"/>
  <c r="G77" i="3" a="1"/>
  <c r="L150" i="3" a="1"/>
  <c r="G79" i="3" a="1"/>
  <c r="L136" i="3" a="1"/>
  <c r="L146" i="3" a="1"/>
  <c r="G91" i="3" a="1"/>
  <c r="G12" i="3" a="1"/>
  <c r="L87" i="3" a="1"/>
  <c r="G70" i="3" a="1"/>
  <c r="G39" i="3" a="1"/>
  <c r="L36" i="3" a="1"/>
  <c r="G76" i="3" a="1"/>
  <c r="L38" i="3" a="1"/>
  <c r="L119" i="3" a="1"/>
  <c r="G126" i="3" a="1"/>
  <c r="G80" i="3" a="1"/>
  <c r="L9" i="3" a="1"/>
  <c r="L33" i="3" a="1"/>
  <c r="L22" i="3" a="1"/>
  <c r="L13" i="3" a="1"/>
  <c r="G139" i="3" a="1"/>
  <c r="G112" i="3" a="1"/>
  <c r="L108" i="3" a="1"/>
  <c r="L116" i="3" a="1"/>
  <c r="G61" i="3" a="1"/>
  <c r="L114" i="3" a="1"/>
  <c r="L72" i="3" a="1"/>
  <c r="G2" i="3" a="1"/>
  <c r="L47" i="3" a="1"/>
  <c r="L62" i="3" a="1"/>
  <c r="L151" i="3" a="1"/>
  <c r="G53" i="3" a="1"/>
  <c r="G140" i="3" a="1"/>
  <c r="G63" i="3" a="1"/>
  <c r="G49" i="3" a="1"/>
  <c r="G6" i="3" a="1"/>
  <c r="L124" i="3" a="1"/>
  <c r="G143" i="3" a="1"/>
  <c r="G138" i="3" a="1"/>
  <c r="L128" i="3" a="1"/>
  <c r="G19" i="3" a="1"/>
  <c r="G101" i="3" a="1"/>
  <c r="G95" i="3" a="1"/>
  <c r="L104" i="3" a="1"/>
  <c r="G45" i="3" a="1"/>
  <c r="G10" i="3" a="1"/>
  <c r="G40" i="3" a="1"/>
  <c r="G59" i="3" a="1"/>
  <c r="G11" i="3" a="1"/>
  <c r="L24" i="3" a="1"/>
  <c r="L29" i="3" a="1"/>
  <c r="G14" i="3" a="1"/>
  <c r="L137" i="3" a="1"/>
  <c r="G97" i="3" a="1"/>
  <c r="G141" i="3" a="1"/>
  <c r="L56" i="3" a="1"/>
  <c r="L44" i="3" a="1"/>
  <c r="G26" i="3" a="1"/>
  <c r="G17" i="3" a="1"/>
  <c r="L85" i="3" a="1"/>
  <c r="G144" i="3" a="1"/>
  <c r="G46" i="3" a="1"/>
  <c r="L66" i="3" a="1"/>
  <c r="G85" i="3" a="1"/>
  <c r="L76" i="3" a="1"/>
  <c r="L45" i="3" a="1"/>
  <c r="G30" i="3" a="1"/>
  <c r="G99" i="3" a="1"/>
  <c r="G109" i="3" a="1"/>
  <c r="L17" i="3" a="1"/>
  <c r="G66" i="3" a="1"/>
  <c r="G4" i="3" a="1"/>
  <c r="L88" i="3" a="1"/>
  <c r="G32" i="3" a="1"/>
  <c r="G148" i="3" a="1"/>
  <c r="G103" i="3" a="1"/>
  <c r="L14" i="3" a="1"/>
  <c r="G93" i="3" a="1"/>
  <c r="G54" i="3" a="1"/>
  <c r="L21" i="3" a="1"/>
  <c r="L70" i="3" a="1"/>
  <c r="G151" i="3" a="1"/>
  <c r="L73" i="3" a="1"/>
  <c r="L81" i="3" a="1"/>
  <c r="G132" i="3" a="1"/>
  <c r="G51" i="3" a="1"/>
  <c r="L140" i="3" a="1"/>
  <c r="G22" i="3" a="1"/>
  <c r="G131" i="3" a="1"/>
  <c r="L113" i="3" a="1"/>
  <c r="G147" i="3" a="1"/>
  <c r="G136" i="3" a="1"/>
  <c r="L18" i="3" a="1"/>
  <c r="G18" i="3" a="1"/>
  <c r="G118" i="3" a="1"/>
  <c r="G125" i="3" a="1"/>
  <c r="L49" i="3" a="1"/>
  <c r="G84" i="3" a="1"/>
  <c r="L127" i="3" a="1"/>
  <c r="L117" i="3" a="1"/>
  <c r="G149" i="3" a="1"/>
  <c r="L142" i="3" a="1"/>
  <c r="L5" i="3" a="1"/>
  <c r="L94" i="3" a="1"/>
  <c r="G117" i="3" a="1"/>
  <c r="L63" i="3" a="1"/>
  <c r="L145" i="3" a="1"/>
  <c r="G37" i="3" a="1"/>
  <c r="G64" i="3" a="1"/>
  <c r="L11" i="3" a="1"/>
  <c r="G27" i="3" a="1"/>
  <c r="G34" i="3" a="1"/>
  <c r="G130" i="3" a="1"/>
  <c r="G78" i="3" a="1"/>
  <c r="L12" i="3" a="1"/>
  <c r="L32" i="3" a="1"/>
  <c r="L69" i="3" a="1"/>
  <c r="L97" i="3" a="1"/>
  <c r="G23" i="3" a="1"/>
  <c r="L26" i="3" a="1"/>
  <c r="G48" i="3" a="1"/>
  <c r="L122" i="3" a="1"/>
  <c r="L101" i="3" a="1"/>
  <c r="L129" i="3" a="1"/>
  <c r="G3" i="3" a="1"/>
  <c r="G56" i="3" a="1"/>
  <c r="L138" i="3" a="1"/>
  <c r="G88" i="3" a="1"/>
  <c r="L102" i="3" a="1"/>
  <c r="L15" i="3" a="1"/>
  <c r="L112" i="3" a="1"/>
  <c r="G137" i="3" a="1"/>
  <c r="L39" i="3" a="1"/>
  <c r="G9" i="3" a="1"/>
  <c r="G29" i="3" a="1"/>
  <c r="G86" i="3" a="1"/>
  <c r="L27" i="3" a="1"/>
  <c r="G50" i="3" a="1"/>
  <c r="L141" i="3" a="1"/>
  <c r="L77" i="3" a="1"/>
  <c r="L95" i="3" a="1"/>
  <c r="L64" i="3" a="1"/>
  <c r="L37" i="3" a="1"/>
  <c r="L25" i="3" a="1"/>
  <c r="G58" i="3" a="1"/>
  <c r="L96" i="3" a="1"/>
  <c r="G129" i="3" a="1"/>
  <c r="G35" i="3" a="1"/>
  <c r="G142" i="3" a="1"/>
  <c r="L139" i="3" a="1"/>
  <c r="G75" i="3" a="1"/>
  <c r="G65" i="3" a="1"/>
  <c r="G57" i="3" a="1"/>
  <c r="L46" i="3" l="1"/>
  <c r="L31" i="3"/>
  <c r="L20" i="3"/>
  <c r="L82" i="3"/>
  <c r="L52" i="3"/>
  <c r="L65" i="3"/>
  <c r="L126" i="3"/>
  <c r="L84" i="3"/>
  <c r="L42" i="3"/>
  <c r="L127" i="3"/>
  <c r="L148" i="3"/>
  <c r="L95" i="3"/>
  <c r="L129" i="3"/>
  <c r="L97" i="3"/>
  <c r="L33" i="3"/>
  <c r="L94" i="3"/>
  <c r="L116" i="3"/>
  <c r="L63" i="3"/>
  <c r="L70" i="3"/>
  <c r="L125" i="3"/>
  <c r="L29" i="3"/>
  <c r="L112" i="3"/>
  <c r="L48" i="3"/>
  <c r="L10" i="3"/>
  <c r="L59" i="3"/>
  <c r="L38" i="3"/>
  <c r="L22" i="3"/>
  <c r="L121" i="3"/>
  <c r="L89" i="3"/>
  <c r="L57" i="3"/>
  <c r="L25" i="3"/>
  <c r="L138" i="3"/>
  <c r="L140" i="3"/>
  <c r="L108" i="3"/>
  <c r="L76" i="3"/>
  <c r="L44" i="3"/>
  <c r="L12" i="3"/>
  <c r="L14" i="3"/>
  <c r="L151" i="3"/>
  <c r="L119" i="3"/>
  <c r="L87" i="3"/>
  <c r="L55" i="3"/>
  <c r="L23" i="3"/>
  <c r="L34" i="3"/>
  <c r="L93" i="3"/>
  <c r="L30" i="3"/>
  <c r="L144" i="3"/>
  <c r="L80" i="3"/>
  <c r="L54" i="3"/>
  <c r="L91" i="3"/>
  <c r="L142" i="3"/>
  <c r="L6" i="3"/>
  <c r="L149" i="3"/>
  <c r="L117" i="3"/>
  <c r="L85" i="3"/>
  <c r="L53" i="3"/>
  <c r="L21" i="3"/>
  <c r="L114" i="3"/>
  <c r="L136" i="3"/>
  <c r="L104" i="3"/>
  <c r="L72" i="3"/>
  <c r="L40" i="3"/>
  <c r="L8" i="3"/>
  <c r="L150" i="3"/>
  <c r="L147" i="3"/>
  <c r="L115" i="3"/>
  <c r="L83" i="3"/>
  <c r="L51" i="3"/>
  <c r="L19" i="3"/>
  <c r="L61" i="3"/>
  <c r="L16" i="3"/>
  <c r="L123" i="3"/>
  <c r="L27" i="3"/>
  <c r="L106" i="3"/>
  <c r="L134" i="3"/>
  <c r="L145" i="3"/>
  <c r="L113" i="3"/>
  <c r="L81" i="3"/>
  <c r="L49" i="3"/>
  <c r="L17" i="3"/>
  <c r="L90" i="3"/>
  <c r="L132" i="3"/>
  <c r="L100" i="3"/>
  <c r="L68" i="3"/>
  <c r="L36" i="3"/>
  <c r="L4" i="3"/>
  <c r="L130" i="3"/>
  <c r="L143" i="3"/>
  <c r="L111" i="3"/>
  <c r="L79" i="3"/>
  <c r="L47" i="3"/>
  <c r="L15" i="3"/>
  <c r="L64" i="3"/>
  <c r="L139" i="3"/>
  <c r="L11" i="3"/>
  <c r="L18" i="3"/>
  <c r="L137" i="3"/>
  <c r="L105" i="3"/>
  <c r="L41" i="3"/>
  <c r="L9" i="3"/>
  <c r="L50" i="3"/>
  <c r="L124" i="3"/>
  <c r="L92" i="3"/>
  <c r="L60" i="3"/>
  <c r="L28" i="3"/>
  <c r="L118" i="3"/>
  <c r="L86" i="3"/>
  <c r="L135" i="3"/>
  <c r="L103" i="3"/>
  <c r="L71" i="3"/>
  <c r="L39" i="3"/>
  <c r="L7" i="3"/>
  <c r="L78" i="3"/>
  <c r="L102" i="3"/>
  <c r="L141" i="3"/>
  <c r="L109" i="3"/>
  <c r="L77" i="3"/>
  <c r="L45" i="3"/>
  <c r="L13" i="3"/>
  <c r="L66" i="3"/>
  <c r="L128" i="3"/>
  <c r="L96" i="3"/>
  <c r="L32" i="3"/>
  <c r="L146" i="3"/>
  <c r="L110" i="3"/>
  <c r="L107" i="3"/>
  <c r="L75" i="3"/>
  <c r="L43" i="3"/>
  <c r="L74" i="3"/>
  <c r="L73" i="3"/>
  <c r="L122" i="3"/>
  <c r="L58" i="3"/>
  <c r="L133" i="3"/>
  <c r="L101" i="3"/>
  <c r="L69" i="3"/>
  <c r="L37" i="3"/>
  <c r="L5" i="3"/>
  <c r="L26" i="3"/>
  <c r="L120" i="3"/>
  <c r="L88" i="3"/>
  <c r="L56" i="3"/>
  <c r="L24" i="3"/>
  <c r="L98" i="3"/>
  <c r="L62" i="3"/>
  <c r="L131" i="3"/>
  <c r="L99" i="3"/>
  <c r="L67" i="3"/>
  <c r="L35" i="3"/>
  <c r="L3" i="3"/>
  <c r="L2" i="3"/>
  <c r="G134" i="3"/>
  <c r="G114" i="3"/>
  <c r="G102" i="3"/>
  <c r="G82" i="3"/>
  <c r="G62" i="3"/>
  <c r="G22" i="3"/>
  <c r="G144" i="3"/>
  <c r="G132" i="3"/>
  <c r="G120" i="3"/>
  <c r="G108" i="3"/>
  <c r="G96" i="3"/>
  <c r="G84" i="3"/>
  <c r="G64" i="3"/>
  <c r="G151" i="3"/>
  <c r="G143" i="3"/>
  <c r="G135" i="3"/>
  <c r="G127" i="3"/>
  <c r="G123" i="3"/>
  <c r="G115" i="3"/>
  <c r="G107" i="3"/>
  <c r="G99" i="3"/>
  <c r="G95" i="3"/>
  <c r="G87" i="3"/>
  <c r="G79" i="3"/>
  <c r="G71" i="3"/>
  <c r="G63" i="3"/>
  <c r="G51" i="3"/>
  <c r="G43" i="3"/>
  <c r="G23" i="3"/>
  <c r="G142" i="3"/>
  <c r="G126" i="3"/>
  <c r="G106" i="3"/>
  <c r="G86" i="3"/>
  <c r="G66" i="3"/>
  <c r="G50" i="3"/>
  <c r="G42" i="3"/>
  <c r="G26" i="3"/>
  <c r="G14" i="3"/>
  <c r="G6" i="3"/>
  <c r="G145" i="3"/>
  <c r="G137" i="3"/>
  <c r="G125" i="3"/>
  <c r="G117" i="3"/>
  <c r="G109" i="3"/>
  <c r="G101" i="3"/>
  <c r="G93" i="3"/>
  <c r="G89" i="3"/>
  <c r="G81" i="3"/>
  <c r="G77" i="3"/>
  <c r="G73" i="3"/>
  <c r="G69" i="3"/>
  <c r="G65" i="3"/>
  <c r="G61" i="3"/>
  <c r="G53" i="3"/>
  <c r="G49" i="3"/>
  <c r="G45" i="3"/>
  <c r="G41" i="3"/>
  <c r="G37" i="3"/>
  <c r="G33" i="3"/>
  <c r="G29" i="3"/>
  <c r="G25" i="3"/>
  <c r="G21" i="3"/>
  <c r="G17" i="3"/>
  <c r="G13" i="3"/>
  <c r="G9" i="3"/>
  <c r="G5" i="3"/>
  <c r="G146" i="3"/>
  <c r="G118" i="3"/>
  <c r="G94" i="3"/>
  <c r="G70" i="3"/>
  <c r="G46" i="3"/>
  <c r="G38" i="3"/>
  <c r="G18" i="3"/>
  <c r="G10" i="3"/>
  <c r="G149" i="3"/>
  <c r="G141" i="3"/>
  <c r="G133" i="3"/>
  <c r="G129" i="3"/>
  <c r="G121" i="3"/>
  <c r="G113" i="3"/>
  <c r="G105" i="3"/>
  <c r="G97" i="3"/>
  <c r="G85" i="3"/>
  <c r="G57" i="3"/>
  <c r="G150" i="3"/>
  <c r="G130" i="3"/>
  <c r="G110" i="3"/>
  <c r="G90" i="3"/>
  <c r="G78" i="3"/>
  <c r="G58" i="3"/>
  <c r="G34" i="3"/>
  <c r="G148" i="3"/>
  <c r="G136" i="3"/>
  <c r="G128" i="3"/>
  <c r="G116" i="3"/>
  <c r="G104" i="3"/>
  <c r="G92" i="3"/>
  <c r="G80" i="3"/>
  <c r="G76" i="3"/>
  <c r="G72" i="3"/>
  <c r="G60" i="3"/>
  <c r="G56" i="3"/>
  <c r="G52" i="3"/>
  <c r="G48" i="3"/>
  <c r="G44" i="3"/>
  <c r="G40" i="3"/>
  <c r="G36" i="3"/>
  <c r="G32" i="3"/>
  <c r="G28" i="3"/>
  <c r="G24" i="3"/>
  <c r="G20" i="3"/>
  <c r="G16" i="3"/>
  <c r="G12" i="3"/>
  <c r="G8" i="3"/>
  <c r="G4" i="3"/>
  <c r="G138" i="3"/>
  <c r="G122" i="3"/>
  <c r="G98" i="3"/>
  <c r="G74" i="3"/>
  <c r="G54" i="3"/>
  <c r="G30" i="3"/>
  <c r="G140" i="3"/>
  <c r="G124" i="3"/>
  <c r="G112" i="3"/>
  <c r="G100" i="3"/>
  <c r="G88" i="3"/>
  <c r="G68" i="3"/>
  <c r="G147" i="3"/>
  <c r="G139" i="3"/>
  <c r="G131" i="3"/>
  <c r="G119" i="3"/>
  <c r="G111" i="3"/>
  <c r="G103" i="3"/>
  <c r="G91" i="3"/>
  <c r="G83" i="3"/>
  <c r="G75" i="3"/>
  <c r="G67" i="3"/>
  <c r="G59" i="3"/>
  <c r="G55" i="3"/>
  <c r="G47" i="3"/>
  <c r="G39" i="3"/>
  <c r="G35" i="3"/>
  <c r="G31" i="3"/>
  <c r="G27" i="3"/>
  <c r="G19" i="3"/>
  <c r="G15" i="3"/>
  <c r="G11" i="3"/>
  <c r="G7" i="3"/>
  <c r="G3" i="3"/>
  <c r="G2" i="3"/>
  <c r="AD15" i="2"/>
  <c r="AD14" i="2"/>
  <c r="AD13" i="2"/>
  <c r="AE12" i="2"/>
  <c r="AD12" i="2"/>
  <c r="AE11" i="2"/>
  <c r="AD11" i="2"/>
  <c r="AE10" i="2"/>
  <c r="AD10" i="2"/>
  <c r="AE9" i="2"/>
  <c r="AD9" i="2"/>
  <c r="I128" i="3" a="1"/>
  <c r="N40" i="3" a="1"/>
  <c r="J129" i="3" a="1"/>
  <c r="M16" i="3" a="1"/>
  <c r="N82" i="3" a="1"/>
  <c r="H133" i="3" a="1"/>
  <c r="M64" i="3" a="1"/>
  <c r="H77" i="3" a="1"/>
  <c r="M45" i="3" a="1"/>
  <c r="I86" i="3" a="1"/>
  <c r="O13" i="3" a="1"/>
  <c r="J119" i="3" a="1"/>
  <c r="J15" i="3" a="1"/>
  <c r="I66" i="3" a="1"/>
  <c r="H85" i="3" a="1"/>
  <c r="O93" i="3" a="1"/>
  <c r="H60" i="3" a="1"/>
  <c r="M30" i="3" a="1"/>
  <c r="I34" i="3" a="1"/>
  <c r="H29" i="3" a="1"/>
  <c r="M145" i="3" a="1"/>
  <c r="I27" i="3" a="1"/>
  <c r="O64" i="3" a="1"/>
  <c r="I13" i="3" a="1"/>
  <c r="O139" i="3" a="1"/>
  <c r="H102" i="3" a="1"/>
  <c r="O98" i="3" a="1"/>
  <c r="H86" i="3" a="1"/>
  <c r="N43" i="3" a="1"/>
  <c r="J58" i="3" a="1"/>
  <c r="O140" i="3" a="1"/>
  <c r="I58" i="3" a="1"/>
  <c r="O26" i="3" a="1"/>
  <c r="M126" i="3" a="1"/>
  <c r="H110" i="3" a="1"/>
  <c r="O18" i="3" a="1"/>
  <c r="J16" i="3" a="1"/>
  <c r="O111" i="3" a="1"/>
  <c r="I16" i="3" a="1"/>
  <c r="M73" i="3" a="1"/>
  <c r="J124" i="3" a="1"/>
  <c r="N86" i="3" a="1"/>
  <c r="H131" i="3" a="1"/>
  <c r="I144" i="3" a="1"/>
  <c r="N21" i="3" a="1"/>
  <c r="H144" i="3" a="1"/>
  <c r="J148" i="3" a="1"/>
  <c r="N25" i="3" a="1"/>
  <c r="H16" i="3" a="1"/>
  <c r="O66" i="3" a="1"/>
  <c r="I30" i="3" a="1"/>
  <c r="N78" i="3" a="1"/>
  <c r="I139" i="3" a="1"/>
  <c r="H82" i="3" a="1"/>
  <c r="M33" i="3" a="1"/>
  <c r="M122" i="3" a="1"/>
  <c r="J5" i="3" a="1"/>
  <c r="H79" i="3" a="1"/>
  <c r="O90" i="3" a="1"/>
  <c r="H106" i="3" a="1"/>
  <c r="J150" i="3" a="1"/>
  <c r="O144" i="3" a="1"/>
  <c r="J30" i="3" a="1"/>
  <c r="M62" i="3" a="1"/>
  <c r="J149" i="3" a="1"/>
  <c r="M74" i="3" a="1"/>
  <c r="I149" i="3" a="1"/>
  <c r="H15" i="3" a="1"/>
  <c r="N151" i="3" a="1"/>
  <c r="O67" i="3" a="1"/>
  <c r="M10" i="3" a="1"/>
  <c r="J137" i="3" a="1"/>
  <c r="O137" i="3" a="1"/>
  <c r="I137" i="3" a="1"/>
  <c r="H128" i="3" a="1"/>
  <c r="O16" i="3" a="1"/>
  <c r="I146" i="3" a="1"/>
  <c r="J32" i="3" a="1"/>
  <c r="M129" i="3" a="1"/>
  <c r="H107" i="3" a="1"/>
  <c r="N97" i="3" a="1"/>
  <c r="I151" i="3" a="1"/>
  <c r="N8" i="3" a="1"/>
  <c r="I114" i="3" a="1"/>
  <c r="N80" i="3" a="1"/>
  <c r="H97" i="3" a="1"/>
  <c r="M128" i="3" a="1"/>
  <c r="J97" i="3" a="1"/>
  <c r="H20" i="3" a="1"/>
  <c r="M11" i="3" a="1"/>
  <c r="N95" i="3" a="1"/>
  <c r="I60" i="3" a="1"/>
  <c r="M89" i="3" a="1"/>
  <c r="H99" i="3" a="1"/>
  <c r="M57" i="3" a="1"/>
  <c r="H87" i="3" a="1"/>
  <c r="N49" i="3" a="1"/>
  <c r="H3" i="3" a="1"/>
  <c r="M150" i="3" a="1"/>
  <c r="N58" i="3" a="1"/>
  <c r="J48" i="3" a="1"/>
  <c r="O133" i="3" a="1"/>
  <c r="M106" i="3" a="1"/>
  <c r="J38" i="3" a="1"/>
  <c r="I118" i="3" a="1"/>
  <c r="O138" i="3" a="1"/>
  <c r="I94" i="3" a="1"/>
  <c r="O59" i="3" a="1"/>
  <c r="H94" i="3" a="1"/>
  <c r="M115" i="3" a="1"/>
  <c r="I31" i="3" a="1"/>
  <c r="N23" i="3" a="1"/>
  <c r="H143" i="3" a="1"/>
  <c r="N106" i="3" a="1"/>
  <c r="I106" i="3" a="1"/>
  <c r="N83" i="3" a="1"/>
  <c r="J23" i="3" a="1"/>
  <c r="H105" i="3" a="1"/>
  <c r="M96" i="3" a="1"/>
  <c r="H149" i="3" a="1"/>
  <c r="I124" i="3" a="1"/>
  <c r="J67" i="3" a="1"/>
  <c r="I126" i="3" a="1"/>
  <c r="J90" i="3" a="1"/>
  <c r="N39" i="3" a="1"/>
  <c r="J13" i="3" a="1"/>
  <c r="O7" i="3" a="1"/>
  <c r="M93" i="3" a="1"/>
  <c r="H37" i="3" a="1"/>
  <c r="O101" i="3" a="1"/>
  <c r="H119" i="3" a="1"/>
  <c r="J72" i="3" a="1"/>
  <c r="H4" i="3" a="1"/>
  <c r="I7" i="3" a="1"/>
  <c r="O12" i="3" a="1"/>
  <c r="H118" i="3" a="1"/>
  <c r="O97" i="3" a="1"/>
  <c r="H52" i="3" a="1"/>
  <c r="N4" i="3" a="1"/>
  <c r="I110" i="3" a="1"/>
  <c r="N130" i="3" a="1"/>
  <c r="M121" i="3" a="1"/>
  <c r="J128" i="3" a="1"/>
  <c r="N77" i="3" a="1"/>
  <c r="J102" i="3" a="1"/>
  <c r="M101" i="3" a="1"/>
  <c r="I37" i="3" a="1"/>
  <c r="M98" i="3" a="1"/>
  <c r="O125" i="3" a="1"/>
  <c r="I22" i="3" a="1"/>
  <c r="I55" i="3" a="1"/>
  <c r="M27" i="3" a="1"/>
  <c r="I132" i="3" a="1"/>
  <c r="O106" i="3" a="1"/>
  <c r="J45" i="3" a="1"/>
  <c r="J101" i="3" a="1"/>
  <c r="M53" i="3" a="1"/>
  <c r="J44" i="3" a="1"/>
  <c r="N74" i="3" a="1"/>
  <c r="H69" i="3" a="1"/>
  <c r="O73" i="3" a="1"/>
  <c r="I76" i="3" a="1"/>
  <c r="J111" i="3" a="1"/>
  <c r="M119" i="3" a="1"/>
  <c r="M35" i="3" a="1"/>
  <c r="N137" i="3" a="1"/>
  <c r="J127" i="3" a="1"/>
  <c r="N105" i="3" a="1"/>
  <c r="H9" i="3" a="1"/>
  <c r="J53" i="3" a="1"/>
  <c r="M123" i="3" a="1"/>
  <c r="I69" i="3" a="1"/>
  <c r="I82" i="3" a="1"/>
  <c r="M65" i="3" a="1"/>
  <c r="O99" i="3" a="1"/>
  <c r="O33" i="3" a="1"/>
  <c r="J103" i="3" a="1"/>
  <c r="N150" i="3" a="1"/>
  <c r="J47" i="3" a="1"/>
  <c r="O128" i="3" a="1"/>
  <c r="J125" i="3" a="1"/>
  <c r="O102" i="3" a="1"/>
  <c r="H96" i="3" a="1"/>
  <c r="J46" i="3" a="1"/>
  <c r="N18" i="3" a="1"/>
  <c r="M52" i="3" a="1"/>
  <c r="I15" i="3" a="1"/>
  <c r="O57" i="3" a="1"/>
  <c r="J114" i="3" a="1"/>
  <c r="O151" i="3" a="1"/>
  <c r="J35" i="3" a="1"/>
  <c r="O143" i="3" a="1"/>
  <c r="I103" i="3" a="1"/>
  <c r="O5" i="3" a="1"/>
  <c r="H55" i="3" a="1"/>
  <c r="N26" i="3" a="1"/>
  <c r="N126" i="3" a="1"/>
  <c r="I90" i="3" a="1"/>
  <c r="N66" i="3" a="1"/>
  <c r="N89" i="3" a="1"/>
  <c r="H22" i="3" a="1"/>
  <c r="M117" i="3" a="1"/>
  <c r="I3" i="3" a="1"/>
  <c r="N85" i="3" a="1"/>
  <c r="H80" i="3" a="1"/>
  <c r="M60" i="3" a="1"/>
  <c r="I35" i="3" a="1"/>
  <c r="J57" i="3" a="1"/>
  <c r="M112" i="3" a="1"/>
  <c r="J118" i="3" a="1"/>
  <c r="N48" i="3" a="1"/>
  <c r="H92" i="3" a="1"/>
  <c r="O37" i="3" a="1"/>
  <c r="M149" i="3" a="1"/>
  <c r="I87" i="3" a="1"/>
  <c r="M61" i="3" a="1"/>
  <c r="H40" i="3" a="1"/>
  <c r="O49" i="3" a="1"/>
  <c r="I127" i="3" a="1"/>
  <c r="O43" i="3" a="1"/>
  <c r="J132" i="3" a="1"/>
  <c r="N42" i="3" a="1"/>
  <c r="I47" i="3" a="1"/>
  <c r="N127" i="3" a="1"/>
  <c r="H64" i="3" a="1"/>
  <c r="N141" i="3" a="1"/>
  <c r="I33" i="3" a="1"/>
  <c r="I21" i="3" a="1"/>
  <c r="M147" i="3" a="1"/>
  <c r="H46" i="3" a="1"/>
  <c r="O115" i="3" a="1"/>
  <c r="H74" i="3" a="1"/>
  <c r="O86" i="3" a="1"/>
  <c r="H125" i="3" a="1"/>
  <c r="M68" i="3" a="1"/>
  <c r="J18" i="3" a="1"/>
  <c r="I100" i="3" a="1"/>
  <c r="H112" i="3" a="1"/>
  <c r="O47" i="3" a="1"/>
  <c r="I95" i="3" a="1"/>
  <c r="O88" i="3" a="1"/>
  <c r="J49" i="3" a="1"/>
  <c r="I141" i="3" a="1"/>
  <c r="H41" i="3" a="1"/>
  <c r="M95" i="3" a="1"/>
  <c r="M151" i="3" a="1"/>
  <c r="M86" i="3" a="1"/>
  <c r="H115" i="3" a="1"/>
  <c r="M135" i="3" a="1"/>
  <c r="O21" i="3" a="1"/>
  <c r="J126" i="3" a="1"/>
  <c r="N99" i="3" a="1"/>
  <c r="O126" i="3" a="1"/>
  <c r="I148" i="3" a="1"/>
  <c r="O119" i="3" a="1"/>
  <c r="H148" i="3" a="1"/>
  <c r="N54" i="3" a="1"/>
  <c r="H56" i="3" a="1"/>
  <c r="O38" i="3" a="1"/>
  <c r="J39" i="3" a="1"/>
  <c r="N79" i="3" a="1"/>
  <c r="H137" i="3" a="1"/>
  <c r="M47" i="3" a="1"/>
  <c r="I78" i="3" a="1"/>
  <c r="I14" i="3" a="1"/>
  <c r="O74" i="3" a="1"/>
  <c r="J50" i="3" a="1"/>
  <c r="M99" i="3" a="1"/>
  <c r="N33" i="3" a="1"/>
  <c r="N67" i="3" a="1"/>
  <c r="O94" i="3" a="1"/>
  <c r="I28" i="3" a="1"/>
  <c r="O42" i="3" a="1"/>
  <c r="I138" i="3" a="1"/>
  <c r="I147" i="3" a="1"/>
  <c r="M124" i="3" a="1"/>
  <c r="H48" i="3" a="1"/>
  <c r="M39" i="3" a="1"/>
  <c r="N6" i="3" a="1"/>
  <c r="I52" i="3" a="1"/>
  <c r="N133" i="3" a="1"/>
  <c r="J8" i="3" a="1"/>
  <c r="H141" i="3" a="1"/>
  <c r="I123" i="3" a="1"/>
  <c r="I112" i="3" a="1"/>
  <c r="N44" i="3" a="1"/>
  <c r="J143" i="3" a="1"/>
  <c r="N29" i="3" a="1"/>
  <c r="I67" i="3" a="1"/>
  <c r="O107" i="3" a="1"/>
  <c r="H30" i="3" a="1"/>
  <c r="N69" i="3" a="1"/>
  <c r="N51" i="3" a="1"/>
  <c r="N46" i="3" a="1"/>
  <c r="J42" i="3" a="1"/>
  <c r="M63" i="3" a="1"/>
  <c r="J133" i="3" a="1"/>
  <c r="N70" i="3" a="1"/>
  <c r="I122" i="3" a="1"/>
  <c r="O104" i="3" a="1"/>
  <c r="J145" i="3" a="1"/>
  <c r="N12" i="3" a="1"/>
  <c r="J85" i="3" a="1"/>
  <c r="N2" i="3" a="1"/>
  <c r="J146" i="3" a="1"/>
  <c r="H42" i="3" a="1"/>
  <c r="O15" i="3" a="1"/>
  <c r="N116" i="3" a="1"/>
  <c r="I23" i="3" a="1"/>
  <c r="O55" i="3" a="1"/>
  <c r="J130" i="3" a="1"/>
  <c r="O76" i="3" a="1"/>
  <c r="J91" i="3" a="1"/>
  <c r="N68" i="3" a="1"/>
  <c r="I77" i="3" a="1"/>
  <c r="M72" i="3" a="1"/>
  <c r="M127" i="3" a="1"/>
  <c r="I10" i="3" a="1"/>
  <c r="N20" i="3" a="1"/>
  <c r="J26" i="3" a="1"/>
  <c r="M109" i="3" a="1"/>
  <c r="N87" i="3" a="1"/>
  <c r="H14" i="3" a="1"/>
  <c r="M114" i="3" a="1"/>
  <c r="H116" i="3" a="1"/>
  <c r="O136" i="3" a="1"/>
  <c r="J31" i="3" a="1"/>
  <c r="O9" i="3" a="1"/>
  <c r="J131" i="3" a="1"/>
  <c r="N36" i="3" a="1"/>
  <c r="M38" i="3" a="1"/>
  <c r="H58" i="3" a="1"/>
  <c r="N22" i="3" a="1"/>
  <c r="H93" i="3" a="1"/>
  <c r="M58" i="3" a="1"/>
  <c r="O147" i="3" a="1"/>
  <c r="H49" i="3" a="1"/>
  <c r="O132" i="3" a="1"/>
  <c r="J54" i="3" a="1"/>
  <c r="M100" i="3" a="1"/>
  <c r="I134" i="3" a="1"/>
  <c r="M146" i="3" a="1"/>
  <c r="H8" i="3" a="1"/>
  <c r="O50" i="3" a="1"/>
  <c r="H150" i="3" a="1"/>
  <c r="M14" i="3" a="1"/>
  <c r="J25" i="3" a="1"/>
  <c r="N144" i="3" a="1"/>
  <c r="J69" i="3" a="1"/>
  <c r="H57" i="3" a="1"/>
  <c r="N19" i="3" a="1"/>
  <c r="I145" i="3" a="1"/>
  <c r="N139" i="3" a="1"/>
  <c r="J79" i="3" a="1"/>
  <c r="O92" i="3" a="1"/>
  <c r="J66" i="3" a="1"/>
  <c r="M2" i="3" a="1"/>
  <c r="H127" i="3" a="1"/>
  <c r="N110" i="3" a="1"/>
  <c r="H81" i="3" a="1"/>
  <c r="O69" i="3" a="1"/>
  <c r="H26" i="3" a="1"/>
  <c r="J9" i="3" a="1"/>
  <c r="H33" i="3" a="1"/>
  <c r="I136" i="3" a="1"/>
  <c r="O120" i="3" a="1"/>
  <c r="J22" i="3" a="1"/>
  <c r="H36" i="3" a="1"/>
  <c r="I53" i="3" a="1"/>
  <c r="N28" i="3" a="1"/>
  <c r="M32" i="3" a="1"/>
  <c r="J138" i="3" a="1"/>
  <c r="N3" i="3" a="1"/>
  <c r="I102" i="3" a="1"/>
  <c r="J109" i="3" a="1"/>
  <c r="J96" i="3" a="1"/>
  <c r="J80" i="3" a="1"/>
  <c r="O4" i="3" a="1"/>
  <c r="O148" i="3" a="1"/>
  <c r="I133" i="3" a="1"/>
  <c r="M44" i="3" a="1"/>
  <c r="I91" i="3" a="1"/>
  <c r="M12" i="3" a="1"/>
  <c r="H17" i="3" a="1"/>
  <c r="M81" i="3" a="1"/>
  <c r="I142" i="3" a="1"/>
  <c r="M8" i="3" a="1"/>
  <c r="I92" i="3" a="1"/>
  <c r="N75" i="3" a="1"/>
  <c r="J105" i="3" a="1"/>
  <c r="M37" i="3" a="1"/>
  <c r="M19" i="3" a="1"/>
  <c r="H11" i="3" a="1"/>
  <c r="I29" i="3" a="1"/>
  <c r="N148" i="3" a="1"/>
  <c r="J60" i="3" a="1"/>
  <c r="O95" i="3" a="1"/>
  <c r="H39" i="3" a="1"/>
  <c r="N72" i="3" a="1"/>
  <c r="H25" i="3" a="1"/>
  <c r="N14" i="3" a="1"/>
  <c r="N102" i="3" a="1"/>
  <c r="I131" i="3" a="1"/>
  <c r="M141" i="3" a="1"/>
  <c r="H50" i="3" a="1"/>
  <c r="J89" i="3" a="1"/>
  <c r="M131" i="3" a="1"/>
  <c r="O65" i="3" a="1"/>
  <c r="H111" i="3" a="1"/>
  <c r="M25" i="3" a="1"/>
  <c r="H138" i="3" a="1"/>
  <c r="N119" i="3" a="1"/>
  <c r="J88" i="3" a="1"/>
  <c r="M140" i="3" a="1"/>
  <c r="H122" i="3" a="1"/>
  <c r="M26" i="3" a="1"/>
  <c r="H5" i="3" a="1"/>
  <c r="N122" i="3" a="1"/>
  <c r="M84" i="3" a="1"/>
  <c r="I38" i="3" a="1"/>
  <c r="H7" i="3" a="1"/>
  <c r="N57" i="3" a="1"/>
  <c r="H100" i="3" a="1"/>
  <c r="O85" i="3" a="1"/>
  <c r="H28" i="3" a="1"/>
  <c r="O150" i="3" a="1"/>
  <c r="J83" i="3" a="1"/>
  <c r="O54" i="3" a="1"/>
  <c r="I88" i="3" a="1"/>
  <c r="H109" i="3" a="1"/>
  <c r="O48" i="3" a="1"/>
  <c r="I43" i="3" a="1"/>
  <c r="M138" i="3" a="1"/>
  <c r="I105" i="3" a="1"/>
  <c r="J3" i="3" a="1"/>
  <c r="O30" i="3" a="1"/>
  <c r="H35" i="3" a="1"/>
  <c r="M49" i="3" a="1"/>
  <c r="H98" i="3" a="1"/>
  <c r="N17" i="3" a="1"/>
  <c r="H140" i="3" a="1"/>
  <c r="N27" i="3" a="1"/>
  <c r="I83" i="3" a="1"/>
  <c r="H101" i="3" a="1"/>
  <c r="M144" i="3" a="1"/>
  <c r="I99" i="3" a="1"/>
  <c r="M80" i="3" a="1"/>
  <c r="I51" i="3" a="1"/>
  <c r="J40" i="3" a="1"/>
  <c r="N61" i="3" a="1"/>
  <c r="I80" i="3" a="1"/>
  <c r="N11" i="3" a="1"/>
  <c r="H83" i="3" a="1"/>
  <c r="N60" i="3" a="1"/>
  <c r="H108" i="3" a="1"/>
  <c r="M137" i="3" a="1"/>
  <c r="H134" i="3" a="1"/>
  <c r="H53" i="3" a="1"/>
  <c r="O8" i="3" a="1"/>
  <c r="J14" i="3" a="1"/>
  <c r="N123" i="3" a="1"/>
  <c r="N52" i="3" a="1"/>
  <c r="J135" i="3" a="1"/>
  <c r="M139" i="3" a="1"/>
  <c r="H120" i="3" a="1"/>
  <c r="N13" i="3" a="1"/>
  <c r="I140" i="3" a="1"/>
  <c r="M43" i="3" a="1"/>
  <c r="J4" i="3" a="1"/>
  <c r="M78" i="3" a="1"/>
  <c r="J108" i="3" a="1"/>
  <c r="N91" i="3" a="1"/>
  <c r="I143" i="3" a="1"/>
  <c r="N142" i="3" a="1"/>
  <c r="I49" i="3" a="1"/>
  <c r="H43" i="3" a="1"/>
  <c r="M90" i="3" a="1"/>
  <c r="H38" i="3" a="1"/>
  <c r="O118" i="3" a="1"/>
  <c r="H139" i="3" a="1"/>
  <c r="M41" i="3" a="1"/>
  <c r="J63" i="3" a="1"/>
  <c r="N35" i="3" a="1"/>
  <c r="J12" i="3" a="1"/>
  <c r="J55" i="3" a="1"/>
  <c r="I59" i="3" a="1"/>
  <c r="O14" i="3" a="1"/>
  <c r="M15" i="3" a="1"/>
  <c r="M120" i="3" a="1"/>
  <c r="O31" i="3" a="1"/>
  <c r="J141" i="3" a="1"/>
  <c r="M70" i="3" a="1"/>
  <c r="O61" i="3" a="1"/>
  <c r="N129" i="3" a="1"/>
  <c r="O35" i="3" a="1"/>
  <c r="H54" i="3" a="1"/>
  <c r="O3" i="3" a="1"/>
  <c r="M105" i="3" a="1"/>
  <c r="J78" i="3" a="1"/>
  <c r="J94" i="3" a="1"/>
  <c r="O53" i="3" a="1"/>
  <c r="H129" i="3" a="1"/>
  <c r="M54" i="3" a="1"/>
  <c r="H130" i="3" a="1"/>
  <c r="M79" i="3" a="1"/>
  <c r="J134" i="3" a="1"/>
  <c r="M83" i="3" a="1"/>
  <c r="J106" i="3" a="1"/>
  <c r="O122" i="3" a="1"/>
  <c r="O84" i="3" a="1"/>
  <c r="O58" i="3" a="1"/>
  <c r="N90" i="3" a="1"/>
  <c r="I81" i="3" a="1"/>
  <c r="I32" i="3" a="1"/>
  <c r="O25" i="3" a="1"/>
  <c r="I150" i="3" a="1"/>
  <c r="N53" i="3" a="1"/>
  <c r="J136" i="3" a="1"/>
  <c r="O27" i="3" a="1"/>
  <c r="I74" i="3" a="1"/>
  <c r="O91" i="3" a="1"/>
  <c r="I73" i="3" a="1"/>
  <c r="H117" i="3" a="1"/>
  <c r="I107" i="3" a="1"/>
  <c r="J51" i="3" a="1"/>
  <c r="J29" i="3" a="1"/>
  <c r="N64" i="3" a="1"/>
  <c r="N63" i="3" a="1"/>
  <c r="I61" i="3" a="1"/>
  <c r="M76" i="3" a="1"/>
  <c r="J24" i="3" a="1"/>
  <c r="O44" i="3" a="1"/>
  <c r="I40" i="3" a="1"/>
  <c r="O113" i="3" a="1"/>
  <c r="J70" i="3" a="1"/>
  <c r="M40" i="3" a="1"/>
  <c r="M20" i="3" a="1"/>
  <c r="J64" i="3" a="1"/>
  <c r="M82" i="3" a="1"/>
  <c r="I25" i="3" a="1"/>
  <c r="O103" i="3" a="1"/>
  <c r="O108" i="3" a="1"/>
  <c r="J21" i="3" a="1"/>
  <c r="N136" i="3" a="1"/>
  <c r="J74" i="3" a="1"/>
  <c r="M104" i="3" a="1"/>
  <c r="H135" i="3" a="1"/>
  <c r="N50" i="3" a="1"/>
  <c r="J110" i="3" a="1"/>
  <c r="N81" i="3" a="1"/>
  <c r="M22" i="3" a="1"/>
  <c r="H95" i="3" a="1"/>
  <c r="O121" i="3" a="1"/>
  <c r="H70" i="3" a="1"/>
  <c r="M133" i="3" a="1"/>
  <c r="N114" i="3" a="1"/>
  <c r="J121" i="3" a="1"/>
  <c r="M134" i="3" a="1"/>
  <c r="J27" i="3" a="1"/>
  <c r="N145" i="3" a="1"/>
  <c r="H71" i="3" a="1"/>
  <c r="O110" i="3" a="1"/>
  <c r="I48" i="3" a="1"/>
  <c r="N124" i="3" a="1"/>
  <c r="M23" i="3" a="1"/>
  <c r="J6" i="3" a="1"/>
  <c r="O34" i="3" a="1"/>
  <c r="J33" i="3" a="1"/>
  <c r="I84" i="3" a="1"/>
  <c r="N132" i="3" a="1"/>
  <c r="H104" i="3" a="1"/>
  <c r="O41" i="3" a="1"/>
  <c r="I2" i="3" a="1"/>
  <c r="M9" i="3" a="1"/>
  <c r="I11" i="3" a="1"/>
  <c r="M56" i="3" a="1"/>
  <c r="I12" i="3" a="1"/>
  <c r="M107" i="3" a="1"/>
  <c r="O83" i="3" a="1"/>
  <c r="I45" i="3" a="1"/>
  <c r="M51" i="3" a="1"/>
  <c r="O116" i="3" a="1"/>
  <c r="H62" i="3" a="1"/>
  <c r="O105" i="3" a="1"/>
  <c r="H44" i="3" a="1"/>
  <c r="N32" i="3" a="1"/>
  <c r="H76" i="3" a="1"/>
  <c r="O146" i="3" a="1"/>
  <c r="M42" i="3" a="1"/>
  <c r="H72" i="3" a="1"/>
  <c r="H146" i="3" a="1"/>
  <c r="M24" i="3" a="1"/>
  <c r="J17" i="3" a="1"/>
  <c r="M130" i="3" a="1"/>
  <c r="H89" i="3" a="1"/>
  <c r="M18" i="3" a="1"/>
  <c r="O89" i="3" a="1"/>
  <c r="J86" i="3" a="1"/>
  <c r="O71" i="3" a="1"/>
  <c r="H66" i="3" a="1"/>
  <c r="N98" i="3" a="1"/>
  <c r="H59" i="3" a="1"/>
  <c r="O62" i="3" a="1"/>
  <c r="O129" i="3" a="1"/>
  <c r="M5" i="3" a="1"/>
  <c r="I4" i="3" a="1"/>
  <c r="J81" i="3" a="1"/>
  <c r="J34" i="3" a="1"/>
  <c r="M48" i="3" a="1"/>
  <c r="O96" i="3" a="1"/>
  <c r="M59" i="3" a="1"/>
  <c r="O114" i="3" a="1"/>
  <c r="M55" i="3" a="1"/>
  <c r="N37" i="3" a="1"/>
  <c r="I57" i="3" a="1"/>
  <c r="J99" i="3" a="1"/>
  <c r="M29" i="3" a="1"/>
  <c r="H32" i="3" a="1"/>
  <c r="O112" i="3" a="1"/>
  <c r="H67" i="3" a="1"/>
  <c r="M69" i="3" a="1"/>
  <c r="O6" i="3" a="1"/>
  <c r="H68" i="3" a="1"/>
  <c r="M113" i="3" a="1"/>
  <c r="H6" i="3" a="1"/>
  <c r="O81" i="3" a="1"/>
  <c r="J41" i="3" a="1"/>
  <c r="M75" i="3" a="1"/>
  <c r="I79" i="3" a="1"/>
  <c r="N7" i="3" a="1"/>
  <c r="O82" i="3" a="1"/>
  <c r="I26" i="3" a="1"/>
  <c r="O52" i="3" a="1"/>
  <c r="I120" i="3" a="1"/>
  <c r="M71" i="3" a="1"/>
  <c r="N76" i="3" a="1"/>
  <c r="I130" i="3" a="1"/>
  <c r="M6" i="3" a="1"/>
  <c r="H31" i="3" a="1"/>
  <c r="O149" i="3" a="1"/>
  <c r="J113" i="3" a="1"/>
  <c r="O124" i="3" a="1"/>
  <c r="I89" i="3" a="1"/>
  <c r="O130" i="3" a="1"/>
  <c r="J82" i="3" a="1"/>
  <c r="O10" i="3" a="1"/>
  <c r="J84" i="3" a="1"/>
  <c r="O28" i="3" a="1"/>
  <c r="I9" i="3" a="1"/>
  <c r="J28" i="3" a="1"/>
  <c r="M85" i="3" a="1"/>
  <c r="J56" i="3" a="1"/>
  <c r="O17" i="3" a="1"/>
  <c r="I56" i="3" a="1"/>
  <c r="N111" i="3" a="1"/>
  <c r="I75" i="3" a="1"/>
  <c r="N115" i="3" a="1"/>
  <c r="H132" i="3" a="1"/>
  <c r="J62" i="3" a="1"/>
  <c r="O80" i="3" a="1"/>
  <c r="I62" i="3" a="1"/>
  <c r="N128" i="3" a="1"/>
  <c r="I96" i="3" a="1"/>
  <c r="I98" i="3" a="1"/>
  <c r="N16" i="3" a="1"/>
  <c r="J20" i="3" a="1"/>
  <c r="O60" i="3" a="1"/>
  <c r="I20" i="3" a="1"/>
  <c r="O78" i="3" a="1"/>
  <c r="H19" i="3" a="1"/>
  <c r="O79" i="3" a="1"/>
  <c r="J71" i="3" a="1"/>
  <c r="H151" i="3" a="1"/>
  <c r="O123" i="3" a="1"/>
  <c r="J151" i="3" a="1"/>
  <c r="N131" i="3" a="1"/>
  <c r="N65" i="3" a="1"/>
  <c r="I68" i="3" a="1"/>
  <c r="O11" i="3" a="1"/>
  <c r="J147" i="3" a="1"/>
  <c r="M66" i="3" a="1"/>
  <c r="J75" i="3" a="1"/>
  <c r="N5" i="3" a="1"/>
  <c r="J76" i="3" a="1"/>
  <c r="M102" i="3" a="1"/>
  <c r="I125" i="3" a="1"/>
  <c r="J87" i="3" a="1"/>
  <c r="M143" i="3" a="1"/>
  <c r="H126" i="3" a="1"/>
  <c r="I111" i="3" a="1"/>
  <c r="N112" i="3" a="1"/>
  <c r="J140" i="3" a="1"/>
  <c r="M13" i="3" a="1"/>
  <c r="J19" i="3" a="1"/>
  <c r="N62" i="3" a="1"/>
  <c r="I19" i="3" a="1"/>
  <c r="I109" i="3" a="1"/>
  <c r="M97" i="3" a="1"/>
  <c r="N73" i="3" a="1"/>
  <c r="M7" i="3" a="1"/>
  <c r="N30" i="3" a="1"/>
  <c r="H34" i="3" a="1"/>
  <c r="J43" i="3" a="1"/>
  <c r="O87" i="3" a="1"/>
  <c r="N94" i="3" a="1"/>
  <c r="H47" i="3" a="1"/>
  <c r="M94" i="3" a="1"/>
  <c r="H88" i="3" a="1"/>
  <c r="H91" i="3" a="1"/>
  <c r="J100" i="3" a="1"/>
  <c r="N140" i="3" a="1"/>
  <c r="H103" i="3" a="1"/>
  <c r="M108" i="3" a="1"/>
  <c r="J95" i="3" a="1"/>
  <c r="N120" i="3" a="1"/>
  <c r="N84" i="3" a="1"/>
  <c r="I46" i="3" a="1"/>
  <c r="M111" i="3" a="1"/>
  <c r="I104" i="3" a="1"/>
  <c r="M132" i="3" a="1"/>
  <c r="H75" i="3" a="1"/>
  <c r="O32" i="3" a="1"/>
  <c r="J11" i="3" a="1"/>
  <c r="O135" i="3" a="1"/>
  <c r="J115" i="3" a="1"/>
  <c r="H114" i="3" a="1"/>
  <c r="M116" i="3" a="1"/>
  <c r="J10" i="3" a="1"/>
  <c r="N96" i="3" a="1"/>
  <c r="I50" i="3" a="1"/>
  <c r="I129" i="3" a="1"/>
  <c r="M17" i="3" a="1"/>
  <c r="J116" i="3" a="1"/>
  <c r="N147" i="3" a="1"/>
  <c r="I116" i="3" a="1"/>
  <c r="N118" i="3" a="1"/>
  <c r="I108" i="3" a="1"/>
  <c r="O100" i="3" a="1"/>
  <c r="J77" i="3" a="1"/>
  <c r="N125" i="3" a="1"/>
  <c r="J93" i="3" a="1"/>
  <c r="O29" i="3" a="1"/>
  <c r="H63" i="3" a="1"/>
  <c r="N101" i="3" a="1"/>
  <c r="M142" i="3" a="1"/>
  <c r="J52" i="3" a="1"/>
  <c r="O145" i="3" a="1"/>
  <c r="J120" i="3" a="1"/>
  <c r="N113" i="3" a="1"/>
  <c r="J92" i="3" a="1"/>
  <c r="O45" i="3" a="1"/>
  <c r="H13" i="3" a="1"/>
  <c r="N92" i="3" a="1"/>
  <c r="N34" i="3" a="1"/>
  <c r="I17" i="3" a="1"/>
  <c r="N93" i="3" a="1"/>
  <c r="I119" i="3" a="1"/>
  <c r="I42" i="3" a="1"/>
  <c r="N134" i="3" a="1"/>
  <c r="I54" i="3" a="1"/>
  <c r="N9" i="3" a="1"/>
  <c r="I63" i="3" a="1"/>
  <c r="M50" i="3" a="1"/>
  <c r="I117" i="3" a="1"/>
  <c r="N24" i="3" a="1"/>
  <c r="H18" i="3" a="1"/>
  <c r="O75" i="3" a="1"/>
  <c r="O51" i="3" a="1"/>
  <c r="H113" i="3" a="1"/>
  <c r="O19" i="3" a="1"/>
  <c r="O127" i="3" a="1"/>
  <c r="H23" i="3" a="1"/>
  <c r="N41" i="3" a="1"/>
  <c r="J139" i="3" a="1"/>
  <c r="N109" i="3" a="1"/>
  <c r="H124" i="3" a="1"/>
  <c r="O77" i="3" a="1"/>
  <c r="M31" i="3" a="1"/>
  <c r="J112" i="3" a="1"/>
  <c r="H51" i="3" a="1"/>
  <c r="O2" i="3" a="1"/>
  <c r="O68" i="3" a="1"/>
  <c r="H78" i="3" a="1"/>
  <c r="O36" i="3" a="1"/>
  <c r="N108" i="3" a="1"/>
  <c r="I93" i="3" a="1"/>
  <c r="O141" i="3" a="1"/>
  <c r="I85" i="3" a="1"/>
  <c r="M88" i="3" a="1"/>
  <c r="J37" i="3" a="1"/>
  <c r="N56" i="3" a="1"/>
  <c r="N38" i="3" a="1"/>
  <c r="J122" i="3" a="1"/>
  <c r="O20" i="3" a="1"/>
  <c r="H10" i="3" a="1"/>
  <c r="N135" i="3" a="1"/>
  <c r="J117" i="3" a="1"/>
  <c r="M103" i="3" a="1"/>
  <c r="M46" i="3" a="1"/>
  <c r="I41" i="3" a="1"/>
  <c r="O117" i="3" a="1"/>
  <c r="J73" i="3" a="1"/>
  <c r="H2" i="3" a="1"/>
  <c r="M148" i="3" a="1"/>
  <c r="J7" i="3" a="1"/>
  <c r="O109" i="3" a="1"/>
  <c r="I64" i="3" a="1"/>
  <c r="H65" i="3" a="1"/>
  <c r="J59" i="3" a="1"/>
  <c r="H136" i="3" a="1"/>
  <c r="N47" i="3" a="1"/>
  <c r="I71" i="3" a="1"/>
  <c r="N121" i="3" a="1"/>
  <c r="N143" i="3" a="1"/>
  <c r="N107" i="3" a="1"/>
  <c r="H12" i="3" a="1"/>
  <c r="N104" i="3" a="1"/>
  <c r="I72" i="3" a="1"/>
  <c r="I135" i="3" a="1"/>
  <c r="N149" i="3" a="1"/>
  <c r="N117" i="3" a="1"/>
  <c r="O22" i="3" a="1"/>
  <c r="M91" i="3" a="1"/>
  <c r="M67" i="3" a="1"/>
  <c r="H61" i="3" a="1"/>
  <c r="I97" i="3" a="1"/>
  <c r="J36" i="3" a="1"/>
  <c r="N103" i="3" a="1"/>
  <c r="N31" i="3" a="1"/>
  <c r="M136" i="3" a="1"/>
  <c r="I24" i="3" a="1"/>
  <c r="H45" i="3" a="1"/>
  <c r="J123" i="3" a="1"/>
  <c r="I39" i="3" a="1"/>
  <c r="H147" i="3" a="1"/>
  <c r="J65" i="3" a="1"/>
  <c r="N10" i="3" a="1"/>
  <c r="N15" i="3" a="1"/>
  <c r="J107" i="3" a="1"/>
  <c r="O56" i="3" a="1"/>
  <c r="H27" i="3" a="1"/>
  <c r="O134" i="3" a="1"/>
  <c r="I101" i="3" a="1"/>
  <c r="M87" i="3" a="1"/>
  <c r="H145" i="3" a="1"/>
  <c r="N45" i="3" a="1"/>
  <c r="H24" i="3" a="1"/>
  <c r="N138" i="3" a="1"/>
  <c r="N146" i="3" a="1"/>
  <c r="J2" i="3" a="1"/>
  <c r="M36" i="3" a="1"/>
  <c r="I115" i="3" a="1"/>
  <c r="N71" i="3" a="1"/>
  <c r="O23" i="3" a="1"/>
  <c r="J104" i="3" a="1"/>
  <c r="M34" i="3" a="1"/>
  <c r="J142" i="3" a="1"/>
  <c r="I44" i="3" a="1"/>
  <c r="H142" i="3" a="1"/>
  <c r="H90" i="3" a="1"/>
  <c r="H121" i="3" a="1"/>
  <c r="M77" i="3" a="1"/>
  <c r="J68" i="3" a="1"/>
  <c r="O24" i="3" a="1"/>
  <c r="O142" i="3" a="1"/>
  <c r="H73" i="3" a="1"/>
  <c r="I65" i="3" a="1"/>
  <c r="I6" i="3" a="1"/>
  <c r="H21" i="3" a="1"/>
  <c r="O131" i="3" a="1"/>
  <c r="J98" i="3" a="1"/>
  <c r="I36" i="3" a="1"/>
  <c r="M28" i="3" a="1"/>
  <c r="O72" i="3" a="1"/>
  <c r="I18" i="3" a="1"/>
  <c r="M4" i="3" a="1"/>
  <c r="O70" i="3" a="1"/>
  <c r="I121" i="3" a="1"/>
  <c r="M125" i="3" a="1"/>
  <c r="N59" i="3" a="1"/>
  <c r="M3" i="3" a="1"/>
  <c r="N55" i="3" a="1"/>
  <c r="I5" i="3" a="1"/>
  <c r="I113" i="3" a="1"/>
  <c r="J61" i="3" a="1"/>
  <c r="M21" i="3" a="1"/>
  <c r="M118" i="3" a="1"/>
  <c r="O40" i="3" a="1"/>
  <c r="I8" i="3" a="1"/>
  <c r="I70" i="3" a="1"/>
  <c r="H123" i="3" a="1"/>
  <c r="O46" i="3" a="1"/>
  <c r="M110" i="3" a="1"/>
  <c r="O63" i="3" a="1"/>
  <c r="H84" i="3" a="1"/>
  <c r="N100" i="3" a="1"/>
  <c r="O39" i="3" a="1"/>
  <c r="J144" i="3" a="1"/>
  <c r="N88" i="3" a="1"/>
  <c r="M92" i="3" a="1"/>
  <c r="O62" i="3" l="1"/>
  <c r="N62" i="3"/>
  <c r="M62" i="3"/>
  <c r="O37" i="3"/>
  <c r="M37" i="3"/>
  <c r="N37" i="3"/>
  <c r="N43" i="3"/>
  <c r="O43" i="3"/>
  <c r="M43" i="3"/>
  <c r="M66" i="3"/>
  <c r="O66" i="3"/>
  <c r="N66" i="3"/>
  <c r="O7" i="3"/>
  <c r="M7" i="3"/>
  <c r="N7" i="3"/>
  <c r="M60" i="3"/>
  <c r="N60" i="3"/>
  <c r="O60" i="3"/>
  <c r="O18" i="3"/>
  <c r="N18" i="3"/>
  <c r="M18" i="3"/>
  <c r="M143" i="3"/>
  <c r="N143" i="3"/>
  <c r="O143" i="3"/>
  <c r="N17" i="3"/>
  <c r="O17" i="3"/>
  <c r="M17" i="3"/>
  <c r="M123" i="3"/>
  <c r="N123" i="3"/>
  <c r="O123" i="3"/>
  <c r="M150" i="3"/>
  <c r="N150" i="3"/>
  <c r="O150" i="3"/>
  <c r="N53" i="3"/>
  <c r="O53" i="3"/>
  <c r="M53" i="3"/>
  <c r="M80" i="3"/>
  <c r="O80" i="3"/>
  <c r="N80" i="3"/>
  <c r="M119" i="3"/>
  <c r="N119" i="3"/>
  <c r="O119" i="3"/>
  <c r="O138" i="3"/>
  <c r="N138" i="3"/>
  <c r="M138" i="3"/>
  <c r="O10" i="3"/>
  <c r="M10" i="3"/>
  <c r="N10" i="3"/>
  <c r="O94" i="3"/>
  <c r="N94" i="3"/>
  <c r="M94" i="3"/>
  <c r="N84" i="3"/>
  <c r="M84" i="3"/>
  <c r="O84" i="3"/>
  <c r="O98" i="3"/>
  <c r="M98" i="3"/>
  <c r="N98" i="3"/>
  <c r="O69" i="3"/>
  <c r="M69" i="3"/>
  <c r="N69" i="3"/>
  <c r="N75" i="3"/>
  <c r="O75" i="3"/>
  <c r="M75" i="3"/>
  <c r="O13" i="3"/>
  <c r="N13" i="3"/>
  <c r="M13" i="3"/>
  <c r="O39" i="3"/>
  <c r="M39" i="3"/>
  <c r="N39" i="3"/>
  <c r="N92" i="3"/>
  <c r="M92" i="3"/>
  <c r="O92" i="3"/>
  <c r="N11" i="3"/>
  <c r="O11" i="3"/>
  <c r="M11" i="3"/>
  <c r="N130" i="3"/>
  <c r="M130" i="3"/>
  <c r="O130" i="3"/>
  <c r="N49" i="3"/>
  <c r="O49" i="3"/>
  <c r="M49" i="3"/>
  <c r="N16" i="3"/>
  <c r="O16" i="3"/>
  <c r="M16" i="3"/>
  <c r="O8" i="3"/>
  <c r="M8" i="3"/>
  <c r="N8" i="3"/>
  <c r="N85" i="3"/>
  <c r="O85" i="3"/>
  <c r="M85" i="3"/>
  <c r="O144" i="3"/>
  <c r="N144" i="3"/>
  <c r="M144" i="3"/>
  <c r="M151" i="3"/>
  <c r="N151" i="3"/>
  <c r="O151" i="3"/>
  <c r="M25" i="3"/>
  <c r="O25" i="3"/>
  <c r="N25" i="3"/>
  <c r="N48" i="3"/>
  <c r="O48" i="3"/>
  <c r="M48" i="3"/>
  <c r="M33" i="3"/>
  <c r="O33" i="3"/>
  <c r="N33" i="3"/>
  <c r="O126" i="3"/>
  <c r="M126" i="3"/>
  <c r="N126" i="3"/>
  <c r="M24" i="3"/>
  <c r="N24" i="3"/>
  <c r="O24" i="3"/>
  <c r="M101" i="3"/>
  <c r="O101" i="3"/>
  <c r="N101" i="3"/>
  <c r="N107" i="3"/>
  <c r="O107" i="3"/>
  <c r="M107" i="3"/>
  <c r="O45" i="3"/>
  <c r="N45" i="3"/>
  <c r="M45" i="3"/>
  <c r="O71" i="3"/>
  <c r="M71" i="3"/>
  <c r="N71" i="3"/>
  <c r="M124" i="3"/>
  <c r="N124" i="3"/>
  <c r="O124" i="3"/>
  <c r="O139" i="3"/>
  <c r="N139" i="3"/>
  <c r="M139" i="3"/>
  <c r="O4" i="3"/>
  <c r="M4" i="3"/>
  <c r="N4" i="3"/>
  <c r="N81" i="3"/>
  <c r="M81" i="3"/>
  <c r="O81" i="3"/>
  <c r="M61" i="3"/>
  <c r="N61" i="3"/>
  <c r="O61" i="3"/>
  <c r="O40" i="3"/>
  <c r="N40" i="3"/>
  <c r="M40" i="3"/>
  <c r="O117" i="3"/>
  <c r="N117" i="3"/>
  <c r="M117" i="3"/>
  <c r="O30" i="3"/>
  <c r="N30" i="3"/>
  <c r="M30" i="3"/>
  <c r="M14" i="3"/>
  <c r="N14" i="3"/>
  <c r="O14" i="3"/>
  <c r="M57" i="3"/>
  <c r="O57" i="3"/>
  <c r="N57" i="3"/>
  <c r="N112" i="3"/>
  <c r="O112" i="3"/>
  <c r="M112" i="3"/>
  <c r="O97" i="3"/>
  <c r="M97" i="3"/>
  <c r="N97" i="3"/>
  <c r="M65" i="3"/>
  <c r="O65" i="3"/>
  <c r="N65" i="3"/>
  <c r="O3" i="3"/>
  <c r="M3" i="3"/>
  <c r="N3" i="3"/>
  <c r="M56" i="3"/>
  <c r="N56" i="3"/>
  <c r="O56" i="3"/>
  <c r="N133" i="3"/>
  <c r="M133" i="3"/>
  <c r="O133" i="3"/>
  <c r="M110" i="3"/>
  <c r="N110" i="3"/>
  <c r="O110" i="3"/>
  <c r="O77" i="3"/>
  <c r="M77" i="3"/>
  <c r="N77" i="3"/>
  <c r="O103" i="3"/>
  <c r="M103" i="3"/>
  <c r="N103" i="3"/>
  <c r="O50" i="3"/>
  <c r="N50" i="3"/>
  <c r="M50" i="3"/>
  <c r="O64" i="3"/>
  <c r="M64" i="3"/>
  <c r="N64" i="3"/>
  <c r="O36" i="3"/>
  <c r="M36" i="3"/>
  <c r="N36" i="3"/>
  <c r="O113" i="3"/>
  <c r="N113" i="3"/>
  <c r="M113" i="3"/>
  <c r="N19" i="3"/>
  <c r="M19" i="3"/>
  <c r="O19" i="3"/>
  <c r="O72" i="3"/>
  <c r="M72" i="3"/>
  <c r="N72" i="3"/>
  <c r="O149" i="3"/>
  <c r="N149" i="3"/>
  <c r="M149" i="3"/>
  <c r="M93" i="3"/>
  <c r="N93" i="3"/>
  <c r="O93" i="3"/>
  <c r="N12" i="3"/>
  <c r="O12" i="3"/>
  <c r="M12" i="3"/>
  <c r="M89" i="3"/>
  <c r="N89" i="3"/>
  <c r="O89" i="3"/>
  <c r="O29" i="3"/>
  <c r="M29" i="3"/>
  <c r="N29" i="3"/>
  <c r="O129" i="3"/>
  <c r="N129" i="3"/>
  <c r="M129" i="3"/>
  <c r="M52" i="3"/>
  <c r="N52" i="3"/>
  <c r="O52" i="3"/>
  <c r="O35" i="3"/>
  <c r="M35" i="3"/>
  <c r="N35" i="3"/>
  <c r="O88" i="3"/>
  <c r="M88" i="3"/>
  <c r="N88" i="3"/>
  <c r="M58" i="3"/>
  <c r="O58" i="3"/>
  <c r="N58" i="3"/>
  <c r="N146" i="3"/>
  <c r="M146" i="3"/>
  <c r="O146" i="3"/>
  <c r="N109" i="3"/>
  <c r="O109" i="3"/>
  <c r="M109" i="3"/>
  <c r="M135" i="3"/>
  <c r="N135" i="3"/>
  <c r="O135" i="3"/>
  <c r="O9" i="3"/>
  <c r="M9" i="3"/>
  <c r="N9" i="3"/>
  <c r="N15" i="3"/>
  <c r="O15" i="3"/>
  <c r="M15" i="3"/>
  <c r="O68" i="3"/>
  <c r="M68" i="3"/>
  <c r="N68" i="3"/>
  <c r="N145" i="3"/>
  <c r="O145" i="3"/>
  <c r="M145" i="3"/>
  <c r="N51" i="3"/>
  <c r="M51" i="3"/>
  <c r="O51" i="3"/>
  <c r="N104" i="3"/>
  <c r="O104" i="3"/>
  <c r="M104" i="3"/>
  <c r="M6" i="3"/>
  <c r="O6" i="3"/>
  <c r="N6" i="3"/>
  <c r="O34" i="3"/>
  <c r="N34" i="3"/>
  <c r="M34" i="3"/>
  <c r="N44" i="3"/>
  <c r="O44" i="3"/>
  <c r="M44" i="3"/>
  <c r="N121" i="3"/>
  <c r="M121" i="3"/>
  <c r="O121" i="3"/>
  <c r="N125" i="3"/>
  <c r="M125" i="3"/>
  <c r="O125" i="3"/>
  <c r="O95" i="3"/>
  <c r="M95" i="3"/>
  <c r="N95" i="3"/>
  <c r="N82" i="3"/>
  <c r="M82" i="3"/>
  <c r="O82" i="3"/>
  <c r="O67" i="3"/>
  <c r="M67" i="3"/>
  <c r="N67" i="3"/>
  <c r="M120" i="3"/>
  <c r="O120" i="3"/>
  <c r="N120" i="3"/>
  <c r="N122" i="3"/>
  <c r="O122" i="3"/>
  <c r="M122" i="3"/>
  <c r="O32" i="3"/>
  <c r="M32" i="3"/>
  <c r="N32" i="3"/>
  <c r="O141" i="3"/>
  <c r="N141" i="3"/>
  <c r="M141" i="3"/>
  <c r="M86" i="3"/>
  <c r="N86" i="3"/>
  <c r="O86" i="3"/>
  <c r="M41" i="3"/>
  <c r="O41" i="3"/>
  <c r="N41" i="3"/>
  <c r="N47" i="3"/>
  <c r="M47" i="3"/>
  <c r="O47" i="3"/>
  <c r="O100" i="3"/>
  <c r="N100" i="3"/>
  <c r="M100" i="3"/>
  <c r="M134" i="3"/>
  <c r="N134" i="3"/>
  <c r="O134" i="3"/>
  <c r="N83" i="3"/>
  <c r="O83" i="3"/>
  <c r="M83" i="3"/>
  <c r="M136" i="3"/>
  <c r="O136" i="3"/>
  <c r="N136" i="3"/>
  <c r="M142" i="3"/>
  <c r="O142" i="3"/>
  <c r="N142" i="3"/>
  <c r="M23" i="3"/>
  <c r="N23" i="3"/>
  <c r="O23" i="3"/>
  <c r="O76" i="3"/>
  <c r="M76" i="3"/>
  <c r="N76" i="3"/>
  <c r="O22" i="3"/>
  <c r="N22" i="3"/>
  <c r="M22" i="3"/>
  <c r="M70" i="3"/>
  <c r="O70" i="3"/>
  <c r="N70" i="3"/>
  <c r="N148" i="3"/>
  <c r="O148" i="3"/>
  <c r="M148" i="3"/>
  <c r="N20" i="3"/>
  <c r="M20" i="3"/>
  <c r="O20" i="3"/>
  <c r="O99" i="3"/>
  <c r="M99" i="3"/>
  <c r="N99" i="3"/>
  <c r="O26" i="3"/>
  <c r="N26" i="3"/>
  <c r="M26" i="3"/>
  <c r="N73" i="3"/>
  <c r="M73" i="3"/>
  <c r="O73" i="3"/>
  <c r="M96" i="3"/>
  <c r="O96" i="3"/>
  <c r="N96" i="3"/>
  <c r="O102" i="3"/>
  <c r="N102" i="3"/>
  <c r="M102" i="3"/>
  <c r="N118" i="3"/>
  <c r="M118" i="3"/>
  <c r="O118" i="3"/>
  <c r="O105" i="3"/>
  <c r="M105" i="3"/>
  <c r="N105" i="3"/>
  <c r="N79" i="3"/>
  <c r="O79" i="3"/>
  <c r="M79" i="3"/>
  <c r="M132" i="3"/>
  <c r="O132" i="3"/>
  <c r="N132" i="3"/>
  <c r="M106" i="3"/>
  <c r="O106" i="3"/>
  <c r="N106" i="3"/>
  <c r="N115" i="3"/>
  <c r="M115" i="3"/>
  <c r="O115" i="3"/>
  <c r="M114" i="3"/>
  <c r="N114" i="3"/>
  <c r="O114" i="3"/>
  <c r="M91" i="3"/>
  <c r="N91" i="3"/>
  <c r="O91" i="3"/>
  <c r="M55" i="3"/>
  <c r="N55" i="3"/>
  <c r="O55" i="3"/>
  <c r="O108" i="3"/>
  <c r="N108" i="3"/>
  <c r="M108" i="3"/>
  <c r="M38" i="3"/>
  <c r="O38" i="3"/>
  <c r="N38" i="3"/>
  <c r="O63" i="3"/>
  <c r="M63" i="3"/>
  <c r="N63" i="3"/>
  <c r="O127" i="3"/>
  <c r="N127" i="3"/>
  <c r="M127" i="3"/>
  <c r="O31" i="3"/>
  <c r="M31" i="3"/>
  <c r="N31" i="3"/>
  <c r="M131" i="3"/>
  <c r="N131" i="3"/>
  <c r="O131" i="3"/>
  <c r="O5" i="3"/>
  <c r="M5" i="3"/>
  <c r="N5" i="3"/>
  <c r="M74" i="3"/>
  <c r="N74" i="3"/>
  <c r="O74" i="3"/>
  <c r="N128" i="3"/>
  <c r="M128" i="3"/>
  <c r="O128" i="3"/>
  <c r="M78" i="3"/>
  <c r="O78" i="3"/>
  <c r="N78" i="3"/>
  <c r="M28" i="3"/>
  <c r="N28" i="3"/>
  <c r="O28" i="3"/>
  <c r="O137" i="3"/>
  <c r="N137" i="3"/>
  <c r="M137" i="3"/>
  <c r="N111" i="3"/>
  <c r="O111" i="3"/>
  <c r="M111" i="3"/>
  <c r="M90" i="3"/>
  <c r="N90" i="3"/>
  <c r="O90" i="3"/>
  <c r="M27" i="3"/>
  <c r="N27" i="3"/>
  <c r="O27" i="3"/>
  <c r="N147" i="3"/>
  <c r="M147" i="3"/>
  <c r="O147" i="3"/>
  <c r="O21" i="3"/>
  <c r="N21" i="3"/>
  <c r="M21" i="3"/>
  <c r="O54" i="3"/>
  <c r="N54" i="3"/>
  <c r="M54" i="3"/>
  <c r="M87" i="3"/>
  <c r="N87" i="3"/>
  <c r="O87" i="3"/>
  <c r="O140" i="3"/>
  <c r="N140" i="3"/>
  <c r="M140" i="3"/>
  <c r="M59" i="3"/>
  <c r="O59" i="3"/>
  <c r="N59" i="3"/>
  <c r="N116" i="3"/>
  <c r="O116" i="3"/>
  <c r="M116" i="3"/>
  <c r="N42" i="3"/>
  <c r="O42" i="3"/>
  <c r="M42" i="3"/>
  <c r="M46" i="3"/>
  <c r="O46" i="3"/>
  <c r="N46" i="3"/>
  <c r="M2" i="3"/>
  <c r="O2" i="3"/>
  <c r="N2" i="3"/>
  <c r="I8" i="3"/>
  <c r="J8" i="3"/>
  <c r="H8" i="3"/>
  <c r="F8" i="3" s="1"/>
  <c r="J5" i="3"/>
  <c r="H5" i="3"/>
  <c r="I5" i="3"/>
  <c r="J123" i="3"/>
  <c r="H123" i="3"/>
  <c r="I123" i="3"/>
  <c r="H11" i="3"/>
  <c r="I11" i="3"/>
  <c r="J11" i="3"/>
  <c r="J55" i="3"/>
  <c r="H55" i="3"/>
  <c r="I55" i="3"/>
  <c r="J119" i="3"/>
  <c r="H119" i="3"/>
  <c r="I119" i="3"/>
  <c r="H124" i="3"/>
  <c r="I124" i="3"/>
  <c r="J124" i="3"/>
  <c r="I4" i="3"/>
  <c r="J4" i="3"/>
  <c r="H4" i="3"/>
  <c r="H36" i="3"/>
  <c r="I36" i="3"/>
  <c r="J36" i="3"/>
  <c r="H76" i="3"/>
  <c r="I76" i="3"/>
  <c r="J76" i="3"/>
  <c r="J34" i="3"/>
  <c r="H34" i="3"/>
  <c r="I34" i="3"/>
  <c r="J85" i="3"/>
  <c r="H85" i="3"/>
  <c r="I85" i="3"/>
  <c r="H149" i="3"/>
  <c r="I149" i="3"/>
  <c r="J149" i="3"/>
  <c r="I146" i="3"/>
  <c r="J146" i="3"/>
  <c r="H146" i="3"/>
  <c r="J33" i="3"/>
  <c r="I33" i="3"/>
  <c r="H33" i="3"/>
  <c r="H69" i="3"/>
  <c r="I69" i="3"/>
  <c r="J69" i="3"/>
  <c r="H117" i="3"/>
  <c r="I117" i="3"/>
  <c r="J117" i="3"/>
  <c r="H50" i="3"/>
  <c r="I50" i="3"/>
  <c r="J50" i="3"/>
  <c r="I51" i="3"/>
  <c r="J51" i="3"/>
  <c r="H51" i="3"/>
  <c r="I115" i="3"/>
  <c r="J115" i="3"/>
  <c r="H115" i="3"/>
  <c r="H96" i="3"/>
  <c r="I96" i="3"/>
  <c r="J96" i="3"/>
  <c r="I102" i="3"/>
  <c r="H102" i="3"/>
  <c r="J102" i="3"/>
  <c r="J131" i="3"/>
  <c r="H131" i="3"/>
  <c r="I131" i="3"/>
  <c r="J97" i="3"/>
  <c r="H97" i="3"/>
  <c r="I97" i="3"/>
  <c r="I37" i="3"/>
  <c r="H37" i="3"/>
  <c r="J37" i="3"/>
  <c r="H125" i="3"/>
  <c r="I125" i="3"/>
  <c r="J125" i="3"/>
  <c r="I66" i="3"/>
  <c r="J66" i="3"/>
  <c r="H66" i="3"/>
  <c r="H63" i="3"/>
  <c r="I63" i="3"/>
  <c r="J63" i="3"/>
  <c r="I108" i="3"/>
  <c r="J108" i="3"/>
  <c r="H108" i="3"/>
  <c r="H59" i="3"/>
  <c r="I59" i="3"/>
  <c r="J59" i="3"/>
  <c r="J2" i="3"/>
  <c r="I2" i="3"/>
  <c r="H2" i="3"/>
  <c r="H19" i="3"/>
  <c r="I19" i="3"/>
  <c r="J19" i="3"/>
  <c r="H67" i="3"/>
  <c r="I67" i="3"/>
  <c r="J67" i="3"/>
  <c r="J139" i="3"/>
  <c r="H139" i="3"/>
  <c r="I139" i="3"/>
  <c r="I30" i="3"/>
  <c r="J30" i="3"/>
  <c r="H30" i="3"/>
  <c r="I12" i="3"/>
  <c r="J12" i="3"/>
  <c r="H12" i="3"/>
  <c r="H44" i="3"/>
  <c r="I44" i="3"/>
  <c r="J44" i="3"/>
  <c r="H92" i="3"/>
  <c r="I92" i="3"/>
  <c r="J92" i="3"/>
  <c r="H78" i="3"/>
  <c r="I78" i="3"/>
  <c r="J78" i="3"/>
  <c r="H105" i="3"/>
  <c r="I105" i="3"/>
  <c r="J105" i="3"/>
  <c r="H18" i="3"/>
  <c r="I18" i="3"/>
  <c r="J18" i="3"/>
  <c r="J9" i="3"/>
  <c r="H9" i="3"/>
  <c r="I9" i="3"/>
  <c r="H41" i="3"/>
  <c r="I41" i="3"/>
  <c r="J41" i="3"/>
  <c r="H77" i="3"/>
  <c r="I77" i="3"/>
  <c r="J77" i="3"/>
  <c r="H137" i="3"/>
  <c r="I137" i="3"/>
  <c r="J137" i="3"/>
  <c r="H86" i="3"/>
  <c r="I86" i="3"/>
  <c r="J86" i="3"/>
  <c r="H71" i="3"/>
  <c r="I71" i="3"/>
  <c r="J71" i="3"/>
  <c r="J127" i="3"/>
  <c r="H127" i="3"/>
  <c r="I127" i="3"/>
  <c r="H120" i="3"/>
  <c r="I120" i="3"/>
  <c r="J120" i="3"/>
  <c r="I134" i="3"/>
  <c r="J134" i="3"/>
  <c r="H134" i="3"/>
  <c r="H140" i="3"/>
  <c r="I140" i="3"/>
  <c r="J140" i="3"/>
  <c r="H27" i="3"/>
  <c r="I27" i="3"/>
  <c r="J27" i="3"/>
  <c r="H75" i="3"/>
  <c r="I75" i="3"/>
  <c r="J75" i="3"/>
  <c r="J147" i="3"/>
  <c r="H147" i="3"/>
  <c r="I147" i="3"/>
  <c r="H54" i="3"/>
  <c r="I54" i="3"/>
  <c r="J54" i="3"/>
  <c r="I16" i="3"/>
  <c r="J16" i="3"/>
  <c r="H16" i="3"/>
  <c r="H48" i="3"/>
  <c r="I48" i="3"/>
  <c r="J48" i="3"/>
  <c r="J104" i="3"/>
  <c r="H104" i="3"/>
  <c r="I104" i="3"/>
  <c r="H90" i="3"/>
  <c r="I90" i="3"/>
  <c r="J90" i="3"/>
  <c r="J113" i="3"/>
  <c r="H113" i="3"/>
  <c r="I113" i="3"/>
  <c r="J38" i="3"/>
  <c r="H38" i="3"/>
  <c r="I38" i="3"/>
  <c r="J13" i="3"/>
  <c r="H13" i="3"/>
  <c r="I13" i="3"/>
  <c r="H45" i="3"/>
  <c r="I45" i="3"/>
  <c r="J45" i="3"/>
  <c r="I81" i="3"/>
  <c r="J81" i="3"/>
  <c r="H81" i="3"/>
  <c r="H145" i="3"/>
  <c r="I145" i="3"/>
  <c r="J145" i="3"/>
  <c r="J106" i="3"/>
  <c r="I106" i="3"/>
  <c r="H106" i="3"/>
  <c r="H79" i="3"/>
  <c r="I79" i="3"/>
  <c r="J79" i="3"/>
  <c r="J135" i="3"/>
  <c r="H135" i="3"/>
  <c r="I135" i="3"/>
  <c r="H132" i="3"/>
  <c r="I132" i="3"/>
  <c r="J132" i="3"/>
  <c r="H80" i="3"/>
  <c r="I80" i="3"/>
  <c r="J80" i="3"/>
  <c r="H31" i="3"/>
  <c r="J31" i="3"/>
  <c r="I31" i="3"/>
  <c r="I83" i="3"/>
  <c r="J83" i="3"/>
  <c r="H83" i="3"/>
  <c r="I68" i="3"/>
  <c r="J68" i="3"/>
  <c r="H68" i="3"/>
  <c r="J74" i="3"/>
  <c r="H74" i="3"/>
  <c r="I74" i="3"/>
  <c r="I20" i="3"/>
  <c r="J20" i="3"/>
  <c r="H20" i="3"/>
  <c r="H52" i="3"/>
  <c r="I52" i="3"/>
  <c r="J52" i="3"/>
  <c r="H116" i="3"/>
  <c r="I116" i="3"/>
  <c r="J116" i="3"/>
  <c r="H110" i="3"/>
  <c r="I110" i="3"/>
  <c r="J110" i="3"/>
  <c r="H121" i="3"/>
  <c r="F121" i="3" s="1"/>
  <c r="I121" i="3"/>
  <c r="J121" i="3"/>
  <c r="H46" i="3"/>
  <c r="I46" i="3"/>
  <c r="J46" i="3"/>
  <c r="J17" i="3"/>
  <c r="H17" i="3"/>
  <c r="I17" i="3"/>
  <c r="I49" i="3"/>
  <c r="J49" i="3"/>
  <c r="H49" i="3"/>
  <c r="J89" i="3"/>
  <c r="H89" i="3"/>
  <c r="I89" i="3"/>
  <c r="H6" i="3"/>
  <c r="I6" i="3"/>
  <c r="J6" i="3"/>
  <c r="I126" i="3"/>
  <c r="J126" i="3"/>
  <c r="H126" i="3"/>
  <c r="J87" i="3"/>
  <c r="H87" i="3"/>
  <c r="I87" i="3"/>
  <c r="J143" i="3"/>
  <c r="H143" i="3"/>
  <c r="I143" i="3"/>
  <c r="H144" i="3"/>
  <c r="I144" i="3"/>
  <c r="J144" i="3"/>
  <c r="H40" i="3"/>
  <c r="J40" i="3"/>
  <c r="I40" i="3"/>
  <c r="H73" i="3"/>
  <c r="I73" i="3"/>
  <c r="J73" i="3"/>
  <c r="I35" i="3"/>
  <c r="J35" i="3"/>
  <c r="H35" i="3"/>
  <c r="H91" i="3"/>
  <c r="I91" i="3"/>
  <c r="J91" i="3"/>
  <c r="H88" i="3"/>
  <c r="I88" i="3"/>
  <c r="J88" i="3"/>
  <c r="H98" i="3"/>
  <c r="I98" i="3"/>
  <c r="J98" i="3"/>
  <c r="I24" i="3"/>
  <c r="J24" i="3"/>
  <c r="H24" i="3"/>
  <c r="H56" i="3"/>
  <c r="I56" i="3"/>
  <c r="J56" i="3"/>
  <c r="H128" i="3"/>
  <c r="I128" i="3"/>
  <c r="J128" i="3"/>
  <c r="I130" i="3"/>
  <c r="J130" i="3"/>
  <c r="H130" i="3"/>
  <c r="H129" i="3"/>
  <c r="I129" i="3"/>
  <c r="J129" i="3"/>
  <c r="J70" i="3"/>
  <c r="H70" i="3"/>
  <c r="I70" i="3"/>
  <c r="J21" i="3"/>
  <c r="H21" i="3"/>
  <c r="I21" i="3"/>
  <c r="J53" i="3"/>
  <c r="H53" i="3"/>
  <c r="I53" i="3"/>
  <c r="J93" i="3"/>
  <c r="H93" i="3"/>
  <c r="I93" i="3"/>
  <c r="H14" i="3"/>
  <c r="I14" i="3"/>
  <c r="J14" i="3"/>
  <c r="I142" i="3"/>
  <c r="J142" i="3"/>
  <c r="H142" i="3"/>
  <c r="H95" i="3"/>
  <c r="J95" i="3"/>
  <c r="I95" i="3"/>
  <c r="J151" i="3"/>
  <c r="H151" i="3"/>
  <c r="I151" i="3"/>
  <c r="H22" i="3"/>
  <c r="I22" i="3"/>
  <c r="J22" i="3"/>
  <c r="H58" i="3"/>
  <c r="I58" i="3"/>
  <c r="J58" i="3"/>
  <c r="H3" i="3"/>
  <c r="I3" i="3"/>
  <c r="J3" i="3"/>
  <c r="H39" i="3"/>
  <c r="F39" i="3" s="1"/>
  <c r="I39" i="3"/>
  <c r="J39" i="3"/>
  <c r="H103" i="3"/>
  <c r="I103" i="3"/>
  <c r="J103" i="3"/>
  <c r="H100" i="3"/>
  <c r="I100" i="3"/>
  <c r="J100" i="3"/>
  <c r="I122" i="3"/>
  <c r="J122" i="3"/>
  <c r="H122" i="3"/>
  <c r="I28" i="3"/>
  <c r="H28" i="3"/>
  <c r="J28" i="3"/>
  <c r="H60" i="3"/>
  <c r="I60" i="3"/>
  <c r="J60" i="3"/>
  <c r="H136" i="3"/>
  <c r="I136" i="3"/>
  <c r="J136" i="3"/>
  <c r="I150" i="3"/>
  <c r="J150" i="3"/>
  <c r="H150" i="3"/>
  <c r="H133" i="3"/>
  <c r="F133" i="3" s="1"/>
  <c r="I133" i="3"/>
  <c r="J133" i="3"/>
  <c r="H94" i="3"/>
  <c r="I94" i="3"/>
  <c r="J94" i="3"/>
  <c r="J25" i="3"/>
  <c r="H25" i="3"/>
  <c r="I25" i="3"/>
  <c r="H61" i="3"/>
  <c r="I61" i="3"/>
  <c r="J61" i="3"/>
  <c r="I101" i="3"/>
  <c r="J101" i="3"/>
  <c r="H101" i="3"/>
  <c r="H26" i="3"/>
  <c r="I26" i="3"/>
  <c r="J26" i="3"/>
  <c r="H23" i="3"/>
  <c r="I23" i="3"/>
  <c r="J23" i="3"/>
  <c r="I99" i="3"/>
  <c r="J99" i="3"/>
  <c r="H99" i="3"/>
  <c r="I64" i="3"/>
  <c r="J64" i="3"/>
  <c r="H64" i="3"/>
  <c r="H62" i="3"/>
  <c r="I62" i="3"/>
  <c r="J62" i="3"/>
  <c r="H15" i="3"/>
  <c r="I15" i="3"/>
  <c r="J15" i="3"/>
  <c r="H10" i="3"/>
  <c r="I10" i="3"/>
  <c r="J10" i="3"/>
  <c r="H114" i="3"/>
  <c r="I114" i="3"/>
  <c r="J114" i="3"/>
  <c r="H7" i="3"/>
  <c r="I7" i="3"/>
  <c r="J7" i="3"/>
  <c r="H47" i="3"/>
  <c r="I47" i="3"/>
  <c r="J47" i="3"/>
  <c r="J111" i="3"/>
  <c r="H111" i="3"/>
  <c r="I111" i="3"/>
  <c r="H112" i="3"/>
  <c r="F112" i="3" s="1"/>
  <c r="I112" i="3"/>
  <c r="J112" i="3"/>
  <c r="I138" i="3"/>
  <c r="J138" i="3"/>
  <c r="H138" i="3"/>
  <c r="I32" i="3"/>
  <c r="H32" i="3"/>
  <c r="J32" i="3"/>
  <c r="J72" i="3"/>
  <c r="I72" i="3"/>
  <c r="H72" i="3"/>
  <c r="H148" i="3"/>
  <c r="I148" i="3"/>
  <c r="J148" i="3"/>
  <c r="J57" i="3"/>
  <c r="H57" i="3"/>
  <c r="I57" i="3"/>
  <c r="H141" i="3"/>
  <c r="I141" i="3"/>
  <c r="J141" i="3"/>
  <c r="I118" i="3"/>
  <c r="J118" i="3"/>
  <c r="H118" i="3"/>
  <c r="J29" i="3"/>
  <c r="H29" i="3"/>
  <c r="I29" i="3"/>
  <c r="H65" i="3"/>
  <c r="I65" i="3"/>
  <c r="J65" i="3"/>
  <c r="H109" i="3"/>
  <c r="I109" i="3"/>
  <c r="J109" i="3"/>
  <c r="H42" i="3"/>
  <c r="I42" i="3"/>
  <c r="J42" i="3"/>
  <c r="H43" i="3"/>
  <c r="I43" i="3"/>
  <c r="J43" i="3"/>
  <c r="H107" i="3"/>
  <c r="J107" i="3"/>
  <c r="I107" i="3"/>
  <c r="H84" i="3"/>
  <c r="I84" i="3"/>
  <c r="J84" i="3"/>
  <c r="J82" i="3"/>
  <c r="H82" i="3"/>
  <c r="I82" i="3"/>
  <c r="AD35" i="2"/>
  <c r="AD36" i="2"/>
  <c r="AD37" i="2"/>
  <c r="AD38" i="2"/>
  <c r="AE36" i="2"/>
  <c r="AE37" i="2"/>
  <c r="AD39" i="2"/>
  <c r="AE38" i="2" s="1"/>
  <c r="AD40" i="2"/>
  <c r="AD41" i="2"/>
  <c r="AE35" i="2"/>
  <c r="AE23" i="2"/>
  <c r="AE24" i="2"/>
  <c r="AD26" i="2"/>
  <c r="AE22" i="2"/>
  <c r="AD22" i="2"/>
  <c r="AD23" i="2"/>
  <c r="AD24" i="2"/>
  <c r="AD25" i="2"/>
  <c r="AD27" i="2"/>
  <c r="AD28" i="2"/>
  <c r="AE25" i="2"/>
  <c r="AE20" i="2"/>
  <c r="K2" i="3" l="1"/>
  <c r="AE33" i="2"/>
  <c r="F57" i="3"/>
  <c r="F142" i="3"/>
  <c r="F70" i="3"/>
  <c r="F68" i="3"/>
  <c r="F3" i="3"/>
  <c r="F98" i="3"/>
  <c r="F110" i="3"/>
  <c r="F80" i="3"/>
  <c r="F86" i="3"/>
  <c r="F92" i="3"/>
  <c r="F31" i="3"/>
  <c r="F135" i="3"/>
  <c r="F45" i="3"/>
  <c r="F113" i="3"/>
  <c r="F54" i="3"/>
  <c r="F71" i="3"/>
  <c r="F78" i="3"/>
  <c r="F85" i="3"/>
  <c r="F124" i="3"/>
  <c r="F59" i="3"/>
  <c r="F72" i="3"/>
  <c r="F122" i="3"/>
  <c r="F130" i="3"/>
  <c r="F49" i="3"/>
  <c r="F106" i="3"/>
  <c r="F134" i="3"/>
  <c r="K3" i="3"/>
  <c r="K98" i="3"/>
  <c r="K80" i="3"/>
  <c r="K86" i="3"/>
  <c r="K43" i="3"/>
  <c r="K148" i="3"/>
  <c r="K114" i="3"/>
  <c r="K129" i="3"/>
  <c r="K79" i="3"/>
  <c r="K41" i="3"/>
  <c r="K97" i="3"/>
  <c r="K112" i="3"/>
  <c r="K133" i="3"/>
  <c r="K39" i="3"/>
  <c r="K121" i="3"/>
  <c r="K68" i="3"/>
  <c r="K8" i="3"/>
  <c r="F138" i="3"/>
  <c r="F28" i="3"/>
  <c r="F151" i="3"/>
  <c r="F89" i="3"/>
  <c r="F83" i="3"/>
  <c r="F81" i="3"/>
  <c r="F16" i="3"/>
  <c r="F34" i="3"/>
  <c r="F4" i="3"/>
  <c r="F123" i="3"/>
  <c r="F65" i="3"/>
  <c r="F62" i="3"/>
  <c r="F94" i="3"/>
  <c r="F103" i="3"/>
  <c r="F14" i="3"/>
  <c r="F21" i="3"/>
  <c r="F56" i="3"/>
  <c r="F144" i="3"/>
  <c r="F46" i="3"/>
  <c r="F38" i="3"/>
  <c r="F105" i="3"/>
  <c r="F19" i="3"/>
  <c r="F69" i="3"/>
  <c r="F55" i="3"/>
  <c r="F84" i="3"/>
  <c r="F141" i="3"/>
  <c r="F47" i="3"/>
  <c r="F64" i="3"/>
  <c r="F23" i="3"/>
  <c r="F136" i="3"/>
  <c r="F58" i="3"/>
  <c r="F24" i="3"/>
  <c r="F88" i="3"/>
  <c r="F116" i="3"/>
  <c r="F74" i="3"/>
  <c r="F132" i="3"/>
  <c r="F104" i="3"/>
  <c r="F75" i="3"/>
  <c r="F137" i="3"/>
  <c r="F9" i="3"/>
  <c r="F44" i="3"/>
  <c r="F139" i="3"/>
  <c r="F2" i="3"/>
  <c r="F96" i="3"/>
  <c r="F33" i="3"/>
  <c r="F149" i="3"/>
  <c r="F5" i="3"/>
  <c r="F42" i="3"/>
  <c r="F29" i="3"/>
  <c r="F10" i="3"/>
  <c r="F61" i="3"/>
  <c r="F95" i="3"/>
  <c r="F93" i="3"/>
  <c r="F73" i="3"/>
  <c r="F143" i="3"/>
  <c r="F12" i="3"/>
  <c r="F125" i="3"/>
  <c r="F131" i="3"/>
  <c r="F115" i="3"/>
  <c r="F50" i="3"/>
  <c r="F76" i="3"/>
  <c r="F107" i="3"/>
  <c r="F118" i="3"/>
  <c r="F32" i="3"/>
  <c r="F7" i="3"/>
  <c r="F99" i="3"/>
  <c r="F26" i="3"/>
  <c r="F25" i="3"/>
  <c r="F150" i="3"/>
  <c r="F60" i="3"/>
  <c r="F22" i="3"/>
  <c r="F91" i="3"/>
  <c r="F6" i="3"/>
  <c r="F17" i="3"/>
  <c r="F52" i="3"/>
  <c r="F27" i="3"/>
  <c r="F77" i="3"/>
  <c r="F63" i="3"/>
  <c r="F37" i="3"/>
  <c r="F146" i="3"/>
  <c r="F11" i="3"/>
  <c r="F82" i="3"/>
  <c r="F109" i="3"/>
  <c r="F111" i="3"/>
  <c r="F15" i="3"/>
  <c r="F101" i="3"/>
  <c r="F100" i="3"/>
  <c r="F53" i="3"/>
  <c r="F128" i="3"/>
  <c r="F35" i="3"/>
  <c r="F40" i="3"/>
  <c r="F87" i="3"/>
  <c r="F20" i="3"/>
  <c r="F145" i="3"/>
  <c r="F13" i="3"/>
  <c r="F48" i="3"/>
  <c r="F147" i="3"/>
  <c r="F120" i="3"/>
  <c r="F18" i="3"/>
  <c r="F30" i="3"/>
  <c r="F67" i="3"/>
  <c r="F66" i="3"/>
  <c r="F102" i="3"/>
  <c r="F51" i="3"/>
  <c r="F117" i="3"/>
  <c r="F36" i="3"/>
  <c r="F119" i="3"/>
  <c r="AD49" i="2" l="1"/>
  <c r="AD64" i="2"/>
  <c r="AD63" i="2"/>
  <c r="AD62" i="2"/>
  <c r="AD65" i="2"/>
  <c r="AD51" i="2"/>
  <c r="AC49" i="2"/>
  <c r="AB51" i="2"/>
  <c r="AA50" i="2"/>
  <c r="AB49" i="2"/>
  <c r="AC52" i="2"/>
  <c r="AA52" i="2"/>
  <c r="AA51" i="2"/>
  <c r="AC50" i="2"/>
  <c r="AA49" i="2"/>
  <c r="AB52" i="2"/>
  <c r="AD52" i="2"/>
  <c r="AB50" i="2"/>
  <c r="AD50" i="2"/>
  <c r="AC51" i="2"/>
  <c r="F43" i="3"/>
  <c r="F148" i="3"/>
  <c r="F114" i="3"/>
  <c r="F129" i="3"/>
  <c r="F126" i="3"/>
  <c r="F79" i="3"/>
  <c r="F90" i="3"/>
  <c r="F140" i="3"/>
  <c r="S3" i="3" s="1"/>
  <c r="F127" i="3"/>
  <c r="F41" i="3"/>
  <c r="F108" i="3"/>
  <c r="F97" i="3"/>
  <c r="K126" i="3"/>
  <c r="K110" i="3"/>
  <c r="K70" i="3"/>
  <c r="K90" i="3"/>
  <c r="K142" i="3"/>
  <c r="K108" i="3"/>
  <c r="K127" i="3"/>
  <c r="K140" i="3"/>
  <c r="K92" i="3"/>
  <c r="K57" i="3"/>
  <c r="K134" i="3"/>
  <c r="K85" i="3"/>
  <c r="K106" i="3"/>
  <c r="K78" i="3"/>
  <c r="K71" i="3"/>
  <c r="K130" i="3"/>
  <c r="K54" i="3"/>
  <c r="K122" i="3"/>
  <c r="K45" i="3"/>
  <c r="K59" i="3"/>
  <c r="K135" i="3"/>
  <c r="K13" i="3"/>
  <c r="K100" i="3"/>
  <c r="K37" i="3"/>
  <c r="K5" i="3"/>
  <c r="K58" i="3"/>
  <c r="K14" i="3"/>
  <c r="K16" i="3"/>
  <c r="K145" i="3"/>
  <c r="K101" i="3"/>
  <c r="K63" i="3"/>
  <c r="K60" i="3"/>
  <c r="K107" i="3"/>
  <c r="K75" i="3"/>
  <c r="K19" i="3"/>
  <c r="K67" i="3"/>
  <c r="K15" i="3"/>
  <c r="K33" i="3"/>
  <c r="K105" i="3"/>
  <c r="K83" i="3"/>
  <c r="K30" i="3"/>
  <c r="K111" i="3"/>
  <c r="K27" i="3"/>
  <c r="K25" i="3"/>
  <c r="K38" i="3"/>
  <c r="K18" i="3"/>
  <c r="K40" i="3"/>
  <c r="K109" i="3"/>
  <c r="K26" i="3"/>
  <c r="K115" i="3"/>
  <c r="K74" i="3"/>
  <c r="K65" i="3"/>
  <c r="K151" i="3"/>
  <c r="K36" i="3"/>
  <c r="K120" i="3"/>
  <c r="K35" i="3"/>
  <c r="K82" i="3"/>
  <c r="K17" i="3"/>
  <c r="K99" i="3"/>
  <c r="K10" i="3"/>
  <c r="K139" i="3"/>
  <c r="K116" i="3"/>
  <c r="K123" i="3"/>
  <c r="K117" i="3"/>
  <c r="K147" i="3"/>
  <c r="K128" i="3"/>
  <c r="K11" i="3"/>
  <c r="K7" i="3"/>
  <c r="K125" i="3"/>
  <c r="K44" i="3"/>
  <c r="K84" i="3"/>
  <c r="K56" i="3"/>
  <c r="K138" i="3"/>
  <c r="K48" i="3"/>
  <c r="K53" i="3"/>
  <c r="K146" i="3"/>
  <c r="K91" i="3"/>
  <c r="K32" i="3"/>
  <c r="K12" i="3"/>
  <c r="K24" i="3"/>
  <c r="K55" i="3"/>
  <c r="K34" i="3"/>
  <c r="K70" i="2" a="1"/>
  <c r="K143" i="2" a="1"/>
  <c r="P69" i="2" a="1"/>
  <c r="P67" i="2" a="1"/>
  <c r="P54" i="2" a="1"/>
  <c r="P85" i="2" a="1"/>
  <c r="P19" i="2" a="1"/>
  <c r="K84" i="2" a="1"/>
  <c r="P38" i="2" a="1"/>
  <c r="P28" i="2" a="1"/>
  <c r="P92" i="2" a="1"/>
  <c r="K134" i="2" a="1"/>
  <c r="K48" i="2" a="1"/>
  <c r="P137" i="2" a="1"/>
  <c r="P131" i="2" a="1"/>
  <c r="P15" i="2" a="1"/>
  <c r="P64" i="2" a="1"/>
  <c r="K10" i="2" a="1"/>
  <c r="K83" i="2" a="1"/>
  <c r="P41" i="2" a="1"/>
  <c r="P39" i="2" a="1"/>
  <c r="K99" i="2" a="1"/>
  <c r="P25" i="2" a="1"/>
  <c r="K110" i="2" a="1"/>
  <c r="K56" i="2" a="1"/>
  <c r="P10" i="2" a="1"/>
  <c r="K114" i="2" a="1"/>
  <c r="K40" i="2" a="1"/>
  <c r="P129" i="2" a="1"/>
  <c r="P59" i="2" a="1"/>
  <c r="K45" i="2" a="1"/>
  <c r="P110" i="2" a="1"/>
  <c r="P21" i="2" a="1"/>
  <c r="K106" i="2" a="1"/>
  <c r="K20" i="2" a="1"/>
  <c r="P145" i="2" a="1"/>
  <c r="P135" i="2" a="1"/>
  <c r="K142" i="2" a="1"/>
  <c r="K16" i="2" a="1"/>
  <c r="P65" i="2" a="1"/>
  <c r="K90" i="2" a="1"/>
  <c r="P71" i="2" a="1"/>
  <c r="K38" i="2" a="1"/>
  <c r="P4" i="2" a="1"/>
  <c r="K97" i="2" a="1"/>
  <c r="K55" i="2" a="1"/>
  <c r="P13" i="2" a="1"/>
  <c r="K46" i="2" a="1"/>
  <c r="K39" i="2" a="1"/>
  <c r="P108" i="2" a="1"/>
  <c r="K50" i="2" a="1"/>
  <c r="K28" i="2" a="1"/>
  <c r="P86" i="2" a="1"/>
  <c r="K3" i="2" a="1"/>
  <c r="P68" i="2" a="1"/>
  <c r="K14" i="2" a="1"/>
  <c r="K119" i="2" a="1"/>
  <c r="P77" i="2" a="1"/>
  <c r="P142" i="2" a="1"/>
  <c r="P18" i="2" a="1"/>
  <c r="P115" i="2" a="1"/>
  <c r="K37" i="2" a="1"/>
  <c r="K27" i="2" a="1"/>
  <c r="P136" i="2" a="1"/>
  <c r="K53" i="2" a="1"/>
  <c r="P134" i="2" a="1"/>
  <c r="P44" i="2" a="1"/>
  <c r="K22" i="2" a="1"/>
  <c r="K148" i="2" a="1"/>
  <c r="P106" i="2" a="1"/>
  <c r="K6" i="2" a="1"/>
  <c r="K79" i="2" a="1"/>
  <c r="P5" i="2" a="1"/>
  <c r="P3" i="2" a="1"/>
  <c r="P83" i="2" a="1"/>
  <c r="P126" i="2" a="1"/>
  <c r="P40" i="2" a="1"/>
  <c r="K133" i="2" a="1"/>
  <c r="K123" i="2" a="1"/>
  <c r="P81" i="2" a="1"/>
  <c r="P150" i="2" a="1"/>
  <c r="P99" i="2" a="1"/>
  <c r="P63" i="2" a="1"/>
  <c r="K42" i="2" a="1"/>
  <c r="K88" i="2" a="1"/>
  <c r="P35" i="2" a="1"/>
  <c r="K36" i="2" a="1"/>
  <c r="P125" i="2" a="1"/>
  <c r="P55" i="2" a="1"/>
  <c r="K9" i="2" a="1"/>
  <c r="P114" i="2" a="1"/>
  <c r="P146" i="2" a="1"/>
  <c r="K140" i="2" a="1"/>
  <c r="P58" i="2" a="1"/>
  <c r="P96" i="2" a="1"/>
  <c r="K145" i="2" a="1"/>
  <c r="K35" i="2" a="1"/>
  <c r="K100" i="2" a="1"/>
  <c r="P22" i="2" a="1"/>
  <c r="P119" i="2" a="1"/>
  <c r="K73" i="2" a="1"/>
  <c r="K63" i="2" a="1"/>
  <c r="K51" i="2" a="1"/>
  <c r="K135" i="2" a="1"/>
  <c r="P61" i="2" a="1"/>
  <c r="K150" i="2" a="1"/>
  <c r="K128" i="2" a="1"/>
  <c r="P78" i="2" a="1"/>
  <c r="P11" i="2" a="1"/>
  <c r="K76" i="2" a="1"/>
  <c r="P138" i="2" a="1"/>
  <c r="P127" i="2" a="1"/>
  <c r="K113" i="2" a="1"/>
  <c r="P7" i="2" a="1"/>
  <c r="P111" i="2" a="1"/>
  <c r="K33" i="2" a="1"/>
  <c r="P102" i="2" a="1"/>
  <c r="P88" i="2" a="1"/>
  <c r="K5" i="2" a="1"/>
  <c r="K72" i="2" a="1"/>
  <c r="P130" i="2" a="1"/>
  <c r="P91" i="2" a="1"/>
  <c r="K77" i="2" a="1"/>
  <c r="P32" i="2" a="1"/>
  <c r="K58" i="2" a="1"/>
  <c r="K139" i="2" a="1"/>
  <c r="P80" i="2" a="1"/>
  <c r="K131" i="2" a="1"/>
  <c r="P37" i="2" a="1"/>
  <c r="P107" i="2" a="1"/>
  <c r="K29" i="2" a="1"/>
  <c r="P98" i="2" a="1"/>
  <c r="P52" i="2" a="1"/>
  <c r="K62" i="2" a="1"/>
  <c r="P46" i="2" a="1"/>
  <c r="P36" i="2" a="1"/>
  <c r="K129" i="2" a="1"/>
  <c r="K87" i="2" a="1"/>
  <c r="P45" i="2" a="1"/>
  <c r="K125" i="2" a="1"/>
  <c r="P148" i="2" a="1"/>
  <c r="K93" i="2" a="1"/>
  <c r="K19" i="2" a="1"/>
  <c r="P124" i="2" a="1"/>
  <c r="K126" i="2" a="1"/>
  <c r="P109" i="2" a="1"/>
  <c r="P47" i="2" a="1"/>
  <c r="K112" i="2" a="1"/>
  <c r="P34" i="2" a="1"/>
  <c r="P24" i="2" a="1"/>
  <c r="K12" i="2" a="1"/>
  <c r="P50" i="2" a="1"/>
  <c r="P147" i="2" a="1"/>
  <c r="K69" i="2" a="1"/>
  <c r="K59" i="2" a="1"/>
  <c r="P17" i="2" a="1"/>
  <c r="K85" i="2" a="1"/>
  <c r="K11" i="2" a="1"/>
  <c r="P76" i="2" a="1"/>
  <c r="K54" i="2" a="1"/>
  <c r="K32" i="2" a="1"/>
  <c r="K95" i="2" a="1"/>
  <c r="P143" i="2" a="1"/>
  <c r="K65" i="2" a="1"/>
  <c r="K23" i="2" a="1"/>
  <c r="P128" i="2" a="1"/>
  <c r="K105" i="2" a="1"/>
  <c r="K96" i="2" a="1"/>
  <c r="K66" i="2" a="1"/>
  <c r="K89" i="2" a="1"/>
  <c r="K115" i="2" a="1"/>
  <c r="P42" i="2" a="1"/>
  <c r="P53" i="2" a="1"/>
  <c r="K138" i="2" a="1"/>
  <c r="K52" i="2" a="1"/>
  <c r="P6" i="2" a="1"/>
  <c r="P140" i="2" a="1"/>
  <c r="K68" i="2" a="1"/>
  <c r="P122" i="2" a="1"/>
  <c r="P87" i="2" a="1"/>
  <c r="K41" i="2" a="1"/>
  <c r="K31" i="2" a="1"/>
  <c r="P97" i="2" a="1"/>
  <c r="P121" i="2" a="1"/>
  <c r="P51" i="2" a="1"/>
  <c r="K116" i="2" a="1"/>
  <c r="P70" i="2" a="1"/>
  <c r="P60" i="2" a="1"/>
  <c r="K67" i="2" a="1"/>
  <c r="P113" i="2" a="1"/>
  <c r="K78" i="2" a="1"/>
  <c r="K24" i="2" a="1"/>
  <c r="P149" i="2" a="1"/>
  <c r="P151" i="2" a="1"/>
  <c r="K8" i="2" a="1"/>
  <c r="P93" i="2" a="1"/>
  <c r="P27" i="2" a="1"/>
  <c r="K13" i="2" a="1"/>
  <c r="P118" i="2" a="1"/>
  <c r="P43" i="2" a="1"/>
  <c r="K108" i="2" a="1"/>
  <c r="P30" i="2" a="1"/>
  <c r="P120" i="2" a="1"/>
  <c r="K149" i="2" a="1"/>
  <c r="K4" i="2" a="1"/>
  <c r="P89" i="2" a="1"/>
  <c r="P23" i="2" a="1"/>
  <c r="K120" i="2" a="1"/>
  <c r="P74" i="2" a="1"/>
  <c r="K49" i="2" a="1"/>
  <c r="K102" i="2" a="1"/>
  <c r="P31" i="2" a="1"/>
  <c r="K103" i="2" a="1"/>
  <c r="K146" i="2" a="1"/>
  <c r="P29" i="2" a="1"/>
  <c r="K7" i="2" a="1"/>
  <c r="P72" i="2" a="1"/>
  <c r="K18" i="2" a="1"/>
  <c r="K124" i="2" a="1"/>
  <c r="P117" i="2" a="1"/>
  <c r="K34" i="2" a="1"/>
  <c r="K107" i="2" a="1"/>
  <c r="P33" i="2" a="1"/>
  <c r="K2" i="2" a="1"/>
  <c r="K132" i="2" a="1"/>
  <c r="P48" i="2" a="1"/>
  <c r="K71" i="2" a="1"/>
  <c r="P141" i="2" a="1"/>
  <c r="K82" i="2" a="1"/>
  <c r="K60" i="2" a="1"/>
  <c r="P14" i="2" a="1"/>
  <c r="K21" i="2" a="1"/>
  <c r="P90" i="2" a="1"/>
  <c r="P12" i="2" a="1"/>
  <c r="K137" i="2" a="1"/>
  <c r="K127" i="2" a="1"/>
  <c r="K151" i="2" a="1"/>
  <c r="K121" i="2" a="1"/>
  <c r="K47" i="2" a="1"/>
  <c r="P116" i="2" a="1"/>
  <c r="K122" i="2" a="1"/>
  <c r="P104" i="2" a="1"/>
  <c r="P144" i="2" a="1"/>
  <c r="K74" i="2" a="1"/>
  <c r="K147" i="2" a="1"/>
  <c r="P105" i="2" a="1"/>
  <c r="P103" i="2" a="1"/>
  <c r="K117" i="2" a="1"/>
  <c r="K43" i="2" a="1"/>
  <c r="P112" i="2" a="1"/>
  <c r="K86" i="2" a="1"/>
  <c r="K64" i="2" a="1"/>
  <c r="K75" i="2" a="1"/>
  <c r="P101" i="2" a="1"/>
  <c r="K17" i="2" a="1"/>
  <c r="P100" i="2" a="1"/>
  <c r="P57" i="2" a="1"/>
  <c r="K111" i="2" a="1"/>
  <c r="K104" i="2" a="1"/>
  <c r="P26" i="2" a="1"/>
  <c r="P123" i="2" a="1"/>
  <c r="K109" i="2" a="1"/>
  <c r="K98" i="2" a="1"/>
  <c r="P139" i="2" a="1"/>
  <c r="K61" i="2" a="1"/>
  <c r="P2" i="2" a="1"/>
  <c r="P84" i="2" a="1"/>
  <c r="K94" i="2" a="1"/>
  <c r="K92" i="2" a="1"/>
  <c r="K25" i="2" a="1"/>
  <c r="P94" i="2" a="1"/>
  <c r="P16" i="2" a="1"/>
  <c r="K26" i="2" a="1"/>
  <c r="K136" i="2" a="1"/>
  <c r="K130" i="2" a="1"/>
  <c r="K44" i="2" a="1"/>
  <c r="P133" i="2" a="1"/>
  <c r="P95" i="2" a="1"/>
  <c r="K81" i="2" a="1"/>
  <c r="P132" i="2" a="1"/>
  <c r="P79" i="2" a="1"/>
  <c r="K141" i="2" a="1"/>
  <c r="P66" i="2" a="1"/>
  <c r="P56" i="2" a="1"/>
  <c r="K80" i="2" a="1"/>
  <c r="P82" i="2" a="1"/>
  <c r="P8" i="2" a="1"/>
  <c r="K101" i="2" a="1"/>
  <c r="K91" i="2" a="1"/>
  <c r="P49" i="2" a="1"/>
  <c r="P75" i="2" a="1"/>
  <c r="K144" i="2" a="1"/>
  <c r="P62" i="2" a="1"/>
  <c r="P20" i="2" a="1"/>
  <c r="K30" i="2" a="1"/>
  <c r="K118" i="2" a="1"/>
  <c r="K57" i="2" a="1"/>
  <c r="K15" i="2" a="1"/>
  <c r="P73" i="2" a="1"/>
  <c r="P9" i="2" a="1"/>
  <c r="P2" i="2" l="1"/>
  <c r="P142" i="2"/>
  <c r="P134" i="2"/>
  <c r="P126" i="2"/>
  <c r="P118" i="2"/>
  <c r="P114" i="2"/>
  <c r="P106" i="2"/>
  <c r="P102" i="2"/>
  <c r="P98" i="2"/>
  <c r="P94" i="2"/>
  <c r="P90" i="2"/>
  <c r="P82" i="2"/>
  <c r="P78" i="2"/>
  <c r="P74" i="2"/>
  <c r="P70" i="2"/>
  <c r="P66" i="2"/>
  <c r="P62" i="2"/>
  <c r="P58" i="2"/>
  <c r="P54" i="2"/>
  <c r="P50" i="2"/>
  <c r="P46" i="2"/>
  <c r="P42" i="2"/>
  <c r="P38" i="2"/>
  <c r="P34" i="2"/>
  <c r="P30" i="2"/>
  <c r="P26" i="2"/>
  <c r="P22" i="2"/>
  <c r="P18" i="2"/>
  <c r="P14" i="2"/>
  <c r="P10" i="2"/>
  <c r="P6" i="2"/>
  <c r="P146" i="2"/>
  <c r="P138" i="2"/>
  <c r="P130" i="2"/>
  <c r="P122" i="2"/>
  <c r="P110" i="2"/>
  <c r="P86" i="2"/>
  <c r="P149" i="2"/>
  <c r="P145" i="2"/>
  <c r="P137" i="2"/>
  <c r="P133" i="2"/>
  <c r="P129" i="2"/>
  <c r="P125" i="2"/>
  <c r="P121" i="2"/>
  <c r="P117" i="2"/>
  <c r="P109" i="2"/>
  <c r="P105" i="2"/>
  <c r="P101" i="2"/>
  <c r="P97" i="2"/>
  <c r="P93" i="2"/>
  <c r="P89" i="2"/>
  <c r="P85" i="2"/>
  <c r="P81" i="2"/>
  <c r="P77" i="2"/>
  <c r="P73" i="2"/>
  <c r="P69" i="2"/>
  <c r="P65" i="2"/>
  <c r="P61" i="2"/>
  <c r="P57" i="2"/>
  <c r="P53" i="2"/>
  <c r="P49" i="2"/>
  <c r="P45" i="2"/>
  <c r="P41" i="2"/>
  <c r="P37" i="2"/>
  <c r="P33" i="2"/>
  <c r="P29" i="2"/>
  <c r="P25" i="2"/>
  <c r="P21" i="2"/>
  <c r="P17" i="2"/>
  <c r="P13" i="2"/>
  <c r="P9" i="2"/>
  <c r="P5" i="2"/>
  <c r="P150" i="2"/>
  <c r="P141" i="2"/>
  <c r="P113" i="2"/>
  <c r="P144" i="2"/>
  <c r="P136" i="2"/>
  <c r="P128" i="2"/>
  <c r="P124" i="2"/>
  <c r="P116" i="2"/>
  <c r="P112" i="2"/>
  <c r="P108" i="2"/>
  <c r="P104" i="2"/>
  <c r="P100" i="2"/>
  <c r="P92" i="2"/>
  <c r="P88" i="2"/>
  <c r="P84" i="2"/>
  <c r="P80" i="2"/>
  <c r="P76" i="2"/>
  <c r="P72" i="2"/>
  <c r="P68" i="2"/>
  <c r="P64" i="2"/>
  <c r="P60" i="2"/>
  <c r="P56" i="2"/>
  <c r="P52" i="2"/>
  <c r="P48" i="2"/>
  <c r="P44" i="2"/>
  <c r="P40" i="2"/>
  <c r="P36" i="2"/>
  <c r="P32" i="2"/>
  <c r="P28" i="2"/>
  <c r="P24" i="2"/>
  <c r="P20" i="2"/>
  <c r="P16" i="2"/>
  <c r="P12" i="2"/>
  <c r="P8" i="2"/>
  <c r="P4" i="2"/>
  <c r="P148" i="2"/>
  <c r="P140" i="2"/>
  <c r="P132" i="2"/>
  <c r="P120" i="2"/>
  <c r="P96" i="2"/>
  <c r="P151" i="2"/>
  <c r="P147" i="2"/>
  <c r="P143" i="2"/>
  <c r="P139" i="2"/>
  <c r="P135" i="2"/>
  <c r="P131" i="2"/>
  <c r="P127" i="2"/>
  <c r="P123" i="2"/>
  <c r="P119" i="2"/>
  <c r="P115" i="2"/>
  <c r="P111" i="2"/>
  <c r="P107" i="2"/>
  <c r="P103" i="2"/>
  <c r="P99" i="2"/>
  <c r="P95" i="2"/>
  <c r="P91" i="2"/>
  <c r="P87" i="2"/>
  <c r="P83" i="2"/>
  <c r="P79" i="2"/>
  <c r="P75" i="2"/>
  <c r="P71" i="2"/>
  <c r="P67" i="2"/>
  <c r="P63" i="2"/>
  <c r="P59" i="2"/>
  <c r="P55" i="2"/>
  <c r="P51" i="2"/>
  <c r="P47" i="2"/>
  <c r="P43" i="2"/>
  <c r="P39" i="2"/>
  <c r="P35" i="2"/>
  <c r="P31" i="2"/>
  <c r="P27" i="2"/>
  <c r="P23" i="2"/>
  <c r="P19" i="2"/>
  <c r="P15" i="2"/>
  <c r="P11" i="2"/>
  <c r="P7" i="2"/>
  <c r="P3" i="2"/>
  <c r="K2" i="2"/>
  <c r="K150" i="2"/>
  <c r="K146" i="2"/>
  <c r="K138" i="2"/>
  <c r="K134" i="2"/>
  <c r="K130" i="2"/>
  <c r="K126" i="2"/>
  <c r="K122" i="2"/>
  <c r="K118" i="2"/>
  <c r="K114" i="2"/>
  <c r="K110" i="2"/>
  <c r="K106" i="2"/>
  <c r="K102" i="2"/>
  <c r="K98" i="2"/>
  <c r="K94" i="2"/>
  <c r="K90" i="2"/>
  <c r="K86" i="2"/>
  <c r="K82" i="2"/>
  <c r="K78" i="2"/>
  <c r="K74" i="2"/>
  <c r="K70" i="2"/>
  <c r="K66" i="2"/>
  <c r="K62" i="2"/>
  <c r="K58" i="2"/>
  <c r="K54" i="2"/>
  <c r="K50" i="2"/>
  <c r="K46" i="2"/>
  <c r="K42" i="2"/>
  <c r="K38" i="2"/>
  <c r="K34" i="2"/>
  <c r="K30" i="2"/>
  <c r="K26" i="2"/>
  <c r="K22" i="2"/>
  <c r="K18" i="2"/>
  <c r="K14" i="2"/>
  <c r="K10" i="2"/>
  <c r="K6" i="2"/>
  <c r="K142" i="2"/>
  <c r="K149" i="2"/>
  <c r="K145" i="2"/>
  <c r="K137" i="2"/>
  <c r="K133" i="2"/>
  <c r="K129" i="2"/>
  <c r="K125" i="2"/>
  <c r="K121" i="2"/>
  <c r="K117" i="2"/>
  <c r="K113" i="2"/>
  <c r="K109" i="2"/>
  <c r="K105" i="2"/>
  <c r="K101" i="2"/>
  <c r="K97" i="2"/>
  <c r="K93" i="2"/>
  <c r="K89" i="2"/>
  <c r="K85" i="2"/>
  <c r="K81" i="2"/>
  <c r="K77" i="2"/>
  <c r="K73" i="2"/>
  <c r="K69" i="2"/>
  <c r="K65" i="2"/>
  <c r="K61" i="2"/>
  <c r="K57" i="2"/>
  <c r="K53" i="2"/>
  <c r="K49" i="2"/>
  <c r="K45" i="2"/>
  <c r="K41" i="2"/>
  <c r="K37" i="2"/>
  <c r="K33" i="2"/>
  <c r="K29" i="2"/>
  <c r="K25" i="2"/>
  <c r="K21" i="2"/>
  <c r="K17" i="2"/>
  <c r="K13" i="2"/>
  <c r="K9" i="2"/>
  <c r="K5" i="2"/>
  <c r="K141" i="2"/>
  <c r="K144" i="2"/>
  <c r="K140" i="2"/>
  <c r="K136" i="2"/>
  <c r="K132" i="2"/>
  <c r="K128" i="2"/>
  <c r="K120" i="2"/>
  <c r="K116" i="2"/>
  <c r="K112" i="2"/>
  <c r="K108" i="2"/>
  <c r="K104" i="2"/>
  <c r="K100" i="2"/>
  <c r="K96" i="2"/>
  <c r="K92" i="2"/>
  <c r="K88" i="2"/>
  <c r="K84" i="2"/>
  <c r="K80" i="2"/>
  <c r="K76" i="2"/>
  <c r="K72" i="2"/>
  <c r="K68" i="2"/>
  <c r="K64" i="2"/>
  <c r="K60" i="2"/>
  <c r="K56" i="2"/>
  <c r="K52" i="2"/>
  <c r="K48" i="2"/>
  <c r="K44" i="2"/>
  <c r="K40" i="2"/>
  <c r="K36" i="2"/>
  <c r="K32" i="2"/>
  <c r="K28" i="2"/>
  <c r="K24" i="2"/>
  <c r="K20" i="2"/>
  <c r="K16" i="2"/>
  <c r="K12" i="2"/>
  <c r="K8" i="2"/>
  <c r="K4" i="2"/>
  <c r="K148" i="2"/>
  <c r="K124" i="2"/>
  <c r="K151" i="2"/>
  <c r="K147" i="2"/>
  <c r="K143" i="2"/>
  <c r="K139" i="2"/>
  <c r="K135" i="2"/>
  <c r="K131" i="2"/>
  <c r="K127" i="2"/>
  <c r="K123" i="2"/>
  <c r="K119" i="2"/>
  <c r="K115" i="2"/>
  <c r="K111" i="2"/>
  <c r="K107" i="2"/>
  <c r="K103" i="2"/>
  <c r="K99" i="2"/>
  <c r="K95" i="2"/>
  <c r="K91" i="2"/>
  <c r="K87" i="2"/>
  <c r="K83" i="2"/>
  <c r="K79" i="2"/>
  <c r="K75" i="2"/>
  <c r="K71" i="2"/>
  <c r="K67" i="2"/>
  <c r="K63" i="2"/>
  <c r="K59" i="2"/>
  <c r="K55" i="2"/>
  <c r="K51" i="2"/>
  <c r="K47" i="2"/>
  <c r="K43" i="2"/>
  <c r="K39" i="2"/>
  <c r="K35" i="2"/>
  <c r="K31" i="2"/>
  <c r="K27" i="2"/>
  <c r="K23" i="2"/>
  <c r="K19" i="2"/>
  <c r="K15" i="2"/>
  <c r="K11" i="2"/>
  <c r="K7" i="2"/>
  <c r="K3" i="2"/>
  <c r="K144" i="3"/>
  <c r="K119" i="3"/>
  <c r="K81" i="3"/>
  <c r="K149" i="3"/>
  <c r="K22" i="3"/>
  <c r="K113" i="3"/>
  <c r="K49" i="3"/>
  <c r="K29" i="3"/>
  <c r="K28" i="3"/>
  <c r="K46" i="3"/>
  <c r="K89" i="3"/>
  <c r="K96" i="3"/>
  <c r="K150" i="3"/>
  <c r="K136" i="3"/>
  <c r="K73" i="3"/>
  <c r="K143" i="3"/>
  <c r="K124" i="3"/>
  <c r="K4" i="3"/>
  <c r="K6" i="3"/>
  <c r="K141" i="3"/>
  <c r="K61" i="3"/>
  <c r="K23" i="3"/>
  <c r="K20" i="3"/>
  <c r="K137" i="3"/>
  <c r="K21" i="3"/>
  <c r="K9" i="3"/>
  <c r="K51" i="3"/>
  <c r="K88" i="3"/>
  <c r="K52" i="3"/>
  <c r="K64" i="3"/>
  <c r="K87" i="3"/>
  <c r="K93" i="3"/>
  <c r="K103" i="3"/>
  <c r="K66" i="3"/>
  <c r="K102" i="3"/>
  <c r="K72" i="3"/>
  <c r="K131" i="3"/>
  <c r="K47" i="3"/>
  <c r="K132" i="3"/>
  <c r="K95" i="3"/>
  <c r="K94" i="3"/>
  <c r="K76" i="3"/>
  <c r="K77" i="3"/>
  <c r="K118" i="3"/>
  <c r="K42" i="3"/>
  <c r="K62" i="3"/>
  <c r="K50" i="3"/>
  <c r="K104" i="3"/>
  <c r="K69" i="3"/>
  <c r="K31" i="3"/>
  <c r="S4" i="3" l="1"/>
  <c r="S138" i="2" a="1"/>
  <c r="M30" i="2" a="1"/>
  <c r="X81" i="2" a="1"/>
  <c r="M29" i="2" a="1"/>
  <c r="Q84" i="2" a="1"/>
  <c r="V17" i="2" a="1"/>
  <c r="R100" i="2" a="1"/>
  <c r="L147" i="2" a="1"/>
  <c r="Q23" i="2" a="1"/>
  <c r="S114" i="2" a="1"/>
  <c r="W72" i="2" a="1"/>
  <c r="Q90" i="2" a="1"/>
  <c r="N22" i="2" a="1"/>
  <c r="W127" i="2" a="1"/>
  <c r="M130" i="2" a="1"/>
  <c r="V34" i="2" a="1"/>
  <c r="N141" i="2" a="1"/>
  <c r="R128" i="2" a="1"/>
  <c r="X52" i="2" a="1"/>
  <c r="R4" i="2" a="1"/>
  <c r="L87" i="2" a="1"/>
  <c r="V75" i="2" a="1"/>
  <c r="M99" i="2" a="1"/>
  <c r="X90" i="2" a="1"/>
  <c r="Q130" i="2" a="1"/>
  <c r="N109" i="2" a="1"/>
  <c r="W121" i="2" a="1"/>
  <c r="L89" i="2" a="1"/>
  <c r="S116" i="2" a="1"/>
  <c r="W31" i="2" a="1"/>
  <c r="R117" i="2" a="1"/>
  <c r="V150" i="2" a="1"/>
  <c r="S147" i="2" a="1"/>
  <c r="M123" i="2" a="1"/>
  <c r="X45" i="2" a="1"/>
  <c r="M7" i="2" a="1"/>
  <c r="L50" i="2" a="1"/>
  <c r="S62" i="2" a="1"/>
  <c r="M94" i="2" a="1"/>
  <c r="X41" i="2" a="1"/>
  <c r="L144" i="2" a="1"/>
  <c r="S52" i="2" a="1"/>
  <c r="W144" i="2" a="1"/>
  <c r="Q64" i="2" a="1"/>
  <c r="N115" i="2" a="1"/>
  <c r="S76" i="2" a="1"/>
  <c r="M96" i="2" a="1"/>
  <c r="V88" i="2" a="1"/>
  <c r="S134" i="2" a="1"/>
  <c r="M86" i="2" a="1"/>
  <c r="X143" i="2" a="1"/>
  <c r="M142" i="2" a="1"/>
  <c r="X98" i="2" a="1"/>
  <c r="N65" i="2" a="1"/>
  <c r="R45" i="2" a="1"/>
  <c r="X44" i="2" a="1"/>
  <c r="Q143" i="2" a="1"/>
  <c r="N55" i="2" a="1"/>
  <c r="W67" i="2" a="1"/>
  <c r="L67" i="2" a="1"/>
  <c r="V50" i="2" a="1"/>
  <c r="N79" i="2" a="1"/>
  <c r="R67" i="2" a="1"/>
  <c r="V94" i="2" a="1"/>
  <c r="N121" i="2" a="1"/>
  <c r="R37" i="2" a="1"/>
  <c r="X47" i="2" a="1"/>
  <c r="R136" i="2" a="1"/>
  <c r="X85" i="2" a="1"/>
  <c r="S40" i="2" a="1"/>
  <c r="M28" i="2" a="1"/>
  <c r="X120" i="2" a="1"/>
  <c r="Q126" i="2" a="1"/>
  <c r="N18" i="2" a="1"/>
  <c r="R62" i="2" a="1"/>
  <c r="L62" i="2" a="1"/>
  <c r="V148" i="2" a="1"/>
  <c r="N74" i="2" a="1"/>
  <c r="R6" i="2" a="1"/>
  <c r="X138" i="2" a="1"/>
  <c r="L97" i="2" a="1"/>
  <c r="S45" i="2" a="1"/>
  <c r="W52" i="2" a="1"/>
  <c r="S68" i="2" a="1"/>
  <c r="M24" i="2" a="1"/>
  <c r="X107" i="2" a="1"/>
  <c r="N4" i="2" a="1"/>
  <c r="W90" i="2" a="1"/>
  <c r="R94" i="2" a="1"/>
  <c r="L58" i="2" a="1"/>
  <c r="V121" i="2" a="1"/>
  <c r="M38" i="2" a="1"/>
  <c r="Q69" i="2" a="1"/>
  <c r="V31" i="2" a="1"/>
  <c r="S14" i="2" a="1"/>
  <c r="X109" i="2" a="1"/>
  <c r="Q72" i="2" a="1"/>
  <c r="N28" i="2" a="1"/>
  <c r="W45" i="2" a="1"/>
  <c r="N71" i="2" a="1"/>
  <c r="M150" i="2" a="1"/>
  <c r="X11" i="2" a="1"/>
  <c r="S7" i="2" a="1"/>
  <c r="W41" i="2" a="1"/>
  <c r="M93" i="2" a="1"/>
  <c r="Q9" i="2" a="1"/>
  <c r="V144" i="2" a="1"/>
  <c r="R21" i="2" a="1"/>
  <c r="L52" i="2" a="1"/>
  <c r="Q33" i="2" a="1"/>
  <c r="N17" i="2" a="1"/>
  <c r="X124" i="2" a="1"/>
  <c r="L75" i="2" a="1"/>
  <c r="N2" i="2" a="1"/>
  <c r="W143" i="2" a="1"/>
  <c r="N66" i="2" a="1"/>
  <c r="W98" i="2" a="1"/>
  <c r="L14" i="2" a="1"/>
  <c r="S109" i="2" a="1"/>
  <c r="W44" i="2" a="1"/>
  <c r="R68" i="2" a="1"/>
  <c r="L151" i="2" a="1"/>
  <c r="V67" i="2" a="1"/>
  <c r="M4" i="2" a="1"/>
  <c r="X14" i="2" a="1"/>
  <c r="L16" i="2" a="1"/>
  <c r="S131" i="2" a="1"/>
  <c r="X24" i="2" a="1"/>
  <c r="L70" i="2" a="1"/>
  <c r="S101" i="2" a="1"/>
  <c r="W47" i="2" a="1"/>
  <c r="S49" i="2" a="1"/>
  <c r="W85" i="2" a="1"/>
  <c r="Q141" i="2" a="1"/>
  <c r="N92" i="2" a="1"/>
  <c r="W120" i="2" a="1"/>
  <c r="M71" i="2" a="1"/>
  <c r="L114" i="2" a="1"/>
  <c r="S2" i="2" a="1"/>
  <c r="R7" i="2" a="1"/>
  <c r="X145" i="2" a="1"/>
  <c r="Q19" i="2" a="1"/>
  <c r="S70" i="2" a="1"/>
  <c r="X62" i="2" a="1"/>
  <c r="Q53" i="2" a="1"/>
  <c r="N84" i="2" a="1"/>
  <c r="Q44" i="2" a="1"/>
  <c r="N32" i="2" a="1"/>
  <c r="W112" i="2" a="1"/>
  <c r="L139" i="2" a="1"/>
  <c r="S63" i="2" a="1"/>
  <c r="W135" i="2" a="1"/>
  <c r="M66" i="2" a="1"/>
  <c r="X66" i="2" a="1"/>
  <c r="N129" i="2" a="1"/>
  <c r="R109" i="2" a="1"/>
  <c r="X68" i="2" a="1"/>
  <c r="Q122" i="2" a="1"/>
  <c r="N73" i="2" a="1"/>
  <c r="X115" i="2" a="1"/>
  <c r="L36" i="2" a="1"/>
  <c r="V126" i="2" a="1"/>
  <c r="L47" i="2" a="1"/>
  <c r="S3" i="2" a="1"/>
  <c r="W16" i="2" a="1"/>
  <c r="L134" i="2" a="1"/>
  <c r="S146" i="2" a="1"/>
  <c r="W39" i="2" a="1"/>
  <c r="R49" i="2" a="1"/>
  <c r="X53" i="2" a="1"/>
  <c r="S108" i="2" a="1"/>
  <c r="M92" i="2" a="1"/>
  <c r="X105" i="2" a="1"/>
  <c r="L140" i="2" a="1"/>
  <c r="S16" i="2" a="1"/>
  <c r="V83" i="2" a="1"/>
  <c r="N99" i="2" a="1"/>
  <c r="W126" i="2" a="1"/>
  <c r="S94" i="2" a="1"/>
  <c r="M90" i="2" a="1"/>
  <c r="X16" i="2" a="1"/>
  <c r="N38" i="2" a="1"/>
  <c r="R101" i="2" a="1"/>
  <c r="X39" i="2" a="1"/>
  <c r="Q92" i="2" a="1"/>
  <c r="V58" i="2" a="1"/>
  <c r="R40" i="2" a="1"/>
  <c r="L124" i="2" a="1"/>
  <c r="V122" i="2" a="1"/>
  <c r="N40" i="2" a="1"/>
  <c r="R123" i="2" a="1"/>
  <c r="Q98" i="2" a="1"/>
  <c r="N94" i="2" a="1"/>
  <c r="W81" i="2" a="1"/>
  <c r="N93" i="2" a="1"/>
  <c r="R41" i="2" a="1"/>
  <c r="X133" i="2" a="1"/>
  <c r="S21" i="2" a="1"/>
  <c r="M84" i="2" a="1"/>
  <c r="R119" i="2" a="1"/>
  <c r="L95" i="2" a="1"/>
  <c r="V72" i="2" a="1"/>
  <c r="M43" i="2" a="1"/>
  <c r="L118" i="2" a="1"/>
  <c r="V127" i="2" a="1"/>
  <c r="S43" i="2" a="1"/>
  <c r="W109" i="2" a="1"/>
  <c r="R29" i="2" a="1"/>
  <c r="L128" i="2" a="1"/>
  <c r="V45" i="2" a="1"/>
  <c r="L8" i="2" a="1"/>
  <c r="S59" i="2" a="1"/>
  <c r="W11" i="2" a="1"/>
  <c r="Q103" i="2" a="1"/>
  <c r="V41" i="2" a="1"/>
  <c r="N10" i="2" a="1"/>
  <c r="R105" i="2" a="1"/>
  <c r="X93" i="2" a="1"/>
  <c r="S85" i="2" a="1"/>
  <c r="M5" i="2" a="1"/>
  <c r="R133" i="2" a="1"/>
  <c r="L113" i="2" a="1"/>
  <c r="W124" i="2" a="1"/>
  <c r="M12" i="2" a="1"/>
  <c r="Q95" i="2" a="1"/>
  <c r="V143" i="2" a="1"/>
  <c r="Q11" i="2" a="1"/>
  <c r="V98" i="2" a="1"/>
  <c r="M110" i="2" a="1"/>
  <c r="Q42" i="2" a="1"/>
  <c r="V44" i="2" a="1"/>
  <c r="S113" i="2" a="1"/>
  <c r="M88" i="2" a="1"/>
  <c r="X99" i="2" a="1"/>
  <c r="N68" i="2" a="1"/>
  <c r="W14" i="2" a="1"/>
  <c r="M112" i="2" a="1"/>
  <c r="Q56" i="2" a="1"/>
  <c r="W24" i="2" a="1"/>
  <c r="R15" i="2" a="1"/>
  <c r="Q34" i="2" a="1"/>
  <c r="V47" i="2" a="1"/>
  <c r="Q86" i="2" a="1"/>
  <c r="V85" i="2" a="1"/>
  <c r="R93" i="2" a="1"/>
  <c r="L45" i="2" a="1"/>
  <c r="V120" i="2" a="1"/>
  <c r="N135" i="2" a="1"/>
  <c r="R59" i="2" a="1"/>
  <c r="X3" i="2" a="1"/>
  <c r="S71" i="2" a="1"/>
  <c r="W145" i="2" a="1"/>
  <c r="R115" i="2" a="1"/>
  <c r="L59" i="2" a="1"/>
  <c r="W62" i="2" a="1"/>
  <c r="R110" i="2" a="1"/>
  <c r="L37" i="2" a="1"/>
  <c r="R150" i="2" a="1"/>
  <c r="L132" i="2" a="1"/>
  <c r="V112" i="2" a="1"/>
  <c r="M76" i="2" a="1"/>
  <c r="Q120" i="2" a="1"/>
  <c r="V135" i="2" a="1"/>
  <c r="N130" i="2" a="1"/>
  <c r="W66" i="2" a="1"/>
  <c r="L78" i="2" a="1"/>
  <c r="S10" i="2" a="1"/>
  <c r="W68" i="2" a="1"/>
  <c r="R90" i="2" a="1"/>
  <c r="L22" i="2" a="1"/>
  <c r="W115" i="2" a="1"/>
  <c r="M136" i="2" a="1"/>
  <c r="X30" i="2" a="1"/>
  <c r="M143" i="2" a="1"/>
  <c r="Q99" i="2" a="1"/>
  <c r="V16" i="2" a="1"/>
  <c r="R79" i="2" a="1"/>
  <c r="Q102" i="2" a="1"/>
  <c r="V39" i="2" a="1"/>
  <c r="S117" i="2" a="1"/>
  <c r="W53" i="2" a="1"/>
  <c r="Q61" i="2" a="1"/>
  <c r="N13" i="2" a="1"/>
  <c r="W105" i="2" a="1"/>
  <c r="M89" i="2" a="1"/>
  <c r="Q116" i="2" a="1"/>
  <c r="W19" i="2" a="1"/>
  <c r="R135" i="2" a="1"/>
  <c r="X130" i="2" a="1"/>
  <c r="M138" i="2" a="1"/>
  <c r="Q38" i="2" a="1"/>
  <c r="V133" i="2" a="1"/>
  <c r="R50" i="2" a="1"/>
  <c r="L101" i="2" a="1"/>
  <c r="Q112" i="2" a="1"/>
  <c r="N96" i="2" a="1"/>
  <c r="W104" i="2" a="1"/>
  <c r="L44" i="2" a="1"/>
  <c r="S127" i="2" a="1"/>
  <c r="W136" i="2" a="1"/>
  <c r="R64" i="2" a="1"/>
  <c r="L115" i="2" a="1"/>
  <c r="X19" i="2" a="1"/>
  <c r="Q39" i="2" a="1"/>
  <c r="V81" i="2" a="1"/>
  <c r="L42" i="2" a="1"/>
  <c r="S105" i="2" a="1"/>
  <c r="W133" i="2" a="1"/>
  <c r="Q121" i="2" a="1"/>
  <c r="N5" i="2" a="1"/>
  <c r="S12" i="2" a="1"/>
  <c r="M32" i="2" a="1"/>
  <c r="X104" i="2" a="1"/>
  <c r="N107" i="2" a="1"/>
  <c r="R63" i="2" a="1"/>
  <c r="X136" i="2" a="1"/>
  <c r="Q139" i="2" a="1"/>
  <c r="W138" i="2" a="1"/>
  <c r="M46" i="2" a="1"/>
  <c r="Q149" i="2" a="1"/>
  <c r="V52" i="2" a="1"/>
  <c r="Q25" i="2" a="1"/>
  <c r="N88" i="2" a="1"/>
  <c r="W107" i="2" a="1"/>
  <c r="L100" i="2" a="1"/>
  <c r="V90" i="2" a="1"/>
  <c r="N15" i="2" a="1"/>
  <c r="R3" i="2" a="1"/>
  <c r="X8" i="2" a="1"/>
  <c r="N102" i="2" a="1"/>
  <c r="R146" i="2" a="1"/>
  <c r="X63" i="2" a="1"/>
  <c r="Q118" i="2" a="1"/>
  <c r="V124" i="2" a="1"/>
  <c r="N76" i="2" a="1"/>
  <c r="R20" i="2" a="1"/>
  <c r="X25" i="2" a="1"/>
  <c r="R107" i="2" a="1"/>
  <c r="N51" i="2" a="1"/>
  <c r="S23" i="2" a="1"/>
  <c r="M31" i="2" a="1"/>
  <c r="X76" i="2" a="1"/>
  <c r="Q89" i="2" a="1"/>
  <c r="N9" i="2" a="1"/>
  <c r="W99" i="2" a="1"/>
  <c r="L21" i="2" a="1"/>
  <c r="V14" i="2" a="1"/>
  <c r="N33" i="2" a="1"/>
  <c r="R13" i="2" a="1"/>
  <c r="V24" i="2" a="1"/>
  <c r="S79" i="2" a="1"/>
  <c r="M23" i="2" a="1"/>
  <c r="X79" i="2" a="1"/>
  <c r="R78" i="2" a="1"/>
  <c r="X110" i="2" a="1"/>
  <c r="S130" i="2" a="1"/>
  <c r="M145" i="2" a="1"/>
  <c r="X141" i="2" a="1"/>
  <c r="L72" i="2" a="1"/>
  <c r="S123" i="2" a="1"/>
  <c r="W3" i="2" a="1"/>
  <c r="Q140" i="2" a="1"/>
  <c r="V145" i="2" a="1"/>
  <c r="S8" i="2" a="1"/>
  <c r="M124" i="2" a="1"/>
  <c r="V62" i="2" a="1"/>
  <c r="S50" i="2" a="1"/>
  <c r="M133" i="2" a="1"/>
  <c r="S65" i="2" a="1"/>
  <c r="M81" i="2" a="1"/>
  <c r="X61" i="2" a="1"/>
  <c r="N144" i="2" a="1"/>
  <c r="R84" i="2" a="1"/>
  <c r="X9" i="2" a="1"/>
  <c r="Q75" i="2" a="1"/>
  <c r="V66" i="2" a="1"/>
  <c r="R23" i="2" a="1"/>
  <c r="Q114" i="2" a="1"/>
  <c r="V68" i="2" a="1"/>
  <c r="N11" i="2" a="1"/>
  <c r="M118" i="2" a="1"/>
  <c r="V115" i="2" a="1"/>
  <c r="N53" i="2" a="1"/>
  <c r="W30" i="2" a="1"/>
  <c r="N48" i="2" a="1"/>
  <c r="R24" i="2" a="1"/>
  <c r="X48" i="2" a="1"/>
  <c r="S143" i="2" a="1"/>
  <c r="M87" i="2" a="1"/>
  <c r="X71" i="2" a="1"/>
  <c r="Q46" i="2" a="1"/>
  <c r="V53" i="2" a="1"/>
  <c r="R130" i="2" a="1"/>
  <c r="L109" i="2" a="1"/>
  <c r="V105" i="2" a="1"/>
  <c r="N6" i="2" a="1"/>
  <c r="R69" i="2" a="1"/>
  <c r="V19" i="2" a="1"/>
  <c r="S28" i="2" a="1"/>
  <c r="W130" i="2" a="1"/>
  <c r="S51" i="2" a="1"/>
  <c r="M27" i="2" a="1"/>
  <c r="X21" i="2" a="1"/>
  <c r="S126" i="2" a="1"/>
  <c r="M50" i="2" a="1"/>
  <c r="R65" i="2" a="1"/>
  <c r="L49" i="2" a="1"/>
  <c r="V104" i="2" a="1"/>
  <c r="M144" i="2" a="1"/>
  <c r="Q52" i="2" a="1"/>
  <c r="V136" i="2" a="1"/>
  <c r="S144" i="2" a="1"/>
  <c r="M52" i="2" a="1"/>
  <c r="Q55" i="2" a="1"/>
  <c r="N31" i="2" a="1"/>
  <c r="W84" i="2" a="1"/>
  <c r="S22" i="2" a="1"/>
  <c r="M137" i="2" a="1"/>
  <c r="X139" i="2" a="1"/>
  <c r="N117" i="2" a="1"/>
  <c r="W22" i="2" a="1"/>
  <c r="M48" i="2" a="1"/>
  <c r="Q132" i="2" a="1"/>
  <c r="V8" i="2" a="1"/>
  <c r="R143" i="2" a="1"/>
  <c r="L55" i="2" a="1"/>
  <c r="V63" i="2" a="1"/>
  <c r="N131" i="2" a="1"/>
  <c r="V138" i="2" a="1"/>
  <c r="N110" i="2" a="1"/>
  <c r="R74" i="2" a="1"/>
  <c r="X84" i="2" a="1"/>
  <c r="R125" i="2" a="1"/>
  <c r="L41" i="2" a="1"/>
  <c r="V107" i="2" a="1"/>
  <c r="M53" i="2" a="1"/>
  <c r="X22" i="2" a="1"/>
  <c r="L111" i="2" a="1"/>
  <c r="S67" i="2" a="1"/>
  <c r="W8" i="2" a="1"/>
  <c r="Q47" i="2" a="1"/>
  <c r="S66" i="2" a="1"/>
  <c r="W63" i="2" a="1"/>
  <c r="M67" i="2" a="1"/>
  <c r="V109" i="2" a="1"/>
  <c r="S93" i="2" a="1"/>
  <c r="M77" i="2" a="1"/>
  <c r="X74" i="2" a="1"/>
  <c r="M104" i="2" a="1"/>
  <c r="Q96" i="2" a="1"/>
  <c r="V11" i="2" a="1"/>
  <c r="R28" i="2" a="1"/>
  <c r="X86" i="2" a="1"/>
  <c r="L106" i="2" a="1"/>
  <c r="S6" i="2" a="1"/>
  <c r="W93" i="2" a="1"/>
  <c r="Q18" i="2" a="1"/>
  <c r="N69" i="2" a="1"/>
  <c r="S30" i="2" a="1"/>
  <c r="M62" i="2" a="1"/>
  <c r="X56" i="2" a="1"/>
  <c r="Q4" i="2" a="1"/>
  <c r="N87" i="2" a="1"/>
  <c r="W79" i="2" a="1"/>
  <c r="N3" i="2" a="1"/>
  <c r="W110" i="2" a="1"/>
  <c r="Q94" i="2" a="1"/>
  <c r="N58" i="2" a="1"/>
  <c r="W141" i="2" a="1"/>
  <c r="M25" i="2" a="1"/>
  <c r="Q48" i="2" a="1"/>
  <c r="V3" i="2" a="1"/>
  <c r="R92" i="2" a="1"/>
  <c r="X37" i="2" a="1"/>
  <c r="Q108" i="2" a="1"/>
  <c r="N60" i="2" a="1"/>
  <c r="X57" i="2" a="1"/>
  <c r="L7" i="2" a="1"/>
  <c r="N50" i="2" a="1"/>
  <c r="Q138" i="2" a="1"/>
  <c r="N149" i="2" a="1"/>
  <c r="W61" i="2" a="1"/>
  <c r="L93" i="2" a="1"/>
  <c r="S9" i="2" a="1"/>
  <c r="W9" i="2" a="1"/>
  <c r="R148" i="2" a="1"/>
  <c r="L51" i="2" a="1"/>
  <c r="S87" i="2" a="1"/>
  <c r="M95" i="2" a="1"/>
  <c r="X100" i="2" a="1"/>
  <c r="L107" i="2" a="1"/>
  <c r="S31" i="2" a="1"/>
  <c r="X147" i="2" a="1"/>
  <c r="L142" i="2" a="1"/>
  <c r="V30" i="2" a="1"/>
  <c r="L141" i="2" a="1"/>
  <c r="S88" i="2" a="1"/>
  <c r="W48" i="2" a="1"/>
  <c r="Q68" i="2" a="1"/>
  <c r="N151" i="2" a="1"/>
  <c r="W71" i="2" a="1"/>
  <c r="M3" i="2" a="1"/>
  <c r="X70" i="2" a="1"/>
  <c r="S58" i="2" a="1"/>
  <c r="M58" i="2" a="1"/>
  <c r="X4" i="2" a="1"/>
  <c r="L102" i="2" a="1"/>
  <c r="S137" i="2" a="1"/>
  <c r="X51" i="2" a="1"/>
  <c r="Q136" i="2" a="1"/>
  <c r="V130" i="2" a="1"/>
  <c r="Q147" i="2" a="1"/>
  <c r="N91" i="2" a="1"/>
  <c r="W21" i="2" a="1"/>
  <c r="L71" i="2" a="1"/>
  <c r="N114" i="2" a="1"/>
  <c r="S133" i="2" a="1"/>
  <c r="M149" i="2" a="1"/>
  <c r="X13" i="2" a="1"/>
  <c r="N61" i="2" a="1"/>
  <c r="R9" i="2" a="1"/>
  <c r="X77" i="2" a="1"/>
  <c r="Q85" i="2" a="1"/>
  <c r="N116" i="2" a="1"/>
  <c r="R151" i="2" a="1"/>
  <c r="L127" i="2" a="1"/>
  <c r="V84" i="2" a="1"/>
  <c r="Q134" i="2" a="1"/>
  <c r="N54" i="2" a="1"/>
  <c r="W139" i="2" a="1"/>
  <c r="L66" i="2" a="1"/>
  <c r="V22" i="2" a="1"/>
  <c r="N112" i="2" a="1"/>
  <c r="R88" i="2" a="1"/>
  <c r="X40" i="2" a="1"/>
  <c r="S36" i="2" a="1"/>
  <c r="M151" i="2" a="1"/>
  <c r="X95" i="2" a="1"/>
  <c r="L68" i="2" a="1"/>
  <c r="W146" i="2" a="1"/>
  <c r="R142" i="2" a="1"/>
  <c r="L90" i="2" a="1"/>
  <c r="V74" i="2" a="1"/>
  <c r="L121" i="2" a="1"/>
  <c r="S5" i="2" a="1"/>
  <c r="W43" i="2" a="1"/>
  <c r="Q49" i="2" a="1"/>
  <c r="V86" i="2" a="1"/>
  <c r="S115" i="2" a="1"/>
  <c r="M91" i="2" a="1"/>
  <c r="X142" i="2" a="1"/>
  <c r="N39" i="2" a="1"/>
  <c r="M114" i="2" a="1"/>
  <c r="X2" i="2" a="1"/>
  <c r="Q71" i="2" a="1"/>
  <c r="X146" i="2" a="1"/>
  <c r="Q26" i="2" a="1"/>
  <c r="N145" i="2" a="1"/>
  <c r="W74" i="2" a="1"/>
  <c r="N25" i="2" a="1"/>
  <c r="R80" i="2" a="1"/>
  <c r="X43" i="2" a="1"/>
  <c r="S92" i="2" a="1"/>
  <c r="W86" i="2" a="1"/>
  <c r="R51" i="2" a="1"/>
  <c r="Q106" i="2" a="1"/>
  <c r="V93" i="2" a="1"/>
  <c r="R126" i="2" a="1"/>
  <c r="L18" i="2" a="1"/>
  <c r="Q2" i="2" a="1"/>
  <c r="N126" i="2" a="1"/>
  <c r="X101" i="2" a="1"/>
  <c r="L29" i="2" a="1"/>
  <c r="S84" i="2" a="1"/>
  <c r="W25" i="2" a="1"/>
  <c r="S148" i="2" a="1"/>
  <c r="M83" i="2" a="1"/>
  <c r="Q119" i="2" a="1"/>
  <c r="N95" i="2" a="1"/>
  <c r="W76" i="2" a="1"/>
  <c r="R22" i="2" a="1"/>
  <c r="L105" i="2" a="1"/>
  <c r="V99" i="2" a="1"/>
  <c r="M117" i="2" a="1"/>
  <c r="X46" i="2" a="1"/>
  <c r="L129" i="2" a="1"/>
  <c r="S77" i="2" a="1"/>
  <c r="W57" i="2" a="1"/>
  <c r="M103" i="2" a="1"/>
  <c r="L150" i="2" a="1"/>
  <c r="R98" i="2" a="1"/>
  <c r="L94" i="2" a="1"/>
  <c r="V61" i="2" a="1"/>
  <c r="M42" i="2" a="1"/>
  <c r="Q105" i="2" a="1"/>
  <c r="V9" i="2" a="1"/>
  <c r="S64" i="2" a="1"/>
  <c r="M147" i="2" a="1"/>
  <c r="Q12" i="2" a="1"/>
  <c r="N148" i="2" a="1"/>
  <c r="W100" i="2" a="1"/>
  <c r="M44" i="2" a="1"/>
  <c r="Q127" i="2" a="1"/>
  <c r="W147" i="2" a="1"/>
  <c r="M98" i="2" a="1"/>
  <c r="X118" i="2" a="1"/>
  <c r="M97" i="2" a="1"/>
  <c r="Q45" i="2" a="1"/>
  <c r="V48" i="2" a="1"/>
  <c r="R25" i="2" a="1"/>
  <c r="L88" i="2" a="1"/>
  <c r="V71" i="2" a="1"/>
  <c r="N67" i="2" a="1"/>
  <c r="W70" i="2" a="1"/>
  <c r="L15" i="2" a="1"/>
  <c r="N122" i="2" a="1"/>
  <c r="W4" i="2" a="1"/>
  <c r="R47" i="2" a="1"/>
  <c r="Q66" i="2" a="1"/>
  <c r="W51" i="2" a="1"/>
  <c r="R81" i="2" a="1"/>
  <c r="X97" i="2" a="1"/>
  <c r="R72" i="2" a="1"/>
  <c r="L28" i="2" a="1"/>
  <c r="V21" i="2" a="1"/>
  <c r="M8" i="2" a="1"/>
  <c r="Q59" i="2" a="1"/>
  <c r="Q62" i="2" a="1"/>
  <c r="N62" i="2" a="1"/>
  <c r="W13" i="2" a="1"/>
  <c r="L10" i="2" a="1"/>
  <c r="S73" i="2" a="1"/>
  <c r="W77" i="2" a="1"/>
  <c r="R18" i="2" a="1"/>
  <c r="L69" i="2" a="1"/>
  <c r="S44" i="2" a="1"/>
  <c r="M64" i="2" a="1"/>
  <c r="X116" i="2" a="1"/>
  <c r="M75" i="2" a="1"/>
  <c r="L2" i="2" a="1"/>
  <c r="V139" i="2" a="1"/>
  <c r="R11" i="2" a="1"/>
  <c r="X78" i="2" a="1"/>
  <c r="L65" i="2" a="1"/>
  <c r="S13" i="2" a="1"/>
  <c r="W40" i="2" a="1"/>
  <c r="Q113" i="2" a="1"/>
  <c r="N56" i="2" a="1"/>
  <c r="W95" i="2" a="1"/>
  <c r="M21" i="2" a="1"/>
  <c r="V146" i="2" a="1"/>
  <c r="N47" i="2" a="1"/>
  <c r="R35" i="2" a="1"/>
  <c r="X20" i="2" a="1"/>
  <c r="M70" i="2" a="1"/>
  <c r="Q101" i="2" a="1"/>
  <c r="V43" i="2" a="1"/>
  <c r="R86" i="2" a="1"/>
  <c r="X69" i="2" a="1"/>
  <c r="Q40" i="2" a="1"/>
  <c r="N124" i="2" a="1"/>
  <c r="W142" i="2" a="1"/>
  <c r="L135" i="2" a="1"/>
  <c r="S27" i="2" a="1"/>
  <c r="W2" i="2" a="1"/>
  <c r="R140" i="2" a="1"/>
  <c r="V101" i="2" a="1"/>
  <c r="N42" i="2" a="1"/>
  <c r="R145" i="2" a="1"/>
  <c r="X149" i="2" a="1"/>
  <c r="R53" i="2" a="1"/>
  <c r="L84" i="2" a="1"/>
  <c r="S112" i="2" a="1"/>
  <c r="M132" i="2" a="1"/>
  <c r="X108" i="2" a="1"/>
  <c r="L43" i="2" a="1"/>
  <c r="N118" i="2" a="1"/>
  <c r="W131" i="2" a="1"/>
  <c r="L130" i="2" a="1"/>
  <c r="V46" i="2" a="1"/>
  <c r="N146" i="2" a="1"/>
  <c r="R114" i="2" a="1"/>
  <c r="W101" i="2" a="1"/>
  <c r="M125" i="2" a="1"/>
  <c r="Q41" i="2" a="1"/>
  <c r="V25" i="2" a="1"/>
  <c r="Q100" i="2" a="1"/>
  <c r="N147" i="2" a="1"/>
  <c r="R44" i="2" a="1"/>
  <c r="L32" i="2" a="1"/>
  <c r="V76" i="2" a="1"/>
  <c r="S90" i="2" a="1"/>
  <c r="M54" i="2" a="1"/>
  <c r="X131" i="2" a="1"/>
  <c r="N34" i="2" a="1"/>
  <c r="W46" i="2" a="1"/>
  <c r="M78" i="2" a="1"/>
  <c r="Q10" i="2" a="1"/>
  <c r="W56" i="2" a="1"/>
  <c r="R104" i="2" a="1"/>
  <c r="L24" i="2" a="1"/>
  <c r="V79" i="2" a="1"/>
  <c r="L99" i="2" a="1"/>
  <c r="V110" i="2" a="1"/>
  <c r="M47" i="2" a="1"/>
  <c r="Q3" i="2" a="1"/>
  <c r="V141" i="2" a="1"/>
  <c r="N89" i="2" a="1"/>
  <c r="R5" i="2" a="1"/>
  <c r="V147" i="2" a="1"/>
  <c r="S11" i="2" a="1"/>
  <c r="W118" i="2" a="1"/>
  <c r="N14" i="2" a="1"/>
  <c r="R149" i="2" a="1"/>
  <c r="X80" i="2" a="1"/>
  <c r="S89" i="2" a="1"/>
  <c r="M41" i="2" a="1"/>
  <c r="X103" i="2" a="1"/>
  <c r="L4" i="2" a="1"/>
  <c r="V70" i="2" a="1"/>
  <c r="M111" i="2" a="1"/>
  <c r="Q67" i="2" a="1"/>
  <c r="V4" i="2" a="1"/>
  <c r="S111" i="2" a="1"/>
  <c r="M55" i="2" a="1"/>
  <c r="V51" i="2" a="1"/>
  <c r="S86" i="2" a="1"/>
  <c r="W97" i="2" a="1"/>
  <c r="S141" i="2" a="1"/>
  <c r="M128" i="2" a="1"/>
  <c r="X54" i="2" a="1"/>
  <c r="N72" i="2" a="1"/>
  <c r="R96" i="2" a="1"/>
  <c r="X7" i="2" a="1"/>
  <c r="Q7" i="2" a="1"/>
  <c r="V13" i="2" a="1"/>
  <c r="M106" i="2" a="1"/>
  <c r="Q6" i="2" a="1"/>
  <c r="V77" i="2" a="1"/>
  <c r="S82" i="2" a="1"/>
  <c r="M18" i="2" a="1"/>
  <c r="Q150" i="2" a="1"/>
  <c r="N132" i="2" a="1"/>
  <c r="W116" i="2" a="1"/>
  <c r="N139" i="2" a="1"/>
  <c r="R95" i="2" a="1"/>
  <c r="X17" i="2" a="1"/>
  <c r="S75" i="2" a="1"/>
  <c r="W78" i="2" a="1"/>
  <c r="M14" i="2" a="1"/>
  <c r="Q109" i="2" a="1"/>
  <c r="V40" i="2" a="1"/>
  <c r="R89" i="2" a="1"/>
  <c r="L9" i="2" a="1"/>
  <c r="V95" i="2" a="1"/>
  <c r="N85" i="2" a="1"/>
  <c r="X34" i="2" a="1"/>
  <c r="L143" i="2" a="1"/>
  <c r="S99" i="2" a="1"/>
  <c r="W20" i="2" a="1"/>
  <c r="N134" i="2" a="1"/>
  <c r="R34" i="2" a="1"/>
  <c r="X75" i="2" a="1"/>
  <c r="S46" i="2" a="1"/>
  <c r="W69" i="2" a="1"/>
  <c r="R141" i="2" a="1"/>
  <c r="L92" i="2" a="1"/>
  <c r="V142" i="2" a="1"/>
  <c r="M72" i="2" a="1"/>
  <c r="Q123" i="2" a="1"/>
  <c r="V2" i="2" a="1"/>
  <c r="S60" i="2" a="1"/>
  <c r="X150" i="2" a="1"/>
  <c r="L138" i="2" a="1"/>
  <c r="S38" i="2" a="1"/>
  <c r="W149" i="2" a="1"/>
  <c r="S121" i="2" a="1"/>
  <c r="M37" i="2" a="1"/>
  <c r="Q65" i="2" a="1"/>
  <c r="N49" i="2" a="1"/>
  <c r="W108" i="2" a="1"/>
  <c r="M139" i="2" a="1"/>
  <c r="Q63" i="2" a="1"/>
  <c r="V131" i="2" a="1"/>
  <c r="R75" i="2" a="1"/>
  <c r="M19" i="2" a="1"/>
  <c r="Q87" i="2" a="1"/>
  <c r="N63" i="2" a="1"/>
  <c r="X88" i="2" a="1"/>
  <c r="Q125" i="2" a="1"/>
  <c r="N41" i="2" a="1"/>
  <c r="W111" i="2" a="1"/>
  <c r="N100" i="2" a="1"/>
  <c r="W26" i="2" a="1"/>
  <c r="L48" i="2" a="1"/>
  <c r="S132" i="2" a="1"/>
  <c r="W12" i="2" a="1"/>
  <c r="M134" i="2" a="1"/>
  <c r="Q146" i="2" a="1"/>
  <c r="V35" i="2" a="1"/>
  <c r="R46" i="2" a="1"/>
  <c r="X50" i="2" a="1"/>
  <c r="Q58" i="2" a="1"/>
  <c r="N26" i="2" a="1"/>
  <c r="V56" i="2" a="1"/>
  <c r="S25" i="2" a="1"/>
  <c r="M120" i="2" a="1"/>
  <c r="X111" i="2" a="1"/>
  <c r="M36" i="2" a="1"/>
  <c r="X26" i="2" a="1"/>
  <c r="N111" i="2" a="1"/>
  <c r="R99" i="2" a="1"/>
  <c r="X12" i="2" a="1"/>
  <c r="L38" i="2" a="1"/>
  <c r="S69" i="2" a="1"/>
  <c r="W35" i="2" a="1"/>
  <c r="Q117" i="2" a="1"/>
  <c r="V37" i="2" a="1"/>
  <c r="S129" i="2" a="1"/>
  <c r="M109" i="2" a="1"/>
  <c r="V57" i="2" a="1"/>
  <c r="N8" i="2" a="1"/>
  <c r="R91" i="2" a="1"/>
  <c r="X15" i="2" a="1"/>
  <c r="R39" i="2" a="1"/>
  <c r="X106" i="2" a="1"/>
  <c r="N106" i="2" a="1"/>
  <c r="R38" i="2" a="1"/>
  <c r="X117" i="2" a="1"/>
  <c r="Q21" i="2" a="1"/>
  <c r="N52" i="2" a="1"/>
  <c r="R112" i="2" a="1"/>
  <c r="L96" i="2" a="1"/>
  <c r="V100" i="2" a="1"/>
  <c r="N108" i="2" a="1"/>
  <c r="R52" i="2" a="1"/>
  <c r="X83" i="2" a="1"/>
  <c r="Q78" i="2" a="1"/>
  <c r="V97" i="2" a="1"/>
  <c r="Q93" i="2" a="1"/>
  <c r="N45" i="2" a="1"/>
  <c r="W54" i="2" a="1"/>
  <c r="L25" i="2" a="1"/>
  <c r="S48" i="2" a="1"/>
  <c r="W7" i="2" a="1"/>
  <c r="R103" i="2" a="1"/>
  <c r="X58" i="2" a="1"/>
  <c r="S19" i="2" a="1"/>
  <c r="R106" i="2" a="1"/>
  <c r="X122" i="2" a="1"/>
  <c r="L39" i="2" a="1"/>
  <c r="N82" i="2" a="1"/>
  <c r="R97" i="2" a="1"/>
  <c r="L81" i="2" a="1"/>
  <c r="V116" i="2" a="1"/>
  <c r="L76" i="2" a="1"/>
  <c r="S120" i="2" a="1"/>
  <c r="W17" i="2" a="1"/>
  <c r="Q148" i="2" a="1"/>
  <c r="V78" i="2" a="1"/>
  <c r="N78" i="2" a="1"/>
  <c r="R42" i="2" a="1"/>
  <c r="X72" i="2" a="1"/>
  <c r="S122" i="2" a="1"/>
  <c r="M105" i="2" a="1"/>
  <c r="X127" i="2" a="1"/>
  <c r="L34" i="2" a="1"/>
  <c r="W34" i="2" a="1"/>
  <c r="M80" i="2" a="1"/>
  <c r="Q24" i="2" a="1"/>
  <c r="V20" i="2" a="1"/>
  <c r="Q79" i="2" a="1"/>
  <c r="S102" i="2" a="1"/>
  <c r="W75" i="2" a="1"/>
  <c r="L3" i="2" a="1"/>
  <c r="V69" i="2" a="1"/>
  <c r="S61" i="2" a="1"/>
  <c r="M45" i="2" a="1"/>
  <c r="X121" i="2" a="1"/>
  <c r="N140" i="2" a="1"/>
  <c r="R48" i="2" a="1"/>
  <c r="X31" i="2" a="1"/>
  <c r="Q17" i="2" a="1"/>
  <c r="W150" i="2" a="1"/>
  <c r="R83" i="2" a="1"/>
  <c r="L27" i="2" a="1"/>
  <c r="V149" i="2" a="1"/>
  <c r="Q50" i="2" a="1"/>
  <c r="N101" i="2" a="1"/>
  <c r="R138" i="2" a="1"/>
  <c r="L149" i="2" a="1"/>
  <c r="V108" i="2" a="1"/>
  <c r="N44" i="2" a="1"/>
  <c r="R120" i="2" a="1"/>
  <c r="X144" i="2" a="1"/>
  <c r="S139" i="2" a="1"/>
  <c r="M51" i="2" a="1"/>
  <c r="R12" i="2" a="1"/>
  <c r="L148" i="2" a="1"/>
  <c r="W88" i="2" a="1"/>
  <c r="R54" i="2" a="1"/>
  <c r="L137" i="2" a="1"/>
  <c r="V111" i="2" a="1"/>
  <c r="L53" i="2" a="1"/>
  <c r="V26" i="2" a="1"/>
  <c r="M141" i="2" a="1"/>
  <c r="Q88" i="2" a="1"/>
  <c r="V12" i="2" a="1"/>
  <c r="S47" i="2" a="1"/>
  <c r="R102" i="2" a="1"/>
  <c r="X67" i="2" a="1"/>
  <c r="S118" i="2" a="1"/>
  <c r="W50" i="2" a="1"/>
  <c r="M15" i="2" a="1"/>
  <c r="L122" i="2" a="1"/>
  <c r="W94" i="2" a="1"/>
  <c r="M57" i="2" a="1"/>
  <c r="Q80" i="2" a="1"/>
  <c r="V15" i="2" a="1"/>
  <c r="Q28" i="2" a="1"/>
  <c r="V106" i="2" a="1"/>
  <c r="R147" i="2" a="1"/>
  <c r="L91" i="2" a="1"/>
  <c r="V117" i="2" a="1"/>
  <c r="S18" i="2" a="1"/>
  <c r="M101" i="2" a="1"/>
  <c r="Q133" i="2" a="1"/>
  <c r="N113" i="2" a="1"/>
  <c r="W148" i="2" a="1"/>
  <c r="M10" i="2" a="1"/>
  <c r="Q73" i="2" a="1"/>
  <c r="X94" i="2" a="1"/>
  <c r="L104" i="2" a="1"/>
  <c r="S96" i="2" a="1"/>
  <c r="W15" i="2" a="1"/>
  <c r="S103" i="2" a="1"/>
  <c r="W106" i="2" a="1"/>
  <c r="Q51" i="2" a="1"/>
  <c r="S106" i="2" a="1"/>
  <c r="W117" i="2" a="1"/>
  <c r="R121" i="2" a="1"/>
  <c r="L5" i="2" a="1"/>
  <c r="S33" i="2" a="1"/>
  <c r="M49" i="2" a="1"/>
  <c r="X148" i="2" a="1"/>
  <c r="L61" i="2" a="1"/>
  <c r="S124" i="2" a="1"/>
  <c r="X33" i="2" a="1"/>
  <c r="Q107" i="2" a="1"/>
  <c r="V118" i="2" a="1"/>
  <c r="L110" i="2" a="1"/>
  <c r="S42" i="2" a="1"/>
  <c r="W80" i="2" a="1"/>
  <c r="Q22" i="2" a="1"/>
  <c r="N105" i="2" a="1"/>
  <c r="W103" i="2" a="1"/>
  <c r="M100" i="2" a="1"/>
  <c r="X18" i="2" a="1"/>
  <c r="N16" i="2" a="1"/>
  <c r="R132" i="2" a="1"/>
  <c r="V33" i="2" a="1"/>
  <c r="X135" i="2" a="1"/>
  <c r="W33" i="2" a="1"/>
  <c r="V103" i="2" a="1"/>
  <c r="W83" i="2" a="1"/>
  <c r="V7" i="2" a="1"/>
  <c r="X36" i="2" a="1"/>
  <c r="N19" i="2" a="1"/>
  <c r="N46" i="2" a="1"/>
  <c r="R10" i="2" a="1"/>
  <c r="V28" i="2" a="1"/>
  <c r="R111" i="2" a="1"/>
  <c r="L23" i="2" a="1"/>
  <c r="W89" i="2" a="1"/>
  <c r="N103" i="2" a="1"/>
  <c r="R27" i="2" a="1"/>
  <c r="S150" i="2" a="1"/>
  <c r="M17" i="2" a="1"/>
  <c r="W140" i="2" a="1"/>
  <c r="N12" i="2" a="1"/>
  <c r="R127" i="2" a="1"/>
  <c r="V119" i="2" a="1"/>
  <c r="M85" i="2" a="1"/>
  <c r="Q91" i="2" a="1"/>
  <c r="R33" i="2" a="1"/>
  <c r="L17" i="2" a="1"/>
  <c r="W92" i="2" a="1"/>
  <c r="Q54" i="2" a="1"/>
  <c r="N137" i="2" a="1"/>
  <c r="X59" i="2" a="1"/>
  <c r="R17" i="2" a="1"/>
  <c r="V113" i="2" a="1"/>
  <c r="M74" i="2" a="1"/>
  <c r="Q145" i="2" a="1"/>
  <c r="W96" i="2" a="1"/>
  <c r="S54" i="2" a="1"/>
  <c r="M22" i="2" a="1"/>
  <c r="V87" i="2" a="1"/>
  <c r="M131" i="2" a="1"/>
  <c r="W10" i="2" a="1"/>
  <c r="S142" i="2" a="1"/>
  <c r="M122" i="2" a="1"/>
  <c r="V73" i="2" a="1"/>
  <c r="M40" i="2" a="1"/>
  <c r="X134" i="2" a="1"/>
  <c r="M140" i="2" a="1"/>
  <c r="Q16" i="2" a="1"/>
  <c r="R30" i="2" a="1"/>
  <c r="L30" i="2" a="1"/>
  <c r="L103" i="2" a="1"/>
  <c r="S100" i="2" a="1"/>
  <c r="L117" i="2" a="1"/>
  <c r="R32" i="2" a="1"/>
  <c r="N21" i="2" a="1"/>
  <c r="M35" i="2" a="1"/>
  <c r="S140" i="2" a="1"/>
  <c r="W122" i="2" a="1"/>
  <c r="V137" i="2" a="1"/>
  <c r="Q129" i="2" a="1"/>
  <c r="N77" i="2" a="1"/>
  <c r="X73" i="2" a="1"/>
  <c r="N7" i="2" a="1"/>
  <c r="M82" i="2" a="1"/>
  <c r="V128" i="2" a="1"/>
  <c r="Q43" i="2" a="1"/>
  <c r="W38" i="2" a="1"/>
  <c r="L80" i="2" a="1"/>
  <c r="S24" i="2" a="1"/>
  <c r="V32" i="2" a="1"/>
  <c r="Q111" i="2" a="1"/>
  <c r="N23" i="2" a="1"/>
  <c r="X55" i="2" a="1"/>
  <c r="S136" i="2" a="1"/>
  <c r="W42" i="2" a="1"/>
  <c r="N80" i="2" a="1"/>
  <c r="R56" i="2" a="1"/>
  <c r="V114" i="2" a="1"/>
  <c r="M6" i="2" a="1"/>
  <c r="Q37" i="2" a="1"/>
  <c r="Q76" i="2" a="1"/>
  <c r="N64" i="2" a="1"/>
  <c r="X92" i="2" a="1"/>
  <c r="S125" i="2" a="1"/>
  <c r="M73" i="2" a="1"/>
  <c r="V134" i="2" a="1"/>
  <c r="L6" i="2" a="1"/>
  <c r="S37" i="2" a="1"/>
  <c r="X23" i="2" a="1"/>
  <c r="S39" i="2" a="1"/>
  <c r="V129" i="2" a="1"/>
  <c r="L74" i="2" a="1"/>
  <c r="S145" i="2" a="1"/>
  <c r="X49" i="2" a="1"/>
  <c r="S107" i="2" a="1"/>
  <c r="W65" i="2" a="1"/>
  <c r="S32" i="2" a="1"/>
  <c r="M115" i="2" a="1"/>
  <c r="N97" i="2" a="1"/>
  <c r="R77" i="2" a="1"/>
  <c r="N150" i="2" a="1"/>
  <c r="M20" i="2" a="1"/>
  <c r="V18" i="2" a="1"/>
  <c r="L83" i="2" a="1"/>
  <c r="W18" i="2" a="1"/>
  <c r="X126" i="2" a="1"/>
  <c r="W58" i="2" a="1"/>
  <c r="R61" i="2" a="1"/>
  <c r="X129" i="2" a="1"/>
  <c r="M61" i="2" a="1"/>
  <c r="Q124" i="2" a="1"/>
  <c r="W151" i="2" a="1"/>
  <c r="L98" i="2" a="1"/>
  <c r="L133" i="2" a="1"/>
  <c r="X91" i="2" a="1"/>
  <c r="R118" i="2" a="1"/>
  <c r="V5" i="2" a="1"/>
  <c r="R8" i="2" a="1"/>
  <c r="L123" i="2" a="1"/>
  <c r="X89" i="2" a="1"/>
  <c r="M39" i="2" a="1"/>
  <c r="L82" i="2" a="1"/>
  <c r="R76" i="2" a="1"/>
  <c r="L64" i="2" a="1"/>
  <c r="V29" i="2" a="1"/>
  <c r="Q8" i="2" a="1"/>
  <c r="N123" i="2" a="1"/>
  <c r="X82" i="2" a="1"/>
  <c r="S53" i="2" a="1"/>
  <c r="X42" i="2" a="1"/>
  <c r="M16" i="2" a="1"/>
  <c r="Q131" i="2" a="1"/>
  <c r="W114" i="2" a="1"/>
  <c r="L57" i="2" a="1"/>
  <c r="S80" i="2" a="1"/>
  <c r="X102" i="2" a="1"/>
  <c r="R85" i="2" a="1"/>
  <c r="L116" i="2" a="1"/>
  <c r="M146" i="2" a="1"/>
  <c r="Q74" i="2" a="1"/>
  <c r="X96" i="2" a="1"/>
  <c r="R122" i="2" a="1"/>
  <c r="L73" i="2" a="1"/>
  <c r="W87" i="2" a="1"/>
  <c r="L35" i="2" a="1"/>
  <c r="V91" i="2" a="1"/>
  <c r="L131" i="2" a="1"/>
  <c r="W125" i="2" a="1"/>
  <c r="Q29" i="2" a="1"/>
  <c r="N128" i="2" a="1"/>
  <c r="S119" i="2" a="1"/>
  <c r="M65" i="2" a="1"/>
  <c r="R55" i="2" a="1"/>
  <c r="L112" i="2" a="1"/>
  <c r="R26" i="2" a="1"/>
  <c r="X35" i="2" a="1"/>
  <c r="Q36" i="2" a="1"/>
  <c r="W64" i="2" a="1"/>
  <c r="S104" i="2" a="1"/>
  <c r="M56" i="2" a="1"/>
  <c r="V55" i="2" a="1"/>
  <c r="R14" i="2" a="1"/>
  <c r="L77" i="2" a="1"/>
  <c r="Q30" i="2" a="1"/>
  <c r="N30" i="2" a="1"/>
  <c r="X132" i="2" a="1"/>
  <c r="N75" i="2" a="1"/>
  <c r="R31" i="2" a="1"/>
  <c r="W128" i="2" a="1"/>
  <c r="N98" i="2" a="1"/>
  <c r="X38" i="2" a="1"/>
  <c r="N143" i="2" a="1"/>
  <c r="R131" i="2" a="1"/>
  <c r="X140" i="2" a="1"/>
  <c r="M107" i="2" a="1"/>
  <c r="Q31" i="2" a="1"/>
  <c r="W119" i="2" a="1"/>
  <c r="L136" i="2" a="1"/>
  <c r="W29" i="2" a="1"/>
  <c r="S83" i="2" a="1"/>
  <c r="M59" i="2" a="1"/>
  <c r="V49" i="2" a="1"/>
  <c r="R144" i="2" a="1"/>
  <c r="L20" i="2" a="1"/>
  <c r="W123" i="2" a="1"/>
  <c r="N136" i="2" a="1"/>
  <c r="X6" i="2" a="1"/>
  <c r="S26" i="2" a="1"/>
  <c r="M26" i="2" a="1"/>
  <c r="W134" i="2" a="1"/>
  <c r="N57" i="2" a="1"/>
  <c r="R116" i="2" a="1"/>
  <c r="S98" i="2" a="1"/>
  <c r="M126" i="2" a="1"/>
  <c r="X27" i="2" a="1"/>
  <c r="R71" i="2" a="1"/>
  <c r="V132" i="2" a="1"/>
  <c r="M108" i="2" a="1"/>
  <c r="Q20" i="2" a="1"/>
  <c r="M127" i="2" a="1"/>
  <c r="Q13" i="2" a="1"/>
  <c r="L31" i="2" a="1"/>
  <c r="S56" i="2" a="1"/>
  <c r="L145" i="2" a="1"/>
  <c r="Q115" i="2" a="1"/>
  <c r="M135" i="2" a="1"/>
  <c r="V89" i="2" a="1"/>
  <c r="L40" i="2" a="1"/>
  <c r="S91" i="2" a="1"/>
  <c r="Q97" i="2" a="1"/>
  <c r="N81" i="2" a="1"/>
  <c r="L19" i="2" a="1"/>
  <c r="M129" i="2" a="1"/>
  <c r="Q77" i="2" a="1"/>
  <c r="W28" i="2" a="1"/>
  <c r="Q15" i="2" a="1"/>
  <c r="S34" i="2" a="1"/>
  <c r="V59" i="2" a="1"/>
  <c r="Q14" i="2" a="1"/>
  <c r="W5" i="2" a="1"/>
  <c r="Q83" i="2" a="1"/>
  <c r="N27" i="2" a="1"/>
  <c r="W32" i="2" a="1"/>
  <c r="S15" i="2" a="1"/>
  <c r="R66" i="2" a="1"/>
  <c r="V23" i="2" a="1"/>
  <c r="R60" i="2" a="1"/>
  <c r="V96" i="2" a="1"/>
  <c r="L11" i="2" a="1"/>
  <c r="N86" i="2" a="1"/>
  <c r="X119" i="2" a="1"/>
  <c r="N36" i="2" a="1"/>
  <c r="N83" i="2" a="1"/>
  <c r="V27" i="2" a="1"/>
  <c r="Q60" i="2" a="1"/>
  <c r="W113" i="2" a="1"/>
  <c r="L125" i="2" a="1"/>
  <c r="S41" i="2" a="1"/>
  <c r="V65" i="2" a="1"/>
  <c r="Q144" i="2" a="1"/>
  <c r="N20" i="2" a="1"/>
  <c r="L46" i="2" a="1"/>
  <c r="R124" i="2" a="1"/>
  <c r="L146" i="2" a="1"/>
  <c r="S74" i="2" a="1"/>
  <c r="X60" i="2" a="1"/>
  <c r="S4" i="2" a="1"/>
  <c r="M119" i="2" a="1"/>
  <c r="X112" i="2" a="1"/>
  <c r="V36" i="2" a="1"/>
  <c r="V80" i="2" a="1"/>
  <c r="W36" i="2" a="1"/>
  <c r="V54" i="2" a="1"/>
  <c r="S17" i="2" a="1"/>
  <c r="L13" i="2" a="1"/>
  <c r="X65" i="2" a="1"/>
  <c r="R139" i="2" a="1"/>
  <c r="V38" i="2" a="1"/>
  <c r="M33" i="2" a="1"/>
  <c r="Q128" i="2" a="1"/>
  <c r="W137" i="2" a="1"/>
  <c r="S29" i="2" a="1"/>
  <c r="M13" i="2" a="1"/>
  <c r="V82" i="2" a="1"/>
  <c r="R82" i="2" a="1"/>
  <c r="M116" i="2" a="1"/>
  <c r="S97" i="2" a="1"/>
  <c r="M113" i="2" a="1"/>
  <c r="V92" i="2" a="1"/>
  <c r="M11" i="2" a="1"/>
  <c r="L86" i="2" a="1"/>
  <c r="V102" i="2" a="1"/>
  <c r="Q82" i="2" a="1"/>
  <c r="N133" i="2" a="1"/>
  <c r="Q151" i="2" a="1"/>
  <c r="N127" i="2" a="1"/>
  <c r="X32" i="2" a="1"/>
  <c r="M102" i="2" a="1"/>
  <c r="Q137" i="2" a="1"/>
  <c r="W23" i="2" a="1"/>
  <c r="Q135" i="2" a="1"/>
  <c r="N24" i="2" a="1"/>
  <c r="S151" i="2" a="1"/>
  <c r="M148" i="2" a="1"/>
  <c r="V60" i="2" a="1"/>
  <c r="R57" i="2" a="1"/>
  <c r="L120" i="2" a="1"/>
  <c r="X123" i="2" a="1"/>
  <c r="M68" i="2" a="1"/>
  <c r="V125" i="2" a="1"/>
  <c r="R129" i="2" a="1"/>
  <c r="X10" i="2" a="1"/>
  <c r="R58" i="2" a="1"/>
  <c r="L26" i="2" a="1"/>
  <c r="W73" i="2" a="1"/>
  <c r="N43" i="2" a="1"/>
  <c r="S57" i="2" a="1"/>
  <c r="R134" i="2" a="1"/>
  <c r="R113" i="2" a="1"/>
  <c r="M121" i="2" a="1"/>
  <c r="N59" i="2" a="1"/>
  <c r="N119" i="2" a="1"/>
  <c r="W91" i="2" a="1"/>
  <c r="N35" i="2" a="1"/>
  <c r="X125" i="2" a="1"/>
  <c r="S72" i="2" a="1"/>
  <c r="M60" i="2" a="1"/>
  <c r="V140" i="2" a="1"/>
  <c r="L108" i="2" a="1"/>
  <c r="S20" i="2" a="1"/>
  <c r="X151" i="2" a="1"/>
  <c r="N142" i="2" a="1"/>
  <c r="V42" i="2" a="1"/>
  <c r="L33" i="2" a="1"/>
  <c r="S128" i="2" a="1"/>
  <c r="X28" i="2" a="1"/>
  <c r="N70" i="2" a="1"/>
  <c r="R137" i="2" a="1"/>
  <c r="X128" i="2" a="1"/>
  <c r="M34" i="2" a="1"/>
  <c r="V6" i="2" a="1"/>
  <c r="M79" i="2" a="1"/>
  <c r="Q35" i="2" a="1"/>
  <c r="W102" i="2" a="1"/>
  <c r="S110" i="2" a="1"/>
  <c r="M69" i="2" a="1"/>
  <c r="S55" i="2" a="1"/>
  <c r="M63" i="2" a="1"/>
  <c r="V10" i="2" a="1"/>
  <c r="L79" i="2" a="1"/>
  <c r="S35" i="2" a="1"/>
  <c r="X114" i="2" a="1"/>
  <c r="N104" i="2" a="1"/>
  <c r="R16" i="2" a="1"/>
  <c r="W27" i="2" a="1"/>
  <c r="S135" i="2" a="1"/>
  <c r="X113" i="2" a="1"/>
  <c r="N29" i="2" a="1"/>
  <c r="W129" i="2" a="1"/>
  <c r="N125" i="2" a="1"/>
  <c r="R73" i="2" a="1"/>
  <c r="V151" i="2" a="1"/>
  <c r="R43" i="2" a="1"/>
  <c r="M2" i="2" a="1"/>
  <c r="M9" i="2" a="1"/>
  <c r="L54" i="2" a="1"/>
  <c r="L56" i="2" a="1"/>
  <c r="Q5" i="2" a="1"/>
  <c r="W37" i="2" a="1"/>
  <c r="Q27" i="2" a="1"/>
  <c r="R2" i="2" a="1"/>
  <c r="L126" i="2" a="1"/>
  <c r="W132" i="2" a="1"/>
  <c r="L12" i="2" a="1"/>
  <c r="S95" i="2" a="1"/>
  <c r="X64" i="2" a="1"/>
  <c r="R36" i="2" a="1"/>
  <c r="L119" i="2" a="1"/>
  <c r="W55" i="2" a="1"/>
  <c r="Q81" i="2" a="1"/>
  <c r="X137" i="2" a="1"/>
  <c r="R108" i="2" a="1"/>
  <c r="L60" i="2" a="1"/>
  <c r="W82" i="2" a="1"/>
  <c r="Q110" i="2" a="1"/>
  <c r="N37" i="2" a="1"/>
  <c r="W59" i="2" a="1"/>
  <c r="S81" i="2" a="1"/>
  <c r="X5" i="2" a="1"/>
  <c r="N138" i="2" a="1"/>
  <c r="R70" i="2" a="1"/>
  <c r="V123" i="2" a="1"/>
  <c r="L85" i="2" a="1"/>
  <c r="W6" i="2" a="1"/>
  <c r="Q142" i="2" a="1"/>
  <c r="N90" i="2" a="1"/>
  <c r="X29" i="2" a="1"/>
  <c r="R19" i="2" a="1"/>
  <c r="Q70" i="2" a="1"/>
  <c r="W49" i="2" a="1"/>
  <c r="Q32" i="2" a="1"/>
  <c r="S149" i="2" a="1"/>
  <c r="R87" i="2" a="1"/>
  <c r="L63" i="2" a="1"/>
  <c r="W60" i="2" a="1"/>
  <c r="Q104" i="2" a="1"/>
  <c r="V64" i="2" a="1"/>
  <c r="Q57" i="2" a="1"/>
  <c r="N120" i="2" a="1"/>
  <c r="X87" i="2" a="1"/>
  <c r="S78" i="2" a="1"/>
  <c r="S78" i="2" l="1"/>
  <c r="X87" i="2"/>
  <c r="N120" i="2"/>
  <c r="Q57" i="2"/>
  <c r="V64" i="2"/>
  <c r="Q104" i="2"/>
  <c r="W60" i="2"/>
  <c r="L63" i="2"/>
  <c r="R87" i="2"/>
  <c r="S149" i="2"/>
  <c r="Q32" i="2"/>
  <c r="W49" i="2"/>
  <c r="Q70" i="2"/>
  <c r="R19" i="2"/>
  <c r="X29" i="2"/>
  <c r="N90" i="2"/>
  <c r="Q142" i="2"/>
  <c r="W6" i="2"/>
  <c r="L85" i="2"/>
  <c r="V123" i="2"/>
  <c r="R70" i="2"/>
  <c r="N138" i="2"/>
  <c r="X5" i="2"/>
  <c r="S81" i="2"/>
  <c r="W59" i="2"/>
  <c r="N37" i="2"/>
  <c r="Q110" i="2"/>
  <c r="W82" i="2"/>
  <c r="L60" i="2"/>
  <c r="R108" i="2"/>
  <c r="X137" i="2"/>
  <c r="Q81" i="2"/>
  <c r="W55" i="2"/>
  <c r="L119" i="2"/>
  <c r="R36" i="2"/>
  <c r="X64" i="2"/>
  <c r="S95" i="2"/>
  <c r="L12" i="2"/>
  <c r="W132" i="2"/>
  <c r="L126" i="2"/>
  <c r="R2" i="2"/>
  <c r="Q27" i="2"/>
  <c r="W37" i="2"/>
  <c r="Q5" i="2"/>
  <c r="L56" i="2"/>
  <c r="L54" i="2"/>
  <c r="M9" i="2"/>
  <c r="M2" i="2"/>
  <c r="R43" i="2"/>
  <c r="V151" i="2"/>
  <c r="R73" i="2"/>
  <c r="N125" i="2"/>
  <c r="W129" i="2"/>
  <c r="N29" i="2"/>
  <c r="X113" i="2"/>
  <c r="S135" i="2"/>
  <c r="W27" i="2"/>
  <c r="R16" i="2"/>
  <c r="N104" i="2"/>
  <c r="X114" i="2"/>
  <c r="S35" i="2"/>
  <c r="L79" i="2"/>
  <c r="V10" i="2"/>
  <c r="M63" i="2"/>
  <c r="S55" i="2"/>
  <c r="M69" i="2"/>
  <c r="S110" i="2"/>
  <c r="W102" i="2"/>
  <c r="Q35" i="2"/>
  <c r="M79" i="2"/>
  <c r="V6" i="2"/>
  <c r="T6" i="2" s="1"/>
  <c r="M34" i="2"/>
  <c r="X128" i="2"/>
  <c r="R137" i="2"/>
  <c r="N70" i="2"/>
  <c r="X28" i="2"/>
  <c r="S128" i="2"/>
  <c r="L33" i="2"/>
  <c r="V42" i="2"/>
  <c r="N142" i="2"/>
  <c r="X151" i="2"/>
  <c r="S20" i="2"/>
  <c r="L108" i="2"/>
  <c r="V140" i="2"/>
  <c r="M60" i="2"/>
  <c r="S72" i="2"/>
  <c r="X125" i="2"/>
  <c r="N35" i="2"/>
  <c r="W91" i="2"/>
  <c r="N119" i="2"/>
  <c r="N59" i="2"/>
  <c r="M121" i="2"/>
  <c r="R113" i="2"/>
  <c r="R134" i="2"/>
  <c r="S57" i="2"/>
  <c r="N43" i="2"/>
  <c r="W73" i="2"/>
  <c r="L26" i="2"/>
  <c r="R58" i="2"/>
  <c r="X10" i="2"/>
  <c r="R129" i="2"/>
  <c r="V125" i="2"/>
  <c r="M68" i="2"/>
  <c r="X123" i="2"/>
  <c r="L120" i="2"/>
  <c r="R57" i="2"/>
  <c r="V60" i="2"/>
  <c r="M148" i="2"/>
  <c r="S151" i="2"/>
  <c r="N24" i="2"/>
  <c r="Q135" i="2"/>
  <c r="W23" i="2"/>
  <c r="Q137" i="2"/>
  <c r="M102" i="2"/>
  <c r="X32" i="2"/>
  <c r="N127" i="2"/>
  <c r="Q151" i="2"/>
  <c r="N133" i="2"/>
  <c r="Q82" i="2"/>
  <c r="V102" i="2"/>
  <c r="L86" i="2"/>
  <c r="M11" i="2"/>
  <c r="V92" i="2"/>
  <c r="M113" i="2"/>
  <c r="S97" i="2"/>
  <c r="M116" i="2"/>
  <c r="R82" i="2"/>
  <c r="V82" i="2"/>
  <c r="M13" i="2"/>
  <c r="S29" i="2"/>
  <c r="W137" i="2"/>
  <c r="Q128" i="2"/>
  <c r="M33" i="2"/>
  <c r="V38" i="2"/>
  <c r="R139" i="2"/>
  <c r="X65" i="2"/>
  <c r="L13" i="2"/>
  <c r="S17" i="2"/>
  <c r="V54" i="2"/>
  <c r="W36" i="2"/>
  <c r="V80" i="2"/>
  <c r="V36" i="2"/>
  <c r="X112" i="2"/>
  <c r="M119" i="2"/>
  <c r="S4" i="2"/>
  <c r="X60" i="2"/>
  <c r="S74" i="2"/>
  <c r="L146" i="2"/>
  <c r="R124" i="2"/>
  <c r="L46" i="2"/>
  <c r="N20" i="2"/>
  <c r="Q144" i="2"/>
  <c r="V65" i="2"/>
  <c r="S41" i="2"/>
  <c r="L125" i="2"/>
  <c r="W113" i="2"/>
  <c r="Q60" i="2"/>
  <c r="V27" i="2"/>
  <c r="T27" i="2" s="1"/>
  <c r="N83" i="2"/>
  <c r="N36" i="2"/>
  <c r="X119" i="2"/>
  <c r="N86" i="2"/>
  <c r="L11" i="2"/>
  <c r="V96" i="2"/>
  <c r="R60" i="2"/>
  <c r="V23" i="2"/>
  <c r="R66" i="2"/>
  <c r="S15" i="2"/>
  <c r="W32" i="2"/>
  <c r="N27" i="2"/>
  <c r="Q83" i="2"/>
  <c r="W5" i="2"/>
  <c r="Q14" i="2"/>
  <c r="V59" i="2"/>
  <c r="S34" i="2"/>
  <c r="Q15" i="2"/>
  <c r="W28" i="2"/>
  <c r="Q77" i="2"/>
  <c r="M129" i="2"/>
  <c r="L19" i="2"/>
  <c r="N81" i="2"/>
  <c r="Q97" i="2"/>
  <c r="S91" i="2"/>
  <c r="L40" i="2"/>
  <c r="V89" i="2"/>
  <c r="M135" i="2"/>
  <c r="Q115" i="2"/>
  <c r="L145" i="2"/>
  <c r="S56" i="2"/>
  <c r="L31" i="2"/>
  <c r="Q13" i="2"/>
  <c r="M127" i="2"/>
  <c r="Q20" i="2"/>
  <c r="M108" i="2"/>
  <c r="V132" i="2"/>
  <c r="R71" i="2"/>
  <c r="X27" i="2"/>
  <c r="M126" i="2"/>
  <c r="S98" i="2"/>
  <c r="R116" i="2"/>
  <c r="N57" i="2"/>
  <c r="W134" i="2"/>
  <c r="M26" i="2"/>
  <c r="S26" i="2"/>
  <c r="X6" i="2"/>
  <c r="N136" i="2"/>
  <c r="W123" i="2"/>
  <c r="L20" i="2"/>
  <c r="R144" i="2"/>
  <c r="V49" i="2"/>
  <c r="M59" i="2"/>
  <c r="S83" i="2"/>
  <c r="W29" i="2"/>
  <c r="L136" i="2"/>
  <c r="W119" i="2"/>
  <c r="Q31" i="2"/>
  <c r="M107" i="2"/>
  <c r="X140" i="2"/>
  <c r="R131" i="2"/>
  <c r="N143" i="2"/>
  <c r="X38" i="2"/>
  <c r="N98" i="2"/>
  <c r="W128" i="2"/>
  <c r="R31" i="2"/>
  <c r="N75" i="2"/>
  <c r="X132" i="2"/>
  <c r="N30" i="2"/>
  <c r="Q30" i="2"/>
  <c r="L77" i="2"/>
  <c r="R14" i="2"/>
  <c r="V55" i="2"/>
  <c r="M56" i="2"/>
  <c r="S104" i="2"/>
  <c r="W64" i="2"/>
  <c r="Q36" i="2"/>
  <c r="X35" i="2"/>
  <c r="R26" i="2"/>
  <c r="L112" i="2"/>
  <c r="R55" i="2"/>
  <c r="M65" i="2"/>
  <c r="S119" i="2"/>
  <c r="N128" i="2"/>
  <c r="Q29" i="2"/>
  <c r="W125" i="2"/>
  <c r="L131" i="2"/>
  <c r="V91" i="2"/>
  <c r="T91" i="2" s="1"/>
  <c r="L35" i="2"/>
  <c r="J35" i="2" s="1"/>
  <c r="W87" i="2"/>
  <c r="L73" i="2"/>
  <c r="R122" i="2"/>
  <c r="X96" i="2"/>
  <c r="Q74" i="2"/>
  <c r="M146" i="2"/>
  <c r="L116" i="2"/>
  <c r="R85" i="2"/>
  <c r="X102" i="2"/>
  <c r="S80" i="2"/>
  <c r="L57" i="2"/>
  <c r="W114" i="2"/>
  <c r="Q131" i="2"/>
  <c r="M16" i="2"/>
  <c r="X42" i="2"/>
  <c r="S53" i="2"/>
  <c r="X82" i="2"/>
  <c r="N123" i="2"/>
  <c r="Q8" i="2"/>
  <c r="V29" i="2"/>
  <c r="L64" i="2"/>
  <c r="R76" i="2"/>
  <c r="L82" i="2"/>
  <c r="M39" i="2"/>
  <c r="X89" i="2"/>
  <c r="L123" i="2"/>
  <c r="R8" i="2"/>
  <c r="V5" i="2"/>
  <c r="R118" i="2"/>
  <c r="X91" i="2"/>
  <c r="L133" i="2"/>
  <c r="L98" i="2"/>
  <c r="W151" i="2"/>
  <c r="Q124" i="2"/>
  <c r="M61" i="2"/>
  <c r="X129" i="2"/>
  <c r="R61" i="2"/>
  <c r="W58" i="2"/>
  <c r="X126" i="2"/>
  <c r="W18" i="2"/>
  <c r="L83" i="2"/>
  <c r="V18" i="2"/>
  <c r="M20" i="2"/>
  <c r="N150" i="2"/>
  <c r="R77" i="2"/>
  <c r="N97" i="2"/>
  <c r="M115" i="2"/>
  <c r="S32" i="2"/>
  <c r="W65" i="2"/>
  <c r="S107" i="2"/>
  <c r="X49" i="2"/>
  <c r="S145" i="2"/>
  <c r="L74" i="2"/>
  <c r="V129" i="2"/>
  <c r="T129" i="2" s="1"/>
  <c r="S39" i="2"/>
  <c r="X23" i="2"/>
  <c r="S37" i="2"/>
  <c r="L6" i="2"/>
  <c r="V134" i="2"/>
  <c r="M73" i="2"/>
  <c r="S125" i="2"/>
  <c r="X92" i="2"/>
  <c r="N64" i="2"/>
  <c r="Q76" i="2"/>
  <c r="Q37" i="2"/>
  <c r="M6" i="2"/>
  <c r="V114" i="2"/>
  <c r="T114" i="2" s="1"/>
  <c r="R56" i="2"/>
  <c r="N80" i="2"/>
  <c r="W42" i="2"/>
  <c r="S136" i="2"/>
  <c r="X55" i="2"/>
  <c r="N23" i="2"/>
  <c r="Q111" i="2"/>
  <c r="V32" i="2"/>
  <c r="T32" i="2" s="1"/>
  <c r="S24" i="2"/>
  <c r="L80" i="2"/>
  <c r="W38" i="2"/>
  <c r="Q43" i="2"/>
  <c r="V128" i="2"/>
  <c r="T128" i="2" s="1"/>
  <c r="M82" i="2"/>
  <c r="N7" i="2"/>
  <c r="X73" i="2"/>
  <c r="N77" i="2"/>
  <c r="Q129" i="2"/>
  <c r="V137" i="2"/>
  <c r="W122" i="2"/>
  <c r="S140" i="2"/>
  <c r="M35" i="2"/>
  <c r="N21" i="2"/>
  <c r="R32" i="2"/>
  <c r="L117" i="2"/>
  <c r="S100" i="2"/>
  <c r="L103" i="2"/>
  <c r="L30" i="2"/>
  <c r="R30" i="2"/>
  <c r="Q16" i="2"/>
  <c r="M140" i="2"/>
  <c r="X134" i="2"/>
  <c r="M40" i="2"/>
  <c r="V73" i="2"/>
  <c r="M122" i="2"/>
  <c r="S142" i="2"/>
  <c r="W10" i="2"/>
  <c r="M131" i="2"/>
  <c r="V87" i="2"/>
  <c r="T87" i="2" s="1"/>
  <c r="M22" i="2"/>
  <c r="S54" i="2"/>
  <c r="W96" i="2"/>
  <c r="Q145" i="2"/>
  <c r="M74" i="2"/>
  <c r="V113" i="2"/>
  <c r="T113" i="2" s="1"/>
  <c r="R17" i="2"/>
  <c r="X59" i="2"/>
  <c r="N137" i="2"/>
  <c r="Q54" i="2"/>
  <c r="W92" i="2"/>
  <c r="L17" i="2"/>
  <c r="R33" i="2"/>
  <c r="Q91" i="2"/>
  <c r="M85" i="2"/>
  <c r="V119" i="2"/>
  <c r="R127" i="2"/>
  <c r="N12" i="2"/>
  <c r="W140" i="2"/>
  <c r="M17" i="2"/>
  <c r="S150" i="2"/>
  <c r="R27" i="2"/>
  <c r="N103" i="2"/>
  <c r="W89" i="2"/>
  <c r="L23" i="2"/>
  <c r="R111" i="2"/>
  <c r="V28" i="2"/>
  <c r="T28" i="2" s="1"/>
  <c r="R10" i="2"/>
  <c r="N46" i="2"/>
  <c r="N19" i="2"/>
  <c r="X36" i="2"/>
  <c r="V7" i="2"/>
  <c r="W83" i="2"/>
  <c r="V103" i="2"/>
  <c r="W33" i="2"/>
  <c r="X135" i="2"/>
  <c r="V33" i="2"/>
  <c r="R132" i="2"/>
  <c r="N16" i="2"/>
  <c r="X18" i="2"/>
  <c r="M100" i="2"/>
  <c r="W103" i="2"/>
  <c r="N105" i="2"/>
  <c r="Q22" i="2"/>
  <c r="W80" i="2"/>
  <c r="S42" i="2"/>
  <c r="L110" i="2"/>
  <c r="V118" i="2"/>
  <c r="Q107" i="2"/>
  <c r="X33" i="2"/>
  <c r="S124" i="2"/>
  <c r="L61" i="2"/>
  <c r="X148" i="2"/>
  <c r="M49" i="2"/>
  <c r="S33" i="2"/>
  <c r="L5" i="2"/>
  <c r="R121" i="2"/>
  <c r="W117" i="2"/>
  <c r="S106" i="2"/>
  <c r="Q51" i="2"/>
  <c r="W106" i="2"/>
  <c r="S103" i="2"/>
  <c r="W15" i="2"/>
  <c r="S96" i="2"/>
  <c r="L104" i="2"/>
  <c r="X94" i="2"/>
  <c r="Q73" i="2"/>
  <c r="M10" i="2"/>
  <c r="W148" i="2"/>
  <c r="N113" i="2"/>
  <c r="Q133" i="2"/>
  <c r="M101" i="2"/>
  <c r="S18" i="2"/>
  <c r="V117" i="2"/>
  <c r="L91" i="2"/>
  <c r="R147" i="2"/>
  <c r="V106" i="2"/>
  <c r="Q28" i="2"/>
  <c r="V15" i="2"/>
  <c r="Q80" i="2"/>
  <c r="M57" i="2"/>
  <c r="W94" i="2"/>
  <c r="L122" i="2"/>
  <c r="M15" i="2"/>
  <c r="W50" i="2"/>
  <c r="S118" i="2"/>
  <c r="X67" i="2"/>
  <c r="R102" i="2"/>
  <c r="S47" i="2"/>
  <c r="V12" i="2"/>
  <c r="Q88" i="2"/>
  <c r="M141" i="2"/>
  <c r="V26" i="2"/>
  <c r="L53" i="2"/>
  <c r="V111" i="2"/>
  <c r="L137" i="2"/>
  <c r="R54" i="2"/>
  <c r="W88" i="2"/>
  <c r="L148" i="2"/>
  <c r="R12" i="2"/>
  <c r="M51" i="2"/>
  <c r="S139" i="2"/>
  <c r="X144" i="2"/>
  <c r="R120" i="2"/>
  <c r="N44" i="2"/>
  <c r="V108" i="2"/>
  <c r="L149" i="2"/>
  <c r="R138" i="2"/>
  <c r="N101" i="2"/>
  <c r="Q50" i="2"/>
  <c r="V149" i="2"/>
  <c r="L27" i="2"/>
  <c r="R83" i="2"/>
  <c r="W150" i="2"/>
  <c r="Q17" i="2"/>
  <c r="O17" i="2" s="1"/>
  <c r="X31" i="2"/>
  <c r="R48" i="2"/>
  <c r="N140" i="2"/>
  <c r="X121" i="2"/>
  <c r="M45" i="2"/>
  <c r="S61" i="2"/>
  <c r="V69" i="2"/>
  <c r="L3" i="2"/>
  <c r="W75" i="2"/>
  <c r="S102" i="2"/>
  <c r="Q79" i="2"/>
  <c r="V20" i="2"/>
  <c r="Q24" i="2"/>
  <c r="M80" i="2"/>
  <c r="W34" i="2"/>
  <c r="L34" i="2"/>
  <c r="X127" i="2"/>
  <c r="M105" i="2"/>
  <c r="S122" i="2"/>
  <c r="X72" i="2"/>
  <c r="R42" i="2"/>
  <c r="N78" i="2"/>
  <c r="V78" i="2"/>
  <c r="Q148" i="2"/>
  <c r="W17" i="2"/>
  <c r="S120" i="2"/>
  <c r="L76" i="2"/>
  <c r="V116" i="2"/>
  <c r="L81" i="2"/>
  <c r="R97" i="2"/>
  <c r="N82" i="2"/>
  <c r="L39" i="2"/>
  <c r="X122" i="2"/>
  <c r="R106" i="2"/>
  <c r="S19" i="2"/>
  <c r="X58" i="2"/>
  <c r="R103" i="2"/>
  <c r="W7" i="2"/>
  <c r="S48" i="2"/>
  <c r="L25" i="2"/>
  <c r="W54" i="2"/>
  <c r="N45" i="2"/>
  <c r="Q93" i="2"/>
  <c r="V97" i="2"/>
  <c r="Q78" i="2"/>
  <c r="X83" i="2"/>
  <c r="R52" i="2"/>
  <c r="N108" i="2"/>
  <c r="J108" i="2" s="1"/>
  <c r="V100" i="2"/>
  <c r="L96" i="2"/>
  <c r="R112" i="2"/>
  <c r="N52" i="2"/>
  <c r="Q21" i="2"/>
  <c r="X117" i="2"/>
  <c r="R38" i="2"/>
  <c r="N106" i="2"/>
  <c r="X106" i="2"/>
  <c r="R39" i="2"/>
  <c r="X15" i="2"/>
  <c r="R91" i="2"/>
  <c r="N8" i="2"/>
  <c r="V57" i="2"/>
  <c r="M109" i="2"/>
  <c r="S129" i="2"/>
  <c r="V37" i="2"/>
  <c r="Q117" i="2"/>
  <c r="W35" i="2"/>
  <c r="S69" i="2"/>
  <c r="L38" i="2"/>
  <c r="X12" i="2"/>
  <c r="R99" i="2"/>
  <c r="N111" i="2"/>
  <c r="X26" i="2"/>
  <c r="M36" i="2"/>
  <c r="X111" i="2"/>
  <c r="M120" i="2"/>
  <c r="S25" i="2"/>
  <c r="V56" i="2"/>
  <c r="N26" i="2"/>
  <c r="Q58" i="2"/>
  <c r="X50" i="2"/>
  <c r="R46" i="2"/>
  <c r="V35" i="2"/>
  <c r="T35" i="2" s="1"/>
  <c r="Q146" i="2"/>
  <c r="M134" i="2"/>
  <c r="W12" i="2"/>
  <c r="S132" i="2"/>
  <c r="L48" i="2"/>
  <c r="W26" i="2"/>
  <c r="N100" i="2"/>
  <c r="W111" i="2"/>
  <c r="N41" i="2"/>
  <c r="Q125" i="2"/>
  <c r="X88" i="2"/>
  <c r="N63" i="2"/>
  <c r="Q87" i="2"/>
  <c r="M19" i="2"/>
  <c r="R75" i="2"/>
  <c r="V131" i="2"/>
  <c r="Q63" i="2"/>
  <c r="M139" i="2"/>
  <c r="W108" i="2"/>
  <c r="N49" i="2"/>
  <c r="Q65" i="2"/>
  <c r="M37" i="2"/>
  <c r="S121" i="2"/>
  <c r="W149" i="2"/>
  <c r="S38" i="2"/>
  <c r="L138" i="2"/>
  <c r="X150" i="2"/>
  <c r="S60" i="2"/>
  <c r="V2" i="2"/>
  <c r="Q123" i="2"/>
  <c r="M72" i="2"/>
  <c r="V142" i="2"/>
  <c r="L92" i="2"/>
  <c r="R141" i="2"/>
  <c r="W69" i="2"/>
  <c r="S46" i="2"/>
  <c r="X75" i="2"/>
  <c r="R34" i="2"/>
  <c r="N134" i="2"/>
  <c r="W20" i="2"/>
  <c r="S99" i="2"/>
  <c r="L143" i="2"/>
  <c r="X34" i="2"/>
  <c r="N85" i="2"/>
  <c r="V95" i="2"/>
  <c r="L9" i="2"/>
  <c r="R89" i="2"/>
  <c r="V40" i="2"/>
  <c r="Q109" i="2"/>
  <c r="M14" i="2"/>
  <c r="W78" i="2"/>
  <c r="S75" i="2"/>
  <c r="X17" i="2"/>
  <c r="R95" i="2"/>
  <c r="N139" i="2"/>
  <c r="W116" i="2"/>
  <c r="N132" i="2"/>
  <c r="Q150" i="2"/>
  <c r="M18" i="2"/>
  <c r="S82" i="2"/>
  <c r="V77" i="2"/>
  <c r="Q6" i="2"/>
  <c r="M106" i="2"/>
  <c r="V13" i="2"/>
  <c r="Q7" i="2"/>
  <c r="X7" i="2"/>
  <c r="R96" i="2"/>
  <c r="N72" i="2"/>
  <c r="X54" i="2"/>
  <c r="M128" i="2"/>
  <c r="S141" i="2"/>
  <c r="W97" i="2"/>
  <c r="S86" i="2"/>
  <c r="V51" i="2"/>
  <c r="M55" i="2"/>
  <c r="S111" i="2"/>
  <c r="V4" i="2"/>
  <c r="Q67" i="2"/>
  <c r="M111" i="2"/>
  <c r="V70" i="2"/>
  <c r="L4" i="2"/>
  <c r="X103" i="2"/>
  <c r="M41" i="2"/>
  <c r="S89" i="2"/>
  <c r="X80" i="2"/>
  <c r="R149" i="2"/>
  <c r="N14" i="2"/>
  <c r="W118" i="2"/>
  <c r="S11" i="2"/>
  <c r="V147" i="2"/>
  <c r="R5" i="2"/>
  <c r="N89" i="2"/>
  <c r="V141" i="2"/>
  <c r="Q3" i="2"/>
  <c r="M47" i="2"/>
  <c r="V110" i="2"/>
  <c r="L99" i="2"/>
  <c r="V79" i="2"/>
  <c r="L24" i="2"/>
  <c r="R104" i="2"/>
  <c r="W56" i="2"/>
  <c r="Q10" i="2"/>
  <c r="M78" i="2"/>
  <c r="W46" i="2"/>
  <c r="N34" i="2"/>
  <c r="X131" i="2"/>
  <c r="M54" i="2"/>
  <c r="S90" i="2"/>
  <c r="V76" i="2"/>
  <c r="L32" i="2"/>
  <c r="R44" i="2"/>
  <c r="N147" i="2"/>
  <c r="Q100" i="2"/>
  <c r="V25" i="2"/>
  <c r="Q41" i="2"/>
  <c r="M125" i="2"/>
  <c r="W101" i="2"/>
  <c r="R114" i="2"/>
  <c r="N146" i="2"/>
  <c r="V46" i="2"/>
  <c r="L130" i="2"/>
  <c r="W131" i="2"/>
  <c r="N118" i="2"/>
  <c r="L43" i="2"/>
  <c r="X108" i="2"/>
  <c r="M132" i="2"/>
  <c r="S112" i="2"/>
  <c r="L84" i="2"/>
  <c r="R53" i="2"/>
  <c r="X149" i="2"/>
  <c r="R145" i="2"/>
  <c r="N42" i="2"/>
  <c r="V101" i="2"/>
  <c r="R140" i="2"/>
  <c r="W2" i="2"/>
  <c r="S27" i="2"/>
  <c r="L135" i="2"/>
  <c r="W142" i="2"/>
  <c r="N124" i="2"/>
  <c r="Q40" i="2"/>
  <c r="X69" i="2"/>
  <c r="R86" i="2"/>
  <c r="V43" i="2"/>
  <c r="Q101" i="2"/>
  <c r="M70" i="2"/>
  <c r="X20" i="2"/>
  <c r="R35" i="2"/>
  <c r="N47" i="2"/>
  <c r="V146" i="2"/>
  <c r="M21" i="2"/>
  <c r="W95" i="2"/>
  <c r="N56" i="2"/>
  <c r="Q113" i="2"/>
  <c r="W40" i="2"/>
  <c r="S13" i="2"/>
  <c r="L65" i="2"/>
  <c r="X78" i="2"/>
  <c r="R11" i="2"/>
  <c r="V139" i="2"/>
  <c r="L2" i="2"/>
  <c r="M75" i="2"/>
  <c r="X116" i="2"/>
  <c r="M64" i="2"/>
  <c r="S44" i="2"/>
  <c r="L69" i="2"/>
  <c r="R18" i="2"/>
  <c r="W77" i="2"/>
  <c r="S73" i="2"/>
  <c r="L10" i="2"/>
  <c r="W13" i="2"/>
  <c r="N62" i="2"/>
  <c r="Q62" i="2"/>
  <c r="Q59" i="2"/>
  <c r="M8" i="2"/>
  <c r="V21" i="2"/>
  <c r="L28" i="2"/>
  <c r="R72" i="2"/>
  <c r="X97" i="2"/>
  <c r="R81" i="2"/>
  <c r="O81" i="2" s="1"/>
  <c r="W51" i="2"/>
  <c r="Q66" i="2"/>
  <c r="R47" i="2"/>
  <c r="W4" i="2"/>
  <c r="N122" i="2"/>
  <c r="L15" i="2"/>
  <c r="W70" i="2"/>
  <c r="N67" i="2"/>
  <c r="V71" i="2"/>
  <c r="L88" i="2"/>
  <c r="R25" i="2"/>
  <c r="V48" i="2"/>
  <c r="Q45" i="2"/>
  <c r="M97" i="2"/>
  <c r="X118" i="2"/>
  <c r="M98" i="2"/>
  <c r="W147" i="2"/>
  <c r="Q127" i="2"/>
  <c r="M44" i="2"/>
  <c r="W100" i="2"/>
  <c r="N148" i="2"/>
  <c r="Q12" i="2"/>
  <c r="M147" i="2"/>
  <c r="S64" i="2"/>
  <c r="V9" i="2"/>
  <c r="Q105" i="2"/>
  <c r="M42" i="2"/>
  <c r="V61" i="2"/>
  <c r="L94" i="2"/>
  <c r="R98" i="2"/>
  <c r="L150" i="2"/>
  <c r="M103" i="2"/>
  <c r="W57" i="2"/>
  <c r="S77" i="2"/>
  <c r="L129" i="2"/>
  <c r="X46" i="2"/>
  <c r="M117" i="2"/>
  <c r="V99" i="2"/>
  <c r="L105" i="2"/>
  <c r="J105" i="2" s="1"/>
  <c r="R22" i="2"/>
  <c r="W76" i="2"/>
  <c r="N95" i="2"/>
  <c r="Q119" i="2"/>
  <c r="M83" i="2"/>
  <c r="S148" i="2"/>
  <c r="W25" i="2"/>
  <c r="S84" i="2"/>
  <c r="L29" i="2"/>
  <c r="X101" i="2"/>
  <c r="N126" i="2"/>
  <c r="Q2" i="2"/>
  <c r="L18" i="2"/>
  <c r="R126" i="2"/>
  <c r="V93" i="2"/>
  <c r="Q106" i="2"/>
  <c r="O106" i="2" s="1"/>
  <c r="R51" i="2"/>
  <c r="W86" i="2"/>
  <c r="S92" i="2"/>
  <c r="X43" i="2"/>
  <c r="R80" i="2"/>
  <c r="N25" i="2"/>
  <c r="W74" i="2"/>
  <c r="N145" i="2"/>
  <c r="Q26" i="2"/>
  <c r="O26" i="2" s="1"/>
  <c r="X146" i="2"/>
  <c r="Q71" i="2"/>
  <c r="X2" i="2"/>
  <c r="M114" i="2"/>
  <c r="N39" i="2"/>
  <c r="X142" i="2"/>
  <c r="M91" i="2"/>
  <c r="S115" i="2"/>
  <c r="V86" i="2"/>
  <c r="Q49" i="2"/>
  <c r="W43" i="2"/>
  <c r="S5" i="2"/>
  <c r="L121" i="2"/>
  <c r="V74" i="2"/>
  <c r="L90" i="2"/>
  <c r="R142" i="2"/>
  <c r="W146" i="2"/>
  <c r="L68" i="2"/>
  <c r="X95" i="2"/>
  <c r="M151" i="2"/>
  <c r="S36" i="2"/>
  <c r="X40" i="2"/>
  <c r="R88" i="2"/>
  <c r="N112" i="2"/>
  <c r="V22" i="2"/>
  <c r="L66" i="2"/>
  <c r="W139" i="2"/>
  <c r="N54" i="2"/>
  <c r="Q134" i="2"/>
  <c r="V84" i="2"/>
  <c r="L127" i="2"/>
  <c r="J127" i="2" s="1"/>
  <c r="R151" i="2"/>
  <c r="N116" i="2"/>
  <c r="Q85" i="2"/>
  <c r="X77" i="2"/>
  <c r="R9" i="2"/>
  <c r="N61" i="2"/>
  <c r="X13" i="2"/>
  <c r="M149" i="2"/>
  <c r="S133" i="2"/>
  <c r="N114" i="2"/>
  <c r="L71" i="2"/>
  <c r="W21" i="2"/>
  <c r="N91" i="2"/>
  <c r="Q147" i="2"/>
  <c r="V130" i="2"/>
  <c r="Q136" i="2"/>
  <c r="X51" i="2"/>
  <c r="S137" i="2"/>
  <c r="L102" i="2"/>
  <c r="X4" i="2"/>
  <c r="M58" i="2"/>
  <c r="S58" i="2"/>
  <c r="X70" i="2"/>
  <c r="M3" i="2"/>
  <c r="W71" i="2"/>
  <c r="N151" i="2"/>
  <c r="Q68" i="2"/>
  <c r="W48" i="2"/>
  <c r="S88" i="2"/>
  <c r="L141" i="2"/>
  <c r="V30" i="2"/>
  <c r="L142" i="2"/>
  <c r="X147" i="2"/>
  <c r="S31" i="2"/>
  <c r="L107" i="2"/>
  <c r="X100" i="2"/>
  <c r="M95" i="2"/>
  <c r="S87" i="2"/>
  <c r="L51" i="2"/>
  <c r="R148" i="2"/>
  <c r="W9" i="2"/>
  <c r="S9" i="2"/>
  <c r="L93" i="2"/>
  <c r="W61" i="2"/>
  <c r="N149" i="2"/>
  <c r="Q138" i="2"/>
  <c r="N50" i="2"/>
  <c r="L7" i="2"/>
  <c r="X57" i="2"/>
  <c r="N60" i="2"/>
  <c r="Q108" i="2"/>
  <c r="X37" i="2"/>
  <c r="R92" i="2"/>
  <c r="V3" i="2"/>
  <c r="Q48" i="2"/>
  <c r="O48" i="2" s="1"/>
  <c r="M25" i="2"/>
  <c r="W141" i="2"/>
  <c r="N58" i="2"/>
  <c r="Q94" i="2"/>
  <c r="W110" i="2"/>
  <c r="N3" i="2"/>
  <c r="W79" i="2"/>
  <c r="N87" i="2"/>
  <c r="Q4" i="2"/>
  <c r="X56" i="2"/>
  <c r="M62" i="2"/>
  <c r="S30" i="2"/>
  <c r="N69" i="2"/>
  <c r="Q18" i="2"/>
  <c r="O18" i="2" s="1"/>
  <c r="W93" i="2"/>
  <c r="S6" i="2"/>
  <c r="L106" i="2"/>
  <c r="J106" i="2" s="1"/>
  <c r="X86" i="2"/>
  <c r="R28" i="2"/>
  <c r="V11" i="2"/>
  <c r="Q96" i="2"/>
  <c r="O96" i="2" s="1"/>
  <c r="M104" i="2"/>
  <c r="X74" i="2"/>
  <c r="M77" i="2"/>
  <c r="S93" i="2"/>
  <c r="V109" i="2"/>
  <c r="M67" i="2"/>
  <c r="W63" i="2"/>
  <c r="S66" i="2"/>
  <c r="Q47" i="2"/>
  <c r="O47" i="2" s="1"/>
  <c r="W8" i="2"/>
  <c r="S67" i="2"/>
  <c r="L111" i="2"/>
  <c r="J111" i="2" s="1"/>
  <c r="X22" i="2"/>
  <c r="M53" i="2"/>
  <c r="V107" i="2"/>
  <c r="L41" i="2"/>
  <c r="J41" i="2" s="1"/>
  <c r="R125" i="2"/>
  <c r="X84" i="2"/>
  <c r="R74" i="2"/>
  <c r="N110" i="2"/>
  <c r="V138" i="2"/>
  <c r="N131" i="2"/>
  <c r="V63" i="2"/>
  <c r="L55" i="2"/>
  <c r="R143" i="2"/>
  <c r="V8" i="2"/>
  <c r="Q132" i="2"/>
  <c r="O132" i="2" s="1"/>
  <c r="M48" i="2"/>
  <c r="W22" i="2"/>
  <c r="N117" i="2"/>
  <c r="X139" i="2"/>
  <c r="M137" i="2"/>
  <c r="S22" i="2"/>
  <c r="W84" i="2"/>
  <c r="N31" i="2"/>
  <c r="Q55" i="2"/>
  <c r="O55" i="2" s="1"/>
  <c r="M52" i="2"/>
  <c r="S144" i="2"/>
  <c r="V136" i="2"/>
  <c r="Q52" i="2"/>
  <c r="M144" i="2"/>
  <c r="V104" i="2"/>
  <c r="L49" i="2"/>
  <c r="J49" i="2" s="1"/>
  <c r="R65" i="2"/>
  <c r="M50" i="2"/>
  <c r="S126" i="2"/>
  <c r="X21" i="2"/>
  <c r="M27" i="2"/>
  <c r="S51" i="2"/>
  <c r="W130" i="2"/>
  <c r="S28" i="2"/>
  <c r="O28" i="2" s="1"/>
  <c r="V19" i="2"/>
  <c r="R69" i="2"/>
  <c r="N6" i="2"/>
  <c r="V105" i="2"/>
  <c r="L109" i="2"/>
  <c r="R130" i="2"/>
  <c r="V53" i="2"/>
  <c r="Q46" i="2"/>
  <c r="O46" i="2" s="1"/>
  <c r="X71" i="2"/>
  <c r="M87" i="2"/>
  <c r="S143" i="2"/>
  <c r="X48" i="2"/>
  <c r="R24" i="2"/>
  <c r="N48" i="2"/>
  <c r="W30" i="2"/>
  <c r="N53" i="2"/>
  <c r="V115" i="2"/>
  <c r="M118" i="2"/>
  <c r="N11" i="2"/>
  <c r="V68" i="2"/>
  <c r="Q114" i="2"/>
  <c r="R23" i="2"/>
  <c r="V66" i="2"/>
  <c r="Q75" i="2"/>
  <c r="O75" i="2" s="1"/>
  <c r="X9" i="2"/>
  <c r="R84" i="2"/>
  <c r="N144" i="2"/>
  <c r="X61" i="2"/>
  <c r="M81" i="2"/>
  <c r="S65" i="2"/>
  <c r="M133" i="2"/>
  <c r="S50" i="2"/>
  <c r="V62" i="2"/>
  <c r="M124" i="2"/>
  <c r="S8" i="2"/>
  <c r="V145" i="2"/>
  <c r="Q140" i="2"/>
  <c r="O140" i="2" s="1"/>
  <c r="W3" i="2"/>
  <c r="S123" i="2"/>
  <c r="L72" i="2"/>
  <c r="J72" i="2" s="1"/>
  <c r="X141" i="2"/>
  <c r="M145" i="2"/>
  <c r="S130" i="2"/>
  <c r="X110" i="2"/>
  <c r="R78" i="2"/>
  <c r="X79" i="2"/>
  <c r="M23" i="2"/>
  <c r="S79" i="2"/>
  <c r="V24" i="2"/>
  <c r="R13" i="2"/>
  <c r="N33" i="2"/>
  <c r="J33" i="2" s="1"/>
  <c r="V14" i="2"/>
  <c r="L21" i="2"/>
  <c r="J21" i="2" s="1"/>
  <c r="W99" i="2"/>
  <c r="N9" i="2"/>
  <c r="Q89" i="2"/>
  <c r="O89" i="2" s="1"/>
  <c r="X76" i="2"/>
  <c r="M31" i="2"/>
  <c r="S23" i="2"/>
  <c r="N51" i="2"/>
  <c r="R107" i="2"/>
  <c r="X25" i="2"/>
  <c r="R20" i="2"/>
  <c r="N76" i="2"/>
  <c r="V124" i="2"/>
  <c r="Q118" i="2"/>
  <c r="O118" i="2" s="1"/>
  <c r="X63" i="2"/>
  <c r="R146" i="2"/>
  <c r="N102" i="2"/>
  <c r="X8" i="2"/>
  <c r="R3" i="2"/>
  <c r="N15" i="2"/>
  <c r="V90" i="2"/>
  <c r="L100" i="2"/>
  <c r="J100" i="2" s="1"/>
  <c r="W107" i="2"/>
  <c r="N88" i="2"/>
  <c r="Q25" i="2"/>
  <c r="O25" i="2" s="1"/>
  <c r="V52" i="2"/>
  <c r="Q149" i="2"/>
  <c r="O149" i="2" s="1"/>
  <c r="M46" i="2"/>
  <c r="W138" i="2"/>
  <c r="Q139" i="2"/>
  <c r="O139" i="2" s="1"/>
  <c r="X136" i="2"/>
  <c r="R63" i="2"/>
  <c r="N107" i="2"/>
  <c r="X104" i="2"/>
  <c r="M32" i="2"/>
  <c r="S12" i="2"/>
  <c r="N5" i="2"/>
  <c r="Q121" i="2"/>
  <c r="O121" i="2" s="1"/>
  <c r="W133" i="2"/>
  <c r="S105" i="2"/>
  <c r="L42" i="2"/>
  <c r="J42" i="2" s="1"/>
  <c r="V81" i="2"/>
  <c r="Q39" i="2"/>
  <c r="O39" i="2" s="1"/>
  <c r="X19" i="2"/>
  <c r="L115" i="2"/>
  <c r="R64" i="2"/>
  <c r="W136" i="2"/>
  <c r="S127" i="2"/>
  <c r="L44" i="2"/>
  <c r="J44" i="2" s="1"/>
  <c r="W104" i="2"/>
  <c r="N96" i="2"/>
  <c r="Q112" i="2"/>
  <c r="O112" i="2" s="1"/>
  <c r="L101" i="2"/>
  <c r="J101" i="2" s="1"/>
  <c r="R50" i="2"/>
  <c r="V133" i="2"/>
  <c r="Q38" i="2"/>
  <c r="M138" i="2"/>
  <c r="X130" i="2"/>
  <c r="R135" i="2"/>
  <c r="W19" i="2"/>
  <c r="Q116" i="2"/>
  <c r="M89" i="2"/>
  <c r="W105" i="2"/>
  <c r="N13" i="2"/>
  <c r="Q61" i="2"/>
  <c r="O61" i="2" s="1"/>
  <c r="W53" i="2"/>
  <c r="S117" i="2"/>
  <c r="V39" i="2"/>
  <c r="Q102" i="2"/>
  <c r="O102" i="2" s="1"/>
  <c r="R79" i="2"/>
  <c r="V16" i="2"/>
  <c r="Q99" i="2"/>
  <c r="M143" i="2"/>
  <c r="X30" i="2"/>
  <c r="M136" i="2"/>
  <c r="W115" i="2"/>
  <c r="L22" i="2"/>
  <c r="R90" i="2"/>
  <c r="W68" i="2"/>
  <c r="S10" i="2"/>
  <c r="L78" i="2"/>
  <c r="J78" i="2" s="1"/>
  <c r="W66" i="2"/>
  <c r="N130" i="2"/>
  <c r="V135" i="2"/>
  <c r="Q120" i="2"/>
  <c r="O120" i="2" s="1"/>
  <c r="M76" i="2"/>
  <c r="V112" i="2"/>
  <c r="L132" i="2"/>
  <c r="R150" i="2"/>
  <c r="L37" i="2"/>
  <c r="J37" i="2" s="1"/>
  <c r="R110" i="2"/>
  <c r="W62" i="2"/>
  <c r="L59" i="2"/>
  <c r="J59" i="2" s="1"/>
  <c r="R115" i="2"/>
  <c r="O115" i="2" s="1"/>
  <c r="W145" i="2"/>
  <c r="S71" i="2"/>
  <c r="X3" i="2"/>
  <c r="R59" i="2"/>
  <c r="N135" i="2"/>
  <c r="V120" i="2"/>
  <c r="L45" i="2"/>
  <c r="J45" i="2" s="1"/>
  <c r="R93" i="2"/>
  <c r="V85" i="2"/>
  <c r="Q86" i="2"/>
  <c r="V47" i="2"/>
  <c r="Q34" i="2"/>
  <c r="O34" i="2" s="1"/>
  <c r="R15" i="2"/>
  <c r="W24" i="2"/>
  <c r="Q56" i="2"/>
  <c r="O56" i="2" s="1"/>
  <c r="M112" i="2"/>
  <c r="W14" i="2"/>
  <c r="N68" i="2"/>
  <c r="X99" i="2"/>
  <c r="M88" i="2"/>
  <c r="S113" i="2"/>
  <c r="V44" i="2"/>
  <c r="Q42" i="2"/>
  <c r="O42" i="2" s="1"/>
  <c r="M110" i="2"/>
  <c r="V98" i="2"/>
  <c r="Q11" i="2"/>
  <c r="O11" i="2" s="1"/>
  <c r="V143" i="2"/>
  <c r="Q95" i="2"/>
  <c r="O95" i="2" s="1"/>
  <c r="M12" i="2"/>
  <c r="W124" i="2"/>
  <c r="L113" i="2"/>
  <c r="J113" i="2" s="1"/>
  <c r="R133" i="2"/>
  <c r="M5" i="2"/>
  <c r="S85" i="2"/>
  <c r="X93" i="2"/>
  <c r="R105" i="2"/>
  <c r="N10" i="2"/>
  <c r="V41" i="2"/>
  <c r="Q103" i="2"/>
  <c r="O103" i="2" s="1"/>
  <c r="W11" i="2"/>
  <c r="S59" i="2"/>
  <c r="L8" i="2"/>
  <c r="J8" i="2" s="1"/>
  <c r="V45" i="2"/>
  <c r="L128" i="2"/>
  <c r="J128" i="2" s="1"/>
  <c r="R29" i="2"/>
  <c r="W109" i="2"/>
  <c r="S43" i="2"/>
  <c r="V127" i="2"/>
  <c r="L118" i="2"/>
  <c r="J118" i="2" s="1"/>
  <c r="M43" i="2"/>
  <c r="V72" i="2"/>
  <c r="L95" i="2"/>
  <c r="J95" i="2" s="1"/>
  <c r="R119" i="2"/>
  <c r="M84" i="2"/>
  <c r="S21" i="2"/>
  <c r="X133" i="2"/>
  <c r="R41" i="2"/>
  <c r="N93" i="2"/>
  <c r="W81" i="2"/>
  <c r="N94" i="2"/>
  <c r="Q98" i="2"/>
  <c r="O98" i="2" s="1"/>
  <c r="R123" i="2"/>
  <c r="N40" i="2"/>
  <c r="V122" i="2"/>
  <c r="T122" i="2" s="1"/>
  <c r="L124" i="2"/>
  <c r="J124" i="2" s="1"/>
  <c r="R40" i="2"/>
  <c r="V58" i="2"/>
  <c r="T58" i="2" s="1"/>
  <c r="Q92" i="2"/>
  <c r="O92" i="2" s="1"/>
  <c r="X39" i="2"/>
  <c r="R101" i="2"/>
  <c r="N38" i="2"/>
  <c r="X16" i="2"/>
  <c r="M90" i="2"/>
  <c r="S94" i="2"/>
  <c r="W126" i="2"/>
  <c r="N99" i="2"/>
  <c r="V83" i="2"/>
  <c r="T83" i="2" s="1"/>
  <c r="S16" i="2"/>
  <c r="L140" i="2"/>
  <c r="J140" i="2" s="1"/>
  <c r="X105" i="2"/>
  <c r="M92" i="2"/>
  <c r="S108" i="2"/>
  <c r="X53" i="2"/>
  <c r="R49" i="2"/>
  <c r="W39" i="2"/>
  <c r="S146" i="2"/>
  <c r="L134" i="2"/>
  <c r="J134" i="2" s="1"/>
  <c r="W16" i="2"/>
  <c r="S3" i="2"/>
  <c r="L47" i="2"/>
  <c r="J47" i="2" s="1"/>
  <c r="V126" i="2"/>
  <c r="T126" i="2" s="1"/>
  <c r="L36" i="2"/>
  <c r="J36" i="2" s="1"/>
  <c r="X115" i="2"/>
  <c r="N73" i="2"/>
  <c r="Q122" i="2"/>
  <c r="O122" i="2" s="1"/>
  <c r="X68" i="2"/>
  <c r="R109" i="2"/>
  <c r="N129" i="2"/>
  <c r="X66" i="2"/>
  <c r="M66" i="2"/>
  <c r="W135" i="2"/>
  <c r="S63" i="2"/>
  <c r="L139" i="2"/>
  <c r="J139" i="2" s="1"/>
  <c r="W112" i="2"/>
  <c r="N32" i="2"/>
  <c r="Q44" i="2"/>
  <c r="O44" i="2" s="1"/>
  <c r="N84" i="2"/>
  <c r="Q53" i="2"/>
  <c r="O53" i="2" s="1"/>
  <c r="X62" i="2"/>
  <c r="S70" i="2"/>
  <c r="Q19" i="2"/>
  <c r="O19" i="2" s="1"/>
  <c r="X145" i="2"/>
  <c r="R7" i="2"/>
  <c r="S2" i="2"/>
  <c r="L114" i="2"/>
  <c r="J114" i="2" s="1"/>
  <c r="M71" i="2"/>
  <c r="W120" i="2"/>
  <c r="N92" i="2"/>
  <c r="Q141" i="2"/>
  <c r="O141" i="2" s="1"/>
  <c r="W85" i="2"/>
  <c r="S49" i="2"/>
  <c r="W47" i="2"/>
  <c r="S101" i="2"/>
  <c r="L70" i="2"/>
  <c r="J70" i="2" s="1"/>
  <c r="X24" i="2"/>
  <c r="S131" i="2"/>
  <c r="L16" i="2"/>
  <c r="J16" i="2" s="1"/>
  <c r="X14" i="2"/>
  <c r="M4" i="2"/>
  <c r="V67" i="2"/>
  <c r="L151" i="2"/>
  <c r="J151" i="2" s="1"/>
  <c r="R68" i="2"/>
  <c r="W44" i="2"/>
  <c r="S109" i="2"/>
  <c r="L14" i="2"/>
  <c r="J14" i="2" s="1"/>
  <c r="W98" i="2"/>
  <c r="N66" i="2"/>
  <c r="W143" i="2"/>
  <c r="N2" i="2"/>
  <c r="J2" i="2" s="1"/>
  <c r="L75" i="2"/>
  <c r="J75" i="2" s="1"/>
  <c r="X124" i="2"/>
  <c r="N17" i="2"/>
  <c r="Q33" i="2"/>
  <c r="O33" i="2" s="1"/>
  <c r="L52" i="2"/>
  <c r="J52" i="2" s="1"/>
  <c r="R21" i="2"/>
  <c r="V144" i="2"/>
  <c r="Q9" i="2"/>
  <c r="O9" i="2" s="1"/>
  <c r="M93" i="2"/>
  <c r="W41" i="2"/>
  <c r="S7" i="2"/>
  <c r="X11" i="2"/>
  <c r="M150" i="2"/>
  <c r="N71" i="2"/>
  <c r="W45" i="2"/>
  <c r="N28" i="2"/>
  <c r="J28" i="2" s="1"/>
  <c r="Q72" i="2"/>
  <c r="O72" i="2" s="1"/>
  <c r="X109" i="2"/>
  <c r="S14" i="2"/>
  <c r="V31" i="2"/>
  <c r="Q69" i="2"/>
  <c r="O69" i="2" s="1"/>
  <c r="M38" i="2"/>
  <c r="V121" i="2"/>
  <c r="L58" i="2"/>
  <c r="J58" i="2" s="1"/>
  <c r="R94" i="2"/>
  <c r="W90" i="2"/>
  <c r="N4" i="2"/>
  <c r="X107" i="2"/>
  <c r="M24" i="2"/>
  <c r="S68" i="2"/>
  <c r="W52" i="2"/>
  <c r="S45" i="2"/>
  <c r="O45" i="2" s="1"/>
  <c r="L97" i="2"/>
  <c r="J97" i="2" s="1"/>
  <c r="X138" i="2"/>
  <c r="R6" i="2"/>
  <c r="N74" i="2"/>
  <c r="J74" i="2" s="1"/>
  <c r="V148" i="2"/>
  <c r="T148" i="2" s="1"/>
  <c r="L62" i="2"/>
  <c r="J62" i="2" s="1"/>
  <c r="R62" i="2"/>
  <c r="N18" i="2"/>
  <c r="Q126" i="2"/>
  <c r="O126" i="2" s="1"/>
  <c r="X120" i="2"/>
  <c r="M28" i="2"/>
  <c r="S40" i="2"/>
  <c r="X85" i="2"/>
  <c r="R136" i="2"/>
  <c r="X47" i="2"/>
  <c r="R37" i="2"/>
  <c r="N121" i="2"/>
  <c r="V94" i="2"/>
  <c r="T94" i="2" s="1"/>
  <c r="R67" i="2"/>
  <c r="N79" i="2"/>
  <c r="V50" i="2"/>
  <c r="T50" i="2" s="1"/>
  <c r="L67" i="2"/>
  <c r="J67" i="2" s="1"/>
  <c r="W67" i="2"/>
  <c r="N55" i="2"/>
  <c r="Q143" i="2"/>
  <c r="O143" i="2" s="1"/>
  <c r="X44" i="2"/>
  <c r="R45" i="2"/>
  <c r="N65" i="2"/>
  <c r="X98" i="2"/>
  <c r="M142" i="2"/>
  <c r="X143" i="2"/>
  <c r="M86" i="2"/>
  <c r="S134" i="2"/>
  <c r="V88" i="2"/>
  <c r="T88" i="2" s="1"/>
  <c r="M96" i="2"/>
  <c r="S76" i="2"/>
  <c r="N115" i="2"/>
  <c r="Q64" i="2"/>
  <c r="O64" i="2" s="1"/>
  <c r="W144" i="2"/>
  <c r="S52" i="2"/>
  <c r="L144" i="2"/>
  <c r="J144" i="2" s="1"/>
  <c r="X41" i="2"/>
  <c r="M94" i="2"/>
  <c r="S62" i="2"/>
  <c r="L50" i="2"/>
  <c r="J50" i="2" s="1"/>
  <c r="M7" i="2"/>
  <c r="X45" i="2"/>
  <c r="M123" i="2"/>
  <c r="S147" i="2"/>
  <c r="V150" i="2"/>
  <c r="T150" i="2" s="1"/>
  <c r="R117" i="2"/>
  <c r="W31" i="2"/>
  <c r="S116" i="2"/>
  <c r="L89" i="2"/>
  <c r="J89" i="2" s="1"/>
  <c r="W121" i="2"/>
  <c r="N109" i="2"/>
  <c r="Q130" i="2"/>
  <c r="O130" i="2" s="1"/>
  <c r="X90" i="2"/>
  <c r="M99" i="2"/>
  <c r="V75" i="2"/>
  <c r="T75" i="2" s="1"/>
  <c r="L87" i="2"/>
  <c r="R4" i="2"/>
  <c r="X52" i="2"/>
  <c r="R128" i="2"/>
  <c r="N141" i="2"/>
  <c r="V34" i="2"/>
  <c r="T34" i="2" s="1"/>
  <c r="M130" i="2"/>
  <c r="W127" i="2"/>
  <c r="N22" i="2"/>
  <c r="Q90" i="2"/>
  <c r="O90" i="2" s="1"/>
  <c r="W72" i="2"/>
  <c r="S114" i="2"/>
  <c r="Q23" i="2"/>
  <c r="O23" i="2" s="1"/>
  <c r="L147" i="2"/>
  <c r="J147" i="2" s="1"/>
  <c r="R100" i="2"/>
  <c r="V17" i="2"/>
  <c r="T17" i="2" s="1"/>
  <c r="Q84" i="2"/>
  <c r="O84" i="2" s="1"/>
  <c r="M29" i="2"/>
  <c r="X81" i="2"/>
  <c r="M30" i="2"/>
  <c r="S138" i="2"/>
  <c r="T104" i="2" l="1"/>
  <c r="T8" i="2"/>
  <c r="T46" i="2"/>
  <c r="T70" i="2"/>
  <c r="T13" i="2"/>
  <c r="T40" i="2"/>
  <c r="T142" i="2"/>
  <c r="T131" i="2"/>
  <c r="O91" i="2"/>
  <c r="T42" i="2"/>
  <c r="T33" i="2"/>
  <c r="T14" i="2"/>
  <c r="T145" i="2"/>
  <c r="T68" i="2"/>
  <c r="T105" i="2"/>
  <c r="T136" i="2"/>
  <c r="T63" i="2"/>
  <c r="J107" i="2"/>
  <c r="T146" i="2"/>
  <c r="T101" i="2"/>
  <c r="T31" i="2"/>
  <c r="T41" i="2"/>
  <c r="T44" i="2"/>
  <c r="T120" i="2"/>
  <c r="T135" i="2"/>
  <c r="T39" i="2"/>
  <c r="J87" i="2"/>
  <c r="J51" i="2"/>
  <c r="T30" i="2"/>
  <c r="T130" i="2"/>
  <c r="T84" i="2"/>
  <c r="T74" i="2"/>
  <c r="T93" i="2"/>
  <c r="T99" i="2"/>
  <c r="O12" i="2"/>
  <c r="J15" i="2"/>
  <c r="J10" i="2"/>
  <c r="O113" i="2"/>
  <c r="J135" i="2"/>
  <c r="J130" i="2"/>
  <c r="O100" i="2"/>
  <c r="J99" i="2"/>
  <c r="J4" i="2"/>
  <c r="O86" i="2"/>
  <c r="O7" i="2"/>
  <c r="J132" i="2"/>
  <c r="O109" i="2"/>
  <c r="O99" i="2"/>
  <c r="J92" i="2"/>
  <c r="O38" i="2"/>
  <c r="O63" i="2"/>
  <c r="O146" i="2"/>
  <c r="T97" i="2"/>
  <c r="T116" i="2"/>
  <c r="T20" i="2"/>
  <c r="T149" i="2"/>
  <c r="T111" i="2"/>
  <c r="T15" i="2"/>
  <c r="O133" i="2"/>
  <c r="J110" i="2"/>
  <c r="O16" i="2"/>
  <c r="O37" i="2"/>
  <c r="J83" i="2"/>
  <c r="O31" i="2"/>
  <c r="J20" i="2"/>
  <c r="J40" i="2"/>
  <c r="O15" i="2"/>
  <c r="O144" i="2"/>
  <c r="T82" i="2"/>
  <c r="T102" i="2"/>
  <c r="J126" i="2"/>
  <c r="J63" i="2"/>
  <c r="T66" i="2"/>
  <c r="T53" i="2"/>
  <c r="T3" i="2"/>
  <c r="O138" i="2"/>
  <c r="J141" i="2"/>
  <c r="O147" i="2"/>
  <c r="O134" i="2"/>
  <c r="J121" i="2"/>
  <c r="J94" i="2"/>
  <c r="O101" i="2"/>
  <c r="J84" i="2"/>
  <c r="T110" i="2"/>
  <c r="O93" i="2"/>
  <c r="J76" i="2"/>
  <c r="O79" i="2"/>
  <c r="O50" i="2"/>
  <c r="J53" i="2"/>
  <c r="O76" i="2"/>
  <c r="J98" i="2"/>
  <c r="T55" i="2"/>
  <c r="O13" i="2"/>
  <c r="O82" i="2"/>
  <c r="O135" i="2"/>
  <c r="T10" i="2"/>
  <c r="T81" i="2"/>
  <c r="T52" i="2"/>
  <c r="J18" i="2"/>
  <c r="T61" i="2"/>
  <c r="T48" i="2"/>
  <c r="T21" i="2"/>
  <c r="T139" i="2"/>
  <c r="T43" i="2"/>
  <c r="O117" i="2"/>
  <c r="J96" i="2"/>
  <c r="T26" i="2"/>
  <c r="T106" i="2"/>
  <c r="J30" i="2"/>
  <c r="O43" i="2"/>
  <c r="J133" i="2"/>
  <c r="J82" i="2"/>
  <c r="J116" i="2"/>
  <c r="J112" i="2"/>
  <c r="J136" i="2"/>
  <c r="J31" i="2"/>
  <c r="O97" i="2"/>
  <c r="T59" i="2"/>
  <c r="T23" i="2"/>
  <c r="J46" i="2"/>
  <c r="T36" i="2"/>
  <c r="T38" i="2"/>
  <c r="T125" i="2"/>
  <c r="J79" i="2"/>
  <c r="J54" i="2"/>
  <c r="J12" i="2"/>
  <c r="O104" i="2"/>
  <c r="T72" i="2"/>
  <c r="T45" i="2"/>
  <c r="T143" i="2"/>
  <c r="T47" i="2"/>
  <c r="O114" i="2"/>
  <c r="J109" i="2"/>
  <c r="O52" i="2"/>
  <c r="J55" i="2"/>
  <c r="O2" i="2"/>
  <c r="O119" i="2"/>
  <c r="J129" i="2"/>
  <c r="J32" i="2"/>
  <c r="O10" i="2"/>
  <c r="O3" i="2"/>
  <c r="O67" i="2"/>
  <c r="O6" i="2"/>
  <c r="J9" i="2"/>
  <c r="O123" i="2"/>
  <c r="T37" i="2"/>
  <c r="T100" i="2"/>
  <c r="O51" i="2"/>
  <c r="J61" i="2"/>
  <c r="O22" i="2"/>
  <c r="J17" i="2"/>
  <c r="O145" i="2"/>
  <c r="J103" i="2"/>
  <c r="T137" i="2"/>
  <c r="J131" i="2"/>
  <c r="J77" i="2"/>
  <c r="O14" i="2"/>
  <c r="O60" i="2"/>
  <c r="T80" i="2"/>
  <c r="O151" i="2"/>
  <c r="O35" i="2"/>
  <c r="J56" i="2"/>
  <c r="J60" i="2"/>
  <c r="O70" i="2"/>
  <c r="T64" i="2"/>
  <c r="T67" i="2"/>
  <c r="T107" i="2"/>
  <c r="T11" i="2"/>
  <c r="O94" i="2"/>
  <c r="O108" i="2"/>
  <c r="J93" i="2"/>
  <c r="O68" i="2"/>
  <c r="J102" i="2"/>
  <c r="J71" i="2"/>
  <c r="O85" i="2"/>
  <c r="J66" i="2"/>
  <c r="J68" i="2"/>
  <c r="O49" i="2"/>
  <c r="O71" i="2"/>
  <c r="O105" i="2"/>
  <c r="O127" i="2"/>
  <c r="J88" i="2"/>
  <c r="O66" i="2"/>
  <c r="O59" i="2"/>
  <c r="J69" i="2"/>
  <c r="T76" i="2"/>
  <c r="T141" i="2"/>
  <c r="T4" i="2"/>
  <c r="T77" i="2"/>
  <c r="T95" i="2"/>
  <c r="T2" i="2"/>
  <c r="O65" i="2"/>
  <c r="O87" i="2"/>
  <c r="J48" i="2"/>
  <c r="O58" i="2"/>
  <c r="J25" i="2"/>
  <c r="J39" i="2"/>
  <c r="O148" i="2"/>
  <c r="J34" i="2"/>
  <c r="J3" i="2"/>
  <c r="J149" i="2"/>
  <c r="J148" i="2"/>
  <c r="O88" i="2"/>
  <c r="J122" i="2"/>
  <c r="J91" i="2"/>
  <c r="O73" i="2"/>
  <c r="T73" i="2"/>
  <c r="O129" i="2"/>
  <c r="J80" i="2"/>
  <c r="J64" i="2"/>
  <c r="O131" i="2"/>
  <c r="O74" i="2"/>
  <c r="O30" i="2"/>
  <c r="J145" i="2"/>
  <c r="J19" i="2"/>
  <c r="T96" i="2"/>
  <c r="J146" i="2"/>
  <c r="O128" i="2"/>
  <c r="T140" i="2"/>
  <c r="O5" i="2"/>
  <c r="T123" i="2"/>
  <c r="O57" i="2"/>
  <c r="T144" i="2"/>
  <c r="T98" i="2"/>
  <c r="T85" i="2"/>
  <c r="T112" i="2"/>
  <c r="T16" i="2"/>
  <c r="T133" i="2"/>
  <c r="T22" i="2"/>
  <c r="T86" i="2"/>
  <c r="T9" i="2"/>
  <c r="T71" i="2"/>
  <c r="O62" i="2"/>
  <c r="J65" i="2"/>
  <c r="O40" i="2"/>
  <c r="J43" i="2"/>
  <c r="T78" i="2"/>
  <c r="T69" i="2"/>
  <c r="T108" i="2"/>
  <c r="T12" i="2"/>
  <c r="T117" i="2"/>
  <c r="T103" i="2"/>
  <c r="O54" i="2"/>
  <c r="J117" i="2"/>
  <c r="T5" i="2"/>
  <c r="T29" i="2"/>
  <c r="O29" i="2"/>
  <c r="O36" i="2"/>
  <c r="T132" i="2"/>
  <c r="O83" i="2"/>
  <c r="J11" i="2"/>
  <c r="J125" i="2"/>
  <c r="T54" i="2"/>
  <c r="T92" i="2"/>
  <c r="T60" i="2"/>
  <c r="O110" i="2"/>
  <c r="J85" i="2"/>
  <c r="O32" i="2"/>
  <c r="T121" i="2"/>
  <c r="T127" i="2"/>
  <c r="T138" i="2"/>
  <c r="T109" i="2"/>
  <c r="J29" i="2"/>
  <c r="O41" i="2"/>
  <c r="J24" i="2"/>
  <c r="T56" i="2"/>
  <c r="T57" i="2"/>
  <c r="J104" i="2"/>
  <c r="O107" i="2"/>
  <c r="J23" i="2"/>
  <c r="T134" i="2"/>
  <c r="O8" i="2"/>
  <c r="J57" i="2"/>
  <c r="T49" i="2"/>
  <c r="O77" i="2"/>
  <c r="J26" i="2"/>
  <c r="T151" i="2"/>
  <c r="O27" i="2"/>
  <c r="J119" i="2"/>
  <c r="J22" i="2"/>
  <c r="O116" i="2"/>
  <c r="J115" i="2"/>
  <c r="T90" i="2"/>
  <c r="T124" i="2"/>
  <c r="T24" i="2"/>
  <c r="T62" i="2"/>
  <c r="T115" i="2"/>
  <c r="T19" i="2"/>
  <c r="O4" i="2"/>
  <c r="J7" i="2"/>
  <c r="J142" i="2"/>
  <c r="O136" i="2"/>
  <c r="J90" i="2"/>
  <c r="J150" i="2"/>
  <c r="T25" i="2"/>
  <c r="T79" i="2"/>
  <c r="T147" i="2"/>
  <c r="T51" i="2"/>
  <c r="O150" i="2"/>
  <c r="J143" i="2"/>
  <c r="J138" i="2"/>
  <c r="O125" i="2"/>
  <c r="J38" i="2"/>
  <c r="O21" i="2"/>
  <c r="O78" i="2"/>
  <c r="J81" i="2"/>
  <c r="O24" i="2"/>
  <c r="J27" i="2"/>
  <c r="J137" i="2"/>
  <c r="O80" i="2"/>
  <c r="J5" i="2"/>
  <c r="T118" i="2"/>
  <c r="T7" i="2"/>
  <c r="T119" i="2"/>
  <c r="O111" i="2"/>
  <c r="J6" i="2"/>
  <c r="T18" i="2"/>
  <c r="O124" i="2"/>
  <c r="J123" i="2"/>
  <c r="J73" i="2"/>
  <c r="O20" i="2"/>
  <c r="T89" i="2"/>
  <c r="T65" i="2"/>
  <c r="J13" i="2"/>
  <c r="J86" i="2"/>
  <c r="O137" i="2"/>
  <c r="J120" i="2"/>
  <c r="O142" i="2"/>
  <c r="AB3" i="2" l="1"/>
  <c r="AB5" i="2"/>
  <c r="AB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<sst xmlns="http://schemas.openxmlformats.org/spreadsheetml/2006/main" count="762" uniqueCount="54">
  <si>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</si>
  <si>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</si>
  <si>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</si>
  <si>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</si>
  <si>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</si>
  <si>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</si>
  <si>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</si>
  <si>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</si>
  <si>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Macierz Kowariancji (setosa)</t>
  </si>
  <si>
    <t>pl</t>
  </si>
  <si>
    <t>pw</t>
  </si>
  <si>
    <t>śr</t>
  </si>
  <si>
    <t>min</t>
  </si>
  <si>
    <t>max</t>
  </si>
  <si>
    <t>n</t>
  </si>
  <si>
    <t>sl</t>
  </si>
  <si>
    <t>sw</t>
  </si>
  <si>
    <t>pstwo a'priori</t>
  </si>
  <si>
    <t>Macierz Kowariancji (versicolor)</t>
  </si>
  <si>
    <t>Skuteczność algorytmów</t>
  </si>
  <si>
    <t>prognoza(4w)</t>
  </si>
  <si>
    <t>G_X(4w)</t>
  </si>
  <si>
    <t>p1(4w)</t>
  </si>
  <si>
    <t>p2(4w)</t>
  </si>
  <si>
    <t>p3(4w)</t>
  </si>
  <si>
    <t>prognoza(2w)</t>
  </si>
  <si>
    <t>G_X(2w)</t>
  </si>
  <si>
    <t>p1(2w)</t>
  </si>
  <si>
    <t>p2(2w)</t>
  </si>
  <si>
    <t>p3(2w)</t>
  </si>
  <si>
    <t>Macierz Kowariancji (uśredniona)</t>
  </si>
  <si>
    <t>4-wymiarowego QDA</t>
  </si>
  <si>
    <t>2-wymiarowego LDA</t>
  </si>
  <si>
    <t>4-wymiarowego LDA</t>
  </si>
  <si>
    <t>2-wymiarowego QDA</t>
  </si>
  <si>
    <t>Colour</t>
  </si>
  <si>
    <t>Szum_pl</t>
  </si>
  <si>
    <t>Szum_pw</t>
  </si>
  <si>
    <t>blue</t>
  </si>
  <si>
    <t>violet</t>
  </si>
  <si>
    <t>white</t>
  </si>
  <si>
    <t>yellow</t>
  </si>
  <si>
    <t>Etykiety wierszy</t>
  </si>
  <si>
    <t>Suma końcowa</t>
  </si>
  <si>
    <t>Etykiety kolumn</t>
  </si>
  <si>
    <t>Liczba z Species</t>
  </si>
  <si>
    <t>prognoza(col)</t>
  </si>
  <si>
    <t>G_X(col)</t>
  </si>
  <si>
    <t>p1(col)</t>
  </si>
  <si>
    <t>p2(col)</t>
  </si>
  <si>
    <t>p3(col)</t>
  </si>
  <si>
    <t>2-wymiarowego LDA(col)</t>
  </si>
  <si>
    <t>WAŻNE!</t>
  </si>
  <si>
    <t> Estymatorem wartości oczekiwanej rozkładu cechy w populacji jest średnia arytmetyczna!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</si>
</sst>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000"/>
  </numFmts>
  <fonts count="19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i/>
      <sz val="11"/>
      <name val="Arial"/>
      <family val="2"/>
      <charset val="238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A568D2"/>
        <bgColor indexed="64"/>
      </patternFill>
    </fill>
  </fills>
  <borders count="7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rgb="FF7F7F7F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rgb="FF7F7F7F"/>
      </right>
      <top/>
      <bottom style="double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 style="thin">
        <color rgb="FF3F3F3F"/>
      </top>
      <bottom/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 style="thin">
        <color rgb="FF3F3F3F"/>
      </top>
      <bottom style="medium">
        <color indexed="64"/>
      </bottom>
      <diagonal/>
    </border>
    <border>
      <left/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12">
    <xf numFmtId="0" fontId="0" fillId="0" borderId="0" xfId="0"/>
    <xf numFmtId="0" fontId="0" fillId="0" borderId="0" xfId="0" applyNumberFormat="1"/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applyBorder="1" applyAlignment="1">
      <alignment horizontal="center"/>
    </xf>
    <xf numFmtId="0" fontId="9" fillId="5" borderId="0" xfId="9" applyBorder="1" applyAlignment="1">
      <alignment horizontal="center"/>
    </xf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1" fillId="27" borderId="0" xfId="36" applyBorder="1" applyAlignment="1">
      <alignment horizontal="center"/>
    </xf>
    <xf numFmtId="0" fontId="1" fillId="23" borderId="25" xfId="32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1" fillId="27" borderId="27" xfId="36" applyBorder="1" applyAlignment="1">
      <alignment horizontal="center"/>
    </xf>
    <xf numFmtId="0" fontId="1" fillId="23" borderId="28" xfId="32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10" fillId="6" borderId="5" xfId="10" applyNumberFormat="1" applyAlignment="1">
      <alignment horizontal="center"/>
    </xf>
    <xf numFmtId="0" fontId="5" fillId="0" borderId="30" xfId="5" applyBorder="1" applyAlignment="1">
      <alignment horizontal="center"/>
    </xf>
    <xf numFmtId="0" fontId="5" fillId="0" borderId="18" xfId="5" applyBorder="1" applyAlignment="1">
      <alignment horizontal="center"/>
    </xf>
    <xf numFmtId="0" fontId="0" fillId="0" borderId="0" xfId="0" applyAlignment="1">
      <alignment horizontal="center"/>
    </xf>
    <xf numFmtId="0" fontId="9" fillId="5" borderId="4" xfId="9" applyAlignment="1">
      <alignment horizontal="center"/>
    </xf>
    <xf numFmtId="0" fontId="10" fillId="6" borderId="38" xfId="10" applyNumberFormat="1" applyBorder="1" applyAlignment="1">
      <alignment horizontal="center"/>
    </xf>
    <xf numFmtId="0" fontId="0" fillId="0" borderId="15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9" fillId="5" borderId="40" xfId="9" applyBorder="1" applyAlignment="1">
      <alignment horizontal="center"/>
    </xf>
    <xf numFmtId="0" fontId="9" fillId="5" borderId="41" xfId="9" applyBorder="1" applyAlignment="1">
      <alignment horizontal="center"/>
    </xf>
    <xf numFmtId="0" fontId="9" fillId="5" borderId="42" xfId="9" applyBorder="1" applyAlignment="1">
      <alignment horizontal="center"/>
    </xf>
    <xf numFmtId="0" fontId="1" fillId="27" borderId="23" xfId="36" applyBorder="1" applyAlignment="1">
      <alignment horizontal="center"/>
    </xf>
    <xf numFmtId="0" fontId="1" fillId="23" borderId="43" xfId="32" applyBorder="1" applyAlignment="1">
      <alignment horizontal="center"/>
    </xf>
    <xf numFmtId="0" fontId="5" fillId="0" borderId="0" xfId="5" applyBorder="1" applyAlignment="1">
      <alignment horizontal="center"/>
    </xf>
    <xf numFmtId="0" fontId="5" fillId="0" borderId="23" xfId="5" applyBorder="1" applyAlignment="1">
      <alignment horizontal="center"/>
    </xf>
    <xf numFmtId="0" fontId="5" fillId="0" borderId="43" xfId="5" applyBorder="1" applyAlignment="1">
      <alignment horizontal="center"/>
    </xf>
    <xf numFmtId="0" fontId="5" fillId="0" borderId="24" xfId="5" applyBorder="1" applyAlignment="1">
      <alignment horizontal="center"/>
    </xf>
    <xf numFmtId="0" fontId="5" fillId="0" borderId="25" xfId="5" applyBorder="1" applyAlignment="1">
      <alignment horizontal="center"/>
    </xf>
    <xf numFmtId="0" fontId="5" fillId="0" borderId="26" xfId="5" applyBorder="1" applyAlignment="1">
      <alignment horizontal="center"/>
    </xf>
    <xf numFmtId="0" fontId="5" fillId="0" borderId="27" xfId="5" applyBorder="1" applyAlignment="1">
      <alignment horizontal="center"/>
    </xf>
    <xf numFmtId="0" fontId="5" fillId="0" borderId="28" xfId="5" applyBorder="1" applyAlignment="1">
      <alignment horizontal="center"/>
    </xf>
    <xf numFmtId="0" fontId="5" fillId="0" borderId="31" xfId="5" applyBorder="1" applyAlignment="1">
      <alignment horizontal="center"/>
    </xf>
    <xf numFmtId="0" fontId="5" fillId="0" borderId="32" xfId="5" applyBorder="1" applyAlignment="1">
      <alignment horizontal="center"/>
    </xf>
    <xf numFmtId="0" fontId="5" fillId="0" borderId="33" xfId="5" applyBorder="1" applyAlignment="1">
      <alignment horizontal="center"/>
    </xf>
    <xf numFmtId="0" fontId="11" fillId="6" borderId="4" xfId="11" applyAlignment="1">
      <alignment horizontal="center"/>
    </xf>
    <xf numFmtId="0" fontId="11" fillId="6" borderId="44" xfId="11" applyBorder="1" applyAlignment="1">
      <alignment horizontal="center"/>
    </xf>
    <xf numFmtId="0" fontId="0" fillId="0" borderId="0" xfId="0" applyBorder="1"/>
    <xf numFmtId="0" fontId="0" fillId="0" borderId="47" xfId="0" applyBorder="1" applyAlignment="1">
      <alignment horizontal="center"/>
    </xf>
    <xf numFmtId="0" fontId="0" fillId="0" borderId="17" xfId="0" applyBorder="1" applyAlignment="1">
      <alignment horizontal="right"/>
    </xf>
    <xf numFmtId="0" fontId="0" fillId="0" borderId="46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8" xfId="0" applyBorder="1" applyAlignment="1">
      <alignment horizontal="center"/>
    </xf>
    <xf numFmtId="164" fontId="11" fillId="6" borderId="11" xfId="42" applyNumberFormat="1" applyFont="1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8" xfId="0" applyBorder="1" applyAlignment="1">
      <alignment horizontal="center"/>
    </xf>
    <xf numFmtId="0" fontId="9" fillId="5" borderId="4" xfId="9" applyBorder="1" applyAlignment="1">
      <alignment horizontal="center"/>
    </xf>
    <xf numFmtId="0" fontId="9" fillId="5" borderId="54" xfId="9" applyBorder="1" applyAlignment="1">
      <alignment horizontal="center"/>
    </xf>
    <xf numFmtId="165" fontId="9" fillId="5" borderId="53" xfId="9" applyNumberFormat="1" applyBorder="1" applyAlignment="1">
      <alignment horizontal="center"/>
    </xf>
    <xf numFmtId="165" fontId="9" fillId="5" borderId="52" xfId="9" applyNumberFormat="1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5" fillId="0" borderId="64" xfId="5" applyBorder="1" applyAlignment="1">
      <alignment horizontal="center"/>
    </xf>
    <xf numFmtId="0" fontId="5" fillId="0" borderId="65" xfId="5" applyBorder="1" applyAlignment="1">
      <alignment horizontal="center"/>
    </xf>
    <xf numFmtId="0" fontId="0" fillId="0" borderId="14" xfId="0" applyBorder="1" applyAlignment="1">
      <alignment horizontal="center"/>
    </xf>
    <xf numFmtId="0" fontId="5" fillId="0" borderId="67" xfId="5" applyBorder="1" applyAlignment="1">
      <alignment horizontal="center"/>
    </xf>
    <xf numFmtId="0" fontId="5" fillId="0" borderId="60" xfId="5" applyBorder="1" applyAlignment="1">
      <alignment horizontal="center"/>
    </xf>
    <xf numFmtId="0" fontId="5" fillId="0" borderId="59" xfId="5" applyBorder="1" applyAlignment="1">
      <alignment horizontal="center"/>
    </xf>
    <xf numFmtId="0" fontId="5" fillId="0" borderId="68" xfId="5" applyBorder="1" applyAlignment="1">
      <alignment horizontal="center"/>
    </xf>
    <xf numFmtId="10" fontId="11" fillId="6" borderId="11" xfId="42" applyNumberFormat="1" applyFont="1" applyFill="1" applyBorder="1" applyAlignment="1">
      <alignment horizontal="center"/>
    </xf>
    <xf numFmtId="0" fontId="5" fillId="0" borderId="20" xfId="5" applyBorder="1" applyAlignment="1">
      <alignment horizontal="center"/>
    </xf>
    <xf numFmtId="0" fontId="5" fillId="0" borderId="21" xfId="5" applyBorder="1" applyAlignment="1">
      <alignment horizontal="center"/>
    </xf>
    <xf numFmtId="0" fontId="11" fillId="6" borderId="69" xfId="11" applyBorder="1" applyAlignment="1">
      <alignment horizontal="center"/>
    </xf>
    <xf numFmtId="0" fontId="11" fillId="6" borderId="70" xfId="11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30" xfId="0" applyBorder="1" applyAlignment="1">
      <alignment horizontal="center"/>
    </xf>
    <xf numFmtId="0" fontId="5" fillId="0" borderId="12" xfId="5" applyBorder="1" applyAlignment="1">
      <alignment horizontal="center"/>
    </xf>
    <xf numFmtId="0" fontId="5" fillId="0" borderId="13" xfId="5" applyBorder="1" applyAlignment="1">
      <alignment horizontal="center"/>
    </xf>
    <xf numFmtId="0" fontId="5" fillId="0" borderId="14" xfId="5" applyBorder="1" applyAlignment="1">
      <alignment horizontal="center"/>
    </xf>
    <xf numFmtId="0" fontId="11" fillId="6" borderId="71" xfId="11" applyBorder="1" applyAlignment="1">
      <alignment horizontal="center"/>
    </xf>
    <xf numFmtId="0" fontId="5" fillId="6" borderId="39" xfId="5" applyFill="1" applyBorder="1" applyAlignment="1">
      <alignment horizontal="center"/>
    </xf>
    <xf numFmtId="0" fontId="11" fillId="6" borderId="11" xfId="11" applyBorder="1" applyAlignment="1">
      <alignment horizontal="center"/>
    </xf>
    <xf numFmtId="0" fontId="16" fillId="0" borderId="35" xfId="0" applyFont="1" applyBorder="1" applyAlignment="1">
      <alignment horizontal="center"/>
    </xf>
    <xf numFmtId="0" fontId="0" fillId="0" borderId="6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9" borderId="34" xfId="18" applyFont="1" applyBorder="1" applyAlignment="1">
      <alignment horizontal="center"/>
    </xf>
    <xf numFmtId="0" fontId="13" fillId="21" borderId="36" xfId="30" applyFont="1" applyBorder="1" applyAlignment="1">
      <alignment horizontal="center"/>
    </xf>
    <xf numFmtId="0" fontId="10" fillId="6" borderId="5" xfId="10" applyAlignment="1">
      <alignment horizontal="center"/>
    </xf>
    <xf numFmtId="0" fontId="5" fillId="0" borderId="37" xfId="5" applyBorder="1" applyAlignment="1">
      <alignment horizontal="center"/>
    </xf>
    <xf numFmtId="0" fontId="5" fillId="0" borderId="45" xfId="5" applyBorder="1" applyAlignment="1">
      <alignment horizontal="center"/>
    </xf>
    <xf numFmtId="0" fontId="5" fillId="0" borderId="51" xfId="5" applyBorder="1" applyAlignment="1">
      <alignment horizontal="center"/>
    </xf>
    <xf numFmtId="0" fontId="5" fillId="0" borderId="50" xfId="5" applyBorder="1" applyAlignment="1">
      <alignment horizontal="center"/>
    </xf>
    <xf numFmtId="0" fontId="5" fillId="0" borderId="49" xfId="5" applyBorder="1" applyAlignment="1">
      <alignment horizontal="center"/>
    </xf>
    <xf numFmtId="0" fontId="10" fillId="6" borderId="61" xfId="10" applyBorder="1" applyAlignment="1">
      <alignment horizontal="center"/>
    </xf>
    <xf numFmtId="0" fontId="10" fillId="6" borderId="55" xfId="10" applyBorder="1" applyAlignment="1">
      <alignment horizontal="center"/>
    </xf>
    <xf numFmtId="0" fontId="10" fillId="6" borderId="56" xfId="10" applyBorder="1" applyAlignment="1">
      <alignment horizontal="center"/>
    </xf>
    <xf numFmtId="0" fontId="10" fillId="6" borderId="57" xfId="10" applyBorder="1" applyAlignment="1">
      <alignment horizontal="center"/>
    </xf>
    <xf numFmtId="0" fontId="10" fillId="6" borderId="58" xfId="10" applyBorder="1" applyAlignment="1">
      <alignment horizontal="center"/>
    </xf>
    <xf numFmtId="0" fontId="10" fillId="6" borderId="72" xfId="10" applyBorder="1" applyAlignment="1">
      <alignment horizontal="center"/>
    </xf>
    <xf numFmtId="0" fontId="10" fillId="6" borderId="62" xfId="10" applyBorder="1" applyAlignment="1">
      <alignment horizontal="center"/>
    </xf>
    <xf numFmtId="0" fontId="10" fillId="6" borderId="63" xfId="10" applyBorder="1" applyAlignment="1">
      <alignment horizontal="center"/>
    </xf>
    <xf numFmtId="0" fontId="14" fillId="0" borderId="0" xfId="14" applyAlignment="1">
      <alignment horizontal="center"/>
    </xf>
    <xf numFmtId="0" fontId="18" fillId="0" borderId="0" xfId="0" applyFont="1"/>
  </cellXfs>
  <cellStyles count="43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Procentowy" xfId="42" builtinId="5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26">
    <dxf>
      <fill>
        <patternFill>
          <bgColor theme="8"/>
        </patternFill>
      </fill>
    </dxf>
    <dxf>
      <fill>
        <patternFill>
          <bgColor theme="5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 patternType="solid">
          <fgColor auto="1"/>
          <bgColor rgb="FFFF5050"/>
        </patternFill>
      </fill>
    </dxf>
    <dxf>
      <fill>
        <patternFill>
          <bgColor rgb="FFFF5050"/>
        </patternFill>
      </fill>
    </dxf>
    <dxf>
      <fill>
        <patternFill patternType="solid">
          <fgColor auto="1"/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 patternType="solid">
          <fgColor auto="1"/>
          <bgColor rgb="FFFF5050"/>
        </patternFill>
      </fill>
    </dxf>
    <dxf>
      <alignment horizontal="center"/>
    </dxf>
  </dxfs>
  <tableStyles count="0" defaultTableStyle="TableStyleMedium2" defaultPivotStyle="PivotStyleLight16"/>
  <colors>
    <mruColors>
      <color rgb="FFA568D2"/>
      <color rgb="FFFF5050"/>
      <color rgb="FFFF6161"/>
      <color rgb="FFFF7575"/>
      <color rgb="FFFF8B8B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QDA!$E$2</c:f>
              <c:strCache>
                <c:ptCount val="1"/>
                <c:pt idx="0">
                  <c:v>setosa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QDA!$C$2:$C$51</c:f>
              <c:numCache>
                <c:formatCode>General</c:formatCode>
                <c:ptCount val="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</c:numCache>
            </c:numRef>
          </c:xVal>
          <c:yVal>
            <c:numRef>
              <c:f>QDA!$D$2:$D$51</c:f>
              <c:numCache>
                <c:formatCode>General</c:formatCode>
                <c:ptCount val="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4-4F59-8567-D823A158CD81}"/>
            </c:ext>
          </c:extLst>
        </c:ser>
        <c:ser>
          <c:idx val="1"/>
          <c:order val="1"/>
          <c:tx>
            <c:strRef>
              <c:f>QDA!$E$52</c:f>
              <c:strCache>
                <c:ptCount val="1"/>
                <c:pt idx="0">
                  <c:v>versicolor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QDA!$C$52:$C$101</c:f>
              <c:numCache>
                <c:formatCode>General</c:formatCode>
                <c:ptCount val="50"/>
                <c:pt idx="0">
                  <c:v>4.7</c:v>
                </c:pt>
                <c:pt idx="1">
                  <c:v>4.5</c:v>
                </c:pt>
                <c:pt idx="2">
                  <c:v>4.9000000000000004</c:v>
                </c:pt>
                <c:pt idx="3">
                  <c:v>4</c:v>
                </c:pt>
                <c:pt idx="4">
                  <c:v>4.5999999999999996</c:v>
                </c:pt>
                <c:pt idx="5">
                  <c:v>4.5</c:v>
                </c:pt>
                <c:pt idx="6">
                  <c:v>4.7</c:v>
                </c:pt>
                <c:pt idx="7">
                  <c:v>3.3</c:v>
                </c:pt>
                <c:pt idx="8">
                  <c:v>4.5999999999999996</c:v>
                </c:pt>
                <c:pt idx="9">
                  <c:v>3.9</c:v>
                </c:pt>
                <c:pt idx="10">
                  <c:v>3.5</c:v>
                </c:pt>
                <c:pt idx="11">
                  <c:v>4.2</c:v>
                </c:pt>
                <c:pt idx="12">
                  <c:v>4</c:v>
                </c:pt>
                <c:pt idx="13">
                  <c:v>4.7</c:v>
                </c:pt>
                <c:pt idx="14">
                  <c:v>3.6</c:v>
                </c:pt>
                <c:pt idx="15">
                  <c:v>4.4000000000000004</c:v>
                </c:pt>
                <c:pt idx="16">
                  <c:v>4.5</c:v>
                </c:pt>
                <c:pt idx="17">
                  <c:v>4.0999999999999996</c:v>
                </c:pt>
                <c:pt idx="18">
                  <c:v>4.5</c:v>
                </c:pt>
                <c:pt idx="19">
                  <c:v>3.9</c:v>
                </c:pt>
                <c:pt idx="20">
                  <c:v>4.8</c:v>
                </c:pt>
                <c:pt idx="21">
                  <c:v>4</c:v>
                </c:pt>
                <c:pt idx="22">
                  <c:v>4.9000000000000004</c:v>
                </c:pt>
                <c:pt idx="23">
                  <c:v>4.7</c:v>
                </c:pt>
                <c:pt idx="24">
                  <c:v>4.3</c:v>
                </c:pt>
                <c:pt idx="25">
                  <c:v>4.4000000000000004</c:v>
                </c:pt>
                <c:pt idx="26">
                  <c:v>4.8</c:v>
                </c:pt>
                <c:pt idx="27">
                  <c:v>5</c:v>
                </c:pt>
                <c:pt idx="28">
                  <c:v>4.5</c:v>
                </c:pt>
                <c:pt idx="29">
                  <c:v>3.5</c:v>
                </c:pt>
                <c:pt idx="30">
                  <c:v>3.8</c:v>
                </c:pt>
                <c:pt idx="31">
                  <c:v>3.7</c:v>
                </c:pt>
                <c:pt idx="32">
                  <c:v>3.9</c:v>
                </c:pt>
                <c:pt idx="33">
                  <c:v>5.0999999999999996</c:v>
                </c:pt>
                <c:pt idx="34">
                  <c:v>4.5</c:v>
                </c:pt>
                <c:pt idx="35">
                  <c:v>4.5</c:v>
                </c:pt>
                <c:pt idx="36">
                  <c:v>4.7</c:v>
                </c:pt>
                <c:pt idx="37">
                  <c:v>4.4000000000000004</c:v>
                </c:pt>
                <c:pt idx="38">
                  <c:v>4.0999999999999996</c:v>
                </c:pt>
                <c:pt idx="39">
                  <c:v>4</c:v>
                </c:pt>
                <c:pt idx="40">
                  <c:v>4.4000000000000004</c:v>
                </c:pt>
                <c:pt idx="41">
                  <c:v>4.5999999999999996</c:v>
                </c:pt>
                <c:pt idx="42">
                  <c:v>4</c:v>
                </c:pt>
                <c:pt idx="43">
                  <c:v>3.3</c:v>
                </c:pt>
                <c:pt idx="44">
                  <c:v>4.2</c:v>
                </c:pt>
                <c:pt idx="45">
                  <c:v>4.2</c:v>
                </c:pt>
                <c:pt idx="46">
                  <c:v>4.2</c:v>
                </c:pt>
                <c:pt idx="47">
                  <c:v>4.3</c:v>
                </c:pt>
                <c:pt idx="48">
                  <c:v>3</c:v>
                </c:pt>
                <c:pt idx="49">
                  <c:v>4.0999999999999996</c:v>
                </c:pt>
              </c:numCache>
            </c:numRef>
          </c:xVal>
          <c:yVal>
            <c:numRef>
              <c:f>QDA!$D$52:$D$101</c:f>
              <c:numCache>
                <c:formatCode>General</c:formatCode>
                <c:ptCount val="50"/>
                <c:pt idx="0">
                  <c:v>1.4</c:v>
                </c:pt>
                <c:pt idx="1">
                  <c:v>1.5</c:v>
                </c:pt>
                <c:pt idx="2">
                  <c:v>1.5</c:v>
                </c:pt>
                <c:pt idx="3">
                  <c:v>1.3</c:v>
                </c:pt>
                <c:pt idx="4">
                  <c:v>1.5</c:v>
                </c:pt>
                <c:pt idx="5">
                  <c:v>1.3</c:v>
                </c:pt>
                <c:pt idx="6">
                  <c:v>1.6</c:v>
                </c:pt>
                <c:pt idx="7">
                  <c:v>1</c:v>
                </c:pt>
                <c:pt idx="8">
                  <c:v>1.3</c:v>
                </c:pt>
                <c:pt idx="9">
                  <c:v>1.4</c:v>
                </c:pt>
                <c:pt idx="10">
                  <c:v>1</c:v>
                </c:pt>
                <c:pt idx="11">
                  <c:v>1.5</c:v>
                </c:pt>
                <c:pt idx="12">
                  <c:v>1</c:v>
                </c:pt>
                <c:pt idx="13">
                  <c:v>1.4</c:v>
                </c:pt>
                <c:pt idx="14">
                  <c:v>1.3</c:v>
                </c:pt>
                <c:pt idx="15">
                  <c:v>1.4</c:v>
                </c:pt>
                <c:pt idx="16">
                  <c:v>1.5</c:v>
                </c:pt>
                <c:pt idx="17">
                  <c:v>1</c:v>
                </c:pt>
                <c:pt idx="18">
                  <c:v>1.5</c:v>
                </c:pt>
                <c:pt idx="19">
                  <c:v>1.1000000000000001</c:v>
                </c:pt>
                <c:pt idx="20">
                  <c:v>1.8</c:v>
                </c:pt>
                <c:pt idx="21">
                  <c:v>1.3</c:v>
                </c:pt>
                <c:pt idx="22">
                  <c:v>1.5</c:v>
                </c:pt>
                <c:pt idx="23">
                  <c:v>1.2</c:v>
                </c:pt>
                <c:pt idx="24">
                  <c:v>1.3</c:v>
                </c:pt>
                <c:pt idx="25">
                  <c:v>1.4</c:v>
                </c:pt>
                <c:pt idx="26">
                  <c:v>1.4</c:v>
                </c:pt>
                <c:pt idx="27">
                  <c:v>1.7</c:v>
                </c:pt>
                <c:pt idx="28">
                  <c:v>1.5</c:v>
                </c:pt>
                <c:pt idx="29">
                  <c:v>1</c:v>
                </c:pt>
                <c:pt idx="30">
                  <c:v>1.1000000000000001</c:v>
                </c:pt>
                <c:pt idx="31">
                  <c:v>1</c:v>
                </c:pt>
                <c:pt idx="32">
                  <c:v>1.2</c:v>
                </c:pt>
                <c:pt idx="33">
                  <c:v>1.6</c:v>
                </c:pt>
                <c:pt idx="34">
                  <c:v>1.5</c:v>
                </c:pt>
                <c:pt idx="35">
                  <c:v>1.6</c:v>
                </c:pt>
                <c:pt idx="36">
                  <c:v>1.5</c:v>
                </c:pt>
                <c:pt idx="37">
                  <c:v>1.3</c:v>
                </c:pt>
                <c:pt idx="38">
                  <c:v>1.3</c:v>
                </c:pt>
                <c:pt idx="39">
                  <c:v>1.3</c:v>
                </c:pt>
                <c:pt idx="40">
                  <c:v>1.2</c:v>
                </c:pt>
                <c:pt idx="41">
                  <c:v>1.4</c:v>
                </c:pt>
                <c:pt idx="42">
                  <c:v>1.2</c:v>
                </c:pt>
                <c:pt idx="43">
                  <c:v>1</c:v>
                </c:pt>
                <c:pt idx="44">
                  <c:v>1.3</c:v>
                </c:pt>
                <c:pt idx="45">
                  <c:v>1.2</c:v>
                </c:pt>
                <c:pt idx="46">
                  <c:v>1.3</c:v>
                </c:pt>
                <c:pt idx="47">
                  <c:v>1.3</c:v>
                </c:pt>
                <c:pt idx="48">
                  <c:v>1.1000000000000001</c:v>
                </c:pt>
                <c:pt idx="49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14-4F59-8567-D823A158CD81}"/>
            </c:ext>
          </c:extLst>
        </c:ser>
        <c:ser>
          <c:idx val="2"/>
          <c:order val="2"/>
          <c:tx>
            <c:strRef>
              <c:f>QDA!$E$102</c:f>
              <c:strCache>
                <c:ptCount val="1"/>
                <c:pt idx="0">
                  <c:v>virginica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QDA!$C$102:$C$151</c:f>
              <c:numCache>
                <c:formatCode>General</c:formatCode>
                <c:ptCount val="50"/>
                <c:pt idx="0">
                  <c:v>6</c:v>
                </c:pt>
                <c:pt idx="1">
                  <c:v>5.0999999999999996</c:v>
                </c:pt>
                <c:pt idx="2">
                  <c:v>5.9</c:v>
                </c:pt>
                <c:pt idx="3">
                  <c:v>5.6</c:v>
                </c:pt>
                <c:pt idx="4">
                  <c:v>5.8</c:v>
                </c:pt>
                <c:pt idx="5">
                  <c:v>6.6</c:v>
                </c:pt>
                <c:pt idx="6">
                  <c:v>4.5</c:v>
                </c:pt>
                <c:pt idx="7">
                  <c:v>6.3</c:v>
                </c:pt>
                <c:pt idx="8">
                  <c:v>5.8</c:v>
                </c:pt>
                <c:pt idx="9">
                  <c:v>6.1</c:v>
                </c:pt>
                <c:pt idx="10">
                  <c:v>5.0999999999999996</c:v>
                </c:pt>
                <c:pt idx="11">
                  <c:v>5.3</c:v>
                </c:pt>
                <c:pt idx="12">
                  <c:v>5.5</c:v>
                </c:pt>
                <c:pt idx="13">
                  <c:v>5</c:v>
                </c:pt>
                <c:pt idx="14">
                  <c:v>5.0999999999999996</c:v>
                </c:pt>
                <c:pt idx="15">
                  <c:v>5.3</c:v>
                </c:pt>
                <c:pt idx="16">
                  <c:v>5.5</c:v>
                </c:pt>
                <c:pt idx="17">
                  <c:v>6.7</c:v>
                </c:pt>
                <c:pt idx="18">
                  <c:v>6.9</c:v>
                </c:pt>
                <c:pt idx="19">
                  <c:v>5</c:v>
                </c:pt>
                <c:pt idx="20">
                  <c:v>5.7</c:v>
                </c:pt>
                <c:pt idx="21">
                  <c:v>4.9000000000000004</c:v>
                </c:pt>
                <c:pt idx="22">
                  <c:v>6.7</c:v>
                </c:pt>
                <c:pt idx="23">
                  <c:v>4.9000000000000004</c:v>
                </c:pt>
                <c:pt idx="24">
                  <c:v>5.7</c:v>
                </c:pt>
                <c:pt idx="25">
                  <c:v>6</c:v>
                </c:pt>
                <c:pt idx="26">
                  <c:v>4.8</c:v>
                </c:pt>
                <c:pt idx="27">
                  <c:v>4.9000000000000004</c:v>
                </c:pt>
                <c:pt idx="28">
                  <c:v>5.6</c:v>
                </c:pt>
                <c:pt idx="29">
                  <c:v>5.8</c:v>
                </c:pt>
                <c:pt idx="30">
                  <c:v>6.1</c:v>
                </c:pt>
                <c:pt idx="31">
                  <c:v>6.4</c:v>
                </c:pt>
                <c:pt idx="32">
                  <c:v>5.6</c:v>
                </c:pt>
                <c:pt idx="33">
                  <c:v>5.0999999999999996</c:v>
                </c:pt>
                <c:pt idx="34">
                  <c:v>5.6</c:v>
                </c:pt>
                <c:pt idx="35">
                  <c:v>6.1</c:v>
                </c:pt>
                <c:pt idx="36">
                  <c:v>5.6</c:v>
                </c:pt>
                <c:pt idx="37">
                  <c:v>5.5</c:v>
                </c:pt>
                <c:pt idx="38">
                  <c:v>4.8</c:v>
                </c:pt>
                <c:pt idx="39">
                  <c:v>5.4</c:v>
                </c:pt>
                <c:pt idx="40">
                  <c:v>5.6</c:v>
                </c:pt>
                <c:pt idx="41">
                  <c:v>5.0999999999999996</c:v>
                </c:pt>
                <c:pt idx="42">
                  <c:v>5.0999999999999996</c:v>
                </c:pt>
                <c:pt idx="43">
                  <c:v>5.9</c:v>
                </c:pt>
                <c:pt idx="44">
                  <c:v>5.7</c:v>
                </c:pt>
                <c:pt idx="45">
                  <c:v>5.2</c:v>
                </c:pt>
                <c:pt idx="46">
                  <c:v>5</c:v>
                </c:pt>
                <c:pt idx="47">
                  <c:v>5.2</c:v>
                </c:pt>
                <c:pt idx="48">
                  <c:v>5.4</c:v>
                </c:pt>
                <c:pt idx="49">
                  <c:v>5.0999999999999996</c:v>
                </c:pt>
              </c:numCache>
            </c:numRef>
          </c:xVal>
          <c:yVal>
            <c:numRef>
              <c:f>QDA!$D$102:$D$151</c:f>
              <c:numCache>
                <c:formatCode>General</c:formatCode>
                <c:ptCount val="50"/>
                <c:pt idx="0">
                  <c:v>2.5</c:v>
                </c:pt>
                <c:pt idx="1">
                  <c:v>1.9</c:v>
                </c:pt>
                <c:pt idx="2">
                  <c:v>2.1</c:v>
                </c:pt>
                <c:pt idx="3">
                  <c:v>1.8</c:v>
                </c:pt>
                <c:pt idx="4">
                  <c:v>2.2000000000000002</c:v>
                </c:pt>
                <c:pt idx="5">
                  <c:v>2.1</c:v>
                </c:pt>
                <c:pt idx="6">
                  <c:v>1.7</c:v>
                </c:pt>
                <c:pt idx="7">
                  <c:v>1.8</c:v>
                </c:pt>
                <c:pt idx="8">
                  <c:v>1.8</c:v>
                </c:pt>
                <c:pt idx="9">
                  <c:v>2.5</c:v>
                </c:pt>
                <c:pt idx="10">
                  <c:v>2</c:v>
                </c:pt>
                <c:pt idx="11">
                  <c:v>1.9</c:v>
                </c:pt>
                <c:pt idx="12">
                  <c:v>2.1</c:v>
                </c:pt>
                <c:pt idx="13">
                  <c:v>2</c:v>
                </c:pt>
                <c:pt idx="14">
                  <c:v>2.4</c:v>
                </c:pt>
                <c:pt idx="15">
                  <c:v>2.2999999999999998</c:v>
                </c:pt>
                <c:pt idx="16">
                  <c:v>1.8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1.5</c:v>
                </c:pt>
                <c:pt idx="20">
                  <c:v>2.2999999999999998</c:v>
                </c:pt>
                <c:pt idx="21">
                  <c:v>2</c:v>
                </c:pt>
                <c:pt idx="22">
                  <c:v>2</c:v>
                </c:pt>
                <c:pt idx="23">
                  <c:v>1.8</c:v>
                </c:pt>
                <c:pt idx="24">
                  <c:v>2.1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2.1</c:v>
                </c:pt>
                <c:pt idx="29">
                  <c:v>1.6</c:v>
                </c:pt>
                <c:pt idx="30">
                  <c:v>1.9</c:v>
                </c:pt>
                <c:pt idx="31">
                  <c:v>2</c:v>
                </c:pt>
                <c:pt idx="32">
                  <c:v>2.2000000000000002</c:v>
                </c:pt>
                <c:pt idx="33">
                  <c:v>1.5</c:v>
                </c:pt>
                <c:pt idx="34">
                  <c:v>1.4</c:v>
                </c:pt>
                <c:pt idx="35">
                  <c:v>2.2999999999999998</c:v>
                </c:pt>
                <c:pt idx="36">
                  <c:v>2.4</c:v>
                </c:pt>
                <c:pt idx="37">
                  <c:v>1.8</c:v>
                </c:pt>
                <c:pt idx="38">
                  <c:v>1.8</c:v>
                </c:pt>
                <c:pt idx="39">
                  <c:v>2.1</c:v>
                </c:pt>
                <c:pt idx="40">
                  <c:v>2.4</c:v>
                </c:pt>
                <c:pt idx="41">
                  <c:v>2.2999999999999998</c:v>
                </c:pt>
                <c:pt idx="42">
                  <c:v>1.9</c:v>
                </c:pt>
                <c:pt idx="43">
                  <c:v>2.2999999999999998</c:v>
                </c:pt>
                <c:pt idx="44">
                  <c:v>2.5</c:v>
                </c:pt>
                <c:pt idx="45">
                  <c:v>2.2999999999999998</c:v>
                </c:pt>
                <c:pt idx="46">
                  <c:v>1.9</c:v>
                </c:pt>
                <c:pt idx="47">
                  <c:v>2</c:v>
                </c:pt>
                <c:pt idx="48">
                  <c:v>2.2999999999999998</c:v>
                </c:pt>
                <c:pt idx="49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14-4F59-8567-D823A158C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275376"/>
        <c:axId val="739461760"/>
      </c:scatterChart>
      <c:valAx>
        <c:axId val="41427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39461760"/>
        <c:crosses val="autoZero"/>
        <c:crossBetween val="midCat"/>
      </c:valAx>
      <c:valAx>
        <c:axId val="73946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14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irysy</a:t>
            </a:r>
            <a:r>
              <a:rPr lang="pl-PL" baseline="0"/>
              <a:t> - rozmiary płatków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LDA!$I$2</c:f>
              <c:strCache>
                <c:ptCount val="1"/>
                <c:pt idx="0">
                  <c:v>setosa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20193678095713541"/>
                  <c:y val="1.81921285028472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LDA!$C$2:$C$51</c:f>
              <c:numCache>
                <c:formatCode>General</c:formatCode>
                <c:ptCount val="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</c:numCache>
            </c:numRef>
          </c:xVal>
          <c:yVal>
            <c:numRef>
              <c:f>LDA!$D$2:$D$51</c:f>
              <c:numCache>
                <c:formatCode>General</c:formatCode>
                <c:ptCount val="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D-4025-A53A-A8B665ABB7E5}"/>
            </c:ext>
          </c:extLst>
        </c:ser>
        <c:ser>
          <c:idx val="1"/>
          <c:order val="1"/>
          <c:tx>
            <c:strRef>
              <c:f>LDA!$I$52</c:f>
              <c:strCache>
                <c:ptCount val="1"/>
                <c:pt idx="0">
                  <c:v>versicolor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4089287254078831"/>
                  <c:y val="9.169771971241252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LDA!$C$52:$C$101</c:f>
              <c:numCache>
                <c:formatCode>General</c:formatCode>
                <c:ptCount val="50"/>
                <c:pt idx="0">
                  <c:v>4.7</c:v>
                </c:pt>
                <c:pt idx="1">
                  <c:v>4.5</c:v>
                </c:pt>
                <c:pt idx="2">
                  <c:v>4.9000000000000004</c:v>
                </c:pt>
                <c:pt idx="3">
                  <c:v>4</c:v>
                </c:pt>
                <c:pt idx="4">
                  <c:v>4.5999999999999996</c:v>
                </c:pt>
                <c:pt idx="5">
                  <c:v>4.5</c:v>
                </c:pt>
                <c:pt idx="6">
                  <c:v>4.7</c:v>
                </c:pt>
                <c:pt idx="7">
                  <c:v>3.3</c:v>
                </c:pt>
                <c:pt idx="8">
                  <c:v>4.5999999999999996</c:v>
                </c:pt>
                <c:pt idx="9">
                  <c:v>3.9</c:v>
                </c:pt>
                <c:pt idx="10">
                  <c:v>3.5</c:v>
                </c:pt>
                <c:pt idx="11">
                  <c:v>4.2</c:v>
                </c:pt>
                <c:pt idx="12">
                  <c:v>4</c:v>
                </c:pt>
                <c:pt idx="13">
                  <c:v>4.7</c:v>
                </c:pt>
                <c:pt idx="14">
                  <c:v>3.6</c:v>
                </c:pt>
                <c:pt idx="15">
                  <c:v>4.4000000000000004</c:v>
                </c:pt>
                <c:pt idx="16">
                  <c:v>4.5</c:v>
                </c:pt>
                <c:pt idx="17">
                  <c:v>4.0999999999999996</c:v>
                </c:pt>
                <c:pt idx="18">
                  <c:v>4.5</c:v>
                </c:pt>
                <c:pt idx="19">
                  <c:v>3.9</c:v>
                </c:pt>
                <c:pt idx="20">
                  <c:v>4.8</c:v>
                </c:pt>
                <c:pt idx="21">
                  <c:v>4</c:v>
                </c:pt>
                <c:pt idx="22">
                  <c:v>4.9000000000000004</c:v>
                </c:pt>
                <c:pt idx="23">
                  <c:v>4.7</c:v>
                </c:pt>
                <c:pt idx="24">
                  <c:v>4.3</c:v>
                </c:pt>
                <c:pt idx="25">
                  <c:v>4.4000000000000004</c:v>
                </c:pt>
                <c:pt idx="26">
                  <c:v>4.8</c:v>
                </c:pt>
                <c:pt idx="27">
                  <c:v>5</c:v>
                </c:pt>
                <c:pt idx="28">
                  <c:v>4.5</c:v>
                </c:pt>
                <c:pt idx="29">
                  <c:v>3.5</c:v>
                </c:pt>
                <c:pt idx="30">
                  <c:v>3.8</c:v>
                </c:pt>
                <c:pt idx="31">
                  <c:v>3.7</c:v>
                </c:pt>
                <c:pt idx="32">
                  <c:v>3.9</c:v>
                </c:pt>
                <c:pt idx="33">
                  <c:v>5.0999999999999996</c:v>
                </c:pt>
                <c:pt idx="34">
                  <c:v>4.5</c:v>
                </c:pt>
                <c:pt idx="35">
                  <c:v>4.5</c:v>
                </c:pt>
                <c:pt idx="36">
                  <c:v>4.7</c:v>
                </c:pt>
                <c:pt idx="37">
                  <c:v>4.4000000000000004</c:v>
                </c:pt>
                <c:pt idx="38">
                  <c:v>4.0999999999999996</c:v>
                </c:pt>
                <c:pt idx="39">
                  <c:v>4</c:v>
                </c:pt>
                <c:pt idx="40">
                  <c:v>4.4000000000000004</c:v>
                </c:pt>
                <c:pt idx="41">
                  <c:v>4.5999999999999996</c:v>
                </c:pt>
                <c:pt idx="42">
                  <c:v>4</c:v>
                </c:pt>
                <c:pt idx="43">
                  <c:v>3.3</c:v>
                </c:pt>
                <c:pt idx="44">
                  <c:v>4.2</c:v>
                </c:pt>
                <c:pt idx="45">
                  <c:v>4.2</c:v>
                </c:pt>
                <c:pt idx="46">
                  <c:v>4.2</c:v>
                </c:pt>
                <c:pt idx="47">
                  <c:v>4.3</c:v>
                </c:pt>
                <c:pt idx="48">
                  <c:v>3</c:v>
                </c:pt>
                <c:pt idx="49">
                  <c:v>4.0999999999999996</c:v>
                </c:pt>
              </c:numCache>
            </c:numRef>
          </c:xVal>
          <c:yVal>
            <c:numRef>
              <c:f>LDA!$D$52:$D$101</c:f>
              <c:numCache>
                <c:formatCode>General</c:formatCode>
                <c:ptCount val="50"/>
                <c:pt idx="0">
                  <c:v>1.4</c:v>
                </c:pt>
                <c:pt idx="1">
                  <c:v>1.5</c:v>
                </c:pt>
                <c:pt idx="2">
                  <c:v>1.5</c:v>
                </c:pt>
                <c:pt idx="3">
                  <c:v>1.3</c:v>
                </c:pt>
                <c:pt idx="4">
                  <c:v>1.5</c:v>
                </c:pt>
                <c:pt idx="5">
                  <c:v>1.3</c:v>
                </c:pt>
                <c:pt idx="6">
                  <c:v>1.6</c:v>
                </c:pt>
                <c:pt idx="7">
                  <c:v>1</c:v>
                </c:pt>
                <c:pt idx="8">
                  <c:v>1.3</c:v>
                </c:pt>
                <c:pt idx="9">
                  <c:v>1.4</c:v>
                </c:pt>
                <c:pt idx="10">
                  <c:v>1</c:v>
                </c:pt>
                <c:pt idx="11">
                  <c:v>1.5</c:v>
                </c:pt>
                <c:pt idx="12">
                  <c:v>1</c:v>
                </c:pt>
                <c:pt idx="13">
                  <c:v>1.4</c:v>
                </c:pt>
                <c:pt idx="14">
                  <c:v>1.3</c:v>
                </c:pt>
                <c:pt idx="15">
                  <c:v>1.4</c:v>
                </c:pt>
                <c:pt idx="16">
                  <c:v>1.5</c:v>
                </c:pt>
                <c:pt idx="17">
                  <c:v>1</c:v>
                </c:pt>
                <c:pt idx="18">
                  <c:v>1.5</c:v>
                </c:pt>
                <c:pt idx="19">
                  <c:v>1.1000000000000001</c:v>
                </c:pt>
                <c:pt idx="20">
                  <c:v>1.8</c:v>
                </c:pt>
                <c:pt idx="21">
                  <c:v>1.3</c:v>
                </c:pt>
                <c:pt idx="22">
                  <c:v>1.5</c:v>
                </c:pt>
                <c:pt idx="23">
                  <c:v>1.2</c:v>
                </c:pt>
                <c:pt idx="24">
                  <c:v>1.3</c:v>
                </c:pt>
                <c:pt idx="25">
                  <c:v>1.4</c:v>
                </c:pt>
                <c:pt idx="26">
                  <c:v>1.4</c:v>
                </c:pt>
                <c:pt idx="27">
                  <c:v>1.7</c:v>
                </c:pt>
                <c:pt idx="28">
                  <c:v>1.5</c:v>
                </c:pt>
                <c:pt idx="29">
                  <c:v>1</c:v>
                </c:pt>
                <c:pt idx="30">
                  <c:v>1.1000000000000001</c:v>
                </c:pt>
                <c:pt idx="31">
                  <c:v>1</c:v>
                </c:pt>
                <c:pt idx="32">
                  <c:v>1.2</c:v>
                </c:pt>
                <c:pt idx="33">
                  <c:v>1.6</c:v>
                </c:pt>
                <c:pt idx="34">
                  <c:v>1.5</c:v>
                </c:pt>
                <c:pt idx="35">
                  <c:v>1.6</c:v>
                </c:pt>
                <c:pt idx="36">
                  <c:v>1.5</c:v>
                </c:pt>
                <c:pt idx="37">
                  <c:v>1.3</c:v>
                </c:pt>
                <c:pt idx="38">
                  <c:v>1.3</c:v>
                </c:pt>
                <c:pt idx="39">
                  <c:v>1.3</c:v>
                </c:pt>
                <c:pt idx="40">
                  <c:v>1.2</c:v>
                </c:pt>
                <c:pt idx="41">
                  <c:v>1.4</c:v>
                </c:pt>
                <c:pt idx="42">
                  <c:v>1.2</c:v>
                </c:pt>
                <c:pt idx="43">
                  <c:v>1</c:v>
                </c:pt>
                <c:pt idx="44">
                  <c:v>1.3</c:v>
                </c:pt>
                <c:pt idx="45">
                  <c:v>1.2</c:v>
                </c:pt>
                <c:pt idx="46">
                  <c:v>1.3</c:v>
                </c:pt>
                <c:pt idx="47">
                  <c:v>1.3</c:v>
                </c:pt>
                <c:pt idx="48">
                  <c:v>1.1000000000000001</c:v>
                </c:pt>
                <c:pt idx="49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DD-4025-A53A-A8B665ABB7E5}"/>
            </c:ext>
          </c:extLst>
        </c:ser>
        <c:ser>
          <c:idx val="2"/>
          <c:order val="2"/>
          <c:tx>
            <c:strRef>
              <c:f>LDA!$I$102</c:f>
              <c:strCache>
                <c:ptCount val="1"/>
                <c:pt idx="0">
                  <c:v>virginica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145848555674057"/>
                  <c:y val="-5.176153697486018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LDA!$C$102:$C$151</c:f>
              <c:numCache>
                <c:formatCode>General</c:formatCode>
                <c:ptCount val="50"/>
                <c:pt idx="0">
                  <c:v>6</c:v>
                </c:pt>
                <c:pt idx="1">
                  <c:v>5.0999999999999996</c:v>
                </c:pt>
                <c:pt idx="2">
                  <c:v>5.9</c:v>
                </c:pt>
                <c:pt idx="3">
                  <c:v>5.6</c:v>
                </c:pt>
                <c:pt idx="4">
                  <c:v>5.8</c:v>
                </c:pt>
                <c:pt idx="5">
                  <c:v>6.6</c:v>
                </c:pt>
                <c:pt idx="6">
                  <c:v>4.5</c:v>
                </c:pt>
                <c:pt idx="7">
                  <c:v>6.3</c:v>
                </c:pt>
                <c:pt idx="8">
                  <c:v>5.8</c:v>
                </c:pt>
                <c:pt idx="9">
                  <c:v>6.1</c:v>
                </c:pt>
                <c:pt idx="10">
                  <c:v>5.0999999999999996</c:v>
                </c:pt>
                <c:pt idx="11">
                  <c:v>5.3</c:v>
                </c:pt>
                <c:pt idx="12">
                  <c:v>5.5</c:v>
                </c:pt>
                <c:pt idx="13">
                  <c:v>5</c:v>
                </c:pt>
                <c:pt idx="14">
                  <c:v>5.0999999999999996</c:v>
                </c:pt>
                <c:pt idx="15">
                  <c:v>5.3</c:v>
                </c:pt>
                <c:pt idx="16">
                  <c:v>5.5</c:v>
                </c:pt>
                <c:pt idx="17">
                  <c:v>6.7</c:v>
                </c:pt>
                <c:pt idx="18">
                  <c:v>6.9</c:v>
                </c:pt>
                <c:pt idx="19">
                  <c:v>5</c:v>
                </c:pt>
                <c:pt idx="20">
                  <c:v>5.7</c:v>
                </c:pt>
                <c:pt idx="21">
                  <c:v>4.9000000000000004</c:v>
                </c:pt>
                <c:pt idx="22">
                  <c:v>6.7</c:v>
                </c:pt>
                <c:pt idx="23">
                  <c:v>4.9000000000000004</c:v>
                </c:pt>
                <c:pt idx="24">
                  <c:v>5.7</c:v>
                </c:pt>
                <c:pt idx="25">
                  <c:v>6</c:v>
                </c:pt>
                <c:pt idx="26">
                  <c:v>4.8</c:v>
                </c:pt>
                <c:pt idx="27">
                  <c:v>4.9000000000000004</c:v>
                </c:pt>
                <c:pt idx="28">
                  <c:v>5.6</c:v>
                </c:pt>
                <c:pt idx="29">
                  <c:v>5.8</c:v>
                </c:pt>
                <c:pt idx="30">
                  <c:v>6.1</c:v>
                </c:pt>
                <c:pt idx="31">
                  <c:v>6.4</c:v>
                </c:pt>
                <c:pt idx="32">
                  <c:v>5.6</c:v>
                </c:pt>
                <c:pt idx="33">
                  <c:v>5.0999999999999996</c:v>
                </c:pt>
                <c:pt idx="34">
                  <c:v>5.6</c:v>
                </c:pt>
                <c:pt idx="35">
                  <c:v>6.1</c:v>
                </c:pt>
                <c:pt idx="36">
                  <c:v>5.6</c:v>
                </c:pt>
                <c:pt idx="37">
                  <c:v>5.5</c:v>
                </c:pt>
                <c:pt idx="38">
                  <c:v>4.8</c:v>
                </c:pt>
                <c:pt idx="39">
                  <c:v>5.4</c:v>
                </c:pt>
                <c:pt idx="40">
                  <c:v>5.6</c:v>
                </c:pt>
                <c:pt idx="41">
                  <c:v>5.0999999999999996</c:v>
                </c:pt>
                <c:pt idx="42">
                  <c:v>5.0999999999999996</c:v>
                </c:pt>
                <c:pt idx="43">
                  <c:v>5.9</c:v>
                </c:pt>
                <c:pt idx="44">
                  <c:v>5.7</c:v>
                </c:pt>
                <c:pt idx="45">
                  <c:v>5.2</c:v>
                </c:pt>
                <c:pt idx="46">
                  <c:v>5</c:v>
                </c:pt>
                <c:pt idx="47">
                  <c:v>5.2</c:v>
                </c:pt>
                <c:pt idx="48">
                  <c:v>5.4</c:v>
                </c:pt>
                <c:pt idx="49">
                  <c:v>5.0999999999999996</c:v>
                </c:pt>
              </c:numCache>
            </c:numRef>
          </c:xVal>
          <c:yVal>
            <c:numRef>
              <c:f>LDA!$D$102:$D$151</c:f>
              <c:numCache>
                <c:formatCode>General</c:formatCode>
                <c:ptCount val="50"/>
                <c:pt idx="0">
                  <c:v>2.5</c:v>
                </c:pt>
                <c:pt idx="1">
                  <c:v>1.9</c:v>
                </c:pt>
                <c:pt idx="2">
                  <c:v>2.1</c:v>
                </c:pt>
                <c:pt idx="3">
                  <c:v>1.8</c:v>
                </c:pt>
                <c:pt idx="4">
                  <c:v>2.2000000000000002</c:v>
                </c:pt>
                <c:pt idx="5">
                  <c:v>2.1</c:v>
                </c:pt>
                <c:pt idx="6">
                  <c:v>1.7</c:v>
                </c:pt>
                <c:pt idx="7">
                  <c:v>1.8</c:v>
                </c:pt>
                <c:pt idx="8">
                  <c:v>1.8</c:v>
                </c:pt>
                <c:pt idx="9">
                  <c:v>2.5</c:v>
                </c:pt>
                <c:pt idx="10">
                  <c:v>2</c:v>
                </c:pt>
                <c:pt idx="11">
                  <c:v>1.9</c:v>
                </c:pt>
                <c:pt idx="12">
                  <c:v>2.1</c:v>
                </c:pt>
                <c:pt idx="13">
                  <c:v>2</c:v>
                </c:pt>
                <c:pt idx="14">
                  <c:v>2.4</c:v>
                </c:pt>
                <c:pt idx="15">
                  <c:v>2.2999999999999998</c:v>
                </c:pt>
                <c:pt idx="16">
                  <c:v>1.8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1.5</c:v>
                </c:pt>
                <c:pt idx="20">
                  <c:v>2.2999999999999998</c:v>
                </c:pt>
                <c:pt idx="21">
                  <c:v>2</c:v>
                </c:pt>
                <c:pt idx="22">
                  <c:v>2</c:v>
                </c:pt>
                <c:pt idx="23">
                  <c:v>1.8</c:v>
                </c:pt>
                <c:pt idx="24">
                  <c:v>2.1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2.1</c:v>
                </c:pt>
                <c:pt idx="29">
                  <c:v>1.6</c:v>
                </c:pt>
                <c:pt idx="30">
                  <c:v>1.9</c:v>
                </c:pt>
                <c:pt idx="31">
                  <c:v>2</c:v>
                </c:pt>
                <c:pt idx="32">
                  <c:v>2.2000000000000002</c:v>
                </c:pt>
                <c:pt idx="33">
                  <c:v>1.5</c:v>
                </c:pt>
                <c:pt idx="34">
                  <c:v>1.4</c:v>
                </c:pt>
                <c:pt idx="35">
                  <c:v>2.2999999999999998</c:v>
                </c:pt>
                <c:pt idx="36">
                  <c:v>2.4</c:v>
                </c:pt>
                <c:pt idx="37">
                  <c:v>1.8</c:v>
                </c:pt>
                <c:pt idx="38">
                  <c:v>1.8</c:v>
                </c:pt>
                <c:pt idx="39">
                  <c:v>2.1</c:v>
                </c:pt>
                <c:pt idx="40">
                  <c:v>2.4</c:v>
                </c:pt>
                <c:pt idx="41">
                  <c:v>2.2999999999999998</c:v>
                </c:pt>
                <c:pt idx="42">
                  <c:v>1.9</c:v>
                </c:pt>
                <c:pt idx="43">
                  <c:v>2.2999999999999998</c:v>
                </c:pt>
                <c:pt idx="44">
                  <c:v>2.5</c:v>
                </c:pt>
                <c:pt idx="45">
                  <c:v>2.2999999999999998</c:v>
                </c:pt>
                <c:pt idx="46">
                  <c:v>1.9</c:v>
                </c:pt>
                <c:pt idx="47">
                  <c:v>2</c:v>
                </c:pt>
                <c:pt idx="48">
                  <c:v>2.2999999999999998</c:v>
                </c:pt>
                <c:pt idx="49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7DD-4025-A53A-A8B665AB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384143"/>
        <c:axId val="1601299759"/>
      </c:scatterChart>
      <c:valAx>
        <c:axId val="1764384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01299759"/>
        <c:crosses val="autoZero"/>
        <c:crossBetween val="midCat"/>
      </c:valAx>
      <c:valAx>
        <c:axId val="1601299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643841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Kolorowe irysy - rozmiary płatków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LDA!$G$2:$G$23</c:f>
              <c:numCache>
                <c:formatCode>General</c:formatCode>
                <c:ptCount val="22"/>
                <c:pt idx="0">
                  <c:v>1.4103661755294761</c:v>
                </c:pt>
                <c:pt idx="1">
                  <c:v>1.3759097887083207</c:v>
                </c:pt>
                <c:pt idx="2">
                  <c:v>1.2811388453626269</c:v>
                </c:pt>
                <c:pt idx="3">
                  <c:v>1.4761412085905008</c:v>
                </c:pt>
                <c:pt idx="4">
                  <c:v>1.3966938306036605</c:v>
                </c:pt>
                <c:pt idx="5">
                  <c:v>1.7032836876032811</c:v>
                </c:pt>
                <c:pt idx="6">
                  <c:v>1.376988489721229</c:v>
                </c:pt>
                <c:pt idx="7">
                  <c:v>1.4793083780257852</c:v>
                </c:pt>
                <c:pt idx="8">
                  <c:v>1.3820731027378956</c:v>
                </c:pt>
                <c:pt idx="9">
                  <c:v>1.5000593367870663</c:v>
                </c:pt>
                <c:pt idx="10">
                  <c:v>1.4829500886717748</c:v>
                </c:pt>
                <c:pt idx="11">
                  <c:v>1.5932864608177102</c:v>
                </c:pt>
                <c:pt idx="12">
                  <c:v>1.3931041026095183</c:v>
                </c:pt>
                <c:pt idx="13">
                  <c:v>1.11031634135264</c:v>
                </c:pt>
                <c:pt idx="14">
                  <c:v>1.1933466822255629</c:v>
                </c:pt>
                <c:pt idx="15">
                  <c:v>1.5122794469435876</c:v>
                </c:pt>
                <c:pt idx="16">
                  <c:v>1.3151160860521933</c:v>
                </c:pt>
                <c:pt idx="17">
                  <c:v>1.4055808301936816</c:v>
                </c:pt>
                <c:pt idx="18">
                  <c:v>1.6871534004865731</c:v>
                </c:pt>
                <c:pt idx="19">
                  <c:v>1.5135290060455082</c:v>
                </c:pt>
                <c:pt idx="20">
                  <c:v>1.7157740156177663</c:v>
                </c:pt>
                <c:pt idx="21">
                  <c:v>1.5162367518965463</c:v>
                </c:pt>
              </c:numCache>
            </c:numRef>
          </c:xVal>
          <c:yVal>
            <c:numRef>
              <c:f>LDA!$H$2:$H$23</c:f>
              <c:numCache>
                <c:formatCode>General</c:formatCode>
                <c:ptCount val="22"/>
                <c:pt idx="0">
                  <c:v>0.17732581115165105</c:v>
                </c:pt>
                <c:pt idx="1">
                  <c:v>0.2229046520796015</c:v>
                </c:pt>
                <c:pt idx="2">
                  <c:v>0.17699374604730428</c:v>
                </c:pt>
                <c:pt idx="3">
                  <c:v>0.21695339016985998</c:v>
                </c:pt>
                <c:pt idx="4">
                  <c:v>0.22320875986133845</c:v>
                </c:pt>
                <c:pt idx="5">
                  <c:v>0.39329923672397399</c:v>
                </c:pt>
                <c:pt idx="6">
                  <c:v>0.2960649210428703</c:v>
                </c:pt>
                <c:pt idx="7">
                  <c:v>0.22232223494651832</c:v>
                </c:pt>
                <c:pt idx="8">
                  <c:v>0.19152272910840509</c:v>
                </c:pt>
                <c:pt idx="9">
                  <c:v>7.7736692762437665E-2</c:v>
                </c:pt>
                <c:pt idx="10">
                  <c:v>0.18944643477808021</c:v>
                </c:pt>
                <c:pt idx="11">
                  <c:v>0.18657891846980598</c:v>
                </c:pt>
                <c:pt idx="12">
                  <c:v>0.11191660254218655</c:v>
                </c:pt>
                <c:pt idx="13">
                  <c:v>0.10940435534309881</c:v>
                </c:pt>
                <c:pt idx="14">
                  <c:v>0.19390158368881855</c:v>
                </c:pt>
                <c:pt idx="15">
                  <c:v>0.40095831369775781</c:v>
                </c:pt>
                <c:pt idx="16">
                  <c:v>0.41241447796376757</c:v>
                </c:pt>
                <c:pt idx="17">
                  <c:v>0.309719926798801</c:v>
                </c:pt>
                <c:pt idx="18">
                  <c:v>0.27968628772220056</c:v>
                </c:pt>
                <c:pt idx="19">
                  <c:v>0.30082889304215427</c:v>
                </c:pt>
                <c:pt idx="20">
                  <c:v>0.21014279204174774</c:v>
                </c:pt>
                <c:pt idx="21">
                  <c:v>0.38762904747874505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39-4FAF-92E9-EE63E719A09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LDA!$G$24:$G$32</c:f>
              <c:numCache>
                <c:formatCode>General</c:formatCode>
                <c:ptCount val="9"/>
                <c:pt idx="0">
                  <c:v>0.98665576202714222</c:v>
                </c:pt>
                <c:pt idx="1">
                  <c:v>1.694760782913125</c:v>
                </c:pt>
                <c:pt idx="2">
                  <c:v>1.9081019310305676</c:v>
                </c:pt>
                <c:pt idx="3">
                  <c:v>1.5827209302100327</c:v>
                </c:pt>
                <c:pt idx="4">
                  <c:v>1.5961470036068968</c:v>
                </c:pt>
                <c:pt idx="5">
                  <c:v>1.5197585621569665</c:v>
                </c:pt>
                <c:pt idx="6">
                  <c:v>1.4227109788345524</c:v>
                </c:pt>
                <c:pt idx="7">
                  <c:v>1.6044801918269376</c:v>
                </c:pt>
                <c:pt idx="8">
                  <c:v>1.5965952559407828</c:v>
                </c:pt>
              </c:numCache>
            </c:numRef>
          </c:xVal>
          <c:yVal>
            <c:numRef>
              <c:f>LDA!$H$24:$H$32</c:f>
              <c:numCache>
                <c:formatCode>General</c:formatCode>
                <c:ptCount val="9"/>
                <c:pt idx="0">
                  <c:v>0.19805383499949078</c:v>
                </c:pt>
                <c:pt idx="1">
                  <c:v>0.49848162256933715</c:v>
                </c:pt>
                <c:pt idx="2">
                  <c:v>0.19347062157664136</c:v>
                </c:pt>
                <c:pt idx="3">
                  <c:v>0.17959890147268537</c:v>
                </c:pt>
                <c:pt idx="4">
                  <c:v>0.4020228890957378</c:v>
                </c:pt>
                <c:pt idx="5">
                  <c:v>0.20196866875411618</c:v>
                </c:pt>
                <c:pt idx="6">
                  <c:v>0.19452342452764976</c:v>
                </c:pt>
                <c:pt idx="7">
                  <c:v>0.21780827033843261</c:v>
                </c:pt>
                <c:pt idx="8">
                  <c:v>0.18445661122335735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39-4FAF-92E9-EE63E719A09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9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LDA!$G$33:$G$41</c:f>
              <c:numCache>
                <c:formatCode>General</c:formatCode>
                <c:ptCount val="9"/>
                <c:pt idx="0">
                  <c:v>1.4839175494291605</c:v>
                </c:pt>
                <c:pt idx="1">
                  <c:v>1.4991474885617866</c:v>
                </c:pt>
                <c:pt idx="2">
                  <c:v>1.3848187937196696</c:v>
                </c:pt>
                <c:pt idx="3">
                  <c:v>1.4755904451512747</c:v>
                </c:pt>
                <c:pt idx="4">
                  <c:v>1.2006392592473241</c:v>
                </c:pt>
                <c:pt idx="5">
                  <c:v>1.3221696279007737</c:v>
                </c:pt>
                <c:pt idx="6">
                  <c:v>1.4073602529123996</c:v>
                </c:pt>
                <c:pt idx="7">
                  <c:v>1.3034860629735332</c:v>
                </c:pt>
                <c:pt idx="8">
                  <c:v>1.5124231285031675</c:v>
                </c:pt>
              </c:numCache>
            </c:numRef>
          </c:xVal>
          <c:yVal>
            <c:numRef>
              <c:f>LDA!$H$33:$H$41</c:f>
              <c:numCache>
                <c:formatCode>General</c:formatCode>
                <c:ptCount val="9"/>
                <c:pt idx="0">
                  <c:v>0.4076645091823749</c:v>
                </c:pt>
                <c:pt idx="1">
                  <c:v>0.10760158324565741</c:v>
                </c:pt>
                <c:pt idx="2">
                  <c:v>0.21466650022390529</c:v>
                </c:pt>
                <c:pt idx="3">
                  <c:v>0.22326792202386223</c:v>
                </c:pt>
                <c:pt idx="4">
                  <c:v>0.19050253575626871</c:v>
                </c:pt>
                <c:pt idx="5">
                  <c:v>0.1816648461782967</c:v>
                </c:pt>
                <c:pt idx="6">
                  <c:v>7.5744867787323589E-2</c:v>
                </c:pt>
                <c:pt idx="7">
                  <c:v>0.1969741739472837</c:v>
                </c:pt>
                <c:pt idx="8">
                  <c:v>0.18998231964412957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39-4FAF-92E9-EE63E719A09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LDA!$G$42:$G$51</c:f>
              <c:numCache>
                <c:formatCode>General</c:formatCode>
                <c:ptCount val="10"/>
                <c:pt idx="0">
                  <c:v>1.2947387213160106</c:v>
                </c:pt>
                <c:pt idx="1">
                  <c:v>1.3187574700583284</c:v>
                </c:pt>
                <c:pt idx="2">
                  <c:v>1.319503406019241</c:v>
                </c:pt>
                <c:pt idx="3">
                  <c:v>1.6130964735369366</c:v>
                </c:pt>
                <c:pt idx="4">
                  <c:v>1.9031654694648263</c:v>
                </c:pt>
                <c:pt idx="5">
                  <c:v>1.396090942440452</c:v>
                </c:pt>
                <c:pt idx="6">
                  <c:v>1.6002827333911118</c:v>
                </c:pt>
                <c:pt idx="7">
                  <c:v>1.3993536558244981</c:v>
                </c:pt>
                <c:pt idx="8">
                  <c:v>1.4756757092272914</c:v>
                </c:pt>
                <c:pt idx="9">
                  <c:v>1.3949787861124523</c:v>
                </c:pt>
              </c:numCache>
            </c:numRef>
          </c:xVal>
          <c:yVal>
            <c:numRef>
              <c:f>LDA!$H$42:$H$51</c:f>
              <c:numCache>
                <c:formatCode>General</c:formatCode>
                <c:ptCount val="10"/>
                <c:pt idx="0">
                  <c:v>0.30152706440635041</c:v>
                </c:pt>
                <c:pt idx="1">
                  <c:v>0.27761001624429987</c:v>
                </c:pt>
                <c:pt idx="2">
                  <c:v>0.19848163724052628</c:v>
                </c:pt>
                <c:pt idx="3">
                  <c:v>0.58885419599960842</c:v>
                </c:pt>
                <c:pt idx="4">
                  <c:v>0.41910249246174669</c:v>
                </c:pt>
                <c:pt idx="5">
                  <c:v>0.31480371902699383</c:v>
                </c:pt>
                <c:pt idx="6">
                  <c:v>0.2153818113179731</c:v>
                </c:pt>
                <c:pt idx="7">
                  <c:v>0.20572851560726324</c:v>
                </c:pt>
                <c:pt idx="8">
                  <c:v>0.20385541910361873</c:v>
                </c:pt>
                <c:pt idx="9">
                  <c:v>0.21757303641006001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939-4FAF-92E9-EE63E719A09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0070C0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LDA!$G$52:$G$60</c:f>
              <c:numCache>
                <c:formatCode>General</c:formatCode>
                <c:ptCount val="9"/>
                <c:pt idx="0">
                  <c:v>4.7249520197189563</c:v>
                </c:pt>
                <c:pt idx="1">
                  <c:v>4.507979320599949</c:v>
                </c:pt>
                <c:pt idx="2">
                  <c:v>4.9210062124052296</c:v>
                </c:pt>
                <c:pt idx="3">
                  <c:v>4.0140041933674979</c:v>
                </c:pt>
                <c:pt idx="4">
                  <c:v>4.5865448575616981</c:v>
                </c:pt>
                <c:pt idx="5">
                  <c:v>4.4828707781577712</c:v>
                </c:pt>
                <c:pt idx="6">
                  <c:v>4.6845943019281986</c:v>
                </c:pt>
                <c:pt idx="7">
                  <c:v>3.2932854273438212</c:v>
                </c:pt>
                <c:pt idx="8">
                  <c:v>4.6050494986796009</c:v>
                </c:pt>
              </c:numCache>
            </c:numRef>
          </c:xVal>
          <c:yVal>
            <c:numRef>
              <c:f>LDA!$H$52:$H$60</c:f>
              <c:numCache>
                <c:formatCode>General</c:formatCode>
                <c:ptCount val="9"/>
                <c:pt idx="0">
                  <c:v>1.3961778314310265</c:v>
                </c:pt>
                <c:pt idx="1">
                  <c:v>1.5001336422614204</c:v>
                </c:pt>
                <c:pt idx="2">
                  <c:v>1.4920667121139257</c:v>
                </c:pt>
                <c:pt idx="3">
                  <c:v>1.2799275274233546</c:v>
                </c:pt>
                <c:pt idx="4">
                  <c:v>1.5082381392016124</c:v>
                </c:pt>
                <c:pt idx="5">
                  <c:v>1.3205032256110045</c:v>
                </c:pt>
                <c:pt idx="6">
                  <c:v>1.583717333265148</c:v>
                </c:pt>
                <c:pt idx="7">
                  <c:v>0.97997485828487407</c:v>
                </c:pt>
                <c:pt idx="8">
                  <c:v>1.3201098559892377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939-4FAF-92E9-EE63E719A09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7030A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LDA!$G$61:$G$79</c:f>
              <c:numCache>
                <c:formatCode>General</c:formatCode>
                <c:ptCount val="19"/>
                <c:pt idx="0">
                  <c:v>3.9117469826687987</c:v>
                </c:pt>
                <c:pt idx="1">
                  <c:v>3.4777553440686089</c:v>
                </c:pt>
                <c:pt idx="2">
                  <c:v>4.2047327908606826</c:v>
                </c:pt>
                <c:pt idx="3">
                  <c:v>4.0174029268051834</c:v>
                </c:pt>
                <c:pt idx="4">
                  <c:v>4.7055622889072755</c:v>
                </c:pt>
                <c:pt idx="5">
                  <c:v>3.5901516245840539</c:v>
                </c:pt>
                <c:pt idx="6">
                  <c:v>4.3988525319749652</c:v>
                </c:pt>
                <c:pt idx="7">
                  <c:v>4.513979163998898</c:v>
                </c:pt>
                <c:pt idx="8">
                  <c:v>4.1045232269475012</c:v>
                </c:pt>
                <c:pt idx="9">
                  <c:v>4.5105139083816752</c:v>
                </c:pt>
                <c:pt idx="10">
                  <c:v>3.9067090578848673</c:v>
                </c:pt>
                <c:pt idx="11">
                  <c:v>4.7921745617777027</c:v>
                </c:pt>
                <c:pt idx="12">
                  <c:v>3.9984213850412691</c:v>
                </c:pt>
                <c:pt idx="13">
                  <c:v>4.882024549899489</c:v>
                </c:pt>
                <c:pt idx="14">
                  <c:v>4.7083476915287603</c:v>
                </c:pt>
                <c:pt idx="15">
                  <c:v>4.2866005271857972</c:v>
                </c:pt>
                <c:pt idx="16">
                  <c:v>4.3775695323217443</c:v>
                </c:pt>
                <c:pt idx="17">
                  <c:v>4.789141248177363</c:v>
                </c:pt>
                <c:pt idx="18">
                  <c:v>4.9872893217518692</c:v>
                </c:pt>
              </c:numCache>
            </c:numRef>
          </c:xVal>
          <c:yVal>
            <c:numRef>
              <c:f>LDA!$H$61:$H$79</c:f>
              <c:numCache>
                <c:formatCode>General</c:formatCode>
                <c:ptCount val="19"/>
                <c:pt idx="0">
                  <c:v>1.4016108609709319</c:v>
                </c:pt>
                <c:pt idx="1">
                  <c:v>1.012061367886999</c:v>
                </c:pt>
                <c:pt idx="2">
                  <c:v>1.4769602500180217</c:v>
                </c:pt>
                <c:pt idx="3">
                  <c:v>0.98619266154836238</c:v>
                </c:pt>
                <c:pt idx="4">
                  <c:v>1.376399968629328</c:v>
                </c:pt>
                <c:pt idx="5">
                  <c:v>1.2898973688699165</c:v>
                </c:pt>
                <c:pt idx="6">
                  <c:v>1.4153679136137118</c:v>
                </c:pt>
                <c:pt idx="7">
                  <c:v>1.4941436847965039</c:v>
                </c:pt>
                <c:pt idx="8">
                  <c:v>0.98033553023095343</c:v>
                </c:pt>
                <c:pt idx="9">
                  <c:v>1.5065830807801277</c:v>
                </c:pt>
                <c:pt idx="10">
                  <c:v>1.1239971637295323</c:v>
                </c:pt>
                <c:pt idx="11">
                  <c:v>1.7839453746600187</c:v>
                </c:pt>
                <c:pt idx="12">
                  <c:v>1.2924255952596244</c:v>
                </c:pt>
                <c:pt idx="13">
                  <c:v>1.5081947608122677</c:v>
                </c:pt>
                <c:pt idx="14">
                  <c:v>1.1887915441786003</c:v>
                </c:pt>
                <c:pt idx="15">
                  <c:v>1.2866186835406355</c:v>
                </c:pt>
                <c:pt idx="16">
                  <c:v>1.408763658376917</c:v>
                </c:pt>
                <c:pt idx="17">
                  <c:v>1.3955138174328456</c:v>
                </c:pt>
                <c:pt idx="18">
                  <c:v>1.6828427410535796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939-4FAF-92E9-EE63E719A098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9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LDA!$G$80:$G$88</c:f>
              <c:numCache>
                <c:formatCode>General</c:formatCode>
                <c:ptCount val="9"/>
                <c:pt idx="0">
                  <c:v>4.4839179451882512</c:v>
                </c:pt>
                <c:pt idx="1">
                  <c:v>3.4999821831627393</c:v>
                </c:pt>
                <c:pt idx="2">
                  <c:v>3.8022435249315167</c:v>
                </c:pt>
                <c:pt idx="3">
                  <c:v>3.7091377299960602</c:v>
                </c:pt>
                <c:pt idx="4">
                  <c:v>3.9125716700962987</c:v>
                </c:pt>
                <c:pt idx="5">
                  <c:v>5.0941718873532293</c:v>
                </c:pt>
                <c:pt idx="6">
                  <c:v>4.4901891015609845</c:v>
                </c:pt>
                <c:pt idx="7">
                  <c:v>4.4996830695470935</c:v>
                </c:pt>
                <c:pt idx="8">
                  <c:v>4.7246602797305846</c:v>
                </c:pt>
              </c:numCache>
            </c:numRef>
          </c:xVal>
          <c:yVal>
            <c:numRef>
              <c:f>LDA!$H$80:$H$88</c:f>
              <c:numCache>
                <c:formatCode>General</c:formatCode>
                <c:ptCount val="9"/>
                <c:pt idx="0">
                  <c:v>1.5144580352273467</c:v>
                </c:pt>
                <c:pt idx="1">
                  <c:v>1.0052519250501879</c:v>
                </c:pt>
                <c:pt idx="2">
                  <c:v>1.0786762354090669</c:v>
                </c:pt>
                <c:pt idx="3">
                  <c:v>0.99742051720034641</c:v>
                </c:pt>
                <c:pt idx="4">
                  <c:v>1.1756459337657601</c:v>
                </c:pt>
                <c:pt idx="5">
                  <c:v>1.5908670035319001</c:v>
                </c:pt>
                <c:pt idx="6">
                  <c:v>1.5129640476463329</c:v>
                </c:pt>
                <c:pt idx="7">
                  <c:v>1.614363620992977</c:v>
                </c:pt>
                <c:pt idx="8">
                  <c:v>1.4905467253774678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939-4FAF-92E9-EE63E719A098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LDA!$G$89:$G$101</c:f>
              <c:numCache>
                <c:formatCode>General</c:formatCode>
                <c:ptCount val="13"/>
                <c:pt idx="0">
                  <c:v>4.3985889362896291</c:v>
                </c:pt>
                <c:pt idx="1">
                  <c:v>4.1001633825617887</c:v>
                </c:pt>
                <c:pt idx="2">
                  <c:v>3.9832493932699333</c:v>
                </c:pt>
                <c:pt idx="3">
                  <c:v>4.4196690222603481</c:v>
                </c:pt>
                <c:pt idx="4">
                  <c:v>4.610609229767709</c:v>
                </c:pt>
                <c:pt idx="5">
                  <c:v>3.9897751149633423</c:v>
                </c:pt>
                <c:pt idx="6">
                  <c:v>3.2972250568768739</c:v>
                </c:pt>
                <c:pt idx="7">
                  <c:v>4.2069861683923344</c:v>
                </c:pt>
                <c:pt idx="8">
                  <c:v>4.1973298766730442</c:v>
                </c:pt>
                <c:pt idx="9">
                  <c:v>4.1832800727982304</c:v>
                </c:pt>
                <c:pt idx="10">
                  <c:v>4.3046706215149246</c:v>
                </c:pt>
                <c:pt idx="11">
                  <c:v>2.9981824374846728</c:v>
                </c:pt>
                <c:pt idx="12">
                  <c:v>4.0885833667521636</c:v>
                </c:pt>
              </c:numCache>
            </c:numRef>
          </c:xVal>
          <c:yVal>
            <c:numRef>
              <c:f>LDA!$H$89:$H$101</c:f>
              <c:numCache>
                <c:formatCode>General</c:formatCode>
                <c:ptCount val="13"/>
                <c:pt idx="0">
                  <c:v>1.2830587131723474</c:v>
                </c:pt>
                <c:pt idx="1">
                  <c:v>1.282828025810903</c:v>
                </c:pt>
                <c:pt idx="2">
                  <c:v>1.2977162548543053</c:v>
                </c:pt>
                <c:pt idx="3">
                  <c:v>1.194641962792345</c:v>
                </c:pt>
                <c:pt idx="4">
                  <c:v>1.4073355850332729</c:v>
                </c:pt>
                <c:pt idx="5">
                  <c:v>1.2197762805186267</c:v>
                </c:pt>
                <c:pt idx="6">
                  <c:v>1.0242405739983083</c:v>
                </c:pt>
                <c:pt idx="7">
                  <c:v>1.3225841488373926</c:v>
                </c:pt>
                <c:pt idx="8">
                  <c:v>1.1892127691765171</c:v>
                </c:pt>
                <c:pt idx="9">
                  <c:v>1.3090462081680807</c:v>
                </c:pt>
                <c:pt idx="10">
                  <c:v>1.3052066723683453</c:v>
                </c:pt>
                <c:pt idx="11">
                  <c:v>1.111695854741602</c:v>
                </c:pt>
                <c:pt idx="12">
                  <c:v>1.2801636639757628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939-4FAF-92E9-EE63E719A098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LDA!$G$102:$G$131</c:f>
              <c:numCache>
                <c:formatCode>General</c:formatCode>
                <c:ptCount val="30"/>
                <c:pt idx="0">
                  <c:v>6.0123768850217933</c:v>
                </c:pt>
                <c:pt idx="1">
                  <c:v>5.1084578288966114</c:v>
                </c:pt>
                <c:pt idx="2">
                  <c:v>5.9089029943207088</c:v>
                </c:pt>
                <c:pt idx="3">
                  <c:v>5.6058989788300337</c:v>
                </c:pt>
                <c:pt idx="4">
                  <c:v>5.8064461994965928</c:v>
                </c:pt>
                <c:pt idx="5">
                  <c:v>6.5774943355545741</c:v>
                </c:pt>
                <c:pt idx="6">
                  <c:v>4.5007572565201714</c:v>
                </c:pt>
                <c:pt idx="7">
                  <c:v>6.3017808441488565</c:v>
                </c:pt>
                <c:pt idx="8">
                  <c:v>5.816520304103129</c:v>
                </c:pt>
                <c:pt idx="9">
                  <c:v>6.077522541276454</c:v>
                </c:pt>
                <c:pt idx="10">
                  <c:v>5.0803223513739253</c:v>
                </c:pt>
                <c:pt idx="11">
                  <c:v>5.2848959603229604</c:v>
                </c:pt>
                <c:pt idx="12">
                  <c:v>5.5234531940451745</c:v>
                </c:pt>
                <c:pt idx="13">
                  <c:v>4.9844614678499441</c:v>
                </c:pt>
                <c:pt idx="14">
                  <c:v>5.1200556290624064</c:v>
                </c:pt>
                <c:pt idx="15">
                  <c:v>5.283531717921238</c:v>
                </c:pt>
                <c:pt idx="16">
                  <c:v>5.5224935895295957</c:v>
                </c:pt>
                <c:pt idx="17">
                  <c:v>6.6823895505423279</c:v>
                </c:pt>
                <c:pt idx="18">
                  <c:v>6.901186579554289</c:v>
                </c:pt>
                <c:pt idx="19">
                  <c:v>4.9871604340884739</c:v>
                </c:pt>
                <c:pt idx="20">
                  <c:v>5.7010570067350557</c:v>
                </c:pt>
                <c:pt idx="21">
                  <c:v>4.8790215771739138</c:v>
                </c:pt>
                <c:pt idx="22">
                  <c:v>6.6825460437433915</c:v>
                </c:pt>
                <c:pt idx="23">
                  <c:v>4.8941072489681856</c:v>
                </c:pt>
                <c:pt idx="24">
                  <c:v>5.704564934183078</c:v>
                </c:pt>
                <c:pt idx="25">
                  <c:v>6.0193872745085724</c:v>
                </c:pt>
                <c:pt idx="26">
                  <c:v>4.7766762410082615</c:v>
                </c:pt>
                <c:pt idx="27">
                  <c:v>4.8875015415108134</c:v>
                </c:pt>
                <c:pt idx="28">
                  <c:v>5.5802563488656709</c:v>
                </c:pt>
                <c:pt idx="29">
                  <c:v>5.8035734267503418</c:v>
                </c:pt>
              </c:numCache>
            </c:numRef>
          </c:xVal>
          <c:yVal>
            <c:numRef>
              <c:f>LDA!$H$102:$H$131</c:f>
              <c:numCache>
                <c:formatCode>General</c:formatCode>
                <c:ptCount val="30"/>
                <c:pt idx="0">
                  <c:v>2.4835397159495027</c:v>
                </c:pt>
                <c:pt idx="1">
                  <c:v>1.9168656392406815</c:v>
                </c:pt>
                <c:pt idx="2">
                  <c:v>2.096771077933222</c:v>
                </c:pt>
                <c:pt idx="3">
                  <c:v>1.7829963612169621</c:v>
                </c:pt>
                <c:pt idx="4">
                  <c:v>2.2032348758236648</c:v>
                </c:pt>
                <c:pt idx="5">
                  <c:v>2.115064841530153</c:v>
                </c:pt>
                <c:pt idx="6">
                  <c:v>1.6872186972413787</c:v>
                </c:pt>
                <c:pt idx="7">
                  <c:v>1.799585036936739</c:v>
                </c:pt>
                <c:pt idx="8">
                  <c:v>1.7768396766720269</c:v>
                </c:pt>
                <c:pt idx="9">
                  <c:v>2.5131192821038333</c:v>
                </c:pt>
                <c:pt idx="10">
                  <c:v>2.0118474006320923</c:v>
                </c:pt>
                <c:pt idx="11">
                  <c:v>1.8877113702889892</c:v>
                </c:pt>
                <c:pt idx="12">
                  <c:v>2.0984176648106012</c:v>
                </c:pt>
                <c:pt idx="13">
                  <c:v>2.0210730468016025</c:v>
                </c:pt>
                <c:pt idx="14">
                  <c:v>2.393849662244576</c:v>
                </c:pt>
                <c:pt idx="15">
                  <c:v>2.3032734683549632</c:v>
                </c:pt>
                <c:pt idx="16">
                  <c:v>1.7909228575524538</c:v>
                </c:pt>
                <c:pt idx="17">
                  <c:v>2.1967704705770634</c:v>
                </c:pt>
                <c:pt idx="18">
                  <c:v>2.3074862984205482</c:v>
                </c:pt>
                <c:pt idx="19">
                  <c:v>1.5027818335920258</c:v>
                </c:pt>
                <c:pt idx="20">
                  <c:v>2.3047466061282056</c:v>
                </c:pt>
                <c:pt idx="21">
                  <c:v>2.011721334558644</c:v>
                </c:pt>
                <c:pt idx="22">
                  <c:v>2.0165148318466963</c:v>
                </c:pt>
                <c:pt idx="23">
                  <c:v>1.7875386809278526</c:v>
                </c:pt>
                <c:pt idx="24">
                  <c:v>2.1174050902677615</c:v>
                </c:pt>
                <c:pt idx="25">
                  <c:v>1.8103835586794446</c:v>
                </c:pt>
                <c:pt idx="26">
                  <c:v>1.8219503228938358</c:v>
                </c:pt>
                <c:pt idx="27">
                  <c:v>1.7938507967990494</c:v>
                </c:pt>
                <c:pt idx="28">
                  <c:v>2.1147655895432083</c:v>
                </c:pt>
                <c:pt idx="29">
                  <c:v>1.577052975003348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939-4FAF-92E9-EE63E719A098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7030A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LDA!$G$132:$G$150</c:f>
              <c:numCache>
                <c:formatCode>General</c:formatCode>
                <c:ptCount val="19"/>
                <c:pt idx="0">
                  <c:v>6.1169536447511241</c:v>
                </c:pt>
                <c:pt idx="1">
                  <c:v>6.3910611700785003</c:v>
                </c:pt>
                <c:pt idx="2">
                  <c:v>5.5931440630960925</c:v>
                </c:pt>
                <c:pt idx="3">
                  <c:v>5.0864906757258979</c:v>
                </c:pt>
                <c:pt idx="4">
                  <c:v>5.6086572193088919</c:v>
                </c:pt>
                <c:pt idx="5">
                  <c:v>6.0861179012848332</c:v>
                </c:pt>
                <c:pt idx="6">
                  <c:v>5.5824176941965984</c:v>
                </c:pt>
                <c:pt idx="7">
                  <c:v>5.5066363419416771</c:v>
                </c:pt>
                <c:pt idx="8">
                  <c:v>4.7754014235501332</c:v>
                </c:pt>
                <c:pt idx="9">
                  <c:v>5.3788736596787947</c:v>
                </c:pt>
                <c:pt idx="10">
                  <c:v>5.6246853336423479</c:v>
                </c:pt>
                <c:pt idx="11">
                  <c:v>5.080897747945964</c:v>
                </c:pt>
                <c:pt idx="12">
                  <c:v>5.1098967931375991</c:v>
                </c:pt>
                <c:pt idx="13">
                  <c:v>5.8894656188587104</c:v>
                </c:pt>
                <c:pt idx="14">
                  <c:v>5.6964242867246231</c:v>
                </c:pt>
                <c:pt idx="15">
                  <c:v>5.2094077348868471</c:v>
                </c:pt>
                <c:pt idx="16">
                  <c:v>4.9836833487002083</c:v>
                </c:pt>
                <c:pt idx="17">
                  <c:v>5.2132151585342426</c:v>
                </c:pt>
                <c:pt idx="18">
                  <c:v>5.3915293682576371</c:v>
                </c:pt>
              </c:numCache>
            </c:numRef>
          </c:xVal>
          <c:yVal>
            <c:numRef>
              <c:f>LDA!$H$132:$H$150</c:f>
              <c:numCache>
                <c:formatCode>General</c:formatCode>
                <c:ptCount val="19"/>
                <c:pt idx="0">
                  <c:v>1.8978061719852952</c:v>
                </c:pt>
                <c:pt idx="1">
                  <c:v>2.0099218875337357</c:v>
                </c:pt>
                <c:pt idx="2">
                  <c:v>2.1832361083628382</c:v>
                </c:pt>
                <c:pt idx="3">
                  <c:v>1.4888976857865914</c:v>
                </c:pt>
                <c:pt idx="4">
                  <c:v>1.4204956846162031</c:v>
                </c:pt>
                <c:pt idx="5">
                  <c:v>2.3147219077714567</c:v>
                </c:pt>
                <c:pt idx="6">
                  <c:v>2.406053728640114</c:v>
                </c:pt>
                <c:pt idx="7">
                  <c:v>1.8248009036687933</c:v>
                </c:pt>
                <c:pt idx="8">
                  <c:v>1.7772462949945931</c:v>
                </c:pt>
                <c:pt idx="9">
                  <c:v>2.0752019249040266</c:v>
                </c:pt>
                <c:pt idx="10">
                  <c:v>2.3866578886959031</c:v>
                </c:pt>
                <c:pt idx="11">
                  <c:v>2.2987497006684068</c:v>
                </c:pt>
                <c:pt idx="12">
                  <c:v>1.9229429365676043</c:v>
                </c:pt>
                <c:pt idx="13">
                  <c:v>2.2841087236413635</c:v>
                </c:pt>
                <c:pt idx="14">
                  <c:v>2.4975542284954568</c:v>
                </c:pt>
                <c:pt idx="15">
                  <c:v>2.3106135203640501</c:v>
                </c:pt>
                <c:pt idx="16">
                  <c:v>1.9000833390287251</c:v>
                </c:pt>
                <c:pt idx="17">
                  <c:v>2.0070703862546897</c:v>
                </c:pt>
                <c:pt idx="18">
                  <c:v>2.3247637932735761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939-4FAF-92E9-EE63E719A098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LDA!$G$151</c:f>
              <c:numCache>
                <c:formatCode>General</c:formatCode>
                <c:ptCount val="1"/>
                <c:pt idx="0">
                  <c:v>5.0921662604257536</c:v>
                </c:pt>
              </c:numCache>
            </c:numRef>
          </c:xVal>
          <c:yVal>
            <c:numRef>
              <c:f>LDA!$H$151</c:f>
              <c:numCache>
                <c:formatCode>General</c:formatCode>
                <c:ptCount val="1"/>
                <c:pt idx="0">
                  <c:v>1.8186310558136922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939-4FAF-92E9-EE63E719A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560496"/>
        <c:axId val="241555424"/>
      </c:scatterChart>
      <c:valAx>
        <c:axId val="30956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1555424"/>
        <c:crosses val="autoZero"/>
        <c:crossBetween val="midCat"/>
      </c:valAx>
      <c:valAx>
        <c:axId val="24155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09560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133350</xdr:colOff>
      <xdr:row>44</xdr:row>
      <xdr:rowOff>138112</xdr:rowOff>
    </xdr:from>
    <xdr:to>
      <xdr:col>26</xdr:col>
      <xdr:colOff>247650</xdr:colOff>
      <xdr:row>68</xdr:row>
      <xdr:rowOff>114300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47AF6B52-ABC3-48EB-96D0-A9AD117D0D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215899</xdr:colOff>
      <xdr:row>22</xdr:row>
      <xdr:rowOff>104776</xdr:rowOff>
    </xdr:from>
    <xdr:to>
      <xdr:col>45</xdr:col>
      <xdr:colOff>390524</xdr:colOff>
      <xdr:row>41</xdr:row>
      <xdr:rowOff>39688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99F1F84F-E75A-4885-BD74-0F278D79B8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257174</xdr:colOff>
      <xdr:row>0</xdr:row>
      <xdr:rowOff>152400</xdr:rowOff>
    </xdr:from>
    <xdr:to>
      <xdr:col>45</xdr:col>
      <xdr:colOff>361949</xdr:colOff>
      <xdr:row>21</xdr:row>
      <xdr:rowOff>123825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1EBC415D-ED0B-4CB2-8DDF-12B384983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123825</xdr:colOff>
      <xdr:row>46</xdr:row>
      <xdr:rowOff>123825</xdr:rowOff>
    </xdr:from>
    <xdr:to>
      <xdr:col>44</xdr:col>
      <xdr:colOff>38100</xdr:colOff>
      <xdr:row>62</xdr:row>
      <xdr:rowOff>85725</xdr:rowOff>
    </xdr:to>
    <xdr:sp macro="" textlink="">
      <xdr:nvSpPr>
        <xdr:cNvPr id="5" name="Dymek mowy: prostokąt z zaokrąglonymi rogami 4">
          <a:extLst>
            <a:ext uri="{FF2B5EF4-FFF2-40B4-BE49-F238E27FC236}">
              <a16:creationId xmlns:a16="http://schemas.microsoft.com/office/drawing/2014/main" id="{98AE369A-F89F-4850-8BEC-3A6DC4F4AB69}"/>
            </a:ext>
          </a:extLst>
        </xdr:cNvPr>
        <xdr:cNvSpPr/>
      </xdr:nvSpPr>
      <xdr:spPr>
        <a:xfrm>
          <a:off x="22936200" y="9172575"/>
          <a:ext cx="5734050" cy="3048000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2800"/>
            <a:t>Błędne</a:t>
          </a:r>
          <a:r>
            <a:rPr lang="pl-PL" sz="2800" baseline="0"/>
            <a:t> wartości w podejściu "naiwnym" wynikają z założenia niezależności. Istotnie, przy graficznym przedstawieniu można zauważyć "nachodzenie" się chmur gatunku versicolor i virginica.</a:t>
          </a:r>
          <a:endParaRPr lang="pl-PL" sz="28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3984.005259143516" createdVersion="6" refreshedVersion="6" minRefreshableVersion="3" recordCount="150" xr:uid="{1F5CF8F1-7E4C-4E61-B0C2-B3CFAFFD1947}">
  <cacheSource type="worksheet">
    <worksheetSource ref="E1:F151" sheet="LDA"/>
  </cacheSource>
  <cacheFields count="2">
    <cacheField name="Colour" numFmtId="0">
      <sharedItems count="4">
        <s v="blue"/>
        <s v="violet"/>
        <s v="white"/>
        <s v="yellow"/>
      </sharedItems>
    </cacheField>
    <cacheField name="Species" numFmtId="0">
      <sharedItems count="3">
        <s v="setosa"/>
        <s v="versicolor"/>
        <s v="virginic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2"/>
    <x v="1"/>
  </r>
  <r>
    <x v="2"/>
    <x v="1"/>
  </r>
  <r>
    <x v="2"/>
    <x v="1"/>
  </r>
  <r>
    <x v="2"/>
    <x v="1"/>
  </r>
  <r>
    <x v="2"/>
    <x v="1"/>
  </r>
  <r>
    <x v="2"/>
    <x v="1"/>
  </r>
  <r>
    <x v="2"/>
    <x v="1"/>
  </r>
  <r>
    <x v="2"/>
    <x v="1"/>
  </r>
  <r>
    <x v="2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424C15-8B31-4037-96A9-3F73A8D3CA4C}" name="Tabela przestawna1" cacheId="0" applyNumberFormats="0" applyBorderFormats="0" applyFontFormats="0" applyPatternFormats="0" applyAlignmentFormats="0" applyWidthHeightFormats="1" dataCaption="Wartości" updatedVersion="6" minRefreshableVersion="3" useAutoFormatting="1" itemPrintTitles="1" createdVersion="6" indent="0" outline="1" outlineData="1" multipleFieldFilters="0">
  <location ref="Z54:AD60" firstHeaderRow="1" firstDataRow="2" firstDataCol="1"/>
  <pivotFields count="2">
    <pivotField axis="axisRow" showAll="0">
      <items count="5">
        <item x="0"/>
        <item x="1"/>
        <item x="2"/>
        <item x="3"/>
        <item t="default"/>
      </items>
    </pivotField>
    <pivotField axis="axisCol" dataField="1" showAll="0">
      <items count="4">
        <item x="0"/>
        <item x="1"/>
        <item x="2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Liczba z Species" fld="1" subtotal="count" baseField="0" baseItem="0"/>
  </dataFields>
  <formats count="1">
    <format dxfId="25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4B74-880A-45A7-8214-E8B0ECE60A23}">
  <dimension ref="A1:V151"/>
  <sheetViews>
    <sheetView workbookViewId="0">
      <selection activeCell="U43" sqref="U43"/>
    </sheetView>
  </sheetViews>
  <sheetFormatPr defaultRowHeight="15" x14ac:dyDescent="0.25"/>
  <cols>
    <col min="1" max="1" width="12.42578125" bestFit="1" customWidth="1"/>
    <col min="2" max="2" width="12" bestFit="1" customWidth="1"/>
    <col min="3" max="3" width="12.140625" bestFit="1" customWidth="1"/>
    <col min="4" max="4" width="11.7109375" bestFit="1" customWidth="1"/>
    <col min="5" max="5" width="9.7109375" bestFit="1" customWidth="1"/>
    <col min="6" max="6" width="13.28515625" bestFit="1" customWidth="1"/>
    <col min="7" max="10" width="9.7109375" customWidth="1"/>
    <col min="11" max="11" width="13.28515625" bestFit="1" customWidth="1"/>
    <col min="12" max="17" width="9.7109375" customWidth="1"/>
    <col min="18" max="18" width="12" bestFit="1" customWidth="1"/>
    <col min="23" max="23" width="12" bestFit="1" customWidth="1"/>
  </cols>
  <sheetData>
    <row r="1" spans="1:22" ht="15.75" thickBot="1" x14ac:dyDescent="0.3">
      <c r="A1" s="82" t="s">
        <v>0</v>
      </c>
      <c r="B1" s="83" t="s">
        <v>1</v>
      </c>
      <c r="C1" s="83" t="s">
        <v>2</v>
      </c>
      <c r="D1" s="84" t="s">
        <v>3</v>
      </c>
      <c r="E1" s="86" t="s">
        <v>4</v>
      </c>
      <c r="F1" s="47" t="s">
        <v>20</v>
      </c>
      <c r="G1" s="48" t="s">
        <v>21</v>
      </c>
      <c r="H1" s="48" t="s">
        <v>22</v>
      </c>
      <c r="I1" s="48" t="s">
        <v>23</v>
      </c>
      <c r="J1" s="49" t="s">
        <v>24</v>
      </c>
      <c r="K1" s="47" t="s">
        <v>25</v>
      </c>
      <c r="L1" s="48" t="s">
        <v>26</v>
      </c>
      <c r="M1" s="48" t="s">
        <v>27</v>
      </c>
      <c r="N1" s="48" t="s">
        <v>28</v>
      </c>
      <c r="O1" s="49" t="s">
        <v>29</v>
      </c>
      <c r="P1" s="39"/>
      <c r="T1" s="39"/>
      <c r="U1" s="52"/>
    </row>
    <row r="2" spans="1:22" ht="15.75" thickBot="1" x14ac:dyDescent="0.3">
      <c r="A2" s="25">
        <v>5.0999999999999996</v>
      </c>
      <c r="B2" s="25">
        <v>3.5</v>
      </c>
      <c r="C2" s="25">
        <v>1.4</v>
      </c>
      <c r="D2" s="25">
        <v>0.2</v>
      </c>
      <c r="E2" s="87" t="s">
        <v>5</v>
      </c>
      <c r="F2" s="76" t="str">
        <f>IF(H2&gt;MAX(I2:J2),$E$2,IF(I2&gt;J2,$E$52,$E$102))</f>
        <v>setosa</v>
      </c>
      <c r="G2" s="77" cm="1">
        <f t="array" ref="G2">$V$6*NMultDensity(A2:D2,$V$8:$V$11,$R$8:$U$11)+$V$19*NMultDensity(A2:D2,$V$21:$V$24,$R$21:$U$24)+$V$32*NMultDensity(A2:D2,$V$34:$V$37,$R$34:$U$37)</f>
        <v>1.3920591347458258</v>
      </c>
      <c r="H2" s="77" cm="1">
        <f t="array" ref="H2">$V$6*NMultDensity(A2:D2,$V$8:$V$11,$R$8:$U$11)/G2</f>
        <v>1</v>
      </c>
      <c r="I2" s="77" cm="1">
        <f t="array" ref="I2">$V$19*NMultDensity(A2:D2,$V$21:$V$24,$R$21:$U$24)/G2</f>
        <v>1.6395056285559162E-25</v>
      </c>
      <c r="J2" s="40" cm="1">
        <f t="array" ref="J2">$V$32*NMultDensity(A2:D2,$V$34:$V$37,$R$34:$U$37)/G2</f>
        <v>1.6895401578388839E-40</v>
      </c>
      <c r="K2" s="76" t="str">
        <f>IF(M2&gt;MAX(N2:O2),$E$2,IF(N2&gt;O2,$E$52,$E$102))</f>
        <v>setosa</v>
      </c>
      <c r="L2" s="77" cm="1">
        <f t="array" ref="L2">$V$6*NMultDensity(C2:D2,$V$10:$V$11,$T$10:$U$11)+$V$19*NMultDensity(C2:D2,$V$23:$V$24,$T$23:$U$24)+$V$32*NMultDensity(C2:D2,$V$36:$V$37,$T$36:$U$37)</f>
        <v>0.8170802379888823</v>
      </c>
      <c r="M2" s="77" cm="1">
        <f t="array" ref="M2">$V$6*NMultDensity(C2:D2,$V$10:$V$11,$T$10:$U$11)/L2</f>
        <v>0.99999999651421578</v>
      </c>
      <c r="N2" s="77" cm="1">
        <f t="array" ref="N2">$V$19*NMultDensity(C2:D2,$V$23:$V$24,$T$23:$U$24)/L2</f>
        <v>3.4857842000490986E-9</v>
      </c>
      <c r="O2" s="41" cm="1">
        <f t="array" ref="O2">$V$32*NMultDensity(C2:D2,$V$36:$V$37,$T$36:$U$37)/L2</f>
        <v>1.8645812941947132E-17</v>
      </c>
      <c r="P2" s="39"/>
      <c r="Q2" s="97" t="s">
        <v>19</v>
      </c>
      <c r="R2" s="97"/>
      <c r="S2" s="97"/>
      <c r="T2" s="52"/>
    </row>
    <row r="3" spans="1:22" ht="16.5" thickTop="1" thickBot="1" x14ac:dyDescent="0.3">
      <c r="A3" s="25">
        <v>4.9000000000000004</v>
      </c>
      <c r="B3" s="25">
        <v>3</v>
      </c>
      <c r="C3" s="25">
        <v>1.4</v>
      </c>
      <c r="D3" s="25">
        <v>0.2</v>
      </c>
      <c r="E3" s="50" t="s">
        <v>5</v>
      </c>
      <c r="F3" s="71" t="str">
        <f t="shared" ref="F3:F66" si="0">IF(H3&gt;MAX(I3:J3),$E$2,IF(I3&gt;J3,$E$52,$E$102))</f>
        <v>setosa</v>
      </c>
      <c r="G3" s="25" cm="1">
        <f t="array" ref="G3">$V$6*NMultDensity(A3:D3,$V$8:$V$11,$R$8:$U$11)+$V$19*NMultDensity(A3:D3,$V$21:$V$24,$R$21:$U$24)+$V$32*NMultDensity(A3:D3,$V$34:$V$37,$R$34:$U$37)</f>
        <v>0.61557028992624874</v>
      </c>
      <c r="H3" s="25" cm="1">
        <f t="array" ref="H3">$V$6*NMultDensity(A3:D3,$V$8:$V$11,$R$8:$U$11)/G3</f>
        <v>1</v>
      </c>
      <c r="I3" s="25" cm="1">
        <f t="array" ref="I3">$V$19*NMultDensity(A3:D3,$V$21:$V$24,$R$21:$U$24)/G3</f>
        <v>2.5519359017675353E-18</v>
      </c>
      <c r="J3" s="39" cm="1">
        <f t="array" ref="J3">$V$32*NMultDensity(A3:D3,$V$34:$V$37,$R$34:$U$37)/G3</f>
        <v>7.4291799817150531E-34</v>
      </c>
      <c r="K3" s="71" t="str">
        <f t="shared" ref="K3:K66" si="1">IF(M3&gt;MAX(N3:O3),$E$2,IF(N3&gt;O3,$E$52,$E$102))</f>
        <v>setosa</v>
      </c>
      <c r="L3" s="25" cm="1">
        <f t="array" ref="L3">$V$6*NMultDensity(C3:D3,$V$10:$V$11,$T$10:$U$11)+$V$19*NMultDensity(C3:D3,$V$23:$V$24,$T$23:$U$24)+$V$32*NMultDensity(C3:D3,$V$36:$V$37,$T$36:$U$37)</f>
        <v>0.8170802379888823</v>
      </c>
      <c r="M3" s="25" cm="1">
        <f t="array" ref="M3">$V$6*NMultDensity(C3:D3,$V$10:$V$11,$T$10:$U$11)/L3</f>
        <v>0.99999999651421578</v>
      </c>
      <c r="N3" s="25" cm="1">
        <f t="array" ref="N3">$V$19*NMultDensity(C3:D3,$V$23:$V$24,$T$23:$U$24)/L3</f>
        <v>3.4857842000490986E-9</v>
      </c>
      <c r="O3" s="43" cm="1">
        <f t="array" ref="O3">$V$32*NMultDensity(C3:D3,$V$36:$V$37,$T$36:$U$37)/L3</f>
        <v>1.8645812941947132E-17</v>
      </c>
      <c r="P3" s="39"/>
      <c r="Q3" s="98" t="s">
        <v>31</v>
      </c>
      <c r="R3" s="99"/>
      <c r="S3" s="58">
        <f>COUNTIF(F2:F51,E2)/150+COUNTIF(F52:F101,E52)/150+COUNTIF(F102:F151,E102)/150</f>
        <v>0.98666666666666658</v>
      </c>
      <c r="T3" s="52"/>
    </row>
    <row r="4" spans="1:22" ht="16.5" thickTop="1" thickBot="1" x14ac:dyDescent="0.3">
      <c r="A4" s="25">
        <v>4.7</v>
      </c>
      <c r="B4" s="25">
        <v>3.2</v>
      </c>
      <c r="C4" s="25">
        <v>1.3</v>
      </c>
      <c r="D4" s="25">
        <v>0.2</v>
      </c>
      <c r="E4" s="50" t="s">
        <v>5</v>
      </c>
      <c r="F4" s="71" t="str">
        <f t="shared" si="0"/>
        <v>setosa</v>
      </c>
      <c r="G4" s="25" cm="1">
        <f t="array" ref="G4">$V$6*NMultDensity(A4:D4,$V$8:$V$11,$R$8:$U$11)+$V$19*NMultDensity(A4:D4,$V$21:$V$24,$R$21:$U$24)+$V$32*NMultDensity(A4:D4,$V$34:$V$37,$R$34:$U$37)</f>
        <v>0.9168360439523231</v>
      </c>
      <c r="H4" s="25" cm="1">
        <f t="array" ref="H4">$V$6*NMultDensity(A4:D4,$V$8:$V$11,$R$8:$U$11)/G4</f>
        <v>1</v>
      </c>
      <c r="I4" s="25" cm="1">
        <f t="array" ref="I4">$V$19*NMultDensity(A4:D4,$V$21:$V$24,$R$21:$U$24)/G4</f>
        <v>5.1742641201024892E-21</v>
      </c>
      <c r="J4" s="39" cm="1">
        <f t="array" ref="J4">$V$32*NMultDensity(A4:D4,$V$34:$V$37,$R$34:$U$37)/G4</f>
        <v>1.9155827215076372E-35</v>
      </c>
      <c r="K4" s="71" t="str">
        <f t="shared" si="1"/>
        <v>setosa</v>
      </c>
      <c r="L4" s="25" cm="1">
        <f t="array" ref="L4">$V$6*NMultDensity(C4:D4,$V$10:$V$11,$T$10:$U$11)+$V$19*NMultDensity(C4:D4,$V$23:$V$24,$T$23:$U$24)+$V$32*NMultDensity(C4:D4,$V$36:$V$37,$T$36:$U$37)</f>
        <v>0.59119058449372441</v>
      </c>
      <c r="M4" s="25" cm="1">
        <f t="array" ref="M4">$V$6*NMultDensity(C4:D4,$V$10:$V$11,$T$10:$U$11)/L4</f>
        <v>0.99999999814910534</v>
      </c>
      <c r="N4" s="25" cm="1">
        <f t="array" ref="N4">$V$19*NMultDensity(C4:D4,$V$23:$V$24,$T$23:$U$24)/L4</f>
        <v>1.8508946318430353E-9</v>
      </c>
      <c r="O4" s="43" cm="1">
        <f t="array" ref="O4">$V$32*NMultDensity(C4:D4,$V$36:$V$37,$T$36:$U$37)/L4</f>
        <v>8.5240957665247448E-18</v>
      </c>
      <c r="P4" s="39"/>
      <c r="Q4" s="100" t="s">
        <v>34</v>
      </c>
      <c r="R4" s="101"/>
      <c r="S4" s="58">
        <f>COUNTIF(K2:K51,E2)/150+COUNTIF(K52:K101,E52)/150+COUNTIF(K102:K151,E102)/150</f>
        <v>0.97333333333333338</v>
      </c>
    </row>
    <row r="5" spans="1:22" ht="15.75" thickTop="1" x14ac:dyDescent="0.25">
      <c r="A5" s="25">
        <v>4.5999999999999996</v>
      </c>
      <c r="B5" s="25">
        <v>3.1</v>
      </c>
      <c r="C5" s="25">
        <v>1.5</v>
      </c>
      <c r="D5" s="25">
        <v>0.2</v>
      </c>
      <c r="E5" s="50" t="s">
        <v>5</v>
      </c>
      <c r="F5" s="71" t="str">
        <f t="shared" si="0"/>
        <v>setosa</v>
      </c>
      <c r="G5" s="25" cm="1">
        <f t="array" ref="G5">$V$6*NMultDensity(A5:D5,$V$8:$V$11,$R$8:$U$11)+$V$19*NMultDensity(A5:D5,$V$21:$V$24,$R$21:$U$24)+$V$32*NMultDensity(A5:D5,$V$34:$V$37,$R$34:$U$37)</f>
        <v>0.74247761889639341</v>
      </c>
      <c r="H5" s="25" cm="1">
        <f t="array" ref="H5">$V$6*NMultDensity(A5:D5,$V$8:$V$11,$R$8:$U$11)/G5</f>
        <v>1</v>
      </c>
      <c r="I5" s="25" cm="1">
        <f t="array" ref="I5">$V$19*NMultDensity(A5:D5,$V$21:$V$24,$R$21:$U$24)/G5</f>
        <v>2.7667985130205704E-18</v>
      </c>
      <c r="J5" s="39" cm="1">
        <f t="array" ref="J5">$V$32*NMultDensity(A5:D5,$V$34:$V$37,$R$34:$U$37)/G5</f>
        <v>4.8403860551496291E-31</v>
      </c>
      <c r="K5" s="71" t="str">
        <f t="shared" si="1"/>
        <v>setosa</v>
      </c>
      <c r="L5" s="25" cm="1">
        <f t="array" ref="L5">$V$6*NMultDensity(C5:D5,$V$10:$V$11,$T$10:$U$11)+$V$19*NMultDensity(C5:D5,$V$23:$V$24,$T$23:$U$24)+$V$32*NMultDensity(C5:D5,$V$36:$V$37,$T$36:$U$37)</f>
        <v>0.77804950616500024</v>
      </c>
      <c r="M5" s="25" cm="1">
        <f t="array" ref="M5">$V$6*NMultDensity(C5:D5,$V$10:$V$11,$T$10:$U$11)/L5</f>
        <v>0.99999999153915908</v>
      </c>
      <c r="N5" s="25" cm="1">
        <f t="array" ref="N5">$V$19*NMultDensity(C5:D5,$V$23:$V$24,$T$23:$U$24)/L5</f>
        <v>8.4608409124149646E-9</v>
      </c>
      <c r="O5" s="43" cm="1">
        <f t="array" ref="O5">$V$32*NMultDensity(C5:D5,$V$36:$V$37,$T$36:$U$37)/L5</f>
        <v>5.7068957586895949E-17</v>
      </c>
      <c r="P5" s="39"/>
      <c r="Q5" s="39"/>
      <c r="R5" s="39"/>
    </row>
    <row r="6" spans="1:22" ht="15.75" thickBot="1" x14ac:dyDescent="0.3">
      <c r="A6" s="25">
        <v>5</v>
      </c>
      <c r="B6" s="25">
        <v>3.6</v>
      </c>
      <c r="C6" s="25">
        <v>1.4</v>
      </c>
      <c r="D6" s="25">
        <v>0.2</v>
      </c>
      <c r="E6" s="50" t="s">
        <v>5</v>
      </c>
      <c r="F6" s="71" t="str">
        <f t="shared" si="0"/>
        <v>setosa</v>
      </c>
      <c r="G6" s="25" cm="1">
        <f t="array" ref="G6">$V$6*NMultDensity(A6:D6,$V$8:$V$11,$R$8:$U$11)+$V$19*NMultDensity(A6:D6,$V$21:$V$24,$R$21:$U$24)+$V$32*NMultDensity(A6:D6,$V$34:$V$37,$R$34:$U$37)</f>
        <v>1.1906486543203501</v>
      </c>
      <c r="H6" s="25" cm="1">
        <f t="array" ref="H6">$V$6*NMultDensity(A6:D6,$V$8:$V$11,$R$8:$U$11)/G6</f>
        <v>1</v>
      </c>
      <c r="I6" s="25" cm="1">
        <f t="array" ref="I6">$V$19*NMultDensity(A6:D6,$V$21:$V$24,$R$21:$U$24)/G6</f>
        <v>1.1218712674828487E-26</v>
      </c>
      <c r="J6" s="39" cm="1">
        <f t="array" ref="J6">$V$32*NMultDensity(A6:D6,$V$34:$V$37,$R$34:$U$37)/G6</f>
        <v>1.1390831903933789E-40</v>
      </c>
      <c r="K6" s="71" t="str">
        <f t="shared" si="1"/>
        <v>setosa</v>
      </c>
      <c r="L6" s="25" cm="1">
        <f t="array" ref="L6">$V$6*NMultDensity(C6:D6,$V$10:$V$11,$T$10:$U$11)+$V$19*NMultDensity(C6:D6,$V$23:$V$24,$T$23:$U$24)+$V$32*NMultDensity(C6:D6,$V$36:$V$37,$T$36:$U$37)</f>
        <v>0.8170802379888823</v>
      </c>
      <c r="M6" s="25" cm="1">
        <f t="array" ref="M6">$V$6*NMultDensity(C6:D6,$V$10:$V$11,$T$10:$U$11)/L6</f>
        <v>0.99999999651421578</v>
      </c>
      <c r="N6" s="25" cm="1">
        <f t="array" ref="N6">$V$19*NMultDensity(C6:D6,$V$23:$V$24,$T$23:$U$24)/L6</f>
        <v>3.4857842000490986E-9</v>
      </c>
      <c r="O6" s="43" cm="1">
        <f t="array" ref="O6">$V$32*NMultDensity(C6:D6,$V$36:$V$37,$T$36:$U$37)/L6</f>
        <v>1.8645812941947132E-17</v>
      </c>
      <c r="P6" s="39"/>
      <c r="Q6" s="96" t="s">
        <v>8</v>
      </c>
      <c r="R6" s="96"/>
      <c r="S6" s="96"/>
      <c r="T6" s="96" t="s">
        <v>17</v>
      </c>
      <c r="U6" s="96"/>
      <c r="V6" s="24">
        <v>0.1</v>
      </c>
    </row>
    <row r="7" spans="1:22" ht="15.75" thickBot="1" x14ac:dyDescent="0.3">
      <c r="A7" s="25">
        <v>5.4</v>
      </c>
      <c r="B7" s="25">
        <v>3.9</v>
      </c>
      <c r="C7" s="25">
        <v>1.7</v>
      </c>
      <c r="D7" s="25">
        <v>0.4</v>
      </c>
      <c r="E7" s="50" t="s">
        <v>5</v>
      </c>
      <c r="F7" s="71" t="str">
        <f t="shared" si="0"/>
        <v>setosa</v>
      </c>
      <c r="G7" s="25" cm="1">
        <f t="array" ref="G7">$V$6*NMultDensity(A7:D7,$V$8:$V$11,$R$8:$U$11)+$V$19*NMultDensity(A7:D7,$V$21:$V$24,$R$21:$U$24)+$V$32*NMultDensity(A7:D7,$V$34:$V$37,$R$34:$U$37)</f>
        <v>0.27226409599070128</v>
      </c>
      <c r="H7" s="25" cm="1">
        <f t="array" ref="H7">$V$6*NMultDensity(A7:D7,$V$8:$V$11,$R$8:$U$11)/G7</f>
        <v>1</v>
      </c>
      <c r="I7" s="25" cm="1">
        <f t="array" ref="I7">$V$19*NMultDensity(A7:D7,$V$21:$V$24,$R$21:$U$24)/G7</f>
        <v>4.9084431221443379E-26</v>
      </c>
      <c r="J7" s="39" cm="1">
        <f t="array" ref="J7">$V$32*NMultDensity(A7:D7,$V$34:$V$37,$R$34:$U$37)/G7</f>
        <v>7.2075903534922484E-40</v>
      </c>
      <c r="K7" s="71" t="str">
        <f t="shared" si="1"/>
        <v>setosa</v>
      </c>
      <c r="L7" s="25" cm="1">
        <f t="array" ref="L7">$V$6*NMultDensity(C7:D7,$V$10:$V$11,$T$10:$U$11)+$V$19*NMultDensity(C7:D7,$V$23:$V$24,$T$23:$U$24)+$V$32*NMultDensity(C7:D7,$V$36:$V$37,$T$36:$U$37)</f>
        <v>0.20392692602054102</v>
      </c>
      <c r="M7" s="25" cm="1">
        <f t="array" ref="M7">$V$6*NMultDensity(C7:D7,$V$10:$V$11,$T$10:$U$11)/L7</f>
        <v>0.99999867550260335</v>
      </c>
      <c r="N7" s="25" cm="1">
        <f t="array" ref="N7">$V$19*NMultDensity(C7:D7,$V$23:$V$24,$T$23:$U$24)/L7</f>
        <v>1.3244973526444581E-6</v>
      </c>
      <c r="O7" s="43" cm="1">
        <f t="array" ref="O7">$V$32*NMultDensity(C7:D7,$V$36:$V$37,$T$36:$U$37)/L7</f>
        <v>4.4009735418997876E-14</v>
      </c>
      <c r="P7" s="39"/>
      <c r="Q7" s="52"/>
      <c r="R7" s="22" t="s">
        <v>15</v>
      </c>
      <c r="S7" s="23" t="s">
        <v>16</v>
      </c>
      <c r="T7" s="23" t="s">
        <v>9</v>
      </c>
      <c r="U7" s="57" t="s">
        <v>10</v>
      </c>
      <c r="V7" s="56" t="s">
        <v>11</v>
      </c>
    </row>
    <row r="8" spans="1:22" x14ac:dyDescent="0.25">
      <c r="A8" s="25">
        <v>4.5999999999999996</v>
      </c>
      <c r="B8" s="25">
        <v>3.4</v>
      </c>
      <c r="C8" s="25">
        <v>1.4</v>
      </c>
      <c r="D8" s="25">
        <v>0.3</v>
      </c>
      <c r="E8" s="50" t="s">
        <v>5</v>
      </c>
      <c r="F8" s="71" t="str">
        <f t="shared" si="0"/>
        <v>setosa</v>
      </c>
      <c r="G8" s="25" cm="1">
        <f t="array" ref="G8">$V$6*NMultDensity(A8:D8,$V$8:$V$11,$R$8:$U$11)+$V$19*NMultDensity(A8:D8,$V$21:$V$24,$R$21:$U$24)+$V$32*NMultDensity(A8:D8,$V$34:$V$37,$R$34:$U$37)</f>
        <v>0.31450442660011091</v>
      </c>
      <c r="H8" s="25" cm="1">
        <f t="array" ref="H8">$V$6*NMultDensity(A8:D8,$V$8:$V$11,$R$8:$U$11)/G8</f>
        <v>1</v>
      </c>
      <c r="I8" s="25" cm="1">
        <f t="array" ref="I8">$V$19*NMultDensity(A8:D8,$V$21:$V$24,$R$21:$U$24)/G8</f>
        <v>8.7767289474493201E-21</v>
      </c>
      <c r="J8" s="39" cm="1">
        <f t="array" ref="J8">$V$32*NMultDensity(A8:D8,$V$34:$V$37,$R$34:$U$37)/G8</f>
        <v>1.4226545622654106E-33</v>
      </c>
      <c r="K8" s="71" t="str">
        <f t="shared" si="1"/>
        <v>setosa</v>
      </c>
      <c r="L8" s="25" cm="1">
        <f t="array" ref="L8">$V$6*NMultDensity(C8:D8,$V$10:$V$11,$T$10:$U$11)+$V$19*NMultDensity(C8:D8,$V$23:$V$24,$T$23:$U$24)+$V$32*NMultDensity(C8:D8,$V$36:$V$37,$T$36:$U$37)</f>
        <v>0.69162449014523919</v>
      </c>
      <c r="M8" s="25" cm="1">
        <f t="array" ref="M8">$V$6*NMultDensity(C8:D8,$V$10:$V$11,$T$10:$U$11)/L8</f>
        <v>0.99999999020280417</v>
      </c>
      <c r="N8" s="25" cm="1">
        <f t="array" ref="N8">$V$19*NMultDensity(C8:D8,$V$23:$V$24,$T$23:$U$24)/L8</f>
        <v>9.797195710746826E-9</v>
      </c>
      <c r="O8" s="43" cm="1">
        <f t="array" ref="O8">$V$32*NMultDensity(C8:D8,$V$36:$V$37,$T$36:$U$37)/L8</f>
        <v>1.1384494237617772E-16</v>
      </c>
      <c r="P8" s="39"/>
      <c r="Q8" s="30" t="s">
        <v>15</v>
      </c>
      <c r="R8" s="2">
        <f>_xlfn.COVARIANCE.S($A$2:$A$51,A2:A51)</f>
        <v>0.12424897959183666</v>
      </c>
      <c r="S8" s="3">
        <f>_xlfn.COVARIANCE.S($A$2:$A$51,B2:B51)</f>
        <v>9.9216326530612187E-2</v>
      </c>
      <c r="T8" s="3">
        <f>_xlfn.COVARIANCE.S($A$2:$A$51,C2:C51)</f>
        <v>1.6355102040816319E-2</v>
      </c>
      <c r="U8" s="3">
        <f>_xlfn.COVARIANCE.S($A$2:$A$51,D2:D51)</f>
        <v>1.033061224489795E-2</v>
      </c>
      <c r="V8" s="7">
        <f>AVERAGE($A$2:$A$51)</f>
        <v>5.0059999999999993</v>
      </c>
    </row>
    <row r="9" spans="1:22" x14ac:dyDescent="0.25">
      <c r="A9" s="25">
        <v>5</v>
      </c>
      <c r="B9" s="25">
        <v>3.4</v>
      </c>
      <c r="C9" s="25">
        <v>1.5</v>
      </c>
      <c r="D9" s="25">
        <v>0.2</v>
      </c>
      <c r="E9" s="50" t="s">
        <v>5</v>
      </c>
      <c r="F9" s="71" t="str">
        <f t="shared" si="0"/>
        <v>setosa</v>
      </c>
      <c r="G9" s="25" cm="1">
        <f t="array" ref="G9">$V$6*NMultDensity(A9:D9,$V$8:$V$11,$R$8:$U$11)+$V$19*NMultDensity(A9:D9,$V$21:$V$24,$R$21:$U$24)+$V$32*NMultDensity(A9:D9,$V$34:$V$37,$R$34:$U$37)</f>
        <v>1.4675895824206795</v>
      </c>
      <c r="H9" s="25" cm="1">
        <f t="array" ref="H9">$V$6*NMultDensity(A9:D9,$V$8:$V$11,$R$8:$U$11)/G9</f>
        <v>1</v>
      </c>
      <c r="I9" s="25" cm="1">
        <f t="array" ref="I9">$V$19*NMultDensity(A9:D9,$V$21:$V$24,$R$21:$U$24)/G9</f>
        <v>3.7855810615923253E-23</v>
      </c>
      <c r="J9" s="39" cm="1">
        <f t="array" ref="J9">$V$32*NMultDensity(A9:D9,$V$34:$V$37,$R$34:$U$37)/G9</f>
        <v>3.7052673655185456E-37</v>
      </c>
      <c r="K9" s="71" t="str">
        <f t="shared" si="1"/>
        <v>setosa</v>
      </c>
      <c r="L9" s="25" cm="1">
        <f t="array" ref="L9">$V$6*NMultDensity(C9:D9,$V$10:$V$11,$T$10:$U$11)+$V$19*NMultDensity(C9:D9,$V$23:$V$24,$T$23:$U$24)+$V$32*NMultDensity(C9:D9,$V$36:$V$37,$T$36:$U$37)</f>
        <v>0.77804950616500024</v>
      </c>
      <c r="M9" s="25" cm="1">
        <f t="array" ref="M9">$V$6*NMultDensity(C9:D9,$V$10:$V$11,$T$10:$U$11)/L9</f>
        <v>0.99999999153915908</v>
      </c>
      <c r="N9" s="25" cm="1">
        <f t="array" ref="N9">$V$19*NMultDensity(C9:D9,$V$23:$V$24,$T$23:$U$24)/L9</f>
        <v>8.4608409124149646E-9</v>
      </c>
      <c r="O9" s="43" cm="1">
        <f t="array" ref="O9">$V$32*NMultDensity(C9:D9,$V$36:$V$37,$T$36:$U$37)/L9</f>
        <v>5.7068957586895949E-17</v>
      </c>
      <c r="P9" s="39"/>
      <c r="Q9" s="31" t="s">
        <v>16</v>
      </c>
      <c r="R9" s="4">
        <f>_xlfn.COVARIANCE.S($B$2:$B$51,A2:A51)</f>
        <v>9.9216326530612187E-2</v>
      </c>
      <c r="S9" s="5">
        <f>_xlfn.COVARIANCE.S($B$2:$B$51,B2:B51)</f>
        <v>0.14368979591836734</v>
      </c>
      <c r="T9" s="5">
        <f>_xlfn.COVARIANCE.S($B$2:$B$51,C2:C51)</f>
        <v>1.1697959183673459E-2</v>
      </c>
      <c r="U9" s="5">
        <f>_xlfn.COVARIANCE.S($B$2:$B$51,D2:D51)</f>
        <v>9.2979591836734737E-3</v>
      </c>
      <c r="V9" s="8">
        <f>AVERAGE($B$2:$B$51)</f>
        <v>3.4280000000000008</v>
      </c>
    </row>
    <row r="10" spans="1:22" x14ac:dyDescent="0.25">
      <c r="A10" s="25">
        <v>4.4000000000000004</v>
      </c>
      <c r="B10" s="25">
        <v>2.9</v>
      </c>
      <c r="C10" s="25">
        <v>1.4</v>
      </c>
      <c r="D10" s="25">
        <v>0.2</v>
      </c>
      <c r="E10" s="50" t="s">
        <v>5</v>
      </c>
      <c r="F10" s="71" t="str">
        <f t="shared" si="0"/>
        <v>setosa</v>
      </c>
      <c r="G10" s="25" cm="1">
        <f t="array" ref="G10">$V$6*NMultDensity(A10:D10,$V$8:$V$11,$R$8:$U$11)+$V$19*NMultDensity(A10:D10,$V$21:$V$24,$R$21:$U$24)+$V$32*NMultDensity(A10:D10,$V$34:$V$37,$R$34:$U$37)</f>
        <v>0.3894977029408902</v>
      </c>
      <c r="H10" s="25" cm="1">
        <f t="array" ref="H10">$V$6*NMultDensity(A10:D10,$V$8:$V$11,$R$8:$U$11)/G10</f>
        <v>0.99999999999999956</v>
      </c>
      <c r="I10" s="25" cm="1">
        <f t="array" ref="I10">$V$19*NMultDensity(A10:D10,$V$21:$V$24,$R$21:$U$24)/G10</f>
        <v>4.3647470841344833E-16</v>
      </c>
      <c r="J10" s="39" cm="1">
        <f t="array" ref="J10">$V$32*NMultDensity(A10:D10,$V$34:$V$37,$R$34:$U$37)/G10</f>
        <v>4.7345042144786431E-29</v>
      </c>
      <c r="K10" s="71" t="str">
        <f t="shared" si="1"/>
        <v>setosa</v>
      </c>
      <c r="L10" s="25" cm="1">
        <f t="array" ref="L10">$V$6*NMultDensity(C10:D10,$V$10:$V$11,$T$10:$U$11)+$V$19*NMultDensity(C10:D10,$V$23:$V$24,$T$23:$U$24)+$V$32*NMultDensity(C10:D10,$V$36:$V$37,$T$36:$U$37)</f>
        <v>0.8170802379888823</v>
      </c>
      <c r="M10" s="25" cm="1">
        <f t="array" ref="M10">$V$6*NMultDensity(C10:D10,$V$10:$V$11,$T$10:$U$11)/L10</f>
        <v>0.99999999651421578</v>
      </c>
      <c r="N10" s="25" cm="1">
        <f t="array" ref="N10">$V$19*NMultDensity(C10:D10,$V$23:$V$24,$T$23:$U$24)/L10</f>
        <v>3.4857842000490986E-9</v>
      </c>
      <c r="O10" s="43" cm="1">
        <f t="array" ref="O10">$V$32*NMultDensity(C10:D10,$V$36:$V$37,$T$36:$U$37)/L10</f>
        <v>1.8645812941947132E-17</v>
      </c>
      <c r="P10" s="39"/>
      <c r="Q10" s="31" t="s">
        <v>9</v>
      </c>
      <c r="R10" s="4">
        <f>_xlfn.COVARIANCE.S($C$2:$C$51,A2:A51)</f>
        <v>1.6355102040816319E-2</v>
      </c>
      <c r="S10" s="5">
        <f>_xlfn.COVARIANCE.S($C$2:$C$51,B2:B51)</f>
        <v>1.1697959183673459E-2</v>
      </c>
      <c r="T10" s="6">
        <f>_xlfn.COVARIANCE.S($C$2:$C$51,C2:C51)</f>
        <v>3.0159183673469397E-2</v>
      </c>
      <c r="U10" s="6">
        <f>_xlfn.COVARIANCE.S($C$2:$C$51,D2:D51)</f>
        <v>6.0693877551020407E-3</v>
      </c>
      <c r="V10" s="8">
        <f>AVERAGE($C$2:$C$51)</f>
        <v>1.4620000000000002</v>
      </c>
    </row>
    <row r="11" spans="1:22" ht="15.75" thickBot="1" x14ac:dyDescent="0.3">
      <c r="A11" s="25">
        <v>4.9000000000000004</v>
      </c>
      <c r="B11" s="25">
        <v>3.1</v>
      </c>
      <c r="C11" s="25">
        <v>1.5</v>
      </c>
      <c r="D11" s="25">
        <v>0.1</v>
      </c>
      <c r="E11" s="50" t="s">
        <v>5</v>
      </c>
      <c r="F11" s="71" t="str">
        <f t="shared" si="0"/>
        <v>setosa</v>
      </c>
      <c r="G11" s="25" cm="1">
        <f t="array" ref="G11">$V$6*NMultDensity(A11:D11,$V$8:$V$11,$R$8:$U$11)+$V$19*NMultDensity(A11:D11,$V$21:$V$24,$R$21:$U$24)+$V$32*NMultDensity(A11:D11,$V$34:$V$37,$R$34:$U$37)</f>
        <v>0.35179663071603517</v>
      </c>
      <c r="H11" s="25" cm="1">
        <f t="array" ref="H11">$V$6*NMultDensity(A11:D11,$V$8:$V$11,$R$8:$U$11)/G11</f>
        <v>1</v>
      </c>
      <c r="I11" s="25" cm="1">
        <f t="array" ref="I11">$V$19*NMultDensity(A11:D11,$V$21:$V$24,$R$21:$U$24)/G11</f>
        <v>2.7490427422631434E-20</v>
      </c>
      <c r="J11" s="39" cm="1">
        <f t="array" ref="J11">$V$32*NMultDensity(A11:D11,$V$34:$V$37,$R$34:$U$37)/G11</f>
        <v>3.2644122242514059E-34</v>
      </c>
      <c r="K11" s="71" t="str">
        <f t="shared" si="1"/>
        <v>setosa</v>
      </c>
      <c r="L11" s="25" cm="1">
        <f t="array" ref="L11">$V$6*NMultDensity(C11:D11,$V$10:$V$11,$T$10:$U$11)+$V$19*NMultDensity(C11:D11,$V$23:$V$24,$T$23:$U$24)+$V$32*NMultDensity(C11:D11,$V$36:$V$37,$T$36:$U$37)</f>
        <v>0.27266005600076271</v>
      </c>
      <c r="M11" s="25" cm="1">
        <f t="array" ref="M11">$V$6*NMultDensity(C11:D11,$V$10:$V$11,$T$10:$U$11)/L11</f>
        <v>0.9999999958450323</v>
      </c>
      <c r="N11" s="25" cm="1">
        <f t="array" ref="N11">$V$19*NMultDensity(C11:D11,$V$23:$V$24,$T$23:$U$24)/L11</f>
        <v>4.154967774659448E-9</v>
      </c>
      <c r="O11" s="43" cm="1">
        <f t="array" ref="O11">$V$32*NMultDensity(C11:D11,$V$36:$V$37,$T$36:$U$37)/L11</f>
        <v>2.6540644787909449E-17</v>
      </c>
      <c r="P11" s="39"/>
      <c r="Q11" s="54" t="s">
        <v>10</v>
      </c>
      <c r="R11" s="4">
        <f>_xlfn.COVARIANCE.S($D$2:$D$51,A2:A51)</f>
        <v>1.033061224489795E-2</v>
      </c>
      <c r="S11" s="5">
        <f>_xlfn.COVARIANCE.S($D$2:$D$51,B2:B51)</f>
        <v>9.2979591836734737E-3</v>
      </c>
      <c r="T11" s="6">
        <f>_xlfn.COVARIANCE.S($D$2:$D$51,C2:C51)</f>
        <v>6.0693877551020407E-3</v>
      </c>
      <c r="U11" s="6">
        <f>_xlfn.COVARIANCE.S($D$2:$D$51,D2:D51)</f>
        <v>1.11061224489796E-2</v>
      </c>
      <c r="V11" s="9">
        <f>AVERAGE($D$2:$D$51)</f>
        <v>0.24599999999999991</v>
      </c>
    </row>
    <row r="12" spans="1:22" ht="15.75" thickBot="1" x14ac:dyDescent="0.3">
      <c r="A12" s="25">
        <v>5.4</v>
      </c>
      <c r="B12" s="25">
        <v>3.7</v>
      </c>
      <c r="C12" s="25">
        <v>1.5</v>
      </c>
      <c r="D12" s="25">
        <v>0.2</v>
      </c>
      <c r="E12" s="50" t="s">
        <v>5</v>
      </c>
      <c r="F12" s="71" t="str">
        <f t="shared" si="0"/>
        <v>setosa</v>
      </c>
      <c r="G12" s="25" cm="1">
        <f t="array" ref="G12">$V$6*NMultDensity(A12:D12,$V$8:$V$11,$R$8:$U$11)+$V$19*NMultDensity(A12:D12,$V$21:$V$24,$R$21:$U$24)+$V$32*NMultDensity(A12:D12,$V$34:$V$37,$R$34:$U$37)</f>
        <v>0.67696523298917011</v>
      </c>
      <c r="H12" s="25" cm="1">
        <f t="array" ref="H12">$V$6*NMultDensity(A12:D12,$V$8:$V$11,$R$8:$U$11)/G12</f>
        <v>1</v>
      </c>
      <c r="I12" s="25" cm="1">
        <f t="array" ref="I12">$V$19*NMultDensity(A12:D12,$V$21:$V$24,$R$21:$U$24)/G12</f>
        <v>1.9891576416042183E-28</v>
      </c>
      <c r="J12" s="39" cm="1">
        <f t="array" ref="J12">$V$32*NMultDensity(A12:D12,$V$34:$V$37,$R$34:$U$37)/G12</f>
        <v>1.2443119272520174E-43</v>
      </c>
      <c r="K12" s="71" t="str">
        <f t="shared" si="1"/>
        <v>setosa</v>
      </c>
      <c r="L12" s="25" cm="1">
        <f t="array" ref="L12">$V$6*NMultDensity(C12:D12,$V$10:$V$11,$T$10:$U$11)+$V$19*NMultDensity(C12:D12,$V$23:$V$24,$T$23:$U$24)+$V$32*NMultDensity(C12:D12,$V$36:$V$37,$T$36:$U$37)</f>
        <v>0.77804950616500024</v>
      </c>
      <c r="M12" s="25" cm="1">
        <f t="array" ref="M12">$V$6*NMultDensity(C12:D12,$V$10:$V$11,$T$10:$U$11)/L12</f>
        <v>0.99999999153915908</v>
      </c>
      <c r="N12" s="25" cm="1">
        <f t="array" ref="N12">$V$19*NMultDensity(C12:D12,$V$23:$V$24,$T$23:$U$24)/L12</f>
        <v>8.4608409124149646E-9</v>
      </c>
      <c r="O12" s="43" cm="1">
        <f t="array" ref="O12">$V$32*NMultDensity(C12:D12,$V$36:$V$37,$T$36:$U$37)/L12</f>
        <v>5.7068957586895949E-17</v>
      </c>
      <c r="P12" s="39"/>
      <c r="Q12" s="53" t="s">
        <v>11</v>
      </c>
      <c r="R12" s="10">
        <f>AVERAGE($A$2:$A$51)</f>
        <v>5.0059999999999993</v>
      </c>
      <c r="S12" s="11">
        <f>AVERAGE($B$2:$B$51)</f>
        <v>3.4280000000000008</v>
      </c>
      <c r="T12" s="11">
        <f>AVERAGE($C$2:$C$51)</f>
        <v>1.4620000000000002</v>
      </c>
      <c r="U12" s="12">
        <f>AVERAGE($D$2:$D$51)</f>
        <v>0.24599999999999991</v>
      </c>
    </row>
    <row r="13" spans="1:22" x14ac:dyDescent="0.25">
      <c r="A13" s="25">
        <v>4.8</v>
      </c>
      <c r="B13" s="25">
        <v>3.4</v>
      </c>
      <c r="C13" s="25">
        <v>1.6</v>
      </c>
      <c r="D13" s="25">
        <v>0.2</v>
      </c>
      <c r="E13" s="50" t="s">
        <v>5</v>
      </c>
      <c r="F13" s="71" t="str">
        <f t="shared" si="0"/>
        <v>setosa</v>
      </c>
      <c r="G13" s="25" cm="1">
        <f t="array" ref="G13">$V$6*NMultDensity(A13:D13,$V$8:$V$11,$R$8:$U$11)+$V$19*NMultDensity(A13:D13,$V$21:$V$24,$R$21:$U$24)+$V$32*NMultDensity(A13:D13,$V$34:$V$37,$R$34:$U$37)</f>
        <v>0.63629133235600466</v>
      </c>
      <c r="H13" s="25" cm="1">
        <f t="array" ref="H13">$V$6*NMultDensity(A13:D13,$V$8:$V$11,$R$8:$U$11)/G13</f>
        <v>1</v>
      </c>
      <c r="I13" s="25" cm="1">
        <f t="array" ref="I13">$V$19*NMultDensity(A13:D13,$V$21:$V$24,$R$21:$U$24)/G13</f>
        <v>7.1215394730243987E-22</v>
      </c>
      <c r="J13" s="39" cm="1">
        <f t="array" ref="J13">$V$32*NMultDensity(A13:D13,$V$34:$V$37,$R$34:$U$37)/G13</f>
        <v>6.1285746884105777E-34</v>
      </c>
      <c r="K13" s="71" t="str">
        <f t="shared" si="1"/>
        <v>setosa</v>
      </c>
      <c r="L13" s="25" cm="1">
        <f t="array" ref="L13">$V$6*NMultDensity(C13:D13,$V$10:$V$11,$T$10:$U$11)+$V$19*NMultDensity(C13:D13,$V$23:$V$24,$T$23:$U$24)+$V$32*NMultDensity(C13:D13,$V$36:$V$37,$T$36:$U$37)</f>
        <v>0.51045220826764293</v>
      </c>
      <c r="M13" s="25" cm="1">
        <f t="array" ref="M13">$V$6*NMultDensity(C13:D13,$V$10:$V$11,$T$10:$U$11)/L13</f>
        <v>0.99999997353202041</v>
      </c>
      <c r="N13" s="25" cm="1">
        <f t="array" ref="N13">$V$19*NMultDensity(C13:D13,$V$23:$V$24,$T$23:$U$24)/L13</f>
        <v>2.6467979401675391E-8</v>
      </c>
      <c r="O13" s="43" cm="1">
        <f t="array" ref="O13">$V$32*NMultDensity(C13:D13,$V$36:$V$37,$T$36:$U$37)/L13</f>
        <v>2.4440166863525878E-16</v>
      </c>
      <c r="P13" s="39"/>
      <c r="Q13" s="32" t="s">
        <v>12</v>
      </c>
      <c r="R13" s="4">
        <f>MIN(A2:A51)</f>
        <v>4.3</v>
      </c>
      <c r="S13" s="5">
        <f>MIN(B2:B51)</f>
        <v>2.2999999999999998</v>
      </c>
      <c r="T13" s="13">
        <f>MIN(C2:C51)</f>
        <v>1</v>
      </c>
      <c r="U13" s="14">
        <f>MIN(D2:D51)</f>
        <v>0.1</v>
      </c>
    </row>
    <row r="14" spans="1:22" ht="15.75" thickBot="1" x14ac:dyDescent="0.3">
      <c r="A14" s="25">
        <v>4.8</v>
      </c>
      <c r="B14" s="25">
        <v>3</v>
      </c>
      <c r="C14" s="25">
        <v>1.4</v>
      </c>
      <c r="D14" s="25">
        <v>0.1</v>
      </c>
      <c r="E14" s="50" t="s">
        <v>5</v>
      </c>
      <c r="F14" s="71" t="str">
        <f t="shared" si="0"/>
        <v>setosa</v>
      </c>
      <c r="G14" s="25" cm="1">
        <f t="array" ref="G14">$V$6*NMultDensity(A14:D14,$V$8:$V$11,$R$8:$U$11)+$V$19*NMultDensity(A14:D14,$V$21:$V$24,$R$21:$U$24)+$V$32*NMultDensity(A14:D14,$V$34:$V$37,$R$34:$U$37)</f>
        <v>0.39918686851651297</v>
      </c>
      <c r="H14" s="25" cm="1">
        <f t="array" ref="H14">$V$6*NMultDensity(A14:D14,$V$8:$V$11,$R$8:$U$11)/G14</f>
        <v>1</v>
      </c>
      <c r="I14" s="25" cm="1">
        <f t="array" ref="I14">$V$19*NMultDensity(A14:D14,$V$21:$V$24,$R$21:$U$24)/G14</f>
        <v>1.7518569437778585E-19</v>
      </c>
      <c r="J14" s="39" cm="1">
        <f t="array" ref="J14">$V$32*NMultDensity(A14:D14,$V$34:$V$37,$R$34:$U$37)/G14</f>
        <v>5.1700383654816498E-34</v>
      </c>
      <c r="K14" s="71" t="str">
        <f t="shared" si="1"/>
        <v>setosa</v>
      </c>
      <c r="L14" s="25" cm="1">
        <f t="array" ref="L14">$V$6*NMultDensity(C14:D14,$V$10:$V$11,$T$10:$U$11)+$V$19*NMultDensity(C14:D14,$V$23:$V$24,$T$23:$U$24)+$V$32*NMultDensity(C14:D14,$V$36:$V$37,$T$36:$U$37)</f>
        <v>0.35099280184046333</v>
      </c>
      <c r="M14" s="25" cm="1">
        <f t="array" ref="M14">$V$6*NMultDensity(C14:D14,$V$10:$V$11,$T$10:$U$11)/L14</f>
        <v>0.99999999825621322</v>
      </c>
      <c r="N14" s="25" cm="1">
        <f t="array" ref="N14">$V$19*NMultDensity(C14:D14,$V$23:$V$24,$T$23:$U$24)/L14</f>
        <v>1.7437868341376203E-9</v>
      </c>
      <c r="O14" s="43" cm="1">
        <f t="array" ref="O14">$V$32*NMultDensity(C14:D14,$V$36:$V$37,$T$36:$U$37)/L14</f>
        <v>7.243874620498503E-18</v>
      </c>
      <c r="P14" s="39"/>
      <c r="Q14" s="33" t="s">
        <v>13</v>
      </c>
      <c r="R14" s="15">
        <f>MAX(A2:A51)</f>
        <v>5.8</v>
      </c>
      <c r="S14" s="16">
        <f>MAX(B2:B51)</f>
        <v>4.4000000000000004</v>
      </c>
      <c r="T14" s="17">
        <f>MAX(C2:C51)</f>
        <v>1.9</v>
      </c>
      <c r="U14" s="18">
        <f>MAX(D2:D51)</f>
        <v>0.6</v>
      </c>
    </row>
    <row r="15" spans="1:22" x14ac:dyDescent="0.25">
      <c r="A15" s="25">
        <v>4.3</v>
      </c>
      <c r="B15" s="25">
        <v>3</v>
      </c>
      <c r="C15" s="25">
        <v>1.1000000000000001</v>
      </c>
      <c r="D15" s="25">
        <v>0.1</v>
      </c>
      <c r="E15" s="50" t="s">
        <v>5</v>
      </c>
      <c r="F15" s="71" t="str">
        <f t="shared" si="0"/>
        <v>setosa</v>
      </c>
      <c r="G15" s="25" cm="1">
        <f t="array" ref="G15">$V$6*NMultDensity(A15:D15,$V$8:$V$11,$R$8:$U$11)+$V$19*NMultDensity(A15:D15,$V$21:$V$24,$R$21:$U$24)+$V$32*NMultDensity(A15:D15,$V$34:$V$37,$R$34:$U$37)</f>
        <v>5.1572637400798885E-2</v>
      </c>
      <c r="H15" s="25" cm="1">
        <f t="array" ref="H15">$V$6*NMultDensity(A15:D15,$V$8:$V$11,$R$8:$U$11)/G15</f>
        <v>1</v>
      </c>
      <c r="I15" s="25" cm="1">
        <f t="array" ref="I15">$V$19*NMultDensity(A15:D15,$V$21:$V$24,$R$21:$U$24)/G15</f>
        <v>1.4811822469905883E-19</v>
      </c>
      <c r="J15" s="39" cm="1">
        <f t="array" ref="J15">$V$32*NMultDensity(A15:D15,$V$34:$V$37,$R$34:$U$37)/G15</f>
        <v>2.1745569730045405E-33</v>
      </c>
      <c r="K15" s="71" t="str">
        <f t="shared" si="1"/>
        <v>setosa</v>
      </c>
      <c r="L15" s="25" cm="1">
        <f t="array" ref="L15">$V$6*NMultDensity(C15:D15,$V$10:$V$11,$T$10:$U$11)+$V$19*NMultDensity(C15:D15,$V$23:$V$24,$T$23:$U$24)+$V$32*NMultDensity(C15:D15,$V$36:$V$37,$T$36:$U$37)</f>
        <v>8.0086669879300909E-2</v>
      </c>
      <c r="M15" s="25" cm="1">
        <f t="array" ref="M15">$V$6*NMultDensity(C15:D15,$V$10:$V$11,$T$10:$U$11)/L15</f>
        <v>0.99999999940920625</v>
      </c>
      <c r="N15" s="25" cm="1">
        <f t="array" ref="N15">$V$19*NMultDensity(C15:D15,$V$23:$V$24,$T$23:$U$24)/L15</f>
        <v>5.9079388224877445E-10</v>
      </c>
      <c r="O15" s="43" cm="1">
        <f t="array" ref="O15">$V$32*NMultDensity(C15:D15,$V$36:$V$37,$T$36:$U$37)/L15</f>
        <v>1.1052562553435282E-18</v>
      </c>
      <c r="P15" s="39"/>
    </row>
    <row r="16" spans="1:22" ht="15.75" thickBot="1" x14ac:dyDescent="0.3">
      <c r="A16" s="25">
        <v>5.8</v>
      </c>
      <c r="B16" s="25">
        <v>4</v>
      </c>
      <c r="C16" s="25">
        <v>1.2</v>
      </c>
      <c r="D16" s="25">
        <v>0.2</v>
      </c>
      <c r="E16" s="50" t="s">
        <v>5</v>
      </c>
      <c r="F16" s="71" t="str">
        <f t="shared" si="0"/>
        <v>setosa</v>
      </c>
      <c r="G16" s="25" cm="1">
        <f t="array" ref="G16">$V$6*NMultDensity(A16:D16,$V$8:$V$11,$R$8:$U$11)+$V$19*NMultDensity(A16:D16,$V$21:$V$24,$R$21:$U$24)+$V$32*NMultDensity(A16:D16,$V$34:$V$37,$R$34:$U$37)</f>
        <v>1.0507168171540408E-2</v>
      </c>
      <c r="H16" s="25" cm="1">
        <f t="array" ref="H16">$V$6*NMultDensity(A16:D16,$V$8:$V$11,$R$8:$U$11)/G16</f>
        <v>1</v>
      </c>
      <c r="I16" s="25" cm="1">
        <f t="array" ref="I16">$V$19*NMultDensity(A16:D16,$V$21:$V$24,$R$21:$U$24)/G16</f>
        <v>2.3997093618024897E-36</v>
      </c>
      <c r="J16" s="39" cm="1">
        <f t="array" ref="J16">$V$32*NMultDensity(A16:D16,$V$34:$V$37,$R$34:$U$37)/G16</f>
        <v>4.1950520803543457E-55</v>
      </c>
      <c r="K16" s="71" t="str">
        <f t="shared" si="1"/>
        <v>setosa</v>
      </c>
      <c r="L16" s="25" cm="1">
        <f t="array" ref="L16">$V$6*NMultDensity(C16:D16,$V$10:$V$11,$T$10:$U$11)+$V$19*NMultDensity(C16:D16,$V$23:$V$24,$T$23:$U$24)+$V$32*NMultDensity(C16:D16,$V$36:$V$37,$T$36:$U$37)</f>
        <v>0.29471051841808793</v>
      </c>
      <c r="M16" s="25" cm="1">
        <f t="array" ref="M16">$V$6*NMultDensity(C16:D16,$V$10:$V$11,$T$10:$U$11)/L16</f>
        <v>0.99999999873334855</v>
      </c>
      <c r="N16" s="25" cm="1">
        <f t="array" ref="N16">$V$19*NMultDensity(C16:D16,$V$23:$V$24,$T$23:$U$24)/L16</f>
        <v>1.2666514555800186E-9</v>
      </c>
      <c r="O16" s="43" cm="1">
        <f t="array" ref="O16">$V$32*NMultDensity(C16:D16,$V$36:$V$37,$T$36:$U$37)/L16</f>
        <v>5.4525660198842809E-18</v>
      </c>
      <c r="P16" s="39"/>
      <c r="Q16" s="19" t="s">
        <v>14</v>
      </c>
      <c r="R16" s="19">
        <f>COUNT(C2:C51)</f>
        <v>50</v>
      </c>
    </row>
    <row r="17" spans="1:22" ht="15.75" thickTop="1" x14ac:dyDescent="0.25">
      <c r="A17" s="25">
        <v>5.7</v>
      </c>
      <c r="B17" s="25">
        <v>4.4000000000000004</v>
      </c>
      <c r="C17" s="25">
        <v>1.5</v>
      </c>
      <c r="D17" s="25">
        <v>0.4</v>
      </c>
      <c r="E17" s="50" t="s">
        <v>5</v>
      </c>
      <c r="F17" s="71" t="str">
        <f t="shared" si="0"/>
        <v>setosa</v>
      </c>
      <c r="G17" s="25" cm="1">
        <f t="array" ref="G17">$V$6*NMultDensity(A17:D17,$V$8:$V$11,$R$8:$U$11)+$V$19*NMultDensity(A17:D17,$V$21:$V$24,$R$21:$U$24)+$V$32*NMultDensity(A17:D17,$V$34:$V$37,$R$34:$U$37)</f>
        <v>3.7947157206585258E-2</v>
      </c>
      <c r="H17" s="25" cm="1">
        <f t="array" ref="H17">$V$6*NMultDensity(A17:D17,$V$8:$V$11,$R$8:$U$11)/G17</f>
        <v>1</v>
      </c>
      <c r="I17" s="25" cm="1">
        <f t="array" ref="I17">$V$19*NMultDensity(A17:D17,$V$21:$V$24,$R$21:$U$24)/G17</f>
        <v>4.9813848123953029E-37</v>
      </c>
      <c r="J17" s="39" cm="1">
        <f t="array" ref="J17">$V$32*NMultDensity(A17:D17,$V$34:$V$37,$R$34:$U$37)/G17</f>
        <v>7.164449055383063E-52</v>
      </c>
      <c r="K17" s="71" t="str">
        <f t="shared" si="1"/>
        <v>setosa</v>
      </c>
      <c r="L17" s="25" cm="1">
        <f t="array" ref="L17">$V$6*NMultDensity(C17:D17,$V$10:$V$11,$T$10:$U$11)+$V$19*NMultDensity(C17:D17,$V$23:$V$24,$T$23:$U$24)+$V$32*NMultDensity(C17:D17,$V$36:$V$37,$T$36:$U$37)</f>
        <v>0.30457633961945918</v>
      </c>
      <c r="M17" s="25" cm="1">
        <f t="array" ref="M17">$V$6*NMultDensity(C17:D17,$V$10:$V$11,$T$10:$U$11)/L17</f>
        <v>0.99999990248132176</v>
      </c>
      <c r="N17" s="25" cm="1">
        <f t="array" ref="N17">$V$19*NMultDensity(C17:D17,$V$23:$V$24,$T$23:$U$24)/L17</f>
        <v>9.7518674750727958E-8</v>
      </c>
      <c r="O17" s="43" cm="1">
        <f t="array" ref="O17">$V$32*NMultDensity(C17:D17,$V$36:$V$37,$T$36:$U$37)/L17</f>
        <v>3.5216234144439954E-15</v>
      </c>
      <c r="P17" s="39"/>
    </row>
    <row r="18" spans="1:22" x14ac:dyDescent="0.25">
      <c r="A18" s="25">
        <v>5.4</v>
      </c>
      <c r="B18" s="25">
        <v>3.9</v>
      </c>
      <c r="C18" s="25">
        <v>1.3</v>
      </c>
      <c r="D18" s="25">
        <v>0.4</v>
      </c>
      <c r="E18" s="50" t="s">
        <v>5</v>
      </c>
      <c r="F18" s="71" t="str">
        <f t="shared" si="0"/>
        <v>setosa</v>
      </c>
      <c r="G18" s="25" cm="1">
        <f t="array" ref="G18">$V$6*NMultDensity(A18:D18,$V$8:$V$11,$R$8:$U$11)+$V$19*NMultDensity(A18:D18,$V$21:$V$24,$R$21:$U$24)+$V$32*NMultDensity(A18:D18,$V$34:$V$37,$R$34:$U$37)</f>
        <v>9.8682917350726609E-2</v>
      </c>
      <c r="H18" s="25" cm="1">
        <f t="array" ref="H18">$V$6*NMultDensity(A18:D18,$V$8:$V$11,$R$8:$U$11)/G18</f>
        <v>1</v>
      </c>
      <c r="I18" s="25" cm="1">
        <f t="array" ref="I18">$V$19*NMultDensity(A18:D18,$V$21:$V$24,$R$21:$U$24)/G18</f>
        <v>1.5447379427248793E-29</v>
      </c>
      <c r="J18" s="39" cm="1">
        <f t="array" ref="J18">$V$32*NMultDensity(A18:D18,$V$34:$V$37,$R$34:$U$37)/G18</f>
        <v>8.1588451291605169E-46</v>
      </c>
      <c r="K18" s="71" t="str">
        <f t="shared" si="1"/>
        <v>setosa</v>
      </c>
      <c r="L18" s="25" cm="1">
        <f t="array" ref="L18">$V$6*NMultDensity(C18:D18,$V$10:$V$11,$T$10:$U$11)+$V$19*NMultDensity(C18:D18,$V$23:$V$24,$T$23:$U$24)+$V$32*NMultDensity(C18:D18,$V$36:$V$37,$T$36:$U$37)</f>
        <v>0.10250370265696661</v>
      </c>
      <c r="M18" s="25" cm="1">
        <f t="array" ref="M18">$V$6*NMultDensity(C18:D18,$V$10:$V$11,$T$10:$U$11)/L18</f>
        <v>0.99999998018924896</v>
      </c>
      <c r="N18" s="25" cm="1">
        <f t="array" ref="N18">$V$19*NMultDensity(C18:D18,$V$23:$V$24,$T$23:$U$24)/L18</f>
        <v>1.9810749986161818E-8</v>
      </c>
      <c r="O18" s="43" cm="1">
        <f t="array" ref="O18">$V$32*NMultDensity(C18:D18,$V$36:$V$37,$T$36:$U$37)/L18</f>
        <v>1.0801374679062187E-15</v>
      </c>
      <c r="P18" s="39"/>
      <c r="V18" s="1"/>
    </row>
    <row r="19" spans="1:22" ht="15.75" thickBot="1" x14ac:dyDescent="0.3">
      <c r="A19" s="25">
        <v>5.0999999999999996</v>
      </c>
      <c r="B19" s="25">
        <v>3.5</v>
      </c>
      <c r="C19" s="25">
        <v>1.4</v>
      </c>
      <c r="D19" s="25">
        <v>0.3</v>
      </c>
      <c r="E19" s="50" t="s">
        <v>5</v>
      </c>
      <c r="F19" s="71" t="str">
        <f t="shared" si="0"/>
        <v>setosa</v>
      </c>
      <c r="G19" s="25" cm="1">
        <f t="array" ref="G19">$V$6*NMultDensity(A19:D19,$V$8:$V$11,$R$8:$U$11)+$V$19*NMultDensity(A19:D19,$V$21:$V$24,$R$21:$U$24)+$V$32*NMultDensity(A19:D19,$V$34:$V$37,$R$34:$U$37)</f>
        <v>1.2677118249186803</v>
      </c>
      <c r="H19" s="25" cm="1">
        <f t="array" ref="H19">$V$6*NMultDensity(A19:D19,$V$8:$V$11,$R$8:$U$11)/G19</f>
        <v>1</v>
      </c>
      <c r="I19" s="25" cm="1">
        <f t="array" ref="I19">$V$19*NMultDensity(A19:D19,$V$21:$V$24,$R$21:$U$24)/G19</f>
        <v>6.893184839179577E-24</v>
      </c>
      <c r="J19" s="39" cm="1">
        <f t="array" ref="J19">$V$32*NMultDensity(A19:D19,$V$34:$V$37,$R$34:$U$37)/G19</f>
        <v>3.5150606055707941E-39</v>
      </c>
      <c r="K19" s="71" t="str">
        <f t="shared" si="1"/>
        <v>setosa</v>
      </c>
      <c r="L19" s="25" cm="1">
        <f t="array" ref="L19">$V$6*NMultDensity(C19:D19,$V$10:$V$11,$T$10:$U$11)+$V$19*NMultDensity(C19:D19,$V$23:$V$24,$T$23:$U$24)+$V$32*NMultDensity(C19:D19,$V$36:$V$37,$T$36:$U$37)</f>
        <v>0.69162449014523919</v>
      </c>
      <c r="M19" s="25" cm="1">
        <f t="array" ref="M19">$V$6*NMultDensity(C19:D19,$V$10:$V$11,$T$10:$U$11)/L19</f>
        <v>0.99999999020280417</v>
      </c>
      <c r="N19" s="25" cm="1">
        <f t="array" ref="N19">$V$19*NMultDensity(C19:D19,$V$23:$V$24,$T$23:$U$24)/L19</f>
        <v>9.797195710746826E-9</v>
      </c>
      <c r="O19" s="43" cm="1">
        <f t="array" ref="O19">$V$32*NMultDensity(C19:D19,$V$36:$V$37,$T$36:$U$37)/L19</f>
        <v>1.1384494237617772E-16</v>
      </c>
      <c r="P19" s="39"/>
      <c r="Q19" s="96" t="s">
        <v>18</v>
      </c>
      <c r="R19" s="96"/>
      <c r="S19" s="96"/>
      <c r="T19" s="96" t="s">
        <v>17</v>
      </c>
      <c r="U19" s="96"/>
      <c r="V19" s="24">
        <f>1/3</f>
        <v>0.33333333333333331</v>
      </c>
    </row>
    <row r="20" spans="1:22" ht="15.75" thickBot="1" x14ac:dyDescent="0.3">
      <c r="A20" s="25">
        <v>5.7</v>
      </c>
      <c r="B20" s="25">
        <v>3.8</v>
      </c>
      <c r="C20" s="25">
        <v>1.7</v>
      </c>
      <c r="D20" s="25">
        <v>0.3</v>
      </c>
      <c r="E20" s="50" t="s">
        <v>5</v>
      </c>
      <c r="F20" s="71" t="str">
        <f t="shared" si="0"/>
        <v>setosa</v>
      </c>
      <c r="G20" s="25" cm="1">
        <f t="array" ref="G20">$V$6*NMultDensity(A20:D20,$V$8:$V$11,$R$8:$U$11)+$V$19*NMultDensity(A20:D20,$V$21:$V$24,$R$21:$U$24)+$V$32*NMultDensity(A20:D20,$V$34:$V$37,$R$34:$U$37)</f>
        <v>0.13034814176884799</v>
      </c>
      <c r="H20" s="25" cm="1">
        <f t="array" ref="H20">$V$6*NMultDensity(A20:D20,$V$8:$V$11,$R$8:$U$11)/G20</f>
        <v>1</v>
      </c>
      <c r="I20" s="25" cm="1">
        <f t="array" ref="I20">$V$19*NMultDensity(A20:D20,$V$21:$V$24,$R$21:$U$24)/G20</f>
        <v>6.299229130654004E-27</v>
      </c>
      <c r="J20" s="39" cm="1">
        <f t="array" ref="J20">$V$32*NMultDensity(A20:D20,$V$34:$V$37,$R$34:$U$37)/G20</f>
        <v>1.8159675677630693E-42</v>
      </c>
      <c r="K20" s="71" t="str">
        <f t="shared" si="1"/>
        <v>setosa</v>
      </c>
      <c r="L20" s="25" cm="1">
        <f t="array" ref="L20">$V$6*NMultDensity(C20:D20,$V$10:$V$11,$T$10:$U$11)+$V$19*NMultDensity(C20:D20,$V$23:$V$24,$T$23:$U$24)+$V$32*NMultDensity(C20:D20,$V$36:$V$37,$T$36:$U$37)</f>
        <v>0.3597258784706473</v>
      </c>
      <c r="M20" s="25" cm="1">
        <f t="array" ref="M20">$V$6*NMultDensity(C20:D20,$V$10:$V$11,$T$10:$U$11)/L20</f>
        <v>0.99999968294123709</v>
      </c>
      <c r="N20" s="25" cm="1">
        <f t="array" ref="N20">$V$19*NMultDensity(C20:D20,$V$23:$V$24,$T$23:$U$24)/L20</f>
        <v>3.1705875758871606E-7</v>
      </c>
      <c r="O20" s="43" cm="1">
        <f t="array" ref="O20">$V$32*NMultDensity(C20:D20,$V$36:$V$37,$T$36:$U$37)/L20</f>
        <v>5.2126736004880459E-15</v>
      </c>
      <c r="P20" s="39"/>
      <c r="R20" s="22" t="s">
        <v>15</v>
      </c>
      <c r="S20" s="23" t="s">
        <v>16</v>
      </c>
      <c r="T20" s="23" t="s">
        <v>9</v>
      </c>
      <c r="U20" s="57" t="s">
        <v>10</v>
      </c>
      <c r="V20" s="56" t="s">
        <v>11</v>
      </c>
    </row>
    <row r="21" spans="1:22" x14ac:dyDescent="0.25">
      <c r="A21" s="25">
        <v>5.0999999999999996</v>
      </c>
      <c r="B21" s="25">
        <v>3.8</v>
      </c>
      <c r="C21" s="25">
        <v>1.5</v>
      </c>
      <c r="D21" s="25">
        <v>0.3</v>
      </c>
      <c r="E21" s="50" t="s">
        <v>5</v>
      </c>
      <c r="F21" s="71" t="str">
        <f t="shared" si="0"/>
        <v>setosa</v>
      </c>
      <c r="G21" s="25" cm="1">
        <f t="array" ref="G21">$V$6*NMultDensity(A21:D21,$V$8:$V$11,$R$8:$U$11)+$V$19*NMultDensity(A21:D21,$V$21:$V$24,$R$21:$U$24)+$V$32*NMultDensity(A21:D21,$V$34:$V$37,$R$34:$U$37)</f>
        <v>0.77812708078201487</v>
      </c>
      <c r="H21" s="25" cm="1">
        <f t="array" ref="H21">$V$6*NMultDensity(A21:D21,$V$8:$V$11,$R$8:$U$11)/G21</f>
        <v>1</v>
      </c>
      <c r="I21" s="25" cm="1">
        <f t="array" ref="I21">$V$19*NMultDensity(A21:D21,$V$21:$V$24,$R$21:$U$24)/G21</f>
        <v>2.4150391628424935E-27</v>
      </c>
      <c r="J21" s="39" cm="1">
        <f t="array" ref="J21">$V$32*NMultDensity(A21:D21,$V$34:$V$37,$R$34:$U$37)/G21</f>
        <v>7.3201202378591244E-41</v>
      </c>
      <c r="K21" s="71" t="str">
        <f t="shared" si="1"/>
        <v>setosa</v>
      </c>
      <c r="L21" s="25" cm="1">
        <f t="array" ref="L21">$V$6*NMultDensity(C21:D21,$V$10:$V$11,$T$10:$U$11)+$V$19*NMultDensity(C21:D21,$V$23:$V$24,$T$23:$U$24)+$V$32*NMultDensity(C21:D21,$V$36:$V$37,$T$36:$U$37)</f>
        <v>0.8072947085437131</v>
      </c>
      <c r="M21" s="25" cm="1">
        <f t="array" ref="M21">$V$6*NMultDensity(C21:D21,$V$10:$V$11,$T$10:$U$11)/L21</f>
        <v>0.99999997577556898</v>
      </c>
      <c r="N21" s="25" cm="1">
        <f t="array" ref="N21">$V$19*NMultDensity(C21:D21,$V$23:$V$24,$T$23:$U$24)/L21</f>
        <v>2.4224430701087199E-8</v>
      </c>
      <c r="O21" s="43" cm="1">
        <f t="array" ref="O21">$V$32*NMultDensity(C21:D21,$V$36:$V$37,$T$36:$U$37)/L21</f>
        <v>2.9107870064411151E-16</v>
      </c>
      <c r="P21" s="39"/>
      <c r="Q21" s="30" t="s">
        <v>15</v>
      </c>
      <c r="R21" s="27">
        <f>_xlfn.COVARIANCE.S($A$52:$A$101,A52:A101)</f>
        <v>0.2664326530612246</v>
      </c>
      <c r="S21" s="27">
        <f>_xlfn.COVARIANCE.S($A$52:$A$101,B52:B101)</f>
        <v>8.5183673469387738E-2</v>
      </c>
      <c r="T21" s="27">
        <f>_xlfn.COVARIANCE.S($A$52:$A$101,C52:C101)</f>
        <v>0.18289795918367358</v>
      </c>
      <c r="U21" s="27">
        <f>_xlfn.COVARIANCE.S($A$52:$A$101,D52:D101)</f>
        <v>5.5779591836734706E-2</v>
      </c>
      <c r="V21" s="7">
        <f>R25</f>
        <v>5.9359999999999999</v>
      </c>
    </row>
    <row r="22" spans="1:22" x14ac:dyDescent="0.25">
      <c r="A22" s="25">
        <v>5.4</v>
      </c>
      <c r="B22" s="25">
        <v>3.4</v>
      </c>
      <c r="C22" s="25">
        <v>1.7</v>
      </c>
      <c r="D22" s="25">
        <v>0.2</v>
      </c>
      <c r="E22" s="50" t="s">
        <v>5</v>
      </c>
      <c r="F22" s="71" t="str">
        <f t="shared" si="0"/>
        <v>setosa</v>
      </c>
      <c r="G22" s="25" cm="1">
        <f t="array" ref="G22">$V$6*NMultDensity(A22:D22,$V$8:$V$11,$R$8:$U$11)+$V$19*NMultDensity(A22:D22,$V$21:$V$24,$R$21:$U$24)+$V$32*NMultDensity(A22:D22,$V$34:$V$37,$R$34:$U$37)</f>
        <v>0.12012908195667885</v>
      </c>
      <c r="H22" s="25" cm="1">
        <f t="array" ref="H22">$V$6*NMultDensity(A22:D22,$V$8:$V$11,$R$8:$U$11)/G22</f>
        <v>1</v>
      </c>
      <c r="I22" s="25" cm="1">
        <f t="array" ref="I22">$V$19*NMultDensity(A22:D22,$V$21:$V$24,$R$21:$U$24)/G22</f>
        <v>6.7567359745321114E-22</v>
      </c>
      <c r="J22" s="39" cm="1">
        <f t="array" ref="J22">$V$32*NMultDensity(A22:D22,$V$34:$V$37,$R$34:$U$37)/G22</f>
        <v>1.2137411890395933E-36</v>
      </c>
      <c r="K22" s="71" t="str">
        <f t="shared" si="1"/>
        <v>setosa</v>
      </c>
      <c r="L22" s="25" cm="1">
        <f t="array" ref="L22">$V$6*NMultDensity(C22:D22,$V$10:$V$11,$T$10:$U$11)+$V$19*NMultDensity(C22:D22,$V$23:$V$24,$T$23:$U$24)+$V$32*NMultDensity(C22:D22,$V$36:$V$37,$T$36:$U$37)</f>
        <v>0.23073224661169767</v>
      </c>
      <c r="M22" s="25" cm="1">
        <f t="array" ref="M22">$V$6*NMultDensity(C22:D22,$V$10:$V$11,$T$10:$U$11)/L22</f>
        <v>0.99999989328578898</v>
      </c>
      <c r="N22" s="25" cm="1">
        <f t="array" ref="N22">$V$19*NMultDensity(C22:D22,$V$23:$V$24,$T$23:$U$24)/L22</f>
        <v>1.0671420962336581E-7</v>
      </c>
      <c r="O22" s="43" cm="1">
        <f t="array" ref="O22">$V$32*NMultDensity(C22:D22,$V$36:$V$37,$T$36:$U$37)/L22</f>
        <v>1.4645155324747996E-15</v>
      </c>
      <c r="P22" s="39"/>
      <c r="Q22" s="31" t="s">
        <v>16</v>
      </c>
      <c r="R22" s="27">
        <f>_xlfn.COVARIANCE.S($B$52:$B$101,A52:A101)</f>
        <v>8.5183673469387738E-2</v>
      </c>
      <c r="S22" s="27">
        <f>_xlfn.COVARIANCE.S($B$52:$B$101,B52:B101)</f>
        <v>9.8469387755102056E-2</v>
      </c>
      <c r="T22" s="27">
        <f>_xlfn.COVARIANCE.S($B$52:$B$101,C52:C101)</f>
        <v>8.2653061224489829E-2</v>
      </c>
      <c r="U22" s="27">
        <f>_xlfn.COVARIANCE.S($B$52:$B$101,D52:D101)</f>
        <v>4.1204081632653065E-2</v>
      </c>
      <c r="V22" s="8">
        <f>S25</f>
        <v>2.7700000000000005</v>
      </c>
    </row>
    <row r="23" spans="1:22" x14ac:dyDescent="0.25">
      <c r="A23" s="25">
        <v>5.0999999999999996</v>
      </c>
      <c r="B23" s="25">
        <v>3.7</v>
      </c>
      <c r="C23" s="25">
        <v>1.5</v>
      </c>
      <c r="D23" s="25">
        <v>0.4</v>
      </c>
      <c r="E23" s="50" t="s">
        <v>5</v>
      </c>
      <c r="F23" s="71" t="str">
        <f t="shared" si="0"/>
        <v>setosa</v>
      </c>
      <c r="G23" s="25" cm="1">
        <f t="array" ref="G23">$V$6*NMultDensity(A23:D23,$V$8:$V$11,$R$8:$U$11)+$V$19*NMultDensity(A23:D23,$V$21:$V$24,$R$21:$U$24)+$V$32*NMultDensity(A23:D23,$V$34:$V$37,$R$34:$U$37)</f>
        <v>0.44671402374460545</v>
      </c>
      <c r="H23" s="25" cm="1">
        <f t="array" ref="H23">$V$6*NMultDensity(A23:D23,$V$8:$V$11,$R$8:$U$11)/G23</f>
        <v>1</v>
      </c>
      <c r="I23" s="25" cm="1">
        <f t="array" ref="I23">$V$19*NMultDensity(A23:D23,$V$21:$V$24,$R$21:$U$24)/G23</f>
        <v>5.0242737457036197E-24</v>
      </c>
      <c r="J23" s="39" cm="1">
        <f t="array" ref="J23">$V$32*NMultDensity(A23:D23,$V$34:$V$37,$R$34:$U$37)/G23</f>
        <v>3.8574467640116673E-38</v>
      </c>
      <c r="K23" s="71" t="str">
        <f t="shared" si="1"/>
        <v>setosa</v>
      </c>
      <c r="L23" s="25" cm="1">
        <f t="array" ref="L23">$V$6*NMultDensity(C23:D23,$V$10:$V$11,$T$10:$U$11)+$V$19*NMultDensity(C23:D23,$V$23:$V$24,$T$23:$U$24)+$V$32*NMultDensity(C23:D23,$V$36:$V$37,$T$36:$U$37)</f>
        <v>0.30457633961945918</v>
      </c>
      <c r="M23" s="25" cm="1">
        <f t="array" ref="M23">$V$6*NMultDensity(C23:D23,$V$10:$V$11,$T$10:$U$11)/L23</f>
        <v>0.99999990248132176</v>
      </c>
      <c r="N23" s="25" cm="1">
        <f t="array" ref="N23">$V$19*NMultDensity(C23:D23,$V$23:$V$24,$T$23:$U$24)/L23</f>
        <v>9.7518674750727958E-8</v>
      </c>
      <c r="O23" s="43" cm="1">
        <f t="array" ref="O23">$V$32*NMultDensity(C23:D23,$V$36:$V$37,$T$36:$U$37)/L23</f>
        <v>3.5216234144439954E-15</v>
      </c>
      <c r="P23" s="39"/>
      <c r="Q23" s="31" t="s">
        <v>9</v>
      </c>
      <c r="R23" s="27">
        <f>_xlfn.COVARIANCE.S($C$52:$C$101,A52:A101)</f>
        <v>0.18289795918367358</v>
      </c>
      <c r="S23" s="27">
        <f>_xlfn.COVARIANCE.S($C$52:$C$101,B52:B101)</f>
        <v>8.2653061224489829E-2</v>
      </c>
      <c r="T23" s="28">
        <f>_xlfn.COVARIANCE.S($C$52:$C$101,C52:C101)</f>
        <v>0.22081632653061237</v>
      </c>
      <c r="U23" s="34">
        <f>_xlfn.COVARIANCE.S($C$52:$C$101,D52:D101)</f>
        <v>7.3102040816326527E-2</v>
      </c>
      <c r="V23" s="8">
        <f>T25</f>
        <v>4.26</v>
      </c>
    </row>
    <row r="24" spans="1:22" ht="15.75" thickBot="1" x14ac:dyDescent="0.3">
      <c r="A24" s="25">
        <v>4.5999999999999996</v>
      </c>
      <c r="B24" s="25">
        <v>3.6</v>
      </c>
      <c r="C24" s="25">
        <v>1</v>
      </c>
      <c r="D24" s="25">
        <v>0.2</v>
      </c>
      <c r="E24" s="50" t="s">
        <v>5</v>
      </c>
      <c r="F24" s="71" t="str">
        <f t="shared" si="0"/>
        <v>setosa</v>
      </c>
      <c r="G24" s="25" cm="1">
        <f t="array" ref="G24">$V$6*NMultDensity(A24:D24,$V$8:$V$11,$R$8:$U$11)+$V$19*NMultDensity(A24:D24,$V$21:$V$24,$R$21:$U$24)+$V$32*NMultDensity(A24:D24,$V$34:$V$37,$R$34:$U$37)</f>
        <v>6.9648929565991301E-3</v>
      </c>
      <c r="H24" s="25" cm="1">
        <f t="array" ref="H24">$V$6*NMultDensity(A24:D24,$V$8:$V$11,$R$8:$U$11)/G24</f>
        <v>1</v>
      </c>
      <c r="I24" s="25" cm="1">
        <f t="array" ref="I24">$V$19*NMultDensity(A24:D24,$V$21:$V$24,$R$21:$U$24)/G24</f>
        <v>8.988973191565749E-27</v>
      </c>
      <c r="J24" s="39" cm="1">
        <f t="array" ref="J24">$V$32*NMultDensity(A24:D24,$V$34:$V$37,$R$34:$U$37)/G24</f>
        <v>3.9585384848637626E-41</v>
      </c>
      <c r="K24" s="71" t="str">
        <f t="shared" si="1"/>
        <v>setosa</v>
      </c>
      <c r="L24" s="25" cm="1">
        <f t="array" ref="L24">$V$6*NMultDensity(C24:D24,$V$10:$V$11,$T$10:$U$11)+$V$19*NMultDensity(C24:D24,$V$23:$V$24,$T$23:$U$24)+$V$32*NMultDensity(C24:D24,$V$36:$V$37,$T$36:$U$37)</f>
        <v>2.3952335594552773E-2</v>
      </c>
      <c r="M24" s="25" cm="1">
        <f t="array" ref="M24">$V$6*NMultDensity(C24:D24,$V$10:$V$11,$T$10:$U$11)/L24</f>
        <v>0.99999999873003809</v>
      </c>
      <c r="N24" s="25" cm="1">
        <f t="array" ref="N24">$V$19*NMultDensity(C24:D24,$V$23:$V$24,$T$23:$U$24)/L24</f>
        <v>1.2699618782222312E-9</v>
      </c>
      <c r="O24" s="43" cm="1">
        <f t="array" ref="O24">$V$32*NMultDensity(C24:D24,$V$36:$V$37,$T$36:$U$37)/L24</f>
        <v>6.1117137316001046E-18</v>
      </c>
      <c r="P24" s="39"/>
      <c r="Q24" s="54" t="s">
        <v>10</v>
      </c>
      <c r="R24" s="27">
        <f>_xlfn.COVARIANCE.S($D$52:$D$101,A52:A101)</f>
        <v>5.5779591836734706E-2</v>
      </c>
      <c r="S24" s="27">
        <f>_xlfn.COVARIANCE.S($D$52:$D$101,B52:B101)</f>
        <v>4.1204081632653065E-2</v>
      </c>
      <c r="T24" s="35">
        <f>_xlfn.COVARIANCE.S($D$52:$D$101,C52:C101)</f>
        <v>7.3102040816326527E-2</v>
      </c>
      <c r="U24" s="36">
        <f>_xlfn.COVARIANCE.S($D$52:$D$101,D52:D101)</f>
        <v>3.9106122448979576E-2</v>
      </c>
      <c r="V24" s="9">
        <f>U25</f>
        <v>1.3259999999999998</v>
      </c>
    </row>
    <row r="25" spans="1:22" ht="15.75" thickBot="1" x14ac:dyDescent="0.3">
      <c r="A25" s="25">
        <v>5.0999999999999996</v>
      </c>
      <c r="B25" s="25">
        <v>3.3</v>
      </c>
      <c r="C25" s="25">
        <v>1.7</v>
      </c>
      <c r="D25" s="25">
        <v>0.5</v>
      </c>
      <c r="E25" s="50" t="s">
        <v>5</v>
      </c>
      <c r="F25" s="71" t="str">
        <f t="shared" si="0"/>
        <v>setosa</v>
      </c>
      <c r="G25" s="25" cm="1">
        <f t="array" ref="G25">$V$6*NMultDensity(A25:D25,$V$8:$V$11,$R$8:$U$11)+$V$19*NMultDensity(A25:D25,$V$21:$V$24,$R$21:$U$24)+$V$32*NMultDensity(A25:D25,$V$34:$V$37,$R$34:$U$37)</f>
        <v>4.6894882485477324E-2</v>
      </c>
      <c r="H25" s="25" cm="1">
        <f t="array" ref="H25">$V$6*NMultDensity(A25:D25,$V$8:$V$11,$R$8:$U$11)/G25</f>
        <v>0.99999999999999656</v>
      </c>
      <c r="I25" s="25" cm="1">
        <f t="array" ref="I25">$V$19*NMultDensity(A25:D25,$V$21:$V$24,$R$21:$U$24)/G25</f>
        <v>3.3449418383315351E-15</v>
      </c>
      <c r="J25" s="39" cm="1">
        <f t="array" ref="J25">$V$32*NMultDensity(A25:D25,$V$34:$V$37,$R$34:$U$37)/G25</f>
        <v>3.0282461475290032E-29</v>
      </c>
      <c r="K25" s="71" t="str">
        <f t="shared" si="1"/>
        <v>setosa</v>
      </c>
      <c r="L25" s="25" cm="1">
        <f t="array" ref="L25">$V$6*NMultDensity(C25:D25,$V$10:$V$11,$T$10:$U$11)+$V$19*NMultDensity(C25:D25,$V$23:$V$24,$T$23:$U$24)+$V$32*NMultDensity(C25:D25,$V$36:$V$37,$T$36:$U$37)</f>
        <v>4.2035768077667984E-2</v>
      </c>
      <c r="M25" s="25" cm="1">
        <f t="array" ref="M25">$V$6*NMultDensity(C25:D25,$V$10:$V$11,$T$10:$U$11)/L25</f>
        <v>0.99999222045307179</v>
      </c>
      <c r="N25" s="25" cm="1">
        <f t="array" ref="N25">$V$19*NMultDensity(C25:D25,$V$23:$V$24,$T$23:$U$24)/L25</f>
        <v>7.7795460468950878E-6</v>
      </c>
      <c r="O25" s="43" cm="1">
        <f t="array" ref="O25">$V$32*NMultDensity(C25:D25,$V$36:$V$37,$T$36:$U$37)/L25</f>
        <v>8.8136670442855387E-13</v>
      </c>
      <c r="P25" s="39"/>
      <c r="Q25" s="53" t="s">
        <v>11</v>
      </c>
      <c r="R25" s="10">
        <f>AVERAGE(A$52:A$101)</f>
        <v>5.9359999999999999</v>
      </c>
      <c r="S25" s="11">
        <f>AVERAGE(B$52:B$101)</f>
        <v>2.7700000000000005</v>
      </c>
      <c r="T25" s="11">
        <f>AVERAGE(C$52:C$101)</f>
        <v>4.26</v>
      </c>
      <c r="U25" s="12">
        <f>AVERAGE(D$52:D$101)</f>
        <v>1.3259999999999998</v>
      </c>
    </row>
    <row r="26" spans="1:22" x14ac:dyDescent="0.25">
      <c r="A26" s="25">
        <v>4.8</v>
      </c>
      <c r="B26" s="25">
        <v>3.4</v>
      </c>
      <c r="C26" s="25">
        <v>1.9</v>
      </c>
      <c r="D26" s="25">
        <v>0.2</v>
      </c>
      <c r="E26" s="50" t="s">
        <v>5</v>
      </c>
      <c r="F26" s="71" t="str">
        <f t="shared" si="0"/>
        <v>setosa</v>
      </c>
      <c r="G26" s="25" cm="1">
        <f t="array" ref="G26">$V$6*NMultDensity(A26:D26,$V$8:$V$11,$R$8:$U$11)+$V$19*NMultDensity(A26:D26,$V$21:$V$24,$R$21:$U$24)+$V$32*NMultDensity(A26:D26,$V$34:$V$37,$R$34:$U$37)</f>
        <v>1.3317904130316909E-2</v>
      </c>
      <c r="H26" s="25" cm="1">
        <f t="array" ref="H26">$V$6*NMultDensity(A26:D26,$V$8:$V$11,$R$8:$U$11)/G26</f>
        <v>1</v>
      </c>
      <c r="I26" s="25" cm="1">
        <f t="array" ref="I26">$V$19*NMultDensity(A26:D26,$V$21:$V$24,$R$21:$U$24)/G26</f>
        <v>4.027454327989104E-19</v>
      </c>
      <c r="J26" s="39" cm="1">
        <f t="array" ref="J26">$V$32*NMultDensity(A26:D26,$V$34:$V$37,$R$34:$U$37)/G26</f>
        <v>1.0914277839718761E-28</v>
      </c>
      <c r="K26" s="71" t="str">
        <f t="shared" si="1"/>
        <v>setosa</v>
      </c>
      <c r="L26" s="25" cm="1">
        <f t="array" ref="L26">$V$6*NMultDensity(C26:D26,$V$10:$V$11,$T$10:$U$11)+$V$19*NMultDensity(C26:D26,$V$23:$V$24,$T$23:$U$24)+$V$32*NMultDensity(C26:D26,$V$36:$V$37,$T$36:$U$37)</f>
        <v>1.5418147029615227E-2</v>
      </c>
      <c r="M26" s="25" cm="1">
        <f t="array" ref="M26">$V$6*NMultDensity(C26:D26,$V$10:$V$11,$T$10:$U$11)/L26</f>
        <v>0.99999628630359239</v>
      </c>
      <c r="N26" s="25" cm="1">
        <f t="array" ref="N26">$V$19*NMultDensity(C26:D26,$V$23:$V$24,$T$23:$U$24)/L26</f>
        <v>3.7136962635932452E-6</v>
      </c>
      <c r="O26" s="43" cm="1">
        <f t="array" ref="O26">$V$32*NMultDensity(C26:D26,$V$36:$V$37,$T$36:$U$37)/L26</f>
        <v>1.440552077197154E-13</v>
      </c>
      <c r="P26" s="39"/>
      <c r="Q26" s="32" t="s">
        <v>12</v>
      </c>
      <c r="R26" s="2">
        <f>MIN(A52:A101)</f>
        <v>4.9000000000000004</v>
      </c>
      <c r="S26" s="3">
        <f>MIN(B52:B101)</f>
        <v>2</v>
      </c>
      <c r="T26" s="37">
        <f>MIN(C52:C101)</f>
        <v>3</v>
      </c>
      <c r="U26" s="38">
        <f>MIN(D52:D101)</f>
        <v>1</v>
      </c>
    </row>
    <row r="27" spans="1:22" ht="15.75" thickBot="1" x14ac:dyDescent="0.3">
      <c r="A27" s="25">
        <v>5</v>
      </c>
      <c r="B27" s="25">
        <v>3</v>
      </c>
      <c r="C27" s="25">
        <v>1.6</v>
      </c>
      <c r="D27" s="25">
        <v>0.2</v>
      </c>
      <c r="E27" s="50" t="s">
        <v>5</v>
      </c>
      <c r="F27" s="71" t="str">
        <f t="shared" si="0"/>
        <v>setosa</v>
      </c>
      <c r="G27" s="25" cm="1">
        <f t="array" ref="G27">$V$6*NMultDensity(A27:D27,$V$8:$V$11,$R$8:$U$11)+$V$19*NMultDensity(A27:D27,$V$21:$V$24,$R$21:$U$24)+$V$32*NMultDensity(A27:D27,$V$34:$V$37,$R$34:$U$37)</f>
        <v>0.26449993892603618</v>
      </c>
      <c r="H27" s="25" cm="1">
        <f t="array" ref="H27">$V$6*NMultDensity(A27:D27,$V$8:$V$11,$R$8:$U$11)/G27</f>
        <v>1</v>
      </c>
      <c r="I27" s="25" cm="1">
        <f t="array" ref="I27">$V$19*NMultDensity(A27:D27,$V$21:$V$24,$R$21:$U$24)/G27</f>
        <v>6.7586656766027152E-17</v>
      </c>
      <c r="J27" s="39" cm="1">
        <f t="array" ref="J27">$V$32*NMultDensity(A27:D27,$V$34:$V$37,$R$34:$U$37)/G27</f>
        <v>1.6605754467180873E-31</v>
      </c>
      <c r="K27" s="71" t="str">
        <f t="shared" si="1"/>
        <v>setosa</v>
      </c>
      <c r="L27" s="25" cm="1">
        <f t="array" ref="L27">$V$6*NMultDensity(C27:D27,$V$10:$V$11,$T$10:$U$11)+$V$19*NMultDensity(C27:D27,$V$23:$V$24,$T$23:$U$24)+$V$32*NMultDensity(C27:D27,$V$36:$V$37,$T$36:$U$37)</f>
        <v>0.51045220826764293</v>
      </c>
      <c r="M27" s="25" cm="1">
        <f t="array" ref="M27">$V$6*NMultDensity(C27:D27,$V$10:$V$11,$T$10:$U$11)/L27</f>
        <v>0.99999997353202041</v>
      </c>
      <c r="N27" s="25" cm="1">
        <f t="array" ref="N27">$V$19*NMultDensity(C27:D27,$V$23:$V$24,$T$23:$U$24)/L27</f>
        <v>2.6467979401675391E-8</v>
      </c>
      <c r="O27" s="43" cm="1">
        <f t="array" ref="O27">$V$32*NMultDensity(C27:D27,$V$36:$V$37,$T$36:$U$37)/L27</f>
        <v>2.4440166863525878E-16</v>
      </c>
      <c r="P27" s="39"/>
      <c r="Q27" s="33" t="s">
        <v>13</v>
      </c>
      <c r="R27" s="15">
        <f>MAX(A52:A101)</f>
        <v>7</v>
      </c>
      <c r="S27" s="16">
        <f>MAX(B52:B101)</f>
        <v>3.4</v>
      </c>
      <c r="T27" s="17">
        <f>MAX(C52:C101)</f>
        <v>5.0999999999999996</v>
      </c>
      <c r="U27" s="18">
        <f>MAX(D52:D101)</f>
        <v>1.8</v>
      </c>
    </row>
    <row r="28" spans="1:22" x14ac:dyDescent="0.25">
      <c r="A28" s="25">
        <v>5</v>
      </c>
      <c r="B28" s="25">
        <v>3.4</v>
      </c>
      <c r="C28" s="25">
        <v>1.6</v>
      </c>
      <c r="D28" s="25">
        <v>0.4</v>
      </c>
      <c r="E28" s="50" t="s">
        <v>5</v>
      </c>
      <c r="F28" s="71" t="str">
        <f t="shared" si="0"/>
        <v>setosa</v>
      </c>
      <c r="G28" s="25" cm="1">
        <f t="array" ref="G28">$V$6*NMultDensity(A28:D28,$V$8:$V$11,$R$8:$U$11)+$V$19*NMultDensity(A28:D28,$V$21:$V$24,$R$21:$U$24)+$V$32*NMultDensity(A28:D28,$V$34:$V$37,$R$34:$U$37)</f>
        <v>0.49287353529368527</v>
      </c>
      <c r="H28" s="25" cm="1">
        <f t="array" ref="H28">$V$6*NMultDensity(A28:D28,$V$8:$V$11,$R$8:$U$11)/G28</f>
        <v>1</v>
      </c>
      <c r="I28" s="25" cm="1">
        <f t="array" ref="I28">$V$19*NMultDensity(A28:D28,$V$21:$V$24,$R$21:$U$24)/G28</f>
        <v>6.2918982290699892E-19</v>
      </c>
      <c r="J28" s="39" cm="1">
        <f t="array" ref="J28">$V$32*NMultDensity(A28:D28,$V$34:$V$37,$R$34:$U$37)/G28</f>
        <v>7.9331739987895584E-33</v>
      </c>
      <c r="K28" s="71" t="str">
        <f t="shared" si="1"/>
        <v>setosa</v>
      </c>
      <c r="L28" s="25" cm="1">
        <f t="array" ref="L28">$V$6*NMultDensity(C28:D28,$V$10:$V$11,$T$10:$U$11)+$V$19*NMultDensity(C28:D28,$V$23:$V$24,$T$23:$U$24)+$V$32*NMultDensity(C28:D28,$V$36:$V$37,$T$36:$U$37)</f>
        <v>0.30024966671115916</v>
      </c>
      <c r="M28" s="25" cm="1">
        <f t="array" ref="M28">$V$6*NMultDensity(C28:D28,$V$10:$V$11,$T$10:$U$11)/L28</f>
        <v>0.99999968342799095</v>
      </c>
      <c r="N28" s="25" cm="1">
        <f t="array" ref="N28">$V$19*NMultDensity(C28:D28,$V$23:$V$24,$T$23:$U$24)/L28</f>
        <v>3.1657199840154166E-7</v>
      </c>
      <c r="O28" s="43" cm="1">
        <f t="array" ref="O28">$V$32*NMultDensity(C28:D28,$V$36:$V$37,$T$36:$U$37)/L28</f>
        <v>1.0524541832905067E-14</v>
      </c>
      <c r="P28" s="39"/>
    </row>
    <row r="29" spans="1:22" ht="15.75" thickBot="1" x14ac:dyDescent="0.3">
      <c r="A29" s="25">
        <v>5.2</v>
      </c>
      <c r="B29" s="25">
        <v>3.5</v>
      </c>
      <c r="C29" s="25">
        <v>1.5</v>
      </c>
      <c r="D29" s="25">
        <v>0.2</v>
      </c>
      <c r="E29" s="50" t="s">
        <v>5</v>
      </c>
      <c r="F29" s="71" t="str">
        <f t="shared" si="0"/>
        <v>setosa</v>
      </c>
      <c r="G29" s="25" cm="1">
        <f t="array" ref="G29">$V$6*NMultDensity(A29:D29,$V$8:$V$11,$R$8:$U$11)+$V$19*NMultDensity(A29:D29,$V$21:$V$24,$R$21:$U$24)+$V$32*NMultDensity(A29:D29,$V$34:$V$37,$R$34:$U$37)</f>
        <v>1.1511671330852153</v>
      </c>
      <c r="H29" s="25" cm="1">
        <f t="array" ref="H29">$V$6*NMultDensity(A29:D29,$V$8:$V$11,$R$8:$U$11)/G29</f>
        <v>1</v>
      </c>
      <c r="I29" s="25" cm="1">
        <f t="array" ref="I29">$V$19*NMultDensity(A29:D29,$V$21:$V$24,$R$21:$U$24)/G29</f>
        <v>5.472587394231707E-25</v>
      </c>
      <c r="J29" s="39" cm="1">
        <f t="array" ref="J29">$V$32*NMultDensity(A29:D29,$V$34:$V$37,$R$34:$U$37)/G29</f>
        <v>8.4489987726501596E-40</v>
      </c>
      <c r="K29" s="71" t="str">
        <f t="shared" si="1"/>
        <v>setosa</v>
      </c>
      <c r="L29" s="25" cm="1">
        <f t="array" ref="L29">$V$6*NMultDensity(C29:D29,$V$10:$V$11,$T$10:$U$11)+$V$19*NMultDensity(C29:D29,$V$23:$V$24,$T$23:$U$24)+$V$32*NMultDensity(C29:D29,$V$36:$V$37,$T$36:$U$37)</f>
        <v>0.77804950616500024</v>
      </c>
      <c r="M29" s="25" cm="1">
        <f t="array" ref="M29">$V$6*NMultDensity(C29:D29,$V$10:$V$11,$T$10:$U$11)/L29</f>
        <v>0.99999999153915908</v>
      </c>
      <c r="N29" s="25" cm="1">
        <f t="array" ref="N29">$V$19*NMultDensity(C29:D29,$V$23:$V$24,$T$23:$U$24)/L29</f>
        <v>8.4608409124149646E-9</v>
      </c>
      <c r="O29" s="43" cm="1">
        <f t="array" ref="O29">$V$32*NMultDensity(C29:D29,$V$36:$V$37,$T$36:$U$37)/L29</f>
        <v>5.7068957586895949E-17</v>
      </c>
      <c r="P29" s="39"/>
      <c r="Q29" s="19" t="s">
        <v>14</v>
      </c>
      <c r="R29" s="19">
        <f>COUNT(C52:C101)</f>
        <v>50</v>
      </c>
    </row>
    <row r="30" spans="1:22" ht="15.75" thickTop="1" x14ac:dyDescent="0.25">
      <c r="A30" s="25">
        <v>5.2</v>
      </c>
      <c r="B30" s="25">
        <v>3.4</v>
      </c>
      <c r="C30" s="25">
        <v>1.4</v>
      </c>
      <c r="D30" s="25">
        <v>0.2</v>
      </c>
      <c r="E30" s="50" t="s">
        <v>5</v>
      </c>
      <c r="F30" s="71" t="str">
        <f t="shared" si="0"/>
        <v>setosa</v>
      </c>
      <c r="G30" s="25" cm="1">
        <f t="array" ref="G30">$V$6*NMultDensity(A30:D30,$V$8:$V$11,$R$8:$U$11)+$V$19*NMultDensity(A30:D30,$V$21:$V$24,$R$21:$U$24)+$V$32*NMultDensity(A30:D30,$V$34:$V$37,$R$34:$U$37)</f>
        <v>0.8992749303795684</v>
      </c>
      <c r="H30" s="25" cm="1">
        <f t="array" ref="H30">$V$6*NMultDensity(A30:D30,$V$8:$V$11,$R$8:$U$11)/G30</f>
        <v>1</v>
      </c>
      <c r="I30" s="25" cm="1">
        <f t="array" ref="I30">$V$19*NMultDensity(A30:D30,$V$21:$V$24,$R$21:$U$24)/G30</f>
        <v>3.0082728609156956E-24</v>
      </c>
      <c r="J30" s="39" cm="1">
        <f t="array" ref="J30">$V$32*NMultDensity(A30:D30,$V$34:$V$37,$R$34:$U$37)/G30</f>
        <v>3.2486442957497303E-40</v>
      </c>
      <c r="K30" s="71" t="str">
        <f t="shared" si="1"/>
        <v>setosa</v>
      </c>
      <c r="L30" s="25" cm="1">
        <f t="array" ref="L30">$V$6*NMultDensity(C30:D30,$V$10:$V$11,$T$10:$U$11)+$V$19*NMultDensity(C30:D30,$V$23:$V$24,$T$23:$U$24)+$V$32*NMultDensity(C30:D30,$V$36:$V$37,$T$36:$U$37)</f>
        <v>0.8170802379888823</v>
      </c>
      <c r="M30" s="25" cm="1">
        <f t="array" ref="M30">$V$6*NMultDensity(C30:D30,$V$10:$V$11,$T$10:$U$11)/L30</f>
        <v>0.99999999651421578</v>
      </c>
      <c r="N30" s="25" cm="1">
        <f t="array" ref="N30">$V$19*NMultDensity(C30:D30,$V$23:$V$24,$T$23:$U$24)/L30</f>
        <v>3.4857842000490986E-9</v>
      </c>
      <c r="O30" s="43" cm="1">
        <f t="array" ref="O30">$V$32*NMultDensity(C30:D30,$V$36:$V$37,$T$36:$U$37)/L30</f>
        <v>1.8645812941947132E-17</v>
      </c>
      <c r="P30" s="39"/>
    </row>
    <row r="31" spans="1:22" x14ac:dyDescent="0.25">
      <c r="A31" s="25">
        <v>4.7</v>
      </c>
      <c r="B31" s="25">
        <v>3.2</v>
      </c>
      <c r="C31" s="25">
        <v>1.6</v>
      </c>
      <c r="D31" s="25">
        <v>0.2</v>
      </c>
      <c r="E31" s="50" t="s">
        <v>5</v>
      </c>
      <c r="F31" s="71" t="str">
        <f t="shared" si="0"/>
        <v>setosa</v>
      </c>
      <c r="G31" s="25" cm="1">
        <f t="array" ref="G31">$V$6*NMultDensity(A31:D31,$V$8:$V$11,$R$8:$U$11)+$V$19*NMultDensity(A31:D31,$V$21:$V$24,$R$21:$U$24)+$V$32*NMultDensity(A31:D31,$V$34:$V$37,$R$34:$U$37)</f>
        <v>0.58751299242130439</v>
      </c>
      <c r="H31" s="25" cm="1">
        <f t="array" ref="H31">$V$6*NMultDensity(A31:D31,$V$8:$V$11,$R$8:$U$11)/G31</f>
        <v>1</v>
      </c>
      <c r="I31" s="25" cm="1">
        <f t="array" ref="I31">$V$19*NMultDensity(A31:D31,$V$21:$V$24,$R$21:$U$24)/G31</f>
        <v>4.9784771808243177E-19</v>
      </c>
      <c r="J31" s="39" cm="1">
        <f t="array" ref="J31">$V$32*NMultDensity(A31:D31,$V$34:$V$37,$R$34:$U$37)/G31</f>
        <v>2.95081217933739E-31</v>
      </c>
      <c r="K31" s="71" t="str">
        <f t="shared" si="1"/>
        <v>setosa</v>
      </c>
      <c r="L31" s="25" cm="1">
        <f t="array" ref="L31">$V$6*NMultDensity(C31:D31,$V$10:$V$11,$T$10:$U$11)+$V$19*NMultDensity(C31:D31,$V$23:$V$24,$T$23:$U$24)+$V$32*NMultDensity(C31:D31,$V$36:$V$37,$T$36:$U$37)</f>
        <v>0.51045220826764293</v>
      </c>
      <c r="M31" s="25" cm="1">
        <f t="array" ref="M31">$V$6*NMultDensity(C31:D31,$V$10:$V$11,$T$10:$U$11)/L31</f>
        <v>0.99999997353202041</v>
      </c>
      <c r="N31" s="25" cm="1">
        <f t="array" ref="N31">$V$19*NMultDensity(C31:D31,$V$23:$V$24,$T$23:$U$24)/L31</f>
        <v>2.6467979401675391E-8</v>
      </c>
      <c r="O31" s="43" cm="1">
        <f t="array" ref="O31">$V$32*NMultDensity(C31:D31,$V$36:$V$37,$T$36:$U$37)/L31</f>
        <v>2.4440166863525878E-16</v>
      </c>
      <c r="P31" s="39"/>
    </row>
    <row r="32" spans="1:22" ht="15.75" thickBot="1" x14ac:dyDescent="0.3">
      <c r="A32" s="25">
        <v>4.8</v>
      </c>
      <c r="B32" s="25">
        <v>3.1</v>
      </c>
      <c r="C32" s="25">
        <v>1.6</v>
      </c>
      <c r="D32" s="25">
        <v>0.2</v>
      </c>
      <c r="E32" s="50" t="s">
        <v>5</v>
      </c>
      <c r="F32" s="71" t="str">
        <f t="shared" si="0"/>
        <v>setosa</v>
      </c>
      <c r="G32" s="25" cm="1">
        <f t="array" ref="G32">$V$6*NMultDensity(A32:D32,$V$8:$V$11,$R$8:$U$11)+$V$19*NMultDensity(A32:D32,$V$21:$V$24,$R$21:$U$24)+$V$32*NMultDensity(A32:D32,$V$34:$V$37,$R$34:$U$37)</f>
        <v>0.64280612710079299</v>
      </c>
      <c r="H32" s="25" cm="1">
        <f t="array" ref="H32">$V$6*NMultDensity(A32:D32,$V$8:$V$11,$R$8:$U$11)/G32</f>
        <v>1</v>
      </c>
      <c r="I32" s="25" cm="1">
        <f t="array" ref="I32">$V$19*NMultDensity(A32:D32,$V$21:$V$24,$R$21:$U$24)/G32</f>
        <v>5.6164427982140722E-18</v>
      </c>
      <c r="J32" s="39" cm="1">
        <f t="array" ref="J32">$V$32*NMultDensity(A32:D32,$V$34:$V$37,$R$34:$U$37)/G32</f>
        <v>4.0964136015871869E-31</v>
      </c>
      <c r="K32" s="71" t="str">
        <f t="shared" si="1"/>
        <v>setosa</v>
      </c>
      <c r="L32" s="25" cm="1">
        <f t="array" ref="L32">$V$6*NMultDensity(C32:D32,$V$10:$V$11,$T$10:$U$11)+$V$19*NMultDensity(C32:D32,$V$23:$V$24,$T$23:$U$24)+$V$32*NMultDensity(C32:D32,$V$36:$V$37,$T$36:$U$37)</f>
        <v>0.51045220826764293</v>
      </c>
      <c r="M32" s="25" cm="1">
        <f t="array" ref="M32">$V$6*NMultDensity(C32:D32,$V$10:$V$11,$T$10:$U$11)/L32</f>
        <v>0.99999997353202041</v>
      </c>
      <c r="N32" s="25" cm="1">
        <f t="array" ref="N32">$V$19*NMultDensity(C32:D32,$V$23:$V$24,$T$23:$U$24)/L32</f>
        <v>2.6467979401675391E-8</v>
      </c>
      <c r="O32" s="43" cm="1">
        <f t="array" ref="O32">$V$32*NMultDensity(C32:D32,$V$36:$V$37,$T$36:$U$37)/L32</f>
        <v>2.4440166863525878E-16</v>
      </c>
      <c r="P32" s="39"/>
      <c r="Q32" s="96" t="s">
        <v>18</v>
      </c>
      <c r="R32" s="96"/>
      <c r="S32" s="96"/>
      <c r="T32" s="96" t="s">
        <v>17</v>
      </c>
      <c r="U32" s="96"/>
      <c r="V32" s="24">
        <f>1-V19-V6</f>
        <v>0.56666666666666676</v>
      </c>
    </row>
    <row r="33" spans="1:22" ht="15.75" thickBot="1" x14ac:dyDescent="0.3">
      <c r="A33" s="25">
        <v>5.4</v>
      </c>
      <c r="B33" s="25">
        <v>3.4</v>
      </c>
      <c r="C33" s="25">
        <v>1.5</v>
      </c>
      <c r="D33" s="25">
        <v>0.4</v>
      </c>
      <c r="E33" s="50" t="s">
        <v>5</v>
      </c>
      <c r="F33" s="71" t="str">
        <f t="shared" si="0"/>
        <v>setosa</v>
      </c>
      <c r="G33" s="25" cm="1">
        <f t="array" ref="G33">$V$6*NMultDensity(A33:D33,$V$8:$V$11,$R$8:$U$11)+$V$19*NMultDensity(A33:D33,$V$21:$V$24,$R$21:$U$24)+$V$32*NMultDensity(A33:D33,$V$34:$V$37,$R$34:$U$37)</f>
        <v>0.15119047344940262</v>
      </c>
      <c r="H33" s="25" cm="1">
        <f t="array" ref="H33">$V$6*NMultDensity(A33:D33,$V$8:$V$11,$R$8:$U$11)/G33</f>
        <v>1</v>
      </c>
      <c r="I33" s="25" cm="1">
        <f t="array" ref="I33">$V$19*NMultDensity(A33:D33,$V$21:$V$24,$R$21:$U$24)/G33</f>
        <v>9.7797120795889202E-21</v>
      </c>
      <c r="J33" s="39" cm="1">
        <f t="array" ref="J33">$V$32*NMultDensity(A33:D33,$V$34:$V$37,$R$34:$U$37)/G33</f>
        <v>1.930469596337494E-37</v>
      </c>
      <c r="K33" s="71" t="str">
        <f t="shared" si="1"/>
        <v>setosa</v>
      </c>
      <c r="L33" s="25" cm="1">
        <f t="array" ref="L33">$V$6*NMultDensity(C33:D33,$V$10:$V$11,$T$10:$U$11)+$V$19*NMultDensity(C33:D33,$V$23:$V$24,$T$23:$U$24)+$V$32*NMultDensity(C33:D33,$V$36:$V$37,$T$36:$U$37)</f>
        <v>0.30457633961945918</v>
      </c>
      <c r="M33" s="25" cm="1">
        <f t="array" ref="M33">$V$6*NMultDensity(C33:D33,$V$10:$V$11,$T$10:$U$11)/L33</f>
        <v>0.99999990248132176</v>
      </c>
      <c r="N33" s="25" cm="1">
        <f t="array" ref="N33">$V$19*NMultDensity(C33:D33,$V$23:$V$24,$T$23:$U$24)/L33</f>
        <v>9.7518674750727958E-8</v>
      </c>
      <c r="O33" s="43" cm="1">
        <f t="array" ref="O33">$V$32*NMultDensity(C33:D33,$V$36:$V$37,$T$36:$U$37)/L33</f>
        <v>3.5216234144439954E-15</v>
      </c>
      <c r="P33" s="39"/>
      <c r="Q33" s="27"/>
      <c r="R33" s="22" t="s">
        <v>15</v>
      </c>
      <c r="S33" s="23" t="s">
        <v>16</v>
      </c>
      <c r="T33" s="23" t="s">
        <v>9</v>
      </c>
      <c r="U33" s="57" t="s">
        <v>10</v>
      </c>
      <c r="V33" s="56" t="s">
        <v>11</v>
      </c>
    </row>
    <row r="34" spans="1:22" x14ac:dyDescent="0.25">
      <c r="A34" s="25">
        <v>5.2</v>
      </c>
      <c r="B34" s="25">
        <v>4.0999999999999996</v>
      </c>
      <c r="C34" s="25">
        <v>1.5</v>
      </c>
      <c r="D34" s="25">
        <v>0.1</v>
      </c>
      <c r="E34" s="50" t="s">
        <v>5</v>
      </c>
      <c r="F34" s="71" t="str">
        <f t="shared" si="0"/>
        <v>setosa</v>
      </c>
      <c r="G34" s="25" cm="1">
        <f t="array" ref="G34">$V$6*NMultDensity(A34:D34,$V$8:$V$11,$R$8:$U$11)+$V$19*NMultDensity(A34:D34,$V$21:$V$24,$R$21:$U$24)+$V$32*NMultDensity(A34:D34,$V$34:$V$37,$R$34:$U$37)</f>
        <v>3.7094066392915084E-2</v>
      </c>
      <c r="H34" s="25" cm="1">
        <f t="array" ref="H34">$V$6*NMultDensity(A34:D34,$V$8:$V$11,$R$8:$U$11)/G34</f>
        <v>1</v>
      </c>
      <c r="I34" s="25" cm="1">
        <f t="array" ref="I34">$V$19*NMultDensity(A34:D34,$V$21:$V$24,$R$21:$U$24)/G34</f>
        <v>3.0357108096542575E-36</v>
      </c>
      <c r="J34" s="39" cm="1">
        <f t="array" ref="J34">$V$32*NMultDensity(A34:D34,$V$34:$V$37,$R$34:$U$37)/G34</f>
        <v>1.9450361070484412E-47</v>
      </c>
      <c r="K34" s="71" t="str">
        <f t="shared" si="1"/>
        <v>setosa</v>
      </c>
      <c r="L34" s="25" cm="1">
        <f t="array" ref="L34">$V$6*NMultDensity(C34:D34,$V$10:$V$11,$T$10:$U$11)+$V$19*NMultDensity(C34:D34,$V$23:$V$24,$T$23:$U$24)+$V$32*NMultDensity(C34:D34,$V$36:$V$37,$T$36:$U$37)</f>
        <v>0.27266005600076271</v>
      </c>
      <c r="M34" s="25" cm="1">
        <f t="array" ref="M34">$V$6*NMultDensity(C34:D34,$V$10:$V$11,$T$10:$U$11)/L34</f>
        <v>0.9999999958450323</v>
      </c>
      <c r="N34" s="25" cm="1">
        <f t="array" ref="N34">$V$19*NMultDensity(C34:D34,$V$23:$V$24,$T$23:$U$24)/L34</f>
        <v>4.154967774659448E-9</v>
      </c>
      <c r="O34" s="43" cm="1">
        <f t="array" ref="O34">$V$32*NMultDensity(C34:D34,$V$36:$V$37,$T$36:$U$37)/L34</f>
        <v>2.6540644787909449E-17</v>
      </c>
      <c r="P34" s="39"/>
      <c r="Q34" s="30" t="s">
        <v>15</v>
      </c>
      <c r="R34" s="27">
        <f>_xlfn.COVARIANCE.S($A$102:$A$151,A102:A151)</f>
        <v>0.40434285714285706</v>
      </c>
      <c r="S34" s="27">
        <f>_xlfn.COVARIANCE.S($A$102:$A$151,B102:B151)</f>
        <v>9.3763265306122431E-2</v>
      </c>
      <c r="T34" s="27">
        <f>_xlfn.COVARIANCE.S($A$102:$A$151,C102:C151)</f>
        <v>0.30328979591836741</v>
      </c>
      <c r="U34" s="27">
        <f>_xlfn.COVARIANCE.S($A$102:$A$151,D102:D151)</f>
        <v>4.9093877551020432E-2</v>
      </c>
      <c r="V34" s="7">
        <f>R38</f>
        <v>6.5879999999999983</v>
      </c>
    </row>
    <row r="35" spans="1:22" x14ac:dyDescent="0.25">
      <c r="A35" s="25">
        <v>5.5</v>
      </c>
      <c r="B35" s="25">
        <v>4.2</v>
      </c>
      <c r="C35" s="25">
        <v>1.4</v>
      </c>
      <c r="D35" s="25">
        <v>0.2</v>
      </c>
      <c r="E35" s="50" t="s">
        <v>5</v>
      </c>
      <c r="F35" s="71" t="str">
        <f t="shared" si="0"/>
        <v>setosa</v>
      </c>
      <c r="G35" s="25" cm="1">
        <f t="array" ref="G35">$V$6*NMultDensity(A35:D35,$V$8:$V$11,$R$8:$U$11)+$V$19*NMultDensity(A35:D35,$V$21:$V$24,$R$21:$U$24)+$V$32*NMultDensity(A35:D35,$V$34:$V$37,$R$34:$U$37)</f>
        <v>0.12635359058455983</v>
      </c>
      <c r="H35" s="25" cm="1">
        <f t="array" ref="H35">$V$6*NMultDensity(A35:D35,$V$8:$V$11,$R$8:$U$11)/G35</f>
        <v>1</v>
      </c>
      <c r="I35" s="25" cm="1">
        <f t="array" ref="I35">$V$19*NMultDensity(A35:D35,$V$21:$V$24,$R$21:$U$24)/G35</f>
        <v>9.1089484896040771E-38</v>
      </c>
      <c r="J35" s="39" cm="1">
        <f t="array" ref="J35">$V$32*NMultDensity(A35:D35,$V$34:$V$37,$R$34:$U$37)/G35</f>
        <v>4.3416192082134967E-52</v>
      </c>
      <c r="K35" s="71" t="str">
        <f t="shared" si="1"/>
        <v>setosa</v>
      </c>
      <c r="L35" s="25" cm="1">
        <f t="array" ref="L35">$V$6*NMultDensity(C35:D35,$V$10:$V$11,$T$10:$U$11)+$V$19*NMultDensity(C35:D35,$V$23:$V$24,$T$23:$U$24)+$V$32*NMultDensity(C35:D35,$V$36:$V$37,$T$36:$U$37)</f>
        <v>0.8170802379888823</v>
      </c>
      <c r="M35" s="25" cm="1">
        <f t="array" ref="M35">$V$6*NMultDensity(C35:D35,$V$10:$V$11,$T$10:$U$11)/L35</f>
        <v>0.99999999651421578</v>
      </c>
      <c r="N35" s="25" cm="1">
        <f t="array" ref="N35">$V$19*NMultDensity(C35:D35,$V$23:$V$24,$T$23:$U$24)/L35</f>
        <v>3.4857842000490986E-9</v>
      </c>
      <c r="O35" s="43" cm="1">
        <f t="array" ref="O35">$V$32*NMultDensity(C35:D35,$V$36:$V$37,$T$36:$U$37)/L35</f>
        <v>1.8645812941947132E-17</v>
      </c>
      <c r="P35" s="39"/>
      <c r="Q35" s="31" t="s">
        <v>16</v>
      </c>
      <c r="R35" s="27">
        <f>_xlfn.COVARIANCE.S($B$102:$B$151,A102:A151)</f>
        <v>9.3763265306122431E-2</v>
      </c>
      <c r="S35" s="27">
        <f>_xlfn.COVARIANCE.S($B$102:$B$151,B102:B151)</f>
        <v>0.10400408163265312</v>
      </c>
      <c r="T35" s="27">
        <f>_xlfn.COVARIANCE.S($B$102:$B$151,C102:C151)</f>
        <v>7.1379591836734674E-2</v>
      </c>
      <c r="U35" s="27">
        <f>_xlfn.COVARIANCE.S($B$102:$B$151,D102:D151)</f>
        <v>4.7628571428571437E-2</v>
      </c>
      <c r="V35" s="8">
        <f>S38</f>
        <v>2.9739999999999998</v>
      </c>
    </row>
    <row r="36" spans="1:22" x14ac:dyDescent="0.25">
      <c r="A36" s="25">
        <v>4.9000000000000004</v>
      </c>
      <c r="B36" s="25">
        <v>3.1</v>
      </c>
      <c r="C36" s="25">
        <v>1.5</v>
      </c>
      <c r="D36" s="25">
        <v>0.2</v>
      </c>
      <c r="E36" s="50" t="s">
        <v>5</v>
      </c>
      <c r="F36" s="71" t="str">
        <f t="shared" si="0"/>
        <v>setosa</v>
      </c>
      <c r="G36" s="25" cm="1">
        <f t="array" ref="G36">$V$6*NMultDensity(A36:D36,$V$8:$V$11,$R$8:$U$11)+$V$19*NMultDensity(A36:D36,$V$21:$V$24,$R$21:$U$24)+$V$32*NMultDensity(A36:D36,$V$34:$V$37,$R$34:$U$37)</f>
        <v>0.92482610910911434</v>
      </c>
      <c r="H36" s="25" cm="1">
        <f t="array" ref="H36">$V$6*NMultDensity(A36:D36,$V$8:$V$11,$R$8:$U$11)/G36</f>
        <v>1</v>
      </c>
      <c r="I36" s="25" cm="1">
        <f t="array" ref="I36">$V$19*NMultDensity(A36:D36,$V$21:$V$24,$R$21:$U$24)/G36</f>
        <v>6.5467291610583446E-19</v>
      </c>
      <c r="J36" s="39" cm="1">
        <f t="array" ref="J36">$V$32*NMultDensity(A36:D36,$V$34:$V$37,$R$34:$U$37)/G36</f>
        <v>2.1694113233844605E-33</v>
      </c>
      <c r="K36" s="71" t="str">
        <f t="shared" si="1"/>
        <v>setosa</v>
      </c>
      <c r="L36" s="25" cm="1">
        <f t="array" ref="L36">$V$6*NMultDensity(C36:D36,$V$10:$V$11,$T$10:$U$11)+$V$19*NMultDensity(C36:D36,$V$23:$V$24,$T$23:$U$24)+$V$32*NMultDensity(C36:D36,$V$36:$V$37,$T$36:$U$37)</f>
        <v>0.77804950616500024</v>
      </c>
      <c r="M36" s="25" cm="1">
        <f t="array" ref="M36">$V$6*NMultDensity(C36:D36,$V$10:$V$11,$T$10:$U$11)/L36</f>
        <v>0.99999999153915908</v>
      </c>
      <c r="N36" s="25" cm="1">
        <f t="array" ref="N36">$V$19*NMultDensity(C36:D36,$V$23:$V$24,$T$23:$U$24)/L36</f>
        <v>8.4608409124149646E-9</v>
      </c>
      <c r="O36" s="43" cm="1">
        <f t="array" ref="O36">$V$32*NMultDensity(C36:D36,$V$36:$V$37,$T$36:$U$37)/L36</f>
        <v>5.7068957586895949E-17</v>
      </c>
      <c r="P36" s="39"/>
      <c r="Q36" s="31" t="s">
        <v>9</v>
      </c>
      <c r="R36" s="27">
        <f>_xlfn.COVARIANCE.S($C$102:$C$151,A102:A151)</f>
        <v>0.30328979591836741</v>
      </c>
      <c r="S36" s="27">
        <f>_xlfn.COVARIANCE.S($C$102:$C$151,B102:B151)</f>
        <v>7.1379591836734674E-2</v>
      </c>
      <c r="T36" s="28">
        <f>_xlfn.COVARIANCE.S($C$102:$C$151,C102:C151)</f>
        <v>0.304587755102041</v>
      </c>
      <c r="U36" s="34">
        <f>_xlfn.COVARIANCE.S($C$102:$C$151,D102:D151)</f>
        <v>4.8824489795918372E-2</v>
      </c>
      <c r="V36" s="8">
        <f>T38</f>
        <v>5.5519999999999996</v>
      </c>
    </row>
    <row r="37" spans="1:22" ht="15.75" thickBot="1" x14ac:dyDescent="0.3">
      <c r="A37" s="25">
        <v>5</v>
      </c>
      <c r="B37" s="25">
        <v>3.2</v>
      </c>
      <c r="C37" s="25">
        <v>1.2</v>
      </c>
      <c r="D37" s="25">
        <v>0.2</v>
      </c>
      <c r="E37" s="50" t="s">
        <v>5</v>
      </c>
      <c r="F37" s="71" t="str">
        <f t="shared" si="0"/>
        <v>setosa</v>
      </c>
      <c r="G37" s="25" cm="1">
        <f t="array" ref="G37">$V$6*NMultDensity(A37:D37,$V$8:$V$11,$R$8:$U$11)+$V$19*NMultDensity(A37:D37,$V$21:$V$24,$R$21:$U$24)+$V$32*NMultDensity(A37:D37,$V$34:$V$37,$R$34:$U$37)</f>
        <v>0.33434856140677882</v>
      </c>
      <c r="H37" s="25" cm="1">
        <f t="array" ref="H37">$V$6*NMultDensity(A37:D37,$V$8:$V$11,$R$8:$U$11)/G37</f>
        <v>1</v>
      </c>
      <c r="I37" s="25" cm="1">
        <f t="array" ref="I37">$V$19*NMultDensity(A37:D37,$V$21:$V$24,$R$21:$U$24)/G37</f>
        <v>2.750405019436647E-22</v>
      </c>
      <c r="J37" s="39" cm="1">
        <f t="array" ref="J37">$V$32*NMultDensity(A37:D37,$V$34:$V$37,$R$34:$U$37)/G37</f>
        <v>3.4523934005152152E-39</v>
      </c>
      <c r="K37" s="71" t="str">
        <f t="shared" si="1"/>
        <v>setosa</v>
      </c>
      <c r="L37" s="25" cm="1">
        <f t="array" ref="L37">$V$6*NMultDensity(C37:D37,$V$10:$V$11,$T$10:$U$11)+$V$19*NMultDensity(C37:D37,$V$23:$V$24,$T$23:$U$24)+$V$32*NMultDensity(C37:D37,$V$36:$V$37,$T$36:$U$37)</f>
        <v>0.29471051841808793</v>
      </c>
      <c r="M37" s="25" cm="1">
        <f t="array" ref="M37">$V$6*NMultDensity(C37:D37,$V$10:$V$11,$T$10:$U$11)/L37</f>
        <v>0.99999999873334855</v>
      </c>
      <c r="N37" s="25" cm="1">
        <f t="array" ref="N37">$V$19*NMultDensity(C37:D37,$V$23:$V$24,$T$23:$U$24)/L37</f>
        <v>1.2666514555800186E-9</v>
      </c>
      <c r="O37" s="43" cm="1">
        <f t="array" ref="O37">$V$32*NMultDensity(C37:D37,$V$36:$V$37,$T$36:$U$37)/L37</f>
        <v>5.4525660198842809E-18</v>
      </c>
      <c r="P37" s="39"/>
      <c r="Q37" s="54" t="s">
        <v>10</v>
      </c>
      <c r="R37" s="27">
        <f>_xlfn.COVARIANCE.S($D$102:$D$151,A102:A151)</f>
        <v>4.9093877551020432E-2</v>
      </c>
      <c r="S37" s="27">
        <f>_xlfn.COVARIANCE.S($D$102:$D$151,B102:B151)</f>
        <v>4.7628571428571437E-2</v>
      </c>
      <c r="T37" s="35">
        <f>_xlfn.COVARIANCE.S($D$102:$D$151,C102:C151)</f>
        <v>4.8824489795918372E-2</v>
      </c>
      <c r="U37" s="36">
        <f>_xlfn.COVARIANCE.S($D$102:$D$151,D102:D151)</f>
        <v>7.5432653061224472E-2</v>
      </c>
      <c r="V37" s="9">
        <f>U38</f>
        <v>2.0259999999999998</v>
      </c>
    </row>
    <row r="38" spans="1:22" ht="15.75" thickBot="1" x14ac:dyDescent="0.3">
      <c r="A38" s="25">
        <v>5.5</v>
      </c>
      <c r="B38" s="25">
        <v>3.5</v>
      </c>
      <c r="C38" s="25">
        <v>1.3</v>
      </c>
      <c r="D38" s="25">
        <v>0.2</v>
      </c>
      <c r="E38" s="50" t="s">
        <v>5</v>
      </c>
      <c r="F38" s="71" t="str">
        <f t="shared" si="0"/>
        <v>setosa</v>
      </c>
      <c r="G38" s="25" cm="1">
        <f t="array" ref="G38">$V$6*NMultDensity(A38:D38,$V$8:$V$11,$R$8:$U$11)+$V$19*NMultDensity(A38:D38,$V$21:$V$24,$R$21:$U$24)+$V$32*NMultDensity(A38:D38,$V$34:$V$37,$R$34:$U$37)</f>
        <v>9.9729477166635577E-2</v>
      </c>
      <c r="H38" s="25" cm="1">
        <f t="array" ref="H38">$V$6*NMultDensity(A38:D38,$V$8:$V$11,$R$8:$U$11)/G38</f>
        <v>1</v>
      </c>
      <c r="I38" s="25" cm="1">
        <f t="array" ref="I38">$V$19*NMultDensity(A38:D38,$V$21:$V$24,$R$21:$U$24)/G38</f>
        <v>7.8466114424088679E-27</v>
      </c>
      <c r="J38" s="39" cm="1">
        <f t="array" ref="J38">$V$32*NMultDensity(A38:D38,$V$34:$V$37,$R$34:$U$37)/G38</f>
        <v>5.1208462084119695E-45</v>
      </c>
      <c r="K38" s="71" t="str">
        <f t="shared" si="1"/>
        <v>setosa</v>
      </c>
      <c r="L38" s="25" cm="1">
        <f t="array" ref="L38">$V$6*NMultDensity(C38:D38,$V$10:$V$11,$T$10:$U$11)+$V$19*NMultDensity(C38:D38,$V$23:$V$24,$T$23:$U$24)+$V$32*NMultDensity(C38:D38,$V$36:$V$37,$T$36:$U$37)</f>
        <v>0.59119058449372441</v>
      </c>
      <c r="M38" s="25" cm="1">
        <f t="array" ref="M38">$V$6*NMultDensity(C38:D38,$V$10:$V$11,$T$10:$U$11)/L38</f>
        <v>0.99999999814910534</v>
      </c>
      <c r="N38" s="25" cm="1">
        <f t="array" ref="N38">$V$19*NMultDensity(C38:D38,$V$23:$V$24,$T$23:$U$24)/L38</f>
        <v>1.8508946318430353E-9</v>
      </c>
      <c r="O38" s="43" cm="1">
        <f t="array" ref="O38">$V$32*NMultDensity(C38:D38,$V$36:$V$37,$T$36:$U$37)/L38</f>
        <v>8.5240957665247448E-18</v>
      </c>
      <c r="P38" s="39"/>
      <c r="Q38" s="53" t="s">
        <v>11</v>
      </c>
      <c r="R38" s="10">
        <f>AVERAGE(A$102:A$151)</f>
        <v>6.5879999999999983</v>
      </c>
      <c r="S38" s="11">
        <f>AVERAGE(B$102:B$151)</f>
        <v>2.9739999999999998</v>
      </c>
      <c r="T38" s="11">
        <f>AVERAGE(C$102:C$151)</f>
        <v>5.5519999999999996</v>
      </c>
      <c r="U38" s="12">
        <f>AVERAGE(D$102:D$151)</f>
        <v>2.0259999999999998</v>
      </c>
      <c r="V38" s="27"/>
    </row>
    <row r="39" spans="1:22" x14ac:dyDescent="0.25">
      <c r="A39" s="25">
        <v>4.9000000000000004</v>
      </c>
      <c r="B39" s="25">
        <v>3.6</v>
      </c>
      <c r="C39" s="25">
        <v>1.4</v>
      </c>
      <c r="D39" s="25">
        <v>0.1</v>
      </c>
      <c r="E39" s="50" t="s">
        <v>5</v>
      </c>
      <c r="F39" s="71" t="str">
        <f t="shared" si="0"/>
        <v>setosa</v>
      </c>
      <c r="G39" s="25" cm="1">
        <f t="array" ref="G39">$V$6*NMultDensity(A39:D39,$V$8:$V$11,$R$8:$U$11)+$V$19*NMultDensity(A39:D39,$V$21:$V$24,$R$21:$U$24)+$V$32*NMultDensity(A39:D39,$V$34:$V$37,$R$34:$U$37)</f>
        <v>0.37251291612172555</v>
      </c>
      <c r="H39" s="25" cm="1">
        <f t="array" ref="H39">$V$6*NMultDensity(A39:D39,$V$8:$V$11,$R$8:$U$11)/G39</f>
        <v>1</v>
      </c>
      <c r="I39" s="25" cm="1">
        <f t="array" ref="I39">$V$19*NMultDensity(A39:D39,$V$21:$V$24,$R$21:$U$24)/G39</f>
        <v>4.6666887078039986E-28</v>
      </c>
      <c r="J39" s="39" cm="1">
        <f t="array" ref="J39">$V$32*NMultDensity(A39:D39,$V$34:$V$37,$R$34:$U$37)/G39</f>
        <v>9.0720779931357814E-41</v>
      </c>
      <c r="K39" s="71" t="str">
        <f t="shared" si="1"/>
        <v>setosa</v>
      </c>
      <c r="L39" s="25" cm="1">
        <f t="array" ref="L39">$V$6*NMultDensity(C39:D39,$V$10:$V$11,$T$10:$U$11)+$V$19*NMultDensity(C39:D39,$V$23:$V$24,$T$23:$U$24)+$V$32*NMultDensity(C39:D39,$V$36:$V$37,$T$36:$U$37)</f>
        <v>0.35099280184046333</v>
      </c>
      <c r="M39" s="25" cm="1">
        <f t="array" ref="M39">$V$6*NMultDensity(C39:D39,$V$10:$V$11,$T$10:$U$11)/L39</f>
        <v>0.99999999825621322</v>
      </c>
      <c r="N39" s="25" cm="1">
        <f t="array" ref="N39">$V$19*NMultDensity(C39:D39,$V$23:$V$24,$T$23:$U$24)/L39</f>
        <v>1.7437868341376203E-9</v>
      </c>
      <c r="O39" s="43" cm="1">
        <f t="array" ref="O39">$V$32*NMultDensity(C39:D39,$V$36:$V$37,$T$36:$U$37)/L39</f>
        <v>7.243874620498503E-18</v>
      </c>
      <c r="P39" s="39"/>
      <c r="Q39" s="32" t="s">
        <v>12</v>
      </c>
      <c r="R39" s="2">
        <f>MIN(A102:A151)</f>
        <v>4.9000000000000004</v>
      </c>
      <c r="S39" s="3">
        <f>MIN(B102:B151)</f>
        <v>2.2000000000000002</v>
      </c>
      <c r="T39" s="37">
        <f>MIN(C102:C151)</f>
        <v>4.5</v>
      </c>
      <c r="U39" s="38">
        <f>MIN(D102:D151)</f>
        <v>1.4</v>
      </c>
      <c r="V39" s="27"/>
    </row>
    <row r="40" spans="1:22" ht="15.75" thickBot="1" x14ac:dyDescent="0.3">
      <c r="A40" s="25">
        <v>4.4000000000000004</v>
      </c>
      <c r="B40" s="25">
        <v>3</v>
      </c>
      <c r="C40" s="25">
        <v>1.3</v>
      </c>
      <c r="D40" s="25">
        <v>0.2</v>
      </c>
      <c r="E40" s="50" t="s">
        <v>5</v>
      </c>
      <c r="F40" s="71" t="str">
        <f t="shared" si="0"/>
        <v>setosa</v>
      </c>
      <c r="G40" s="25" cm="1">
        <f t="array" ref="G40">$V$6*NMultDensity(A40:D40,$V$8:$V$11,$R$8:$U$11)+$V$19*NMultDensity(A40:D40,$V$21:$V$24,$R$21:$U$24)+$V$32*NMultDensity(A40:D40,$V$34:$V$37,$R$34:$U$37)</f>
        <v>0.33966952819341328</v>
      </c>
      <c r="H40" s="25" cm="1">
        <f t="array" ref="H40">$V$6*NMultDensity(A40:D40,$V$8:$V$11,$R$8:$U$11)/G40</f>
        <v>1</v>
      </c>
      <c r="I40" s="25" cm="1">
        <f t="array" ref="I40">$V$19*NMultDensity(A40:D40,$V$21:$V$24,$R$21:$U$24)/G40</f>
        <v>1.0512726122722103E-17</v>
      </c>
      <c r="J40" s="39" cm="1">
        <f t="array" ref="J40">$V$32*NMultDensity(A40:D40,$V$34:$V$37,$R$34:$U$37)/G40</f>
        <v>4.7648480662916022E-31</v>
      </c>
      <c r="K40" s="71" t="str">
        <f t="shared" si="1"/>
        <v>setosa</v>
      </c>
      <c r="L40" s="25" cm="1">
        <f t="array" ref="L40">$V$6*NMultDensity(C40:D40,$V$10:$V$11,$T$10:$U$11)+$V$19*NMultDensity(C40:D40,$V$23:$V$24,$T$23:$U$24)+$V$32*NMultDensity(C40:D40,$V$36:$V$37,$T$36:$U$37)</f>
        <v>0.59119058449372441</v>
      </c>
      <c r="M40" s="25" cm="1">
        <f t="array" ref="M40">$V$6*NMultDensity(C40:D40,$V$10:$V$11,$T$10:$U$11)/L40</f>
        <v>0.99999999814910534</v>
      </c>
      <c r="N40" s="25" cm="1">
        <f t="array" ref="N40">$V$19*NMultDensity(C40:D40,$V$23:$V$24,$T$23:$U$24)/L40</f>
        <v>1.8508946318430353E-9</v>
      </c>
      <c r="O40" s="43" cm="1">
        <f t="array" ref="O40">$V$32*NMultDensity(C40:D40,$V$36:$V$37,$T$36:$U$37)/L40</f>
        <v>8.5240957665247448E-18</v>
      </c>
      <c r="P40" s="39"/>
      <c r="Q40" s="33" t="s">
        <v>13</v>
      </c>
      <c r="R40" s="15">
        <f>MAX(A102:A151)</f>
        <v>7.9</v>
      </c>
      <c r="S40" s="16">
        <f>MAX(B102:B151)</f>
        <v>3.8</v>
      </c>
      <c r="T40" s="17">
        <f>MAX(C102:C151)</f>
        <v>6.9</v>
      </c>
      <c r="U40" s="18">
        <f>MAX(D102:D151)</f>
        <v>2.5</v>
      </c>
      <c r="V40" s="27"/>
    </row>
    <row r="41" spans="1:22" x14ac:dyDescent="0.25">
      <c r="A41" s="25">
        <v>5.0999999999999996</v>
      </c>
      <c r="B41" s="25">
        <v>3.4</v>
      </c>
      <c r="C41" s="25">
        <v>1.5</v>
      </c>
      <c r="D41" s="25">
        <v>0.2</v>
      </c>
      <c r="E41" s="50" t="s">
        <v>5</v>
      </c>
      <c r="F41" s="71" t="str">
        <f t="shared" si="0"/>
        <v>setosa</v>
      </c>
      <c r="G41" s="25" cm="1">
        <f t="array" ref="G41">$V$6*NMultDensity(A41:D41,$V$8:$V$11,$R$8:$U$11)+$V$19*NMultDensity(A41:D41,$V$21:$V$24,$R$21:$U$24)+$V$32*NMultDensity(A41:D41,$V$34:$V$37,$R$34:$U$37)</f>
        <v>1.2977957784359027</v>
      </c>
      <c r="H41" s="25" cm="1">
        <f t="array" ref="H41">$V$6*NMultDensity(A41:D41,$V$8:$V$11,$R$8:$U$11)/G41</f>
        <v>1</v>
      </c>
      <c r="I41" s="25" cm="1">
        <f t="array" ref="I41">$V$19*NMultDensity(A41:D41,$V$21:$V$24,$R$21:$U$24)/G41</f>
        <v>2.3919873603320574E-23</v>
      </c>
      <c r="J41" s="39" cm="1">
        <f t="array" ref="J41">$V$32*NMultDensity(A41:D41,$V$34:$V$37,$R$34:$U$37)/G41</f>
        <v>6.0152930570538618E-38</v>
      </c>
      <c r="K41" s="71" t="str">
        <f t="shared" si="1"/>
        <v>setosa</v>
      </c>
      <c r="L41" s="25" cm="1">
        <f t="array" ref="L41">$V$6*NMultDensity(C41:D41,$V$10:$V$11,$T$10:$U$11)+$V$19*NMultDensity(C41:D41,$V$23:$V$24,$T$23:$U$24)+$V$32*NMultDensity(C41:D41,$V$36:$V$37,$T$36:$U$37)</f>
        <v>0.77804950616500024</v>
      </c>
      <c r="M41" s="25" cm="1">
        <f t="array" ref="M41">$V$6*NMultDensity(C41:D41,$V$10:$V$11,$T$10:$U$11)/L41</f>
        <v>0.99999999153915908</v>
      </c>
      <c r="N41" s="25" cm="1">
        <f t="array" ref="N41">$V$19*NMultDensity(C41:D41,$V$23:$V$24,$T$23:$U$24)/L41</f>
        <v>8.4608409124149646E-9</v>
      </c>
      <c r="O41" s="43" cm="1">
        <f t="array" ref="O41">$V$32*NMultDensity(C41:D41,$V$36:$V$37,$T$36:$U$37)/L41</f>
        <v>5.7068957586895949E-17</v>
      </c>
      <c r="P41" s="39"/>
    </row>
    <row r="42" spans="1:22" ht="15.75" thickBot="1" x14ac:dyDescent="0.3">
      <c r="A42" s="25">
        <v>5</v>
      </c>
      <c r="B42" s="25">
        <v>3.5</v>
      </c>
      <c r="C42" s="25">
        <v>1.3</v>
      </c>
      <c r="D42" s="25">
        <v>0.3</v>
      </c>
      <c r="E42" s="50" t="s">
        <v>5</v>
      </c>
      <c r="F42" s="71" t="str">
        <f t="shared" si="0"/>
        <v>setosa</v>
      </c>
      <c r="G42" s="25" cm="1">
        <f t="array" ref="G42">$V$6*NMultDensity(A42:D42,$V$8:$V$11,$R$8:$U$11)+$V$19*NMultDensity(A42:D42,$V$21:$V$24,$R$21:$U$24)+$V$32*NMultDensity(A42:D42,$V$34:$V$37,$R$34:$U$37)</f>
        <v>0.75044970530173283</v>
      </c>
      <c r="H42" s="25" cm="1">
        <f t="array" ref="H42">$V$6*NMultDensity(A42:D42,$V$8:$V$11,$R$8:$U$11)/G42</f>
        <v>1</v>
      </c>
      <c r="I42" s="25" cm="1">
        <f t="array" ref="I42">$V$19*NMultDensity(A42:D42,$V$21:$V$24,$R$21:$U$24)/G42</f>
        <v>3.0471970306274324E-24</v>
      </c>
      <c r="J42" s="39" cm="1">
        <f t="array" ref="J42">$V$32*NMultDensity(A42:D42,$V$34:$V$37,$R$34:$U$37)/G42</f>
        <v>1.3641718278985093E-39</v>
      </c>
      <c r="K42" s="71" t="str">
        <f t="shared" si="1"/>
        <v>setosa</v>
      </c>
      <c r="L42" s="25" cm="1">
        <f t="array" ref="L42">$V$6*NMultDensity(C42:D42,$V$10:$V$11,$T$10:$U$11)+$V$19*NMultDensity(C42:D42,$V$23:$V$24,$T$23:$U$24)+$V$32*NMultDensity(C42:D42,$V$36:$V$37,$T$36:$U$37)</f>
        <v>0.40823849070286616</v>
      </c>
      <c r="M42" s="25" cm="1">
        <f t="array" ref="M42">$V$6*NMultDensity(C42:D42,$V$10:$V$11,$T$10:$U$11)/L42</f>
        <v>0.99999999489325453</v>
      </c>
      <c r="N42" s="25" cm="1">
        <f t="array" ref="N42">$V$19*NMultDensity(C42:D42,$V$23:$V$24,$T$23:$U$24)/L42</f>
        <v>5.1067455135801192E-9</v>
      </c>
      <c r="O42" s="43" cm="1">
        <f t="array" ref="O42">$V$32*NMultDensity(C42:D42,$V$36:$V$37,$T$36:$U$37)/L42</f>
        <v>6.2302097341035617E-17</v>
      </c>
      <c r="P42" s="39"/>
      <c r="Q42" s="19" t="s">
        <v>14</v>
      </c>
      <c r="R42" s="19">
        <f>COUNT(C102:C151)</f>
        <v>50</v>
      </c>
    </row>
    <row r="43" spans="1:22" ht="15.75" thickTop="1" x14ac:dyDescent="0.25">
      <c r="A43" s="25">
        <v>4.5</v>
      </c>
      <c r="B43" s="25">
        <v>2.2999999999999998</v>
      </c>
      <c r="C43" s="25">
        <v>1.3</v>
      </c>
      <c r="D43" s="25">
        <v>0.3</v>
      </c>
      <c r="E43" s="50" t="s">
        <v>5</v>
      </c>
      <c r="F43" s="71" t="str">
        <f t="shared" si="0"/>
        <v>setosa</v>
      </c>
      <c r="G43" s="25" cm="1">
        <f t="array" ref="G43">$V$6*NMultDensity(A43:D43,$V$8:$V$11,$R$8:$U$11)+$V$19*NMultDensity(A43:D43,$V$21:$V$24,$R$21:$U$24)+$V$32*NMultDensity(A43:D43,$V$34:$V$37,$R$34:$U$37)</f>
        <v>3.6666443061955799E-3</v>
      </c>
      <c r="H43" s="25" cm="1">
        <f t="array" ref="H43">$V$6*NMultDensity(A43:D43,$V$8:$V$11,$R$8:$U$11)/G43</f>
        <v>0.9999999987011382</v>
      </c>
      <c r="I43" s="25" cm="1">
        <f t="array" ref="I43">$V$19*NMultDensity(A43:D43,$V$21:$V$24,$R$21:$U$24)/G43</f>
        <v>1.2988618176728318E-9</v>
      </c>
      <c r="J43" s="39" cm="1">
        <f t="array" ref="J43">$V$32*NMultDensity(A43:D43,$V$34:$V$37,$R$34:$U$37)/G43</f>
        <v>5.2789502356526116E-25</v>
      </c>
      <c r="K43" s="71" t="str">
        <f t="shared" si="1"/>
        <v>setosa</v>
      </c>
      <c r="L43" s="25" cm="1">
        <f t="array" ref="L43">$V$6*NMultDensity(C43:D43,$V$10:$V$11,$T$10:$U$11)+$V$19*NMultDensity(C43:D43,$V$23:$V$24,$T$23:$U$24)+$V$32*NMultDensity(C43:D43,$V$36:$V$37,$T$36:$U$37)</f>
        <v>0.40823849070286616</v>
      </c>
      <c r="M43" s="25" cm="1">
        <f t="array" ref="M43">$V$6*NMultDensity(C43:D43,$V$10:$V$11,$T$10:$U$11)/L43</f>
        <v>0.99999999489325453</v>
      </c>
      <c r="N43" s="25" cm="1">
        <f t="array" ref="N43">$V$19*NMultDensity(C43:D43,$V$23:$V$24,$T$23:$U$24)/L43</f>
        <v>5.1067455135801192E-9</v>
      </c>
      <c r="O43" s="43" cm="1">
        <f t="array" ref="O43">$V$32*NMultDensity(C43:D43,$V$36:$V$37,$T$36:$U$37)/L43</f>
        <v>6.2302097341035617E-17</v>
      </c>
      <c r="P43" s="39"/>
      <c r="Q43" s="39"/>
      <c r="R43" s="39"/>
    </row>
    <row r="44" spans="1:22" x14ac:dyDescent="0.25">
      <c r="A44" s="25">
        <v>4.4000000000000004</v>
      </c>
      <c r="B44" s="25">
        <v>3.2</v>
      </c>
      <c r="C44" s="25">
        <v>1.3</v>
      </c>
      <c r="D44" s="25">
        <v>0.2</v>
      </c>
      <c r="E44" s="50" t="s">
        <v>5</v>
      </c>
      <c r="F44" s="71" t="str">
        <f t="shared" si="0"/>
        <v>setosa</v>
      </c>
      <c r="G44" s="25" cm="1">
        <f t="array" ref="G44">$V$6*NMultDensity(A44:D44,$V$8:$V$11,$R$8:$U$11)+$V$19*NMultDensity(A44:D44,$V$21:$V$24,$R$21:$U$24)+$V$32*NMultDensity(A44:D44,$V$34:$V$37,$R$34:$U$37)</f>
        <v>0.21327383241949766</v>
      </c>
      <c r="H44" s="25" cm="1">
        <f t="array" ref="H44">$V$6*NMultDensity(A44:D44,$V$8:$V$11,$R$8:$U$11)/G44</f>
        <v>1</v>
      </c>
      <c r="I44" s="25" cm="1">
        <f t="array" ref="I44">$V$19*NMultDensity(A44:D44,$V$21:$V$24,$R$21:$U$24)/G44</f>
        <v>6.4148239888374705E-20</v>
      </c>
      <c r="J44" s="39" cm="1">
        <f t="array" ref="J44">$V$32*NMultDensity(A44:D44,$V$34:$V$37,$R$34:$U$37)/G44</f>
        <v>1.2838958490542097E-32</v>
      </c>
      <c r="K44" s="71" t="str">
        <f t="shared" si="1"/>
        <v>setosa</v>
      </c>
      <c r="L44" s="25" cm="1">
        <f t="array" ref="L44">$V$6*NMultDensity(C44:D44,$V$10:$V$11,$T$10:$U$11)+$V$19*NMultDensity(C44:D44,$V$23:$V$24,$T$23:$U$24)+$V$32*NMultDensity(C44:D44,$V$36:$V$37,$T$36:$U$37)</f>
        <v>0.59119058449372441</v>
      </c>
      <c r="M44" s="25" cm="1">
        <f t="array" ref="M44">$V$6*NMultDensity(C44:D44,$V$10:$V$11,$T$10:$U$11)/L44</f>
        <v>0.99999999814910534</v>
      </c>
      <c r="N44" s="25" cm="1">
        <f t="array" ref="N44">$V$19*NMultDensity(C44:D44,$V$23:$V$24,$T$23:$U$24)/L44</f>
        <v>1.8508946318430353E-9</v>
      </c>
      <c r="O44" s="43" cm="1">
        <f t="array" ref="O44">$V$32*NMultDensity(C44:D44,$V$36:$V$37,$T$36:$U$37)/L44</f>
        <v>8.5240957665247448E-18</v>
      </c>
      <c r="P44" s="39"/>
      <c r="Q44" s="110" t="s">
        <v>52</v>
      </c>
      <c r="R44" s="111" t="s">
        <v>53</v>
      </c>
    </row>
    <row r="45" spans="1:22" x14ac:dyDescent="0.25">
      <c r="A45" s="25">
        <v>5</v>
      </c>
      <c r="B45" s="25">
        <v>3.5</v>
      </c>
      <c r="C45" s="25">
        <v>1.6</v>
      </c>
      <c r="D45" s="25">
        <v>0.6</v>
      </c>
      <c r="E45" s="50" t="s">
        <v>5</v>
      </c>
      <c r="F45" s="71" t="str">
        <f t="shared" si="0"/>
        <v>setosa</v>
      </c>
      <c r="G45" s="25" cm="1">
        <f t="array" ref="G45">$V$6*NMultDensity(A45:D45,$V$8:$V$11,$R$8:$U$11)+$V$19*NMultDensity(A45:D45,$V$21:$V$24,$R$21:$U$24)+$V$32*NMultDensity(A45:D45,$V$34:$V$37,$R$34:$U$37)</f>
        <v>3.6990178891646202E-3</v>
      </c>
      <c r="H45" s="25" cm="1">
        <f t="array" ref="H45">$V$6*NMultDensity(A45:D45,$V$8:$V$11,$R$8:$U$11)/G45</f>
        <v>0.99999999999999978</v>
      </c>
      <c r="I45" s="25" cm="1">
        <f t="array" ref="I45">$V$19*NMultDensity(A45:D45,$V$21:$V$24,$R$21:$U$24)/G45</f>
        <v>2.8091521785001893E-16</v>
      </c>
      <c r="J45" s="39" cm="1">
        <f t="array" ref="J45">$V$32*NMultDensity(A45:D45,$V$34:$V$37,$R$34:$U$37)/G45</f>
        <v>1.771224016199188E-29</v>
      </c>
      <c r="K45" s="71" t="str">
        <f t="shared" si="1"/>
        <v>setosa</v>
      </c>
      <c r="L45" s="25" cm="1">
        <f t="array" ref="L45">$V$6*NMultDensity(C45:D45,$V$10:$V$11,$T$10:$U$11)+$V$19*NMultDensity(C45:D45,$V$23:$V$24,$T$23:$U$24)+$V$32*NMultDensity(C45:D45,$V$36:$V$37,$T$36:$U$37)</f>
        <v>3.0872569353295495E-3</v>
      </c>
      <c r="M45" s="25" cm="1">
        <f t="array" ref="M45">$V$6*NMultDensity(C45:D45,$V$10:$V$11,$T$10:$U$11)/L45</f>
        <v>0.99998520226624255</v>
      </c>
      <c r="N45" s="25" cm="1">
        <f t="array" ref="N45">$V$19*NMultDensity(C45:D45,$V$23:$V$24,$T$23:$U$24)/L45</f>
        <v>1.4797719409754254E-5</v>
      </c>
      <c r="O45" s="43" cm="1">
        <f t="array" ref="O45">$V$32*NMultDensity(C45:D45,$V$36:$V$37,$T$36:$U$37)/L45</f>
        <v>1.4347761773397832E-11</v>
      </c>
      <c r="P45" s="39"/>
      <c r="Q45" s="39"/>
      <c r="R45" s="39"/>
    </row>
    <row r="46" spans="1:22" x14ac:dyDescent="0.25">
      <c r="A46" s="25">
        <v>5.0999999999999996</v>
      </c>
      <c r="B46" s="25">
        <v>3.8</v>
      </c>
      <c r="C46" s="25">
        <v>1.9</v>
      </c>
      <c r="D46" s="25">
        <v>0.4</v>
      </c>
      <c r="E46" s="50" t="s">
        <v>5</v>
      </c>
      <c r="F46" s="71" t="str">
        <f t="shared" si="0"/>
        <v>setosa</v>
      </c>
      <c r="G46" s="25" cm="1">
        <f t="array" ref="G46">$V$6*NMultDensity(A46:D46,$V$8:$V$11,$R$8:$U$11)+$V$19*NMultDensity(A46:D46,$V$21:$V$24,$R$21:$U$24)+$V$32*NMultDensity(A46:D46,$V$34:$V$37,$R$34:$U$37)</f>
        <v>2.3629982065492668E-2</v>
      </c>
      <c r="H46" s="25" cm="1">
        <f t="array" ref="H46">$V$6*NMultDensity(A46:D46,$V$8:$V$11,$R$8:$U$11)/G46</f>
        <v>1</v>
      </c>
      <c r="I46" s="25" cm="1">
        <f t="array" ref="I46">$V$19*NMultDensity(A46:D46,$V$21:$V$24,$R$21:$U$24)/G46</f>
        <v>2.0757425783807937E-21</v>
      </c>
      <c r="J46" s="39" cm="1">
        <f t="array" ref="J46">$V$32*NMultDensity(A46:D46,$V$34:$V$37,$R$34:$U$37)/G46</f>
        <v>1.3180209180652227E-32</v>
      </c>
      <c r="K46" s="71" t="str">
        <f t="shared" si="1"/>
        <v>setosa</v>
      </c>
      <c r="L46" s="25" cm="1">
        <f t="array" ref="L46">$V$6*NMultDensity(C46:D46,$V$10:$V$11,$T$10:$U$11)+$V$19*NMultDensity(C46:D46,$V$23:$V$24,$T$23:$U$24)+$V$32*NMultDensity(C46:D46,$V$36:$V$37,$T$36:$U$37)</f>
        <v>3.0767678663698651E-2</v>
      </c>
      <c r="M46" s="25" cm="1">
        <f t="array" ref="M46">$V$6*NMultDensity(C46:D46,$V$10:$V$11,$T$10:$U$11)/L46</f>
        <v>0.99995036695746475</v>
      </c>
      <c r="N46" s="25" cm="1">
        <f t="array" ref="N46">$V$19*NMultDensity(C46:D46,$V$23:$V$24,$T$23:$U$24)/L46</f>
        <v>4.9633040427265916E-5</v>
      </c>
      <c r="O46" s="43" cm="1">
        <f t="array" ref="O46">$V$32*NMultDensity(C46:D46,$V$36:$V$37,$T$36:$U$37)/L46</f>
        <v>2.1080291751728074E-12</v>
      </c>
      <c r="P46" s="39"/>
      <c r="Q46" s="39"/>
      <c r="R46" s="39"/>
    </row>
    <row r="47" spans="1:22" x14ac:dyDescent="0.25">
      <c r="A47" s="25">
        <v>4.8</v>
      </c>
      <c r="B47" s="25">
        <v>3</v>
      </c>
      <c r="C47" s="25">
        <v>1.4</v>
      </c>
      <c r="D47" s="25">
        <v>0.3</v>
      </c>
      <c r="E47" s="50" t="s">
        <v>5</v>
      </c>
      <c r="F47" s="71" t="str">
        <f t="shared" si="0"/>
        <v>setosa</v>
      </c>
      <c r="G47" s="25" cm="1">
        <f t="array" ref="G47">$V$6*NMultDensity(A47:D47,$V$8:$V$11,$R$8:$U$11)+$V$19*NMultDensity(A47:D47,$V$21:$V$24,$R$21:$U$24)+$V$32*NMultDensity(A47:D47,$V$34:$V$37,$R$34:$U$37)</f>
        <v>0.58159267303239781</v>
      </c>
      <c r="H47" s="25" cm="1">
        <f t="array" ref="H47">$V$6*NMultDensity(A47:D47,$V$8:$V$11,$R$8:$U$11)/G47</f>
        <v>1</v>
      </c>
      <c r="I47" s="25" cm="1">
        <f t="array" ref="I47">$V$19*NMultDensity(A47:D47,$V$21:$V$24,$R$21:$U$24)/G47</f>
        <v>8.8565500915667879E-17</v>
      </c>
      <c r="J47" s="39" cm="1">
        <f t="array" ref="J47">$V$32*NMultDensity(A47:D47,$V$34:$V$37,$R$34:$U$37)/G47</f>
        <v>7.372403678976725E-32</v>
      </c>
      <c r="K47" s="71" t="str">
        <f t="shared" si="1"/>
        <v>setosa</v>
      </c>
      <c r="L47" s="25" cm="1">
        <f t="array" ref="L47">$V$6*NMultDensity(C47:D47,$V$10:$V$11,$T$10:$U$11)+$V$19*NMultDensity(C47:D47,$V$23:$V$24,$T$23:$U$24)+$V$32*NMultDensity(C47:D47,$V$36:$V$37,$T$36:$U$37)</f>
        <v>0.69162449014523919</v>
      </c>
      <c r="M47" s="25" cm="1">
        <f t="array" ref="M47">$V$6*NMultDensity(C47:D47,$V$10:$V$11,$T$10:$U$11)/L47</f>
        <v>0.99999999020280417</v>
      </c>
      <c r="N47" s="25" cm="1">
        <f t="array" ref="N47">$V$19*NMultDensity(C47:D47,$V$23:$V$24,$T$23:$U$24)/L47</f>
        <v>9.797195710746826E-9</v>
      </c>
      <c r="O47" s="43" cm="1">
        <f t="array" ref="O47">$V$32*NMultDensity(C47:D47,$V$36:$V$37,$T$36:$U$37)/L47</f>
        <v>1.1384494237617772E-16</v>
      </c>
      <c r="P47" s="39"/>
      <c r="Q47" s="39"/>
      <c r="R47" s="39"/>
    </row>
    <row r="48" spans="1:22" x14ac:dyDescent="0.25">
      <c r="A48" s="25">
        <v>5.0999999999999996</v>
      </c>
      <c r="B48" s="25">
        <v>3.8</v>
      </c>
      <c r="C48" s="25">
        <v>1.6</v>
      </c>
      <c r="D48" s="25">
        <v>0.2</v>
      </c>
      <c r="E48" s="50" t="s">
        <v>5</v>
      </c>
      <c r="F48" s="71" t="str">
        <f t="shared" si="0"/>
        <v>setosa</v>
      </c>
      <c r="G48" s="25" cm="1">
        <f t="array" ref="G48">$V$6*NMultDensity(A48:D48,$V$8:$V$11,$R$8:$U$11)+$V$19*NMultDensity(A48:D48,$V$21:$V$24,$R$21:$U$24)+$V$32*NMultDensity(A48:D48,$V$34:$V$37,$R$34:$U$37)</f>
        <v>0.43931868552228492</v>
      </c>
      <c r="H48" s="25" cm="1">
        <f t="array" ref="H48">$V$6*NMultDensity(A48:D48,$V$8:$V$11,$R$8:$U$11)/G48</f>
        <v>1</v>
      </c>
      <c r="I48" s="25" cm="1">
        <f t="array" ref="I48">$V$19*NMultDensity(A48:D48,$V$21:$V$24,$R$21:$U$24)/G48</f>
        <v>1.9177553864927736E-28</v>
      </c>
      <c r="J48" s="39" cm="1">
        <f t="array" ref="J48">$V$32*NMultDensity(A48:D48,$V$34:$V$37,$R$34:$U$37)/G48</f>
        <v>1.348472682149136E-40</v>
      </c>
      <c r="K48" s="71" t="str">
        <f t="shared" si="1"/>
        <v>setosa</v>
      </c>
      <c r="L48" s="25" cm="1">
        <f t="array" ref="L48">$V$6*NMultDensity(C48:D48,$V$10:$V$11,$T$10:$U$11)+$V$19*NMultDensity(C48:D48,$V$23:$V$24,$T$23:$U$24)+$V$32*NMultDensity(C48:D48,$V$36:$V$37,$T$36:$U$37)</f>
        <v>0.51045220826764293</v>
      </c>
      <c r="M48" s="25" cm="1">
        <f t="array" ref="M48">$V$6*NMultDensity(C48:D48,$V$10:$V$11,$T$10:$U$11)/L48</f>
        <v>0.99999997353202041</v>
      </c>
      <c r="N48" s="25" cm="1">
        <f t="array" ref="N48">$V$19*NMultDensity(C48:D48,$V$23:$V$24,$T$23:$U$24)/L48</f>
        <v>2.6467979401675391E-8</v>
      </c>
      <c r="O48" s="43" cm="1">
        <f t="array" ref="O48">$V$32*NMultDensity(C48:D48,$V$36:$V$37,$T$36:$U$37)/L48</f>
        <v>2.4440166863525878E-16</v>
      </c>
      <c r="P48" s="39"/>
      <c r="Q48" s="39"/>
      <c r="R48" s="39"/>
    </row>
    <row r="49" spans="1:18" x14ac:dyDescent="0.25">
      <c r="A49" s="25">
        <v>4.5999999999999996</v>
      </c>
      <c r="B49" s="25">
        <v>3.2</v>
      </c>
      <c r="C49" s="25">
        <v>1.4</v>
      </c>
      <c r="D49" s="25">
        <v>0.2</v>
      </c>
      <c r="E49" s="50" t="s">
        <v>5</v>
      </c>
      <c r="F49" s="71" t="str">
        <f t="shared" si="0"/>
        <v>setosa</v>
      </c>
      <c r="G49" s="25" cm="1">
        <f t="array" ref="G49">$V$6*NMultDensity(A49:D49,$V$8:$V$11,$R$8:$U$11)+$V$19*NMultDensity(A49:D49,$V$21:$V$24,$R$21:$U$24)+$V$32*NMultDensity(A49:D49,$V$34:$V$37,$R$34:$U$37)</f>
        <v>0.82770958494909586</v>
      </c>
      <c r="H49" s="25" cm="1">
        <f t="array" ref="H49">$V$6*NMultDensity(A49:D49,$V$8:$V$11,$R$8:$U$11)/G49</f>
        <v>1</v>
      </c>
      <c r="I49" s="25" cm="1">
        <f t="array" ref="I49">$V$19*NMultDensity(A49:D49,$V$21:$V$24,$R$21:$U$24)/G49</f>
        <v>3.9631188932563427E-20</v>
      </c>
      <c r="J49" s="39" cm="1">
        <f t="array" ref="J49">$V$32*NMultDensity(A49:D49,$V$34:$V$37,$R$34:$U$37)/G49</f>
        <v>2.8173494998665762E-33</v>
      </c>
      <c r="K49" s="71" t="str">
        <f t="shared" si="1"/>
        <v>setosa</v>
      </c>
      <c r="L49" s="25" cm="1">
        <f t="array" ref="L49">$V$6*NMultDensity(C49:D49,$V$10:$V$11,$T$10:$U$11)+$V$19*NMultDensity(C49:D49,$V$23:$V$24,$T$23:$U$24)+$V$32*NMultDensity(C49:D49,$V$36:$V$37,$T$36:$U$37)</f>
        <v>0.8170802379888823</v>
      </c>
      <c r="M49" s="25" cm="1">
        <f t="array" ref="M49">$V$6*NMultDensity(C49:D49,$V$10:$V$11,$T$10:$U$11)/L49</f>
        <v>0.99999999651421578</v>
      </c>
      <c r="N49" s="25" cm="1">
        <f t="array" ref="N49">$V$19*NMultDensity(C49:D49,$V$23:$V$24,$T$23:$U$24)/L49</f>
        <v>3.4857842000490986E-9</v>
      </c>
      <c r="O49" s="43" cm="1">
        <f t="array" ref="O49">$V$32*NMultDensity(C49:D49,$V$36:$V$37,$T$36:$U$37)/L49</f>
        <v>1.8645812941947132E-17</v>
      </c>
      <c r="P49" s="39"/>
      <c r="Q49" s="39"/>
      <c r="R49" s="39"/>
    </row>
    <row r="50" spans="1:18" x14ac:dyDescent="0.25">
      <c r="A50" s="25">
        <v>5.3</v>
      </c>
      <c r="B50" s="25">
        <v>3.7</v>
      </c>
      <c r="C50" s="25">
        <v>1.5</v>
      </c>
      <c r="D50" s="25">
        <v>0.2</v>
      </c>
      <c r="E50" s="50" t="s">
        <v>5</v>
      </c>
      <c r="F50" s="71" t="str">
        <f t="shared" si="0"/>
        <v>setosa</v>
      </c>
      <c r="G50" s="25" cm="1">
        <f t="array" ref="G50">$V$6*NMultDensity(A50:D50,$V$8:$V$11,$R$8:$U$11)+$V$19*NMultDensity(A50:D50,$V$21:$V$24,$R$21:$U$24)+$V$32*NMultDensity(A50:D50,$V$34:$V$37,$R$34:$U$37)</f>
        <v>0.9314405262468588</v>
      </c>
      <c r="H50" s="25" cm="1">
        <f t="array" ref="H50">$V$6*NMultDensity(A50:D50,$V$8:$V$11,$R$8:$U$11)/G50</f>
        <v>1</v>
      </c>
      <c r="I50" s="25" cm="1">
        <f t="array" ref="I50">$V$19*NMultDensity(A50:D50,$V$21:$V$24,$R$21:$U$24)/G50</f>
        <v>3.0815235361962133E-28</v>
      </c>
      <c r="J50" s="39" cm="1">
        <f t="array" ref="J50">$V$32*NMultDensity(A50:D50,$V$34:$V$37,$R$34:$U$37)/G50</f>
        <v>7.7841062110723295E-43</v>
      </c>
      <c r="K50" s="71" t="str">
        <f t="shared" si="1"/>
        <v>setosa</v>
      </c>
      <c r="L50" s="25" cm="1">
        <f t="array" ref="L50">$V$6*NMultDensity(C50:D50,$V$10:$V$11,$T$10:$U$11)+$V$19*NMultDensity(C50:D50,$V$23:$V$24,$T$23:$U$24)+$V$32*NMultDensity(C50:D50,$V$36:$V$37,$T$36:$U$37)</f>
        <v>0.77804950616500024</v>
      </c>
      <c r="M50" s="25" cm="1">
        <f t="array" ref="M50">$V$6*NMultDensity(C50:D50,$V$10:$V$11,$T$10:$U$11)/L50</f>
        <v>0.99999999153915908</v>
      </c>
      <c r="N50" s="25" cm="1">
        <f t="array" ref="N50">$V$19*NMultDensity(C50:D50,$V$23:$V$24,$T$23:$U$24)/L50</f>
        <v>8.4608409124149646E-9</v>
      </c>
      <c r="O50" s="43" cm="1">
        <f t="array" ref="O50">$V$32*NMultDensity(C50:D50,$V$36:$V$37,$T$36:$U$37)/L50</f>
        <v>5.7068957586895949E-17</v>
      </c>
      <c r="P50" s="39"/>
      <c r="Q50" s="39"/>
      <c r="R50" s="39"/>
    </row>
    <row r="51" spans="1:18" x14ac:dyDescent="0.25">
      <c r="A51" s="25">
        <v>5</v>
      </c>
      <c r="B51" s="25">
        <v>3.3</v>
      </c>
      <c r="C51" s="25">
        <v>1.4</v>
      </c>
      <c r="D51" s="25">
        <v>0.2</v>
      </c>
      <c r="E51" s="50" t="s">
        <v>5</v>
      </c>
      <c r="F51" s="71" t="str">
        <f t="shared" si="0"/>
        <v>setosa</v>
      </c>
      <c r="G51" s="25" cm="1">
        <f t="array" ref="G51">$V$6*NMultDensity(A51:D51,$V$8:$V$11,$R$8:$U$11)+$V$19*NMultDensity(A51:D51,$V$21:$V$24,$R$21:$U$24)+$V$32*NMultDensity(A51:D51,$V$34:$V$37,$R$34:$U$37)</f>
        <v>1.3606506120674886</v>
      </c>
      <c r="H51" s="25" cm="1">
        <f t="array" ref="H51">$V$6*NMultDensity(A51:D51,$V$8:$V$11,$R$8:$U$11)/G51</f>
        <v>1</v>
      </c>
      <c r="I51" s="25" cm="1">
        <f t="array" ref="I51">$V$19*NMultDensity(A51:D51,$V$21:$V$24,$R$21:$U$24)/G51</f>
        <v>1.8029391732252205E-22</v>
      </c>
      <c r="J51" s="39" cm="1">
        <f t="array" ref="J51">$V$32*NMultDensity(A51:D51,$V$34:$V$37,$R$34:$U$37)/G51</f>
        <v>1.3253504519726007E-37</v>
      </c>
      <c r="K51" s="71" t="str">
        <f t="shared" si="1"/>
        <v>setosa</v>
      </c>
      <c r="L51" s="25" cm="1">
        <f t="array" ref="L51">$V$6*NMultDensity(C51:D51,$V$10:$V$11,$T$10:$U$11)+$V$19*NMultDensity(C51:D51,$V$23:$V$24,$T$23:$U$24)+$V$32*NMultDensity(C51:D51,$V$36:$V$37,$T$36:$U$37)</f>
        <v>0.8170802379888823</v>
      </c>
      <c r="M51" s="25" cm="1">
        <f t="array" ref="M51">$V$6*NMultDensity(C51:D51,$V$10:$V$11,$T$10:$U$11)/L51</f>
        <v>0.99999999651421578</v>
      </c>
      <c r="N51" s="25" cm="1">
        <f t="array" ref="N51">$V$19*NMultDensity(C51:D51,$V$23:$V$24,$T$23:$U$24)/L51</f>
        <v>3.4857842000490986E-9</v>
      </c>
      <c r="O51" s="43" cm="1">
        <f t="array" ref="O51">$V$32*NMultDensity(C51:D51,$V$36:$V$37,$T$36:$U$37)/L51</f>
        <v>1.8645812941947132E-17</v>
      </c>
      <c r="P51" s="39"/>
      <c r="Q51" s="39"/>
      <c r="R51" s="39"/>
    </row>
    <row r="52" spans="1:18" x14ac:dyDescent="0.25">
      <c r="A52" s="25">
        <v>7</v>
      </c>
      <c r="B52" s="25">
        <v>3.2</v>
      </c>
      <c r="C52" s="25">
        <v>4.7</v>
      </c>
      <c r="D52" s="25">
        <v>1.4</v>
      </c>
      <c r="E52" s="50" t="s">
        <v>6</v>
      </c>
      <c r="F52" s="71" t="str">
        <f t="shared" si="0"/>
        <v>versicolor</v>
      </c>
      <c r="G52" s="25" cm="1">
        <f t="array" ref="G52">$V$6*NMultDensity(A52:D52,$V$8:$V$11,$R$8:$U$11)+$V$19*NMultDensity(A52:D52,$V$21:$V$24,$R$21:$U$24)+$V$32*NMultDensity(A52:D52,$V$34:$V$37,$R$34:$U$37)</f>
        <v>9.2277329501228925E-2</v>
      </c>
      <c r="H52" s="25" cm="1">
        <f t="array" ref="H52">$V$6*NMultDensity(A52:D52,$V$8:$V$11,$R$8:$U$11)/G52</f>
        <v>9.1177396356590522E-91</v>
      </c>
      <c r="I52" s="25" cm="1">
        <f t="array" ref="I52">$V$19*NMultDensity(A52:D52,$V$21:$V$24,$R$21:$U$24)/G52</f>
        <v>0.99992532000651668</v>
      </c>
      <c r="J52" s="39" cm="1">
        <f t="array" ref="J52">$V$32*NMultDensity(A52:D52,$V$34:$V$37,$R$34:$U$37)/G52</f>
        <v>7.467999348328954E-5</v>
      </c>
      <c r="K52" s="71" t="str">
        <f t="shared" si="1"/>
        <v>versicolor</v>
      </c>
      <c r="L52" s="25" cm="1">
        <f t="array" ref="L52">$V$6*NMultDensity(C52:D52,$V$10:$V$11,$T$10:$U$11)+$V$19*NMultDensity(C52:D52,$V$23:$V$24,$T$23:$U$24)+$V$32*NMultDensity(C52:D52,$V$36:$V$37,$T$36:$U$37)</f>
        <v>0.53458652622796854</v>
      </c>
      <c r="M52" s="25" cm="1">
        <f t="array" ref="M52">$V$6*NMultDensity(C52:D52,$V$10:$V$11,$T$10:$U$11)/L52</f>
        <v>1.5944931801439924E-81</v>
      </c>
      <c r="N52" s="25" cm="1">
        <f t="array" ref="N52">$V$19*NMultDensity(C52:D52,$V$23:$V$24,$T$23:$U$24)/L52</f>
        <v>0.93927283700627928</v>
      </c>
      <c r="O52" s="43" cm="1">
        <f t="array" ref="O52">$V$32*NMultDensity(C52:D52,$V$36:$V$37,$T$36:$U$37)/L52</f>
        <v>6.0727162993720676E-2</v>
      </c>
      <c r="P52" s="39"/>
      <c r="Q52" s="39"/>
      <c r="R52" s="39"/>
    </row>
    <row r="53" spans="1:18" x14ac:dyDescent="0.25">
      <c r="A53" s="25">
        <v>6.4</v>
      </c>
      <c r="B53" s="25">
        <v>3.2</v>
      </c>
      <c r="C53" s="25">
        <v>4.5</v>
      </c>
      <c r="D53" s="25">
        <v>1.5</v>
      </c>
      <c r="E53" s="50" t="s">
        <v>6</v>
      </c>
      <c r="F53" s="71" t="str">
        <f t="shared" si="0"/>
        <v>versicolor</v>
      </c>
      <c r="G53" s="25" cm="1">
        <f t="array" ref="G53">$V$6*NMultDensity(A53:D53,$V$8:$V$11,$R$8:$U$11)+$V$19*NMultDensity(A53:D53,$V$21:$V$24,$R$21:$U$24)+$V$32*NMultDensity(A53:D53,$V$34:$V$37,$R$34:$U$37)</f>
        <v>0.58551559084721672</v>
      </c>
      <c r="H53" s="25" cm="1">
        <f t="array" ref="H53">$V$6*NMultDensity(A53:D53,$V$8:$V$11,$R$8:$U$11)/G53</f>
        <v>2.075357570760684E-82</v>
      </c>
      <c r="I53" s="25" cm="1">
        <f t="array" ref="I53">$V$19*NMultDensity(A53:D53,$V$21:$V$24,$R$21:$U$24)/G53</f>
        <v>0.99940484275008867</v>
      </c>
      <c r="J53" s="39" cm="1">
        <f t="array" ref="J53">$V$32*NMultDensity(A53:D53,$V$34:$V$37,$R$34:$U$37)/G53</f>
        <v>5.9515724991127486E-4</v>
      </c>
      <c r="K53" s="71" t="str">
        <f t="shared" si="1"/>
        <v>versicolor</v>
      </c>
      <c r="L53" s="25" cm="1">
        <f t="array" ref="L53">$V$6*NMultDensity(C53:D53,$V$10:$V$11,$T$10:$U$11)+$V$19*NMultDensity(C53:D53,$V$23:$V$24,$T$23:$U$24)+$V$32*NMultDensity(C53:D53,$V$36:$V$37,$T$36:$U$37)</f>
        <v>0.64109537748196943</v>
      </c>
      <c r="M53" s="25" cm="1">
        <f t="array" ref="M53">$V$6*NMultDensity(C53:D53,$V$10:$V$11,$T$10:$U$11)/L53</f>
        <v>4.3003869890256717E-76</v>
      </c>
      <c r="N53" s="25" cm="1">
        <f t="array" ref="N53">$V$19*NMultDensity(C53:D53,$V$23:$V$24,$T$23:$U$24)/L53</f>
        <v>0.9380302068660954</v>
      </c>
      <c r="O53" s="43" cm="1">
        <f t="array" ref="O53">$V$32*NMultDensity(C53:D53,$V$36:$V$37,$T$36:$U$37)/L53</f>
        <v>6.196979313390466E-2</v>
      </c>
      <c r="P53" s="39"/>
      <c r="Q53" s="39"/>
      <c r="R53" s="39"/>
    </row>
    <row r="54" spans="1:18" x14ac:dyDescent="0.25">
      <c r="A54" s="25">
        <v>6.9</v>
      </c>
      <c r="B54" s="25">
        <v>3.1</v>
      </c>
      <c r="C54" s="25">
        <v>4.9000000000000004</v>
      </c>
      <c r="D54" s="25">
        <v>1.5</v>
      </c>
      <c r="E54" s="50" t="s">
        <v>6</v>
      </c>
      <c r="F54" s="71" t="str">
        <f t="shared" si="0"/>
        <v>versicolor</v>
      </c>
      <c r="G54" s="25" cm="1">
        <f t="array" ref="G54">$V$6*NMultDensity(A54:D54,$V$8:$V$11,$R$8:$U$11)+$V$19*NMultDensity(A54:D54,$V$21:$V$24,$R$21:$U$24)+$V$32*NMultDensity(A54:D54,$V$34:$V$37,$R$34:$U$37)</f>
        <v>0.32757089734546863</v>
      </c>
      <c r="H54" s="25" cm="1">
        <f t="array" ref="H54">$V$6*NMultDensity(A54:D54,$V$8:$V$11,$R$8:$U$11)/G54</f>
        <v>8.4128347000621719E-103</v>
      </c>
      <c r="I54" s="25" cm="1">
        <f t="array" ref="I54">$V$19*NMultDensity(A54:D54,$V$21:$V$24,$R$21:$U$24)/G54</f>
        <v>0.99725939240618366</v>
      </c>
      <c r="J54" s="39" cm="1">
        <f t="array" ref="J54">$V$32*NMultDensity(A54:D54,$V$34:$V$37,$R$34:$U$37)/G54</f>
        <v>2.7406075938162756E-3</v>
      </c>
      <c r="K54" s="71" t="str">
        <f t="shared" si="1"/>
        <v>versicolor</v>
      </c>
      <c r="L54" s="25" cm="1">
        <f t="array" ref="L54">$V$6*NMultDensity(C54:D54,$V$10:$V$11,$T$10:$U$11)+$V$19*NMultDensity(C54:D54,$V$23:$V$24,$T$23:$U$24)+$V$32*NMultDensity(C54:D54,$V$36:$V$37,$T$36:$U$37)</f>
        <v>0.43266103296292524</v>
      </c>
      <c r="M54" s="25" cm="1">
        <f t="array" ref="M54">$V$6*NMultDensity(C54:D54,$V$10:$V$11,$T$10:$U$11)/L54</f>
        <v>1.9219580345083669E-92</v>
      </c>
      <c r="N54" s="25" cm="1">
        <f t="array" ref="N54">$V$19*NMultDensity(C54:D54,$V$23:$V$24,$T$23:$U$24)/L54</f>
        <v>0.80569645621787189</v>
      </c>
      <c r="O54" s="43" cm="1">
        <f t="array" ref="O54">$V$32*NMultDensity(C54:D54,$V$36:$V$37,$T$36:$U$37)/L54</f>
        <v>0.19430354378212805</v>
      </c>
      <c r="P54" s="39"/>
      <c r="Q54" s="39"/>
      <c r="R54" s="39"/>
    </row>
    <row r="55" spans="1:18" x14ac:dyDescent="0.25">
      <c r="A55" s="25">
        <v>5.5</v>
      </c>
      <c r="B55" s="25">
        <v>2.2999999999999998</v>
      </c>
      <c r="C55" s="25">
        <v>4</v>
      </c>
      <c r="D55" s="25">
        <v>1.3</v>
      </c>
      <c r="E55" s="50" t="s">
        <v>6</v>
      </c>
      <c r="F55" s="71" t="str">
        <f t="shared" si="0"/>
        <v>versicolor</v>
      </c>
      <c r="G55" s="25" cm="1">
        <f t="array" ref="G55">$V$6*NMultDensity(A55:D55,$V$8:$V$11,$R$8:$U$11)+$V$19*NMultDensity(A55:D55,$V$21:$V$24,$R$21:$U$24)+$V$32*NMultDensity(A55:D55,$V$34:$V$37,$R$34:$U$37)</f>
        <v>0.27488325093139288</v>
      </c>
      <c r="H55" s="25" cm="1">
        <f t="array" ref="H55">$V$6*NMultDensity(A55:D55,$V$8:$V$11,$R$8:$U$11)/G55</f>
        <v>2.1684474736643044E-63</v>
      </c>
      <c r="I55" s="25" cm="1">
        <f t="array" ref="I55">$V$19*NMultDensity(A55:D55,$V$21:$V$24,$R$21:$U$24)/G55</f>
        <v>0.99528558156661273</v>
      </c>
      <c r="J55" s="39" cm="1">
        <f t="array" ref="J55">$V$32*NMultDensity(A55:D55,$V$34:$V$37,$R$34:$U$37)/G55</f>
        <v>4.7144184333873986E-3</v>
      </c>
      <c r="K55" s="71" t="str">
        <f t="shared" si="1"/>
        <v>versicolor</v>
      </c>
      <c r="L55" s="25" cm="1">
        <f t="array" ref="L55">$V$6*NMultDensity(C55:D55,$V$10:$V$11,$T$10:$U$11)+$V$19*NMultDensity(C55:D55,$V$23:$V$24,$T$23:$U$24)+$V$32*NMultDensity(C55:D55,$V$36:$V$37,$T$36:$U$37)</f>
        <v>0.70524254632692873</v>
      </c>
      <c r="M55" s="25" cm="1">
        <f t="array" ref="M55">$V$6*NMultDensity(C55:D55,$V$10:$V$11,$T$10:$U$11)/L55</f>
        <v>1.7975192909140874E-53</v>
      </c>
      <c r="N55" s="25" cm="1">
        <f t="array" ref="N55">$V$19*NMultDensity(C55:D55,$V$23:$V$24,$T$23:$U$24)/L55</f>
        <v>0.9968285281466075</v>
      </c>
      <c r="O55" s="43" cm="1">
        <f t="array" ref="O55">$V$32*NMultDensity(C55:D55,$V$36:$V$37,$T$36:$U$37)/L55</f>
        <v>3.1714718533925055E-3</v>
      </c>
      <c r="P55" s="39"/>
      <c r="Q55" s="39"/>
      <c r="R55" s="39"/>
    </row>
    <row r="56" spans="1:18" x14ac:dyDescent="0.25">
      <c r="A56" s="25">
        <v>6.5</v>
      </c>
      <c r="B56" s="25">
        <v>2.8</v>
      </c>
      <c r="C56" s="25">
        <v>4.5999999999999996</v>
      </c>
      <c r="D56" s="25">
        <v>1.5</v>
      </c>
      <c r="E56" s="50" t="s">
        <v>6</v>
      </c>
      <c r="F56" s="71" t="str">
        <f t="shared" si="0"/>
        <v>versicolor</v>
      </c>
      <c r="G56" s="25" cm="1">
        <f t="array" ref="G56">$V$6*NMultDensity(A56:D56,$V$8:$V$11,$R$8:$U$11)+$V$19*NMultDensity(A56:D56,$V$21:$V$24,$R$21:$U$24)+$V$32*NMultDensity(A56:D56,$V$34:$V$37,$R$34:$U$37)</f>
        <v>0.5708600797454535</v>
      </c>
      <c r="H56" s="25" cm="1">
        <f t="array" ref="H56">$V$6*NMultDensity(A56:D56,$V$8:$V$11,$R$8:$U$11)/G56</f>
        <v>5.2572602098738629E-91</v>
      </c>
      <c r="I56" s="25" cm="1">
        <f t="array" ref="I56">$V$19*NMultDensity(A56:D56,$V$21:$V$24,$R$21:$U$24)/G56</f>
        <v>0.99549276720057633</v>
      </c>
      <c r="J56" s="39" cm="1">
        <f t="array" ref="J56">$V$32*NMultDensity(A56:D56,$V$34:$V$37,$R$34:$U$37)/G56</f>
        <v>4.5072327994235576E-3</v>
      </c>
      <c r="K56" s="71" t="str">
        <f t="shared" si="1"/>
        <v>versicolor</v>
      </c>
      <c r="L56" s="25" cm="1">
        <f t="array" ref="L56">$V$6*NMultDensity(C56:D56,$V$10:$V$11,$T$10:$U$11)+$V$19*NMultDensity(C56:D56,$V$23:$V$24,$T$23:$U$24)+$V$32*NMultDensity(C56:D56,$V$36:$V$37,$T$36:$U$37)</f>
        <v>0.67772049084856978</v>
      </c>
      <c r="M56" s="25" cm="1">
        <f t="array" ref="M56">$V$6*NMultDensity(C56:D56,$V$10:$V$11,$T$10:$U$11)/L56</f>
        <v>5.2715333070709002E-80</v>
      </c>
      <c r="N56" s="25" cm="1">
        <f t="array" ref="N56">$V$19*NMultDensity(C56:D56,$V$23:$V$24,$T$23:$U$24)/L56</f>
        <v>0.92530403934910554</v>
      </c>
      <c r="O56" s="43" cm="1">
        <f t="array" ref="O56">$V$32*NMultDensity(C56:D56,$V$36:$V$37,$T$36:$U$37)/L56</f>
        <v>7.4695960650894441E-2</v>
      </c>
      <c r="P56" s="39"/>
      <c r="Q56" s="39"/>
      <c r="R56" s="39"/>
    </row>
    <row r="57" spans="1:18" x14ac:dyDescent="0.25">
      <c r="A57" s="25">
        <v>5.7</v>
      </c>
      <c r="B57" s="25">
        <v>2.8</v>
      </c>
      <c r="C57" s="25">
        <v>4.5</v>
      </c>
      <c r="D57" s="25">
        <v>1.3</v>
      </c>
      <c r="E57" s="50" t="s">
        <v>6</v>
      </c>
      <c r="F57" s="71" t="str">
        <f t="shared" si="0"/>
        <v>versicolor</v>
      </c>
      <c r="G57" s="25" cm="1">
        <f t="array" ref="G57">$V$6*NMultDensity(A57:D57,$V$8:$V$11,$R$8:$U$11)+$V$19*NMultDensity(A57:D57,$V$21:$V$24,$R$21:$U$24)+$V$32*NMultDensity(A57:D57,$V$34:$V$37,$R$34:$U$37)</f>
        <v>0.38884698766304882</v>
      </c>
      <c r="H57" s="25" cm="1">
        <f t="array" ref="H57">$V$6*NMultDensity(A57:D57,$V$8:$V$11,$R$8:$U$11)/G57</f>
        <v>3.8770675742139899E-78</v>
      </c>
      <c r="I57" s="25" cm="1">
        <f t="array" ref="I57">$V$19*NMultDensity(A57:D57,$V$21:$V$24,$R$21:$U$24)/G57</f>
        <v>0.98115451479343685</v>
      </c>
      <c r="J57" s="39" cm="1">
        <f t="array" ref="J57">$V$32*NMultDensity(A57:D57,$V$34:$V$37,$R$34:$U$37)/G57</f>
        <v>1.8845485206563165E-2</v>
      </c>
      <c r="K57" s="71" t="str">
        <f t="shared" si="1"/>
        <v>versicolor</v>
      </c>
      <c r="L57" s="25" cm="1">
        <f t="array" ref="L57">$V$6*NMultDensity(C57:D57,$V$10:$V$11,$T$10:$U$11)+$V$19*NMultDensity(C57:D57,$V$23:$V$24,$T$23:$U$24)+$V$32*NMultDensity(C57:D57,$V$36:$V$37,$T$36:$U$37)</f>
        <v>0.56920626176219657</v>
      </c>
      <c r="M57" s="25" cm="1">
        <f t="array" ref="M57">$V$6*NMultDensity(C57:D57,$V$10:$V$11,$T$10:$U$11)/L57</f>
        <v>2.8396009405392634E-71</v>
      </c>
      <c r="N57" s="25" cm="1">
        <f t="array" ref="N57">$V$19*NMultDensity(C57:D57,$V$23:$V$24,$T$23:$U$24)/L57</f>
        <v>0.98196077309641461</v>
      </c>
      <c r="O57" s="43" cm="1">
        <f t="array" ref="O57">$V$32*NMultDensity(C57:D57,$V$36:$V$37,$T$36:$U$37)/L57</f>
        <v>1.8039226903585302E-2</v>
      </c>
      <c r="P57" s="39"/>
      <c r="Q57" s="39"/>
      <c r="R57" s="39"/>
    </row>
    <row r="58" spans="1:18" x14ac:dyDescent="0.25">
      <c r="A58" s="25">
        <v>6.3</v>
      </c>
      <c r="B58" s="25">
        <v>3.3</v>
      </c>
      <c r="C58" s="25">
        <v>4.7</v>
      </c>
      <c r="D58" s="25">
        <v>1.6</v>
      </c>
      <c r="E58" s="50" t="s">
        <v>6</v>
      </c>
      <c r="F58" s="71" t="str">
        <f t="shared" si="0"/>
        <v>versicolor</v>
      </c>
      <c r="G58" s="25" cm="1">
        <f t="array" ref="G58">$V$6*NMultDensity(A58:D58,$V$8:$V$11,$R$8:$U$11)+$V$19*NMultDensity(A58:D58,$V$21:$V$24,$R$21:$U$24)+$V$32*NMultDensity(A58:D58,$V$34:$V$37,$R$34:$U$37)</f>
        <v>0.41181002774575026</v>
      </c>
      <c r="H58" s="25" cm="1">
        <f t="array" ref="H58">$V$6*NMultDensity(A58:D58,$V$8:$V$11,$R$8:$U$11)/G58</f>
        <v>2.0231125984185432E-92</v>
      </c>
      <c r="I58" s="25" cm="1">
        <f t="array" ref="I58">$V$19*NMultDensity(A58:D58,$V$21:$V$24,$R$21:$U$24)/G58</f>
        <v>0.99103922705909508</v>
      </c>
      <c r="J58" s="39" cm="1">
        <f t="array" ref="J58">$V$32*NMultDensity(A58:D58,$V$34:$V$37,$R$34:$U$37)/G58</f>
        <v>8.9607729409049135E-3</v>
      </c>
      <c r="K58" s="71" t="str">
        <f t="shared" si="1"/>
        <v>versicolor</v>
      </c>
      <c r="L58" s="25" cm="1">
        <f t="array" ref="L58">$V$6*NMultDensity(C58:D58,$V$10:$V$11,$T$10:$U$11)+$V$19*NMultDensity(C58:D58,$V$23:$V$24,$T$23:$U$24)+$V$32*NMultDensity(C58:D58,$V$36:$V$37,$T$36:$U$37)</f>
        <v>0.4460452708280262</v>
      </c>
      <c r="M58" s="25" cm="1">
        <f t="array" ref="M58">$V$6*NMultDensity(C58:D58,$V$10:$V$11,$T$10:$U$11)/L58</f>
        <v>9.7301629021226295E-87</v>
      </c>
      <c r="N58" s="25" cm="1">
        <f t="array" ref="N58">$V$19*NMultDensity(C58:D58,$V$23:$V$24,$T$23:$U$24)/L58</f>
        <v>0.76967097315898725</v>
      </c>
      <c r="O58" s="43" cm="1">
        <f t="array" ref="O58">$V$32*NMultDensity(C58:D58,$V$36:$V$37,$T$36:$U$37)/L58</f>
        <v>0.23032902684101275</v>
      </c>
      <c r="P58" s="39"/>
      <c r="Q58" s="39"/>
      <c r="R58" s="39"/>
    </row>
    <row r="59" spans="1:18" x14ac:dyDescent="0.25">
      <c r="A59" s="25">
        <v>4.9000000000000004</v>
      </c>
      <c r="B59" s="25">
        <v>2.4</v>
      </c>
      <c r="C59" s="25">
        <v>3.3</v>
      </c>
      <c r="D59" s="25">
        <v>1</v>
      </c>
      <c r="E59" s="50" t="s">
        <v>6</v>
      </c>
      <c r="F59" s="71" t="str">
        <f t="shared" si="0"/>
        <v>versicolor</v>
      </c>
      <c r="G59" s="25" cm="1">
        <f t="array" ref="G59">$V$6*NMultDensity(A59:D59,$V$8:$V$11,$R$8:$U$11)+$V$19*NMultDensity(A59:D59,$V$21:$V$24,$R$21:$U$24)+$V$32*NMultDensity(A59:D59,$V$34:$V$37,$R$34:$U$37)</f>
        <v>0.18172712907441776</v>
      </c>
      <c r="H59" s="25" cm="1">
        <f t="array" ref="H59">$V$6*NMultDensity(A59:D59,$V$8:$V$11,$R$8:$U$11)/G59</f>
        <v>7.3122140446350007E-34</v>
      </c>
      <c r="I59" s="25" cm="1">
        <f t="array" ref="I59">$V$19*NMultDensity(A59:D59,$V$21:$V$24,$R$21:$U$24)/G59</f>
        <v>0.99998962472998487</v>
      </c>
      <c r="J59" s="39" cm="1">
        <f t="array" ref="J59">$V$32*NMultDensity(A59:D59,$V$34:$V$37,$R$34:$U$37)/G59</f>
        <v>1.0375270015142235E-5</v>
      </c>
      <c r="K59" s="71" t="str">
        <f t="shared" si="1"/>
        <v>versicolor</v>
      </c>
      <c r="L59" s="25" cm="1">
        <f t="array" ref="L59">$V$6*NMultDensity(C59:D59,$V$10:$V$11,$T$10:$U$11)+$V$19*NMultDensity(C59:D59,$V$23:$V$24,$T$23:$U$24)+$V$32*NMultDensity(C59:D59,$V$36:$V$37,$T$36:$U$37)</f>
        <v>0.11449050527279699</v>
      </c>
      <c r="M59" s="25" cm="1">
        <f t="array" ref="M59">$V$6*NMultDensity(C59:D59,$V$10:$V$11,$T$10:$U$11)/L59</f>
        <v>2.1936935161959292E-27</v>
      </c>
      <c r="N59" s="25" cm="1">
        <f t="array" ref="N59">$V$19*NMultDensity(C59:D59,$V$23:$V$24,$T$23:$U$24)/L59</f>
        <v>0.99994947638290044</v>
      </c>
      <c r="O59" s="43" cm="1">
        <f t="array" ref="O59">$V$32*NMultDensity(C59:D59,$V$36:$V$37,$T$36:$U$37)/L59</f>
        <v>5.0523617099564161E-5</v>
      </c>
      <c r="P59" s="39"/>
      <c r="Q59" s="39"/>
      <c r="R59" s="39"/>
    </row>
    <row r="60" spans="1:18" x14ac:dyDescent="0.25">
      <c r="A60" s="25">
        <v>6.6</v>
      </c>
      <c r="B60" s="25">
        <v>2.9</v>
      </c>
      <c r="C60" s="25">
        <v>4.5999999999999996</v>
      </c>
      <c r="D60" s="25">
        <v>1.3</v>
      </c>
      <c r="E60" s="50" t="s">
        <v>6</v>
      </c>
      <c r="F60" s="71" t="str">
        <f t="shared" si="0"/>
        <v>versicolor</v>
      </c>
      <c r="G60" s="25" cm="1">
        <f t="array" ref="G60">$V$6*NMultDensity(A60:D60,$V$8:$V$11,$R$8:$U$11)+$V$19*NMultDensity(A60:D60,$V$21:$V$24,$R$21:$U$24)+$V$32*NMultDensity(A60:D60,$V$34:$V$37,$R$34:$U$37)</f>
        <v>0.45273416367180452</v>
      </c>
      <c r="H60" s="25" cm="1">
        <f t="array" ref="H60">$V$6*NMultDensity(A60:D60,$V$8:$V$11,$R$8:$U$11)/G60</f>
        <v>2.9879086392183974E-85</v>
      </c>
      <c r="I60" s="25" cm="1">
        <f t="array" ref="I60">$V$19*NMultDensity(A60:D60,$V$21:$V$24,$R$21:$U$24)/G60</f>
        <v>0.99963752816680107</v>
      </c>
      <c r="J60" s="39" cm="1">
        <f t="array" ref="J60">$V$32*NMultDensity(A60:D60,$V$34:$V$37,$R$34:$U$37)/G60</f>
        <v>3.6247183319899396E-4</v>
      </c>
      <c r="K60" s="71" t="str">
        <f t="shared" si="1"/>
        <v>versicolor</v>
      </c>
      <c r="L60" s="25" cm="1">
        <f t="array" ref="L60">$V$6*NMultDensity(C60:D60,$V$10:$V$11,$T$10:$U$11)+$V$19*NMultDensity(C60:D60,$V$23:$V$24,$T$23:$U$24)+$V$32*NMultDensity(C60:D60,$V$36:$V$37,$T$36:$U$37)</f>
        <v>0.38628137549055525</v>
      </c>
      <c r="M60" s="25" cm="1">
        <f t="array" ref="M60">$V$6*NMultDensity(C60:D60,$V$10:$V$11,$T$10:$U$11)/L60</f>
        <v>3.608628460678665E-75</v>
      </c>
      <c r="N60" s="25" cm="1">
        <f t="array" ref="N60">$V$19*NMultDensity(C60:D60,$V$23:$V$24,$T$23:$U$24)/L60</f>
        <v>0.96769763735169079</v>
      </c>
      <c r="O60" s="43" cm="1">
        <f t="array" ref="O60">$V$32*NMultDensity(C60:D60,$V$36:$V$37,$T$36:$U$37)/L60</f>
        <v>3.2302362648309123E-2</v>
      </c>
      <c r="P60" s="39"/>
      <c r="Q60" s="39"/>
      <c r="R60" s="39"/>
    </row>
    <row r="61" spans="1:18" x14ac:dyDescent="0.25">
      <c r="A61" s="25">
        <v>5.2</v>
      </c>
      <c r="B61" s="25">
        <v>2.7</v>
      </c>
      <c r="C61" s="25">
        <v>3.9</v>
      </c>
      <c r="D61" s="25">
        <v>1.4</v>
      </c>
      <c r="E61" s="50" t="s">
        <v>6</v>
      </c>
      <c r="F61" s="71" t="str">
        <f t="shared" si="0"/>
        <v>versicolor</v>
      </c>
      <c r="G61" s="25" cm="1">
        <f t="array" ref="G61">$V$6*NMultDensity(A61:D61,$V$8:$V$11,$R$8:$U$11)+$V$19*NMultDensity(A61:D61,$V$21:$V$24,$R$21:$U$24)+$V$32*NMultDensity(A61:D61,$V$34:$V$37,$R$34:$U$37)</f>
        <v>0.21991609267133069</v>
      </c>
      <c r="H61" s="25" cm="1">
        <f t="array" ref="H61">$V$6*NMultDensity(A61:D61,$V$8:$V$11,$R$8:$U$11)/G61</f>
        <v>7.3928361762427311E-60</v>
      </c>
      <c r="I61" s="25" cm="1">
        <f t="array" ref="I61">$V$19*NMultDensity(A61:D61,$V$21:$V$24,$R$21:$U$24)/G61</f>
        <v>0.98926275673315689</v>
      </c>
      <c r="J61" s="39" cm="1">
        <f t="array" ref="J61">$V$32*NMultDensity(A61:D61,$V$34:$V$37,$R$34:$U$37)/G61</f>
        <v>1.0737243266843029E-2</v>
      </c>
      <c r="K61" s="71" t="str">
        <f t="shared" si="1"/>
        <v>versicolor</v>
      </c>
      <c r="L61" s="25" cm="1">
        <f t="array" ref="L61">$V$6*NMultDensity(C61:D61,$V$10:$V$11,$T$10:$U$11)+$V$19*NMultDensity(C61:D61,$V$23:$V$24,$T$23:$U$24)+$V$32*NMultDensity(C61:D61,$V$36:$V$37,$T$36:$U$37)</f>
        <v>0.19991100723413543</v>
      </c>
      <c r="M61" s="25" cm="1">
        <f t="array" ref="M61">$V$6*NMultDensity(C61:D61,$V$10:$V$11,$T$10:$U$11)/L61</f>
        <v>1.5878339701683917E-52</v>
      </c>
      <c r="N61" s="25" cm="1">
        <f t="array" ref="N61">$V$19*NMultDensity(C61:D61,$V$23:$V$24,$T$23:$U$24)/L61</f>
        <v>0.98642308578893168</v>
      </c>
      <c r="O61" s="43" cm="1">
        <f t="array" ref="O61">$V$32*NMultDensity(C61:D61,$V$36:$V$37,$T$36:$U$37)/L61</f>
        <v>1.3576914211068323E-2</v>
      </c>
      <c r="P61" s="39"/>
      <c r="Q61" s="39"/>
      <c r="R61" s="39"/>
    </row>
    <row r="62" spans="1:18" x14ac:dyDescent="0.25">
      <c r="A62" s="25">
        <v>5</v>
      </c>
      <c r="B62" s="25">
        <v>2</v>
      </c>
      <c r="C62" s="25">
        <v>3.5</v>
      </c>
      <c r="D62" s="25">
        <v>1</v>
      </c>
      <c r="E62" s="50" t="s">
        <v>6</v>
      </c>
      <c r="F62" s="71" t="str">
        <f t="shared" si="0"/>
        <v>versicolor</v>
      </c>
      <c r="G62" s="25" cm="1">
        <f t="array" ref="G62">$V$6*NMultDensity(A62:D62,$V$8:$V$11,$R$8:$U$11)+$V$19*NMultDensity(A62:D62,$V$21:$V$24,$R$21:$U$24)+$V$32*NMultDensity(A62:D62,$V$34:$V$37,$R$34:$U$37)</f>
        <v>7.7885011056843617E-2</v>
      </c>
      <c r="H62" s="25" cm="1">
        <f t="array" ref="H62">$V$6*NMultDensity(A62:D62,$V$8:$V$11,$R$8:$U$11)/G62</f>
        <v>6.2107830014116389E-42</v>
      </c>
      <c r="I62" s="25" cm="1">
        <f t="array" ref="I62">$V$19*NMultDensity(A62:D62,$V$21:$V$24,$R$21:$U$24)/G62</f>
        <v>0.99989434282625389</v>
      </c>
      <c r="J62" s="39" cm="1">
        <f t="array" ref="J62">$V$32*NMultDensity(A62:D62,$V$34:$V$37,$R$34:$U$37)/G62</f>
        <v>1.0565717374608686E-4</v>
      </c>
      <c r="K62" s="71" t="str">
        <f t="shared" si="1"/>
        <v>versicolor</v>
      </c>
      <c r="L62" s="25" cm="1">
        <f t="array" ref="L62">$V$6*NMultDensity(C62:D62,$V$10:$V$11,$T$10:$U$11)+$V$19*NMultDensity(C62:D62,$V$23:$V$24,$T$23:$U$24)+$V$32*NMultDensity(C62:D62,$V$36:$V$37,$T$36:$U$37)</f>
        <v>0.20768497551826989</v>
      </c>
      <c r="M62" s="25" cm="1">
        <f t="array" ref="M62">$V$6*NMultDensity(C62:D62,$V$10:$V$11,$T$10:$U$11)/L62</f>
        <v>1.3955342422889397E-32</v>
      </c>
      <c r="N62" s="25" cm="1">
        <f t="array" ref="N62">$V$19*NMultDensity(C62:D62,$V$23:$V$24,$T$23:$U$24)/L62</f>
        <v>0.99991715154777439</v>
      </c>
      <c r="O62" s="43" cm="1">
        <f t="array" ref="O62">$V$32*NMultDensity(C62:D62,$V$36:$V$37,$T$36:$U$37)/L62</f>
        <v>8.2848452225620534E-5</v>
      </c>
      <c r="P62" s="39"/>
      <c r="Q62" s="39"/>
      <c r="R62" s="39"/>
    </row>
    <row r="63" spans="1:18" x14ac:dyDescent="0.25">
      <c r="A63" s="25">
        <v>5.9</v>
      </c>
      <c r="B63" s="25">
        <v>3</v>
      </c>
      <c r="C63" s="25">
        <v>4.2</v>
      </c>
      <c r="D63" s="25">
        <v>1.5</v>
      </c>
      <c r="E63" s="50" t="s">
        <v>6</v>
      </c>
      <c r="F63" s="71" t="str">
        <f t="shared" si="0"/>
        <v>versicolor</v>
      </c>
      <c r="G63" s="25" cm="1">
        <f t="array" ref="G63">$V$6*NMultDensity(A63:D63,$V$8:$V$11,$R$8:$U$11)+$V$19*NMultDensity(A63:D63,$V$21:$V$24,$R$21:$U$24)+$V$32*NMultDensity(A63:D63,$V$34:$V$37,$R$34:$U$37)</f>
        <v>0.51561573956210183</v>
      </c>
      <c r="H63" s="25" cm="1">
        <f t="array" ref="H63">$V$6*NMultDensity(A63:D63,$V$8:$V$11,$R$8:$U$11)/G63</f>
        <v>1.4262928545761659E-71</v>
      </c>
      <c r="I63" s="25" cm="1">
        <f t="array" ref="I63">$V$19*NMultDensity(A63:D63,$V$21:$V$24,$R$21:$U$24)/G63</f>
        <v>0.997536800730349</v>
      </c>
      <c r="J63" s="39" cm="1">
        <f t="array" ref="J63">$V$32*NMultDensity(A63:D63,$V$34:$V$37,$R$34:$U$37)/G63</f>
        <v>2.4631992696510559E-3</v>
      </c>
      <c r="K63" s="71" t="str">
        <f t="shared" si="1"/>
        <v>versicolor</v>
      </c>
      <c r="L63" s="25" cm="1">
        <f t="array" ref="L63">$V$6*NMultDensity(C63:D63,$V$10:$V$11,$T$10:$U$11)+$V$19*NMultDensity(C63:D63,$V$23:$V$24,$T$23:$U$24)+$V$32*NMultDensity(C63:D63,$V$36:$V$37,$T$36:$U$37)</f>
        <v>0.27539994587324446</v>
      </c>
      <c r="M63" s="25" cm="1">
        <f t="array" ref="M63">$V$6*NMultDensity(C63:D63,$V$10:$V$11,$T$10:$U$11)/L63</f>
        <v>4.9206913504496698E-65</v>
      </c>
      <c r="N63" s="25" cm="1">
        <f t="array" ref="N63">$V$19*NMultDensity(C63:D63,$V$23:$V$24,$T$23:$U$24)/L63</f>
        <v>0.9440307663008598</v>
      </c>
      <c r="O63" s="43" cm="1">
        <f t="array" ref="O63">$V$32*NMultDensity(C63:D63,$V$36:$V$37,$T$36:$U$37)/L63</f>
        <v>5.5969233699140239E-2</v>
      </c>
      <c r="P63" s="39"/>
      <c r="Q63" s="39"/>
      <c r="R63" s="39"/>
    </row>
    <row r="64" spans="1:18" x14ac:dyDescent="0.25">
      <c r="A64" s="25">
        <v>6</v>
      </c>
      <c r="B64" s="25">
        <v>2.2000000000000002</v>
      </c>
      <c r="C64" s="25">
        <v>4</v>
      </c>
      <c r="D64" s="25">
        <v>1</v>
      </c>
      <c r="E64" s="50" t="s">
        <v>6</v>
      </c>
      <c r="F64" s="71" t="str">
        <f t="shared" si="0"/>
        <v>versicolor</v>
      </c>
      <c r="G64" s="25" cm="1">
        <f t="array" ref="G64">$V$6*NMultDensity(A64:D64,$V$8:$V$11,$R$8:$U$11)+$V$19*NMultDensity(A64:D64,$V$21:$V$24,$R$21:$U$24)+$V$32*NMultDensity(A64:D64,$V$34:$V$37,$R$34:$U$37)</f>
        <v>8.9126041735323583E-2</v>
      </c>
      <c r="H64" s="25" cm="1">
        <f t="array" ref="H64">$V$6*NMultDensity(A64:D64,$V$8:$V$11,$R$8:$U$11)/G64</f>
        <v>1.867954641376262E-60</v>
      </c>
      <c r="I64" s="25" cm="1">
        <f t="array" ref="I64">$V$19*NMultDensity(A64:D64,$V$21:$V$24,$R$21:$U$24)/G64</f>
        <v>0.99997625939700618</v>
      </c>
      <c r="J64" s="39" cm="1">
        <f t="array" ref="J64">$V$32*NMultDensity(A64:D64,$V$34:$V$37,$R$34:$U$37)/G64</f>
        <v>2.3740602993897364E-5</v>
      </c>
      <c r="K64" s="71" t="str">
        <f t="shared" si="1"/>
        <v>versicolor</v>
      </c>
      <c r="L64" s="25" cm="1">
        <f t="array" ref="L64">$V$6*NMultDensity(C64:D64,$V$10:$V$11,$T$10:$U$11)+$V$19*NMultDensity(C64:D64,$V$23:$V$24,$T$23:$U$24)+$V$32*NMultDensity(C64:D64,$V$36:$V$37,$T$36:$U$37)</f>
        <v>0.11519589793559716</v>
      </c>
      <c r="M64" s="25" cm="1">
        <f t="array" ref="M64">$V$6*NMultDensity(C64:D64,$V$10:$V$11,$T$10:$U$11)/L64</f>
        <v>1.678039335745123E-47</v>
      </c>
      <c r="N64" s="25" cm="1">
        <f t="array" ref="N64">$V$19*NMultDensity(C64:D64,$V$23:$V$24,$T$23:$U$24)/L64</f>
        <v>0.99879937368186389</v>
      </c>
      <c r="O64" s="43" cm="1">
        <f t="array" ref="O64">$V$32*NMultDensity(C64:D64,$V$36:$V$37,$T$36:$U$37)/L64</f>
        <v>1.2006263181361151E-3</v>
      </c>
      <c r="P64" s="39"/>
      <c r="Q64" s="39"/>
      <c r="R64" s="39"/>
    </row>
    <row r="65" spans="1:18" x14ac:dyDescent="0.25">
      <c r="A65" s="25">
        <v>6.1</v>
      </c>
      <c r="B65" s="25">
        <v>2.9</v>
      </c>
      <c r="C65" s="25">
        <v>4.7</v>
      </c>
      <c r="D65" s="25">
        <v>1.4</v>
      </c>
      <c r="E65" s="50" t="s">
        <v>6</v>
      </c>
      <c r="F65" s="71" t="str">
        <f t="shared" si="0"/>
        <v>versicolor</v>
      </c>
      <c r="G65" s="25" cm="1">
        <f t="array" ref="G65">$V$6*NMultDensity(A65:D65,$V$8:$V$11,$R$8:$U$11)+$V$19*NMultDensity(A65:D65,$V$21:$V$24,$R$21:$U$24)+$V$32*NMultDensity(A65:D65,$V$34:$V$37,$R$34:$U$37)</f>
        <v>0.81753089253543487</v>
      </c>
      <c r="H65" s="25" cm="1">
        <f t="array" ref="H65">$V$6*NMultDensity(A65:D65,$V$8:$V$11,$R$8:$U$11)/G65</f>
        <v>2.0787090979131969E-89</v>
      </c>
      <c r="I65" s="25" cm="1">
        <f t="array" ref="I65">$V$19*NMultDensity(A65:D65,$V$21:$V$24,$R$21:$U$24)/G65</f>
        <v>0.98057281760567705</v>
      </c>
      <c r="J65" s="39" cm="1">
        <f t="array" ref="J65">$V$32*NMultDensity(A65:D65,$V$34:$V$37,$R$34:$U$37)/G65</f>
        <v>1.9427182394322999E-2</v>
      </c>
      <c r="K65" s="71" t="str">
        <f t="shared" si="1"/>
        <v>versicolor</v>
      </c>
      <c r="L65" s="25" cm="1">
        <f t="array" ref="L65">$V$6*NMultDensity(C65:D65,$V$10:$V$11,$T$10:$U$11)+$V$19*NMultDensity(C65:D65,$V$23:$V$24,$T$23:$U$24)+$V$32*NMultDensity(C65:D65,$V$36:$V$37,$T$36:$U$37)</f>
        <v>0.53458652622796854</v>
      </c>
      <c r="M65" s="25" cm="1">
        <f t="array" ref="M65">$V$6*NMultDensity(C65:D65,$V$10:$V$11,$T$10:$U$11)/L65</f>
        <v>1.5944931801439924E-81</v>
      </c>
      <c r="N65" s="25" cm="1">
        <f t="array" ref="N65">$V$19*NMultDensity(C65:D65,$V$23:$V$24,$T$23:$U$24)/L65</f>
        <v>0.93927283700627928</v>
      </c>
      <c r="O65" s="43" cm="1">
        <f t="array" ref="O65">$V$32*NMultDensity(C65:D65,$V$36:$V$37,$T$36:$U$37)/L65</f>
        <v>6.0727162993720676E-2</v>
      </c>
      <c r="P65" s="39"/>
      <c r="Q65" s="39"/>
      <c r="R65" s="39"/>
    </row>
    <row r="66" spans="1:18" x14ac:dyDescent="0.25">
      <c r="A66" s="25">
        <v>5.6</v>
      </c>
      <c r="B66" s="25">
        <v>2.9</v>
      </c>
      <c r="C66" s="25">
        <v>3.6</v>
      </c>
      <c r="D66" s="25">
        <v>1.3</v>
      </c>
      <c r="E66" s="50" t="s">
        <v>6</v>
      </c>
      <c r="F66" s="71" t="str">
        <f t="shared" si="0"/>
        <v>versicolor</v>
      </c>
      <c r="G66" s="25" cm="1">
        <f t="array" ref="G66">$V$6*NMultDensity(A66:D66,$V$8:$V$11,$R$8:$U$11)+$V$19*NMultDensity(A66:D66,$V$21:$V$24,$R$21:$U$24)+$V$32*NMultDensity(A66:D66,$V$34:$V$37,$R$34:$U$37)</f>
        <v>0.12151181772409539</v>
      </c>
      <c r="H66" s="25" cm="1">
        <f t="array" ref="H66">$V$6*NMultDensity(A66:D66,$V$8:$V$11,$R$8:$U$11)/G66</f>
        <v>2.3526900765738906E-46</v>
      </c>
      <c r="I66" s="25" cm="1">
        <f t="array" ref="I66">$V$19*NMultDensity(A66:D66,$V$21:$V$24,$R$21:$U$24)/G66</f>
        <v>0.99998179576688973</v>
      </c>
      <c r="J66" s="39" cm="1">
        <f t="array" ref="J66">$V$32*NMultDensity(A66:D66,$V$34:$V$37,$R$34:$U$37)/G66</f>
        <v>1.820423311032403E-5</v>
      </c>
      <c r="K66" s="71" t="str">
        <f t="shared" si="1"/>
        <v>versicolor</v>
      </c>
      <c r="L66" s="25" cm="1">
        <f t="array" ref="L66">$V$6*NMultDensity(C66:D66,$V$10:$V$11,$T$10:$U$11)+$V$19*NMultDensity(C66:D66,$V$23:$V$24,$T$23:$U$24)+$V$32*NMultDensity(C66:D66,$V$36:$V$37,$T$36:$U$37)</f>
        <v>9.984268985484071E-2</v>
      </c>
      <c r="M66" s="25" cm="1">
        <f t="array" ref="M66">$V$6*NMultDensity(C66:D66,$V$10:$V$11,$T$10:$U$11)/L66</f>
        <v>3.2135104267465892E-41</v>
      </c>
      <c r="N66" s="25" cm="1">
        <f t="array" ref="N66">$V$19*NMultDensity(C66:D66,$V$23:$V$24,$T$23:$U$24)/L66</f>
        <v>0.9965769799005505</v>
      </c>
      <c r="O66" s="43" cm="1">
        <f t="array" ref="O66">$V$32*NMultDensity(C66:D66,$V$36:$V$37,$T$36:$U$37)/L66</f>
        <v>3.4230200994495798E-3</v>
      </c>
      <c r="P66" s="39"/>
      <c r="Q66" s="39"/>
      <c r="R66" s="39"/>
    </row>
    <row r="67" spans="1:18" x14ac:dyDescent="0.25">
      <c r="A67" s="25">
        <v>6.7</v>
      </c>
      <c r="B67" s="25">
        <v>3.1</v>
      </c>
      <c r="C67" s="25">
        <v>4.4000000000000004</v>
      </c>
      <c r="D67" s="25">
        <v>1.4</v>
      </c>
      <c r="E67" s="50" t="s">
        <v>6</v>
      </c>
      <c r="F67" s="71" t="str">
        <f t="shared" ref="F67:F130" si="2">IF(H67&gt;MAX(I67:J67),$E$2,IF(I67&gt;J67,$E$52,$E$102))</f>
        <v>versicolor</v>
      </c>
      <c r="G67" s="25" cm="1">
        <f t="array" ref="G67">$V$6*NMultDensity(A67:D67,$V$8:$V$11,$R$8:$U$11)+$V$19*NMultDensity(A67:D67,$V$21:$V$24,$R$21:$U$24)+$V$32*NMultDensity(A67:D67,$V$34:$V$37,$R$34:$U$37)</f>
        <v>0.22888018748107672</v>
      </c>
      <c r="H67" s="25" cm="1">
        <f t="array" ref="H67">$V$6*NMultDensity(A67:D67,$V$8:$V$11,$R$8:$U$11)/G67</f>
        <v>4.8103371463907144E-78</v>
      </c>
      <c r="I67" s="25" cm="1">
        <f t="array" ref="I67">$V$19*NMultDensity(A67:D67,$V$21:$V$24,$R$21:$U$24)/G67</f>
        <v>0.99997771578354844</v>
      </c>
      <c r="J67" s="39" cm="1">
        <f t="array" ref="J67">$V$32*NMultDensity(A67:D67,$V$34:$V$37,$R$34:$U$37)/G67</f>
        <v>2.228421645163441E-5</v>
      </c>
      <c r="K67" s="71" t="str">
        <f t="shared" ref="K67:K130" si="3">IF(M67&gt;MAX(N67:O67),$E$2,IF(N67&gt;O67,$E$52,$E$102))</f>
        <v>versicolor</v>
      </c>
      <c r="L67" s="25" cm="1">
        <f t="array" ref="L67">$V$6*NMultDensity(C67:D67,$V$10:$V$11,$T$10:$U$11)+$V$19*NMultDensity(C67:D67,$V$23:$V$24,$T$23:$U$24)+$V$32*NMultDensity(C67:D67,$V$36:$V$37,$T$36:$U$37)</f>
        <v>0.87902629295972123</v>
      </c>
      <c r="M67" s="25" cm="1">
        <f t="array" ref="M67">$V$6*NMultDensity(C67:D67,$V$10:$V$11,$T$10:$U$11)/L67</f>
        <v>8.2077532252415091E-70</v>
      </c>
      <c r="N67" s="25" cm="1">
        <f t="array" ref="N67">$V$19*NMultDensity(C67:D67,$V$23:$V$24,$T$23:$U$24)/L67</f>
        <v>0.98083292370081021</v>
      </c>
      <c r="O67" s="43" cm="1">
        <f t="array" ref="O67">$V$32*NMultDensity(C67:D67,$V$36:$V$37,$T$36:$U$37)/L67</f>
        <v>1.9167076299189779E-2</v>
      </c>
      <c r="P67" s="39"/>
      <c r="Q67" s="39"/>
      <c r="R67" s="39"/>
    </row>
    <row r="68" spans="1:18" x14ac:dyDescent="0.25">
      <c r="A68" s="25">
        <v>5.6</v>
      </c>
      <c r="B68" s="25">
        <v>3</v>
      </c>
      <c r="C68" s="25">
        <v>4.5</v>
      </c>
      <c r="D68" s="25">
        <v>1.5</v>
      </c>
      <c r="E68" s="50" t="s">
        <v>6</v>
      </c>
      <c r="F68" s="71" t="str">
        <f t="shared" si="2"/>
        <v>versicolor</v>
      </c>
      <c r="G68" s="25" cm="1">
        <f t="array" ref="G68">$V$6*NMultDensity(A68:D68,$V$8:$V$11,$R$8:$U$11)+$V$19*NMultDensity(A68:D68,$V$21:$V$24,$R$21:$U$24)+$V$32*NMultDensity(A68:D68,$V$34:$V$37,$R$34:$U$37)</f>
        <v>0.34795711440845523</v>
      </c>
      <c r="H68" s="25" cm="1">
        <f t="array" ref="H68">$V$6*NMultDensity(A68:D68,$V$8:$V$11,$R$8:$U$11)/G68</f>
        <v>1.649644990613965E-82</v>
      </c>
      <c r="I68" s="25" cm="1">
        <f t="array" ref="I68">$V$19*NMultDensity(A68:D68,$V$21:$V$24,$R$21:$U$24)/G68</f>
        <v>0.95555661665248703</v>
      </c>
      <c r="J68" s="39" cm="1">
        <f t="array" ref="J68">$V$32*NMultDensity(A68:D68,$V$34:$V$37,$R$34:$U$37)/G68</f>
        <v>4.4443383347512973E-2</v>
      </c>
      <c r="K68" s="71" t="str">
        <f t="shared" si="3"/>
        <v>versicolor</v>
      </c>
      <c r="L68" s="25" cm="1">
        <f t="array" ref="L68">$V$6*NMultDensity(C68:D68,$V$10:$V$11,$T$10:$U$11)+$V$19*NMultDensity(C68:D68,$V$23:$V$24,$T$23:$U$24)+$V$32*NMultDensity(C68:D68,$V$36:$V$37,$T$36:$U$37)</f>
        <v>0.64109537748196943</v>
      </c>
      <c r="M68" s="25" cm="1">
        <f t="array" ref="M68">$V$6*NMultDensity(C68:D68,$V$10:$V$11,$T$10:$U$11)/L68</f>
        <v>4.3003869890256717E-76</v>
      </c>
      <c r="N68" s="25" cm="1">
        <f t="array" ref="N68">$V$19*NMultDensity(C68:D68,$V$23:$V$24,$T$23:$U$24)/L68</f>
        <v>0.9380302068660954</v>
      </c>
      <c r="O68" s="43" cm="1">
        <f t="array" ref="O68">$V$32*NMultDensity(C68:D68,$V$36:$V$37,$T$36:$U$37)/L68</f>
        <v>6.196979313390466E-2</v>
      </c>
      <c r="P68" s="39"/>
      <c r="Q68" s="39"/>
      <c r="R68" s="39"/>
    </row>
    <row r="69" spans="1:18" x14ac:dyDescent="0.25">
      <c r="A69" s="25">
        <v>5.8</v>
      </c>
      <c r="B69" s="25">
        <v>2.7</v>
      </c>
      <c r="C69" s="25">
        <v>4.0999999999999996</v>
      </c>
      <c r="D69" s="25">
        <v>1</v>
      </c>
      <c r="E69" s="50" t="s">
        <v>6</v>
      </c>
      <c r="F69" s="71" t="str">
        <f t="shared" si="2"/>
        <v>versicolor</v>
      </c>
      <c r="G69" s="25" cm="1">
        <f t="array" ref="G69">$V$6*NMultDensity(A69:D69,$V$8:$V$11,$R$8:$U$11)+$V$19*NMultDensity(A69:D69,$V$21:$V$24,$R$21:$U$24)+$V$32*NMultDensity(A69:D69,$V$34:$V$37,$R$34:$U$37)</f>
        <v>7.4265516237501245E-2</v>
      </c>
      <c r="H69" s="25" cm="1">
        <f t="array" ref="H69">$V$6*NMultDensity(A69:D69,$V$8:$V$11,$R$8:$U$11)/G69</f>
        <v>2.7343110840829957E-57</v>
      </c>
      <c r="I69" s="25" cm="1">
        <f t="array" ref="I69">$V$19*NMultDensity(A69:D69,$V$21:$V$24,$R$21:$U$24)/G69</f>
        <v>0.99977338293354712</v>
      </c>
      <c r="J69" s="39" cm="1">
        <f t="array" ref="J69">$V$32*NMultDensity(A69:D69,$V$34:$V$37,$R$34:$U$37)/G69</f>
        <v>2.2661706645289955E-4</v>
      </c>
      <c r="K69" s="71" t="str">
        <f t="shared" si="3"/>
        <v>versicolor</v>
      </c>
      <c r="L69" s="25" cm="1">
        <f t="array" ref="L69">$V$6*NMultDensity(C69:D69,$V$10:$V$11,$T$10:$U$11)+$V$19*NMultDensity(C69:D69,$V$23:$V$24,$T$23:$U$24)+$V$32*NMultDensity(C69:D69,$V$36:$V$37,$T$36:$U$37)</f>
        <v>7.1773186417352863E-2</v>
      </c>
      <c r="M69" s="25" cm="1">
        <f t="array" ref="M69">$V$6*NMultDensity(C69:D69,$V$10:$V$11,$T$10:$U$11)/L69</f>
        <v>8.1229094996245533E-51</v>
      </c>
      <c r="N69" s="25" cm="1">
        <f t="array" ref="N69">$V$19*NMultDensity(C69:D69,$V$23:$V$24,$T$23:$U$24)/L69</f>
        <v>0.99738069213304281</v>
      </c>
      <c r="O69" s="43" cm="1">
        <f t="array" ref="O69">$V$32*NMultDensity(C69:D69,$V$36:$V$37,$T$36:$U$37)/L69</f>
        <v>2.6193078669571727E-3</v>
      </c>
      <c r="P69" s="39"/>
      <c r="Q69" s="39"/>
      <c r="R69" s="39"/>
    </row>
    <row r="70" spans="1:18" x14ac:dyDescent="0.25">
      <c r="A70" s="25">
        <v>6.2</v>
      </c>
      <c r="B70" s="25">
        <v>2.2000000000000002</v>
      </c>
      <c r="C70" s="25">
        <v>4.5</v>
      </c>
      <c r="D70" s="25">
        <v>1.5</v>
      </c>
      <c r="E70" s="50" t="s">
        <v>6</v>
      </c>
      <c r="F70" s="71" t="str">
        <f t="shared" si="2"/>
        <v>versicolor</v>
      </c>
      <c r="G70" s="25" cm="1">
        <f t="array" ref="G70">$V$6*NMultDensity(A70:D70,$V$8:$V$11,$R$8:$U$11)+$V$19*NMultDensity(A70:D70,$V$21:$V$24,$R$21:$U$24)+$V$32*NMultDensity(A70:D70,$V$34:$V$37,$R$34:$U$37)</f>
        <v>5.2366867772675263E-3</v>
      </c>
      <c r="H70" s="25" cm="1">
        <f t="array" ref="H70">$V$6*NMultDensity(A70:D70,$V$8:$V$11,$R$8:$U$11)/G70</f>
        <v>9.9388465719765853E-91</v>
      </c>
      <c r="I70" s="25" cm="1">
        <f t="array" ref="I70">$V$19*NMultDensity(A70:D70,$V$21:$V$24,$R$21:$U$24)/G70</f>
        <v>0.71901693754571649</v>
      </c>
      <c r="J70" s="39" cm="1">
        <f t="array" ref="J70">$V$32*NMultDensity(A70:D70,$V$34:$V$37,$R$34:$U$37)/G70</f>
        <v>0.28098306245428356</v>
      </c>
      <c r="K70" s="71" t="str">
        <f t="shared" si="3"/>
        <v>versicolor</v>
      </c>
      <c r="L70" s="25" cm="1">
        <f t="array" ref="L70">$V$6*NMultDensity(C70:D70,$V$10:$V$11,$T$10:$U$11)+$V$19*NMultDensity(C70:D70,$V$23:$V$24,$T$23:$U$24)+$V$32*NMultDensity(C70:D70,$V$36:$V$37,$T$36:$U$37)</f>
        <v>0.64109537748196943</v>
      </c>
      <c r="M70" s="25" cm="1">
        <f t="array" ref="M70">$V$6*NMultDensity(C70:D70,$V$10:$V$11,$T$10:$U$11)/L70</f>
        <v>4.3003869890256717E-76</v>
      </c>
      <c r="N70" s="25" cm="1">
        <f t="array" ref="N70">$V$19*NMultDensity(C70:D70,$V$23:$V$24,$T$23:$U$24)/L70</f>
        <v>0.9380302068660954</v>
      </c>
      <c r="O70" s="43" cm="1">
        <f t="array" ref="O70">$V$32*NMultDensity(C70:D70,$V$36:$V$37,$T$36:$U$37)/L70</f>
        <v>6.196979313390466E-2</v>
      </c>
      <c r="P70" s="39"/>
      <c r="Q70" s="39"/>
      <c r="R70" s="39"/>
    </row>
    <row r="71" spans="1:18" x14ac:dyDescent="0.25">
      <c r="A71" s="25">
        <v>5.6</v>
      </c>
      <c r="B71" s="25">
        <v>2.5</v>
      </c>
      <c r="C71" s="25">
        <v>3.9</v>
      </c>
      <c r="D71" s="25">
        <v>1.1000000000000001</v>
      </c>
      <c r="E71" s="50" t="s">
        <v>6</v>
      </c>
      <c r="F71" s="71" t="str">
        <f t="shared" si="2"/>
        <v>versicolor</v>
      </c>
      <c r="G71" s="25" cm="1">
        <f t="array" ref="G71">$V$6*NMultDensity(A71:D71,$V$8:$V$11,$R$8:$U$11)+$V$19*NMultDensity(A71:D71,$V$21:$V$24,$R$21:$U$24)+$V$32*NMultDensity(A71:D71,$V$34:$V$37,$R$34:$U$37)</f>
        <v>0.95957284099955109</v>
      </c>
      <c r="H71" s="25" cm="1">
        <f t="array" ref="H71">$V$6*NMultDensity(A71:D71,$V$8:$V$11,$R$8:$U$11)/G71</f>
        <v>3.5581041550807946E-54</v>
      </c>
      <c r="I71" s="25" cm="1">
        <f t="array" ref="I71">$V$19*NMultDensity(A71:D71,$V$21:$V$24,$R$21:$U$24)/G71</f>
        <v>0.99993926752580997</v>
      </c>
      <c r="J71" s="39" cm="1">
        <f t="array" ref="J71">$V$32*NMultDensity(A71:D71,$V$34:$V$37,$R$34:$U$37)/G71</f>
        <v>6.0732474190079517E-5</v>
      </c>
      <c r="K71" s="71" t="str">
        <f t="shared" si="3"/>
        <v>versicolor</v>
      </c>
      <c r="L71" s="25" cm="1">
        <f t="array" ref="L71">$V$6*NMultDensity(C71:D71,$V$10:$V$11,$T$10:$U$11)+$V$19*NMultDensity(C71:D71,$V$23:$V$24,$T$23:$U$24)+$V$32*NMultDensity(C71:D71,$V$36:$V$37,$T$36:$U$37)</f>
        <v>0.4705323313504558</v>
      </c>
      <c r="M71" s="25" cm="1">
        <f t="array" ref="M71">$V$6*NMultDensity(C71:D71,$V$10:$V$11,$T$10:$U$11)/L71</f>
        <v>3.9411193053276225E-46</v>
      </c>
      <c r="N71" s="25" cm="1">
        <f t="array" ref="N71">$V$19*NMultDensity(C71:D71,$V$23:$V$24,$T$23:$U$24)/L71</f>
        <v>0.99940309922934001</v>
      </c>
      <c r="O71" s="43" cm="1">
        <f t="array" ref="O71">$V$32*NMultDensity(C71:D71,$V$36:$V$37,$T$36:$U$37)/L71</f>
        <v>5.9690077065999375E-4</v>
      </c>
      <c r="P71" s="39"/>
      <c r="Q71" s="39"/>
      <c r="R71" s="39"/>
    </row>
    <row r="72" spans="1:18" x14ac:dyDescent="0.25">
      <c r="A72" s="25">
        <v>5.9</v>
      </c>
      <c r="B72" s="25">
        <v>3.2</v>
      </c>
      <c r="C72" s="25">
        <v>4.8</v>
      </c>
      <c r="D72" s="25">
        <v>1.8</v>
      </c>
      <c r="E72" s="50" t="s">
        <v>6</v>
      </c>
      <c r="F72" s="71" t="str">
        <f t="shared" si="2"/>
        <v>virginica</v>
      </c>
      <c r="G72" s="25" cm="1">
        <f t="array" ref="G72">$V$6*NMultDensity(A72:D72,$V$8:$V$11,$R$8:$U$11)+$V$19*NMultDensity(A72:D72,$V$21:$V$24,$R$21:$U$24)+$V$32*NMultDensity(A72:D72,$V$34:$V$37,$R$34:$U$37)</f>
        <v>0.11979718616022553</v>
      </c>
      <c r="H72" s="25" cm="1">
        <f t="array" ref="H72">$V$6*NMultDensity(A72:D72,$V$8:$V$11,$R$8:$U$11)/G72</f>
        <v>2.1559842041984884E-104</v>
      </c>
      <c r="I72" s="25" cm="1">
        <f t="array" ref="I72">$V$19*NMultDensity(A72:D72,$V$21:$V$24,$R$21:$U$24)/G72</f>
        <v>0.22933862810495073</v>
      </c>
      <c r="J72" s="39" cm="1">
        <f t="array" ref="J72">$V$32*NMultDensity(A72:D72,$V$34:$V$37,$R$34:$U$37)/G72</f>
        <v>0.77066137189504935</v>
      </c>
      <c r="K72" s="71" t="str">
        <f t="shared" si="3"/>
        <v>virginica</v>
      </c>
      <c r="L72" s="25" cm="1">
        <f t="array" ref="L72">$V$6*NMultDensity(C72:D72,$V$10:$V$11,$T$10:$U$11)+$V$19*NMultDensity(C72:D72,$V$23:$V$24,$T$23:$U$24)+$V$32*NMultDensity(C72:D72,$V$36:$V$37,$T$36:$U$37)</f>
        <v>0.25445186645034112</v>
      </c>
      <c r="M72" s="25" cm="1">
        <f t="array" ref="M72">$V$6*NMultDensity(C72:D72,$V$10:$V$11,$T$10:$U$11)/L72</f>
        <v>1.7200223713321113E-97</v>
      </c>
      <c r="N72" s="25" cm="1">
        <f t="array" ref="N72">$V$19*NMultDensity(C72:D72,$V$23:$V$24,$T$23:$U$24)/L72</f>
        <v>0.10089153335772567</v>
      </c>
      <c r="O72" s="43" cm="1">
        <f t="array" ref="O72">$V$32*NMultDensity(C72:D72,$V$36:$V$37,$T$36:$U$37)/L72</f>
        <v>0.89910846664227428</v>
      </c>
      <c r="P72" s="39"/>
      <c r="Q72" s="39"/>
      <c r="R72" s="39"/>
    </row>
    <row r="73" spans="1:18" x14ac:dyDescent="0.25">
      <c r="A73" s="25">
        <v>6.1</v>
      </c>
      <c r="B73" s="25">
        <v>2.8</v>
      </c>
      <c r="C73" s="25">
        <v>4</v>
      </c>
      <c r="D73" s="25">
        <v>1.3</v>
      </c>
      <c r="E73" s="50" t="s">
        <v>6</v>
      </c>
      <c r="F73" s="71" t="str">
        <f t="shared" si="2"/>
        <v>versicolor</v>
      </c>
      <c r="G73" s="25" cm="1">
        <f t="array" ref="G73">$V$6*NMultDensity(A73:D73,$V$8:$V$11,$R$8:$U$11)+$V$19*NMultDensity(A73:D73,$V$21:$V$24,$R$21:$U$24)+$V$32*NMultDensity(A73:D73,$V$34:$V$37,$R$34:$U$37)</f>
        <v>0.73216699592720824</v>
      </c>
      <c r="H73" s="25" cm="1">
        <f t="array" ref="H73">$V$6*NMultDensity(A73:D73,$V$8:$V$11,$R$8:$U$11)/G73</f>
        <v>2.6171426985464146E-61</v>
      </c>
      <c r="I73" s="25" cm="1">
        <f t="array" ref="I73">$V$19*NMultDensity(A73:D73,$V$21:$V$24,$R$21:$U$24)/G73</f>
        <v>0.99998266819816517</v>
      </c>
      <c r="J73" s="39" cm="1">
        <f t="array" ref="J73">$V$32*NMultDensity(A73:D73,$V$34:$V$37,$R$34:$U$37)/G73</f>
        <v>1.7331801834834536E-5</v>
      </c>
      <c r="K73" s="71" t="str">
        <f t="shared" si="3"/>
        <v>versicolor</v>
      </c>
      <c r="L73" s="25" cm="1">
        <f t="array" ref="L73">$V$6*NMultDensity(C73:D73,$V$10:$V$11,$T$10:$U$11)+$V$19*NMultDensity(C73:D73,$V$23:$V$24,$T$23:$U$24)+$V$32*NMultDensity(C73:D73,$V$36:$V$37,$T$36:$U$37)</f>
        <v>0.70524254632692873</v>
      </c>
      <c r="M73" s="25" cm="1">
        <f t="array" ref="M73">$V$6*NMultDensity(C73:D73,$V$10:$V$11,$T$10:$U$11)/L73</f>
        <v>1.7975192909140874E-53</v>
      </c>
      <c r="N73" s="25" cm="1">
        <f t="array" ref="N73">$V$19*NMultDensity(C73:D73,$V$23:$V$24,$T$23:$U$24)/L73</f>
        <v>0.9968285281466075</v>
      </c>
      <c r="O73" s="43" cm="1">
        <f t="array" ref="O73">$V$32*NMultDensity(C73:D73,$V$36:$V$37,$T$36:$U$37)/L73</f>
        <v>3.1714718533925055E-3</v>
      </c>
      <c r="P73" s="39"/>
      <c r="Q73" s="39"/>
      <c r="R73" s="39"/>
    </row>
    <row r="74" spans="1:18" x14ac:dyDescent="0.25">
      <c r="A74" s="25">
        <v>6.3</v>
      </c>
      <c r="B74" s="25">
        <v>2.5</v>
      </c>
      <c r="C74" s="25">
        <v>4.9000000000000004</v>
      </c>
      <c r="D74" s="25">
        <v>1.5</v>
      </c>
      <c r="E74" s="50" t="s">
        <v>6</v>
      </c>
      <c r="F74" s="71" t="str">
        <f t="shared" si="2"/>
        <v>versicolor</v>
      </c>
      <c r="G74" s="25" cm="1">
        <f t="array" ref="G74">$V$6*NMultDensity(A74:D74,$V$8:$V$11,$R$8:$U$11)+$V$19*NMultDensity(A74:D74,$V$21:$V$24,$R$21:$U$24)+$V$32*NMultDensity(A74:D74,$V$34:$V$37,$R$34:$U$37)</f>
        <v>0.16168089335527169</v>
      </c>
      <c r="H74" s="25" cm="1">
        <f t="array" ref="H74">$V$6*NMultDensity(A74:D74,$V$8:$V$11,$R$8:$U$11)/G74</f>
        <v>1.396435956889427E-105</v>
      </c>
      <c r="I74" s="25" cm="1">
        <f t="array" ref="I74">$V$19*NMultDensity(A74:D74,$V$21:$V$24,$R$21:$U$24)/G74</f>
        <v>0.57772165726628144</v>
      </c>
      <c r="J74" s="39" cm="1">
        <f t="array" ref="J74">$V$32*NMultDensity(A74:D74,$V$34:$V$37,$R$34:$U$37)/G74</f>
        <v>0.42227834273371861</v>
      </c>
      <c r="K74" s="71" t="str">
        <f t="shared" si="3"/>
        <v>versicolor</v>
      </c>
      <c r="L74" s="25" cm="1">
        <f t="array" ref="L74">$V$6*NMultDensity(C74:D74,$V$10:$V$11,$T$10:$U$11)+$V$19*NMultDensity(C74:D74,$V$23:$V$24,$T$23:$U$24)+$V$32*NMultDensity(C74:D74,$V$36:$V$37,$T$36:$U$37)</f>
        <v>0.43266103296292524</v>
      </c>
      <c r="M74" s="25" cm="1">
        <f t="array" ref="M74">$V$6*NMultDensity(C74:D74,$V$10:$V$11,$T$10:$U$11)/L74</f>
        <v>1.9219580345083669E-92</v>
      </c>
      <c r="N74" s="25" cm="1">
        <f t="array" ref="N74">$V$19*NMultDensity(C74:D74,$V$23:$V$24,$T$23:$U$24)/L74</f>
        <v>0.80569645621787189</v>
      </c>
      <c r="O74" s="43" cm="1">
        <f t="array" ref="O74">$V$32*NMultDensity(C74:D74,$V$36:$V$37,$T$36:$U$37)/L74</f>
        <v>0.19430354378212805</v>
      </c>
      <c r="P74" s="39"/>
      <c r="Q74" s="39"/>
      <c r="R74" s="39"/>
    </row>
    <row r="75" spans="1:18" x14ac:dyDescent="0.25">
      <c r="A75" s="25">
        <v>6.1</v>
      </c>
      <c r="B75" s="25">
        <v>2.8</v>
      </c>
      <c r="C75" s="25">
        <v>4.7</v>
      </c>
      <c r="D75" s="25">
        <v>1.2</v>
      </c>
      <c r="E75" s="50" t="s">
        <v>6</v>
      </c>
      <c r="F75" s="71" t="str">
        <f t="shared" si="2"/>
        <v>versicolor</v>
      </c>
      <c r="G75" s="25" cm="1">
        <f t="array" ref="G75">$V$6*NMultDensity(A75:D75,$V$8:$V$11,$R$8:$U$11)+$V$19*NMultDensity(A75:D75,$V$21:$V$24,$R$21:$U$24)+$V$32*NMultDensity(A75:D75,$V$34:$V$37,$R$34:$U$37)</f>
        <v>5.7473174600546177E-2</v>
      </c>
      <c r="H75" s="25" cm="1">
        <f t="array" ref="H75">$V$6*NMultDensity(A75:D75,$V$8:$V$11,$R$8:$U$11)/G75</f>
        <v>7.3542074805763787E-85</v>
      </c>
      <c r="I75" s="25" cm="1">
        <f t="array" ref="I75">$V$19*NMultDensity(A75:D75,$V$21:$V$24,$R$21:$U$24)/G75</f>
        <v>0.95349340736243349</v>
      </c>
      <c r="J75" s="39" cm="1">
        <f t="array" ref="J75">$V$32*NMultDensity(A75:D75,$V$34:$V$37,$R$34:$U$37)/G75</f>
        <v>4.650659263756645E-2</v>
      </c>
      <c r="K75" s="71" t="str">
        <f t="shared" si="3"/>
        <v>versicolor</v>
      </c>
      <c r="L75" s="25" cm="1">
        <f t="array" ref="L75">$V$6*NMultDensity(C75:D75,$V$10:$V$11,$T$10:$U$11)+$V$19*NMultDensity(C75:D75,$V$23:$V$24,$T$23:$U$24)+$V$32*NMultDensity(C75:D75,$V$36:$V$37,$T$36:$U$37)</f>
        <v>5.5849864283614367E-2</v>
      </c>
      <c r="M75" s="25" cm="1">
        <f t="array" ref="M75">$V$6*NMultDensity(C75:D75,$V$10:$V$11,$T$10:$U$11)/L75</f>
        <v>5.2398252991579351E-77</v>
      </c>
      <c r="N75" s="25" cm="1">
        <f t="array" ref="N75">$V$19*NMultDensity(C75:D75,$V$23:$V$24,$T$23:$U$24)/L75</f>
        <v>0.89835243284188404</v>
      </c>
      <c r="O75" s="43" cm="1">
        <f t="array" ref="O75">$V$32*NMultDensity(C75:D75,$V$36:$V$37,$T$36:$U$37)/L75</f>
        <v>0.10164756715811599</v>
      </c>
      <c r="P75" s="39"/>
      <c r="Q75" s="39"/>
      <c r="R75" s="39"/>
    </row>
    <row r="76" spans="1:18" x14ac:dyDescent="0.25">
      <c r="A76" s="25">
        <v>6.4</v>
      </c>
      <c r="B76" s="25">
        <v>2.9</v>
      </c>
      <c r="C76" s="25">
        <v>4.3</v>
      </c>
      <c r="D76" s="25">
        <v>1.3</v>
      </c>
      <c r="E76" s="50" t="s">
        <v>6</v>
      </c>
      <c r="F76" s="71" t="str">
        <f t="shared" si="2"/>
        <v>versicolor</v>
      </c>
      <c r="G76" s="25" cm="1">
        <f t="array" ref="G76">$V$6*NMultDensity(A76:D76,$V$8:$V$11,$R$8:$U$11)+$V$19*NMultDensity(A76:D76,$V$21:$V$24,$R$21:$U$24)+$V$32*NMultDensity(A76:D76,$V$34:$V$37,$R$34:$U$37)</f>
        <v>0.80488789844983066</v>
      </c>
      <c r="H76" s="25" cm="1">
        <f t="array" ref="H76">$V$6*NMultDensity(A76:D76,$V$8:$V$11,$R$8:$U$11)/G76</f>
        <v>2.1268273922618637E-72</v>
      </c>
      <c r="I76" s="25" cm="1">
        <f t="array" ref="I76">$V$19*NMultDensity(A76:D76,$V$21:$V$24,$R$21:$U$24)/G76</f>
        <v>0.99996499905116798</v>
      </c>
      <c r="J76" s="39" cm="1">
        <f t="array" ref="J76">$V$32*NMultDensity(A76:D76,$V$34:$V$37,$R$34:$U$37)/G76</f>
        <v>3.5000948831945214E-5</v>
      </c>
      <c r="K76" s="71" t="str">
        <f t="shared" si="3"/>
        <v>versicolor</v>
      </c>
      <c r="L76" s="25" cm="1">
        <f t="array" ref="L76">$V$6*NMultDensity(C76:D76,$V$10:$V$11,$T$10:$U$11)+$V$19*NMultDensity(C76:D76,$V$23:$V$24,$T$23:$U$24)+$V$32*NMultDensity(C76:D76,$V$36:$V$37,$T$36:$U$37)</f>
        <v>0.88121980755948492</v>
      </c>
      <c r="M76" s="25" cm="1">
        <f t="array" ref="M76">$V$6*NMultDensity(C76:D76,$V$10:$V$11,$T$10:$U$11)/L76</f>
        <v>8.0653048627338102E-64</v>
      </c>
      <c r="N76" s="25" cm="1">
        <f t="array" ref="N76">$V$19*NMultDensity(C76:D76,$V$23:$V$24,$T$23:$U$24)/L76</f>
        <v>0.99293071927990773</v>
      </c>
      <c r="O76" s="43" cm="1">
        <f t="array" ref="O76">$V$32*NMultDensity(C76:D76,$V$36:$V$37,$T$36:$U$37)/L76</f>
        <v>7.0692807200922209E-3</v>
      </c>
      <c r="P76" s="39"/>
      <c r="Q76" s="39"/>
      <c r="R76" s="39"/>
    </row>
    <row r="77" spans="1:18" x14ac:dyDescent="0.25">
      <c r="A77" s="25">
        <v>6.6</v>
      </c>
      <c r="B77" s="25">
        <v>3</v>
      </c>
      <c r="C77" s="25">
        <v>4.4000000000000004</v>
      </c>
      <c r="D77" s="25">
        <v>1.4</v>
      </c>
      <c r="E77" s="50" t="s">
        <v>6</v>
      </c>
      <c r="F77" s="71" t="str">
        <f t="shared" si="2"/>
        <v>versicolor</v>
      </c>
      <c r="G77" s="25" cm="1">
        <f t="array" ref="G77">$V$6*NMultDensity(A77:D77,$V$8:$V$11,$R$8:$U$11)+$V$19*NMultDensity(A77:D77,$V$21:$V$24,$R$21:$U$24)+$V$32*NMultDensity(A77:D77,$V$34:$V$37,$R$34:$U$37)</f>
        <v>0.45061300628325845</v>
      </c>
      <c r="H77" s="25" cm="1">
        <f t="array" ref="H77">$V$6*NMultDensity(A77:D77,$V$8:$V$11,$R$8:$U$11)/G77</f>
        <v>1.0607086932182443E-78</v>
      </c>
      <c r="I77" s="25" cm="1">
        <f t="array" ref="I77">$V$19*NMultDensity(A77:D77,$V$21:$V$24,$R$21:$U$24)/G77</f>
        <v>0.99994522396818997</v>
      </c>
      <c r="J77" s="39" cm="1">
        <f t="array" ref="J77">$V$32*NMultDensity(A77:D77,$V$34:$V$37,$R$34:$U$37)/G77</f>
        <v>5.4776031809991854E-5</v>
      </c>
      <c r="K77" s="71" t="str">
        <f t="shared" si="3"/>
        <v>versicolor</v>
      </c>
      <c r="L77" s="25" cm="1">
        <f t="array" ref="L77">$V$6*NMultDensity(C77:D77,$V$10:$V$11,$T$10:$U$11)+$V$19*NMultDensity(C77:D77,$V$23:$V$24,$T$23:$U$24)+$V$32*NMultDensity(C77:D77,$V$36:$V$37,$T$36:$U$37)</f>
        <v>0.87902629295972123</v>
      </c>
      <c r="M77" s="25" cm="1">
        <f t="array" ref="M77">$V$6*NMultDensity(C77:D77,$V$10:$V$11,$T$10:$U$11)/L77</f>
        <v>8.2077532252415091E-70</v>
      </c>
      <c r="N77" s="25" cm="1">
        <f t="array" ref="N77">$V$19*NMultDensity(C77:D77,$V$23:$V$24,$T$23:$U$24)/L77</f>
        <v>0.98083292370081021</v>
      </c>
      <c r="O77" s="43" cm="1">
        <f t="array" ref="O77">$V$32*NMultDensity(C77:D77,$V$36:$V$37,$T$36:$U$37)/L77</f>
        <v>1.9167076299189779E-2</v>
      </c>
      <c r="P77" s="39"/>
      <c r="Q77" s="39"/>
      <c r="R77" s="39"/>
    </row>
    <row r="78" spans="1:18" x14ac:dyDescent="0.25">
      <c r="A78" s="25">
        <v>6.8</v>
      </c>
      <c r="B78" s="25">
        <v>2.8</v>
      </c>
      <c r="C78" s="25">
        <v>4.8</v>
      </c>
      <c r="D78" s="25">
        <v>1.4</v>
      </c>
      <c r="E78" s="50" t="s">
        <v>6</v>
      </c>
      <c r="F78" s="71" t="str">
        <f t="shared" si="2"/>
        <v>versicolor</v>
      </c>
      <c r="G78" s="25" cm="1">
        <f t="array" ref="G78">$V$6*NMultDensity(A78:D78,$V$8:$V$11,$R$8:$U$11)+$V$19*NMultDensity(A78:D78,$V$21:$V$24,$R$21:$U$24)+$V$32*NMultDensity(A78:D78,$V$34:$V$37,$R$34:$U$37)</f>
        <v>0.29481289738143779</v>
      </c>
      <c r="H78" s="25" cm="1">
        <f t="array" ref="H78">$V$6*NMultDensity(A78:D78,$V$8:$V$11,$R$8:$U$11)/G78</f>
        <v>9.8924257808853427E-99</v>
      </c>
      <c r="I78" s="25" cm="1">
        <f t="array" ref="I78">$V$19*NMultDensity(A78:D78,$V$21:$V$24,$R$21:$U$24)/G78</f>
        <v>0.99739450448151634</v>
      </c>
      <c r="J78" s="39" cm="1">
        <f t="array" ref="J78">$V$32*NMultDensity(A78:D78,$V$34:$V$37,$R$34:$U$37)/G78</f>
        <v>2.6054955184836221E-3</v>
      </c>
      <c r="K78" s="71" t="str">
        <f t="shared" si="3"/>
        <v>versicolor</v>
      </c>
      <c r="L78" s="25" cm="1">
        <f t="array" ref="L78">$V$6*NMultDensity(C78:D78,$V$10:$V$11,$T$10:$U$11)+$V$19*NMultDensity(C78:D78,$V$23:$V$24,$T$23:$U$24)+$V$32*NMultDensity(C78:D78,$V$36:$V$37,$T$36:$U$37)</f>
        <v>0.36817638184337292</v>
      </c>
      <c r="M78" s="25" cm="1">
        <f t="array" ref="M78">$V$6*NMultDensity(C78:D78,$V$10:$V$11,$T$10:$U$11)/L78</f>
        <v>1.1618058860090533E-85</v>
      </c>
      <c r="N78" s="25" cm="1">
        <f t="array" ref="N78">$V$19*NMultDensity(C78:D78,$V$23:$V$24,$T$23:$U$24)/L78</f>
        <v>0.89802946171116815</v>
      </c>
      <c r="O78" s="43" cm="1">
        <f t="array" ref="O78">$V$32*NMultDensity(C78:D78,$V$36:$V$37,$T$36:$U$37)/L78</f>
        <v>0.10197053828883192</v>
      </c>
      <c r="P78" s="39"/>
      <c r="Q78" s="39"/>
      <c r="R78" s="39"/>
    </row>
    <row r="79" spans="1:18" x14ac:dyDescent="0.25">
      <c r="A79" s="25">
        <v>6.7</v>
      </c>
      <c r="B79" s="25">
        <v>3</v>
      </c>
      <c r="C79" s="25">
        <v>5</v>
      </c>
      <c r="D79" s="25">
        <v>1.7</v>
      </c>
      <c r="E79" s="50" t="s">
        <v>6</v>
      </c>
      <c r="F79" s="71" t="str">
        <f t="shared" si="2"/>
        <v>versicolor</v>
      </c>
      <c r="G79" s="25" cm="1">
        <f t="array" ref="G79">$V$6*NMultDensity(A79:D79,$V$8:$V$11,$R$8:$U$11)+$V$19*NMultDensity(A79:D79,$V$21:$V$24,$R$21:$U$24)+$V$32*NMultDensity(A79:D79,$V$34:$V$37,$R$34:$U$37)</f>
        <v>0.23200926227752278</v>
      </c>
      <c r="H79" s="25" cm="1">
        <f t="array" ref="H79">$V$6*NMultDensity(A79:D79,$V$8:$V$11,$R$8:$U$11)/G79</f>
        <v>3.2957667593162505E-113</v>
      </c>
      <c r="I79" s="25" cm="1">
        <f t="array" ref="I79">$V$19*NMultDensity(A79:D79,$V$21:$V$24,$R$21:$U$24)/G79</f>
        <v>0.78465124617291893</v>
      </c>
      <c r="J79" s="39" cm="1">
        <f t="array" ref="J79">$V$32*NMultDensity(A79:D79,$V$34:$V$37,$R$34:$U$37)/G79</f>
        <v>0.2153487538270811</v>
      </c>
      <c r="K79" s="71" t="str">
        <f t="shared" si="3"/>
        <v>virginica</v>
      </c>
      <c r="L79" s="25" cm="1">
        <f t="array" ref="L79">$V$6*NMultDensity(C79:D79,$V$10:$V$11,$T$10:$U$11)+$V$19*NMultDensity(C79:D79,$V$23:$V$24,$T$23:$U$24)+$V$32*NMultDensity(C79:D79,$V$36:$V$37,$T$36:$U$37)</f>
        <v>0.4042228919024054</v>
      </c>
      <c r="M79" s="25" cm="1">
        <f t="array" ref="M79">$V$6*NMultDensity(C79:D79,$V$10:$V$11,$T$10:$U$11)/L79</f>
        <v>1.3718336195411751E-102</v>
      </c>
      <c r="N79" s="25" cm="1">
        <f t="array" ref="N79">$V$19*NMultDensity(C79:D79,$V$23:$V$24,$T$23:$U$24)/L79</f>
        <v>0.37877475058565802</v>
      </c>
      <c r="O79" s="43" cm="1">
        <f t="array" ref="O79">$V$32*NMultDensity(C79:D79,$V$36:$V$37,$T$36:$U$37)/L79</f>
        <v>0.62122524941434198</v>
      </c>
      <c r="P79" s="39"/>
      <c r="Q79" s="39"/>
      <c r="R79" s="39"/>
    </row>
    <row r="80" spans="1:18" x14ac:dyDescent="0.25">
      <c r="A80" s="25">
        <v>6</v>
      </c>
      <c r="B80" s="25">
        <v>2.9</v>
      </c>
      <c r="C80" s="25">
        <v>4.5</v>
      </c>
      <c r="D80" s="25">
        <v>1.5</v>
      </c>
      <c r="E80" s="50" t="s">
        <v>6</v>
      </c>
      <c r="F80" s="71" t="str">
        <f t="shared" si="2"/>
        <v>versicolor</v>
      </c>
      <c r="G80" s="25" cm="1">
        <f t="array" ref="G80">$V$6*NMultDensity(A80:D80,$V$8:$V$11,$R$8:$U$11)+$V$19*NMultDensity(A80:D80,$V$21:$V$24,$R$21:$U$24)+$V$32*NMultDensity(A80:D80,$V$34:$V$37,$R$34:$U$37)</f>
        <v>1.209130577984959</v>
      </c>
      <c r="H80" s="25" cm="1">
        <f t="array" ref="H80">$V$6*NMultDensity(A80:D80,$V$8:$V$11,$R$8:$U$11)/G80</f>
        <v>5.3695664653295858E-84</v>
      </c>
      <c r="I80" s="25" cm="1">
        <f t="array" ref="I80">$V$19*NMultDensity(A80:D80,$V$21:$V$24,$R$21:$U$24)/G80</f>
        <v>0.98671977356881624</v>
      </c>
      <c r="J80" s="39" cm="1">
        <f t="array" ref="J80">$V$32*NMultDensity(A80:D80,$V$34:$V$37,$R$34:$U$37)/G80</f>
        <v>1.3280226431183867E-2</v>
      </c>
      <c r="K80" s="71" t="str">
        <f t="shared" si="3"/>
        <v>versicolor</v>
      </c>
      <c r="L80" s="25" cm="1">
        <f t="array" ref="L80">$V$6*NMultDensity(C80:D80,$V$10:$V$11,$T$10:$U$11)+$V$19*NMultDensity(C80:D80,$V$23:$V$24,$T$23:$U$24)+$V$32*NMultDensity(C80:D80,$V$36:$V$37,$T$36:$U$37)</f>
        <v>0.64109537748196943</v>
      </c>
      <c r="M80" s="25" cm="1">
        <f t="array" ref="M80">$V$6*NMultDensity(C80:D80,$V$10:$V$11,$T$10:$U$11)/L80</f>
        <v>4.3003869890256717E-76</v>
      </c>
      <c r="N80" s="25" cm="1">
        <f t="array" ref="N80">$V$19*NMultDensity(C80:D80,$V$23:$V$24,$T$23:$U$24)/L80</f>
        <v>0.9380302068660954</v>
      </c>
      <c r="O80" s="43" cm="1">
        <f t="array" ref="O80">$V$32*NMultDensity(C80:D80,$V$36:$V$37,$T$36:$U$37)/L80</f>
        <v>6.196979313390466E-2</v>
      </c>
      <c r="P80" s="39"/>
      <c r="Q80" s="39"/>
      <c r="R80" s="39"/>
    </row>
    <row r="81" spans="1:18" x14ac:dyDescent="0.25">
      <c r="A81" s="25">
        <v>5.7</v>
      </c>
      <c r="B81" s="25">
        <v>2.6</v>
      </c>
      <c r="C81" s="25">
        <v>3.5</v>
      </c>
      <c r="D81" s="25">
        <v>1</v>
      </c>
      <c r="E81" s="50" t="s">
        <v>6</v>
      </c>
      <c r="F81" s="71" t="str">
        <f t="shared" si="2"/>
        <v>versicolor</v>
      </c>
      <c r="G81" s="25" cm="1">
        <f t="array" ref="G81">$V$6*NMultDensity(A81:D81,$V$8:$V$11,$R$8:$U$11)+$V$19*NMultDensity(A81:D81,$V$21:$V$24,$R$21:$U$24)+$V$32*NMultDensity(A81:D81,$V$34:$V$37,$R$34:$U$37)</f>
        <v>0.20956267533845716</v>
      </c>
      <c r="H81" s="25" cm="1">
        <f t="array" ref="H81">$V$6*NMultDensity(A81:D81,$V$8:$V$11,$R$8:$U$11)/G81</f>
        <v>3.3364594921487105E-39</v>
      </c>
      <c r="I81" s="25" cm="1">
        <f t="array" ref="I81">$V$19*NMultDensity(A81:D81,$V$21:$V$24,$R$21:$U$24)/G81</f>
        <v>0.99999984864792435</v>
      </c>
      <c r="J81" s="39" cm="1">
        <f t="array" ref="J81">$V$32*NMultDensity(A81:D81,$V$34:$V$37,$R$34:$U$37)/G81</f>
        <v>1.5135207567624201E-7</v>
      </c>
      <c r="K81" s="71" t="str">
        <f t="shared" si="3"/>
        <v>versicolor</v>
      </c>
      <c r="L81" s="25" cm="1">
        <f t="array" ref="L81">$V$6*NMultDensity(C81:D81,$V$10:$V$11,$T$10:$U$11)+$V$19*NMultDensity(C81:D81,$V$23:$V$24,$T$23:$U$24)+$V$32*NMultDensity(C81:D81,$V$36:$V$37,$T$36:$U$37)</f>
        <v>0.20768497551826989</v>
      </c>
      <c r="M81" s="25" cm="1">
        <f t="array" ref="M81">$V$6*NMultDensity(C81:D81,$V$10:$V$11,$T$10:$U$11)/L81</f>
        <v>1.3955342422889397E-32</v>
      </c>
      <c r="N81" s="25" cm="1">
        <f t="array" ref="N81">$V$19*NMultDensity(C81:D81,$V$23:$V$24,$T$23:$U$24)/L81</f>
        <v>0.99991715154777439</v>
      </c>
      <c r="O81" s="43" cm="1">
        <f t="array" ref="O81">$V$32*NMultDensity(C81:D81,$V$36:$V$37,$T$36:$U$37)/L81</f>
        <v>8.2848452225620534E-5</v>
      </c>
      <c r="P81" s="39"/>
      <c r="Q81" s="39"/>
      <c r="R81" s="39"/>
    </row>
    <row r="82" spans="1:18" x14ac:dyDescent="0.25">
      <c r="A82" s="25">
        <v>5.5</v>
      </c>
      <c r="B82" s="25">
        <v>2.4</v>
      </c>
      <c r="C82" s="25">
        <v>3.8</v>
      </c>
      <c r="D82" s="25">
        <v>1.1000000000000001</v>
      </c>
      <c r="E82" s="50" t="s">
        <v>6</v>
      </c>
      <c r="F82" s="71" t="str">
        <f t="shared" si="2"/>
        <v>versicolor</v>
      </c>
      <c r="G82" s="25" cm="1">
        <f t="array" ref="G82">$V$6*NMultDensity(A82:D82,$V$8:$V$11,$R$8:$U$11)+$V$19*NMultDensity(A82:D82,$V$21:$V$24,$R$21:$U$24)+$V$32*NMultDensity(A82:D82,$V$34:$V$37,$R$34:$U$37)</f>
        <v>0.85601424918649804</v>
      </c>
      <c r="H82" s="25" cm="1">
        <f t="array" ref="H82">$V$6*NMultDensity(A82:D82,$V$8:$V$11,$R$8:$U$11)/G82</f>
        <v>1.6479027005100596E-51</v>
      </c>
      <c r="I82" s="25" cm="1">
        <f t="array" ref="I82">$V$19*NMultDensity(A82:D82,$V$21:$V$24,$R$21:$U$24)/G82</f>
        <v>0.99994921620088473</v>
      </c>
      <c r="J82" s="39" cm="1">
        <f t="array" ref="J82">$V$32*NMultDensity(A82:D82,$V$34:$V$37,$R$34:$U$37)/G82</f>
        <v>5.078379911530973E-5</v>
      </c>
      <c r="K82" s="71" t="str">
        <f t="shared" si="3"/>
        <v>versicolor</v>
      </c>
      <c r="L82" s="25" cm="1">
        <f t="array" ref="L82">$V$6*NMultDensity(C82:D82,$V$10:$V$11,$T$10:$U$11)+$V$19*NMultDensity(C82:D82,$V$23:$V$24,$T$23:$U$24)+$V$32*NMultDensity(C82:D82,$V$36:$V$37,$T$36:$U$37)</f>
        <v>0.47745670695904413</v>
      </c>
      <c r="M82" s="25" cm="1">
        <f t="array" ref="M82">$V$6*NMultDensity(C82:D82,$V$10:$V$11,$T$10:$U$11)/L82</f>
        <v>4.9869130905299668E-43</v>
      </c>
      <c r="N82" s="25" cm="1">
        <f t="array" ref="N82">$V$19*NMultDensity(C82:D82,$V$23:$V$24,$T$23:$U$24)/L82</f>
        <v>0.99960723000387619</v>
      </c>
      <c r="O82" s="43" cm="1">
        <f t="array" ref="O82">$V$32*NMultDensity(C82:D82,$V$36:$V$37,$T$36:$U$37)/L82</f>
        <v>3.927699961238993E-4</v>
      </c>
      <c r="P82" s="39"/>
      <c r="Q82" s="39"/>
      <c r="R82" s="39"/>
    </row>
    <row r="83" spans="1:18" x14ac:dyDescent="0.25">
      <c r="A83" s="25">
        <v>5.5</v>
      </c>
      <c r="B83" s="25">
        <v>2.4</v>
      </c>
      <c r="C83" s="25">
        <v>3.7</v>
      </c>
      <c r="D83" s="25">
        <v>1</v>
      </c>
      <c r="E83" s="50" t="s">
        <v>6</v>
      </c>
      <c r="F83" s="71" t="str">
        <f t="shared" si="2"/>
        <v>versicolor</v>
      </c>
      <c r="G83" s="25" cm="1">
        <f t="array" ref="G83">$V$6*NMultDensity(A83:D83,$V$8:$V$11,$R$8:$U$11)+$V$19*NMultDensity(A83:D83,$V$21:$V$24,$R$21:$U$24)+$V$32*NMultDensity(A83:D83,$V$34:$V$37,$R$34:$U$37)</f>
        <v>0.48734380021897405</v>
      </c>
      <c r="H83" s="25" cm="1">
        <f t="array" ref="H83">$V$6*NMultDensity(A83:D83,$V$8:$V$11,$R$8:$U$11)/G83</f>
        <v>2.8470973094865058E-46</v>
      </c>
      <c r="I83" s="25" cm="1">
        <f t="array" ref="I83">$V$19*NMultDensity(A83:D83,$V$21:$V$24,$R$21:$U$24)/G83</f>
        <v>0.99998997209443075</v>
      </c>
      <c r="J83" s="39" cm="1">
        <f t="array" ref="J83">$V$32*NMultDensity(A83:D83,$V$34:$V$37,$R$34:$U$37)/G83</f>
        <v>1.002790556925053E-5</v>
      </c>
      <c r="K83" s="71" t="str">
        <f t="shared" si="3"/>
        <v>versicolor</v>
      </c>
      <c r="L83" s="25" cm="1">
        <f t="array" ref="L83">$V$6*NMultDensity(C83:D83,$V$10:$V$11,$T$10:$U$11)+$V$19*NMultDensity(C83:D83,$V$23:$V$24,$T$23:$U$24)+$V$32*NMultDensity(C83:D83,$V$36:$V$37,$T$36:$U$37)</f>
        <v>0.23424528716464335</v>
      </c>
      <c r="M83" s="25" cm="1">
        <f t="array" ref="M83">$V$6*NMultDensity(C83:D83,$V$10:$V$11,$T$10:$U$11)/L83</f>
        <v>3.2173341525869815E-38</v>
      </c>
      <c r="N83" s="25" cm="1">
        <f t="array" ref="N83">$V$19*NMultDensity(C83:D83,$V$23:$V$24,$T$23:$U$24)/L83</f>
        <v>0.99981128433479616</v>
      </c>
      <c r="O83" s="43" cm="1">
        <f t="array" ref="O83">$V$32*NMultDensity(C83:D83,$V$36:$V$37,$T$36:$U$37)/L83</f>
        <v>1.8871566520386573E-4</v>
      </c>
      <c r="P83" s="39"/>
      <c r="Q83" s="39"/>
      <c r="R83" s="39"/>
    </row>
    <row r="84" spans="1:18" x14ac:dyDescent="0.25">
      <c r="A84" s="25">
        <v>5.8</v>
      </c>
      <c r="B84" s="25">
        <v>2.7</v>
      </c>
      <c r="C84" s="25">
        <v>3.9</v>
      </c>
      <c r="D84" s="25">
        <v>1.2</v>
      </c>
      <c r="E84" s="50" t="s">
        <v>6</v>
      </c>
      <c r="F84" s="71" t="str">
        <f t="shared" si="2"/>
        <v>versicolor</v>
      </c>
      <c r="G84" s="25" cm="1">
        <f t="array" ref="G84">$V$6*NMultDensity(A84:D84,$V$8:$V$11,$R$8:$U$11)+$V$19*NMultDensity(A84:D84,$V$21:$V$24,$R$21:$U$24)+$V$32*NMultDensity(A84:D84,$V$34:$V$37,$R$34:$U$37)</f>
        <v>1.2689332001254228</v>
      </c>
      <c r="H84" s="25" cm="1">
        <f t="array" ref="H84">$V$6*NMultDensity(A84:D84,$V$8:$V$11,$R$8:$U$11)/G84</f>
        <v>2.1144421575562339E-55</v>
      </c>
      <c r="I84" s="25" cm="1">
        <f t="array" ref="I84">$V$19*NMultDensity(A84:D84,$V$21:$V$24,$R$21:$U$24)/G84</f>
        <v>0.99998059324413557</v>
      </c>
      <c r="J84" s="39" cm="1">
        <f t="array" ref="J84">$V$32*NMultDensity(A84:D84,$V$34:$V$37,$R$34:$U$37)/G84</f>
        <v>1.9406755864359015E-5</v>
      </c>
      <c r="K84" s="71" t="str">
        <f t="shared" si="3"/>
        <v>versicolor</v>
      </c>
      <c r="L84" s="25" cm="1">
        <f t="array" ref="L84">$V$6*NMultDensity(C84:D84,$V$10:$V$11,$T$10:$U$11)+$V$19*NMultDensity(C84:D84,$V$23:$V$24,$T$23:$U$24)+$V$32*NMultDensity(C84:D84,$V$36:$V$37,$T$36:$U$37)</f>
        <v>0.68916633541961936</v>
      </c>
      <c r="M84" s="25" cm="1">
        <f t="array" ref="M84">$V$6*NMultDensity(C84:D84,$V$10:$V$11,$T$10:$U$11)/L84</f>
        <v>4.1088796522295161E-48</v>
      </c>
      <c r="N84" s="25" cm="1">
        <f t="array" ref="N84">$V$19*NMultDensity(C84:D84,$V$23:$V$24,$T$23:$U$24)/L84</f>
        <v>0.99899355874170725</v>
      </c>
      <c r="O84" s="43" cm="1">
        <f t="array" ref="O84">$V$32*NMultDensity(C84:D84,$V$36:$V$37,$T$36:$U$37)/L84</f>
        <v>1.0064412582926831E-3</v>
      </c>
      <c r="P84" s="39"/>
      <c r="Q84" s="39"/>
      <c r="R84" s="39"/>
    </row>
    <row r="85" spans="1:18" x14ac:dyDescent="0.25">
      <c r="A85" s="25">
        <v>6</v>
      </c>
      <c r="B85" s="25">
        <v>2.7</v>
      </c>
      <c r="C85" s="25">
        <v>5.0999999999999996</v>
      </c>
      <c r="D85" s="25">
        <v>1.6</v>
      </c>
      <c r="E85" s="50" t="s">
        <v>6</v>
      </c>
      <c r="F85" s="71" t="str">
        <f t="shared" si="2"/>
        <v>virginica</v>
      </c>
      <c r="G85" s="25" cm="1">
        <f t="array" ref="G85">$V$6*NMultDensity(A85:D85,$V$8:$V$11,$R$8:$U$11)+$V$19*NMultDensity(A85:D85,$V$21:$V$24,$R$21:$U$24)+$V$32*NMultDensity(A85:D85,$V$34:$V$37,$R$34:$U$37)</f>
        <v>0.35058066271740923</v>
      </c>
      <c r="H85" s="25" cm="1">
        <f t="array" ref="H85">$V$6*NMultDensity(A85:D85,$V$8:$V$11,$R$8:$U$11)/G85</f>
        <v>7.7301297919610571E-115</v>
      </c>
      <c r="I85" s="25" cm="1">
        <f t="array" ref="I85">$V$19*NMultDensity(A85:D85,$V$21:$V$24,$R$21:$U$24)/G85</f>
        <v>9.6955138623700254E-2</v>
      </c>
      <c r="J85" s="39" cm="1">
        <f t="array" ref="J85">$V$32*NMultDensity(A85:D85,$V$34:$V$37,$R$34:$U$37)/G85</f>
        <v>0.9030448613762998</v>
      </c>
      <c r="K85" s="71" t="str">
        <f t="shared" si="3"/>
        <v>versicolor</v>
      </c>
      <c r="L85" s="25" cm="1">
        <f t="array" ref="L85">$V$6*NMultDensity(C85:D85,$V$10:$V$11,$T$10:$U$11)+$V$19*NMultDensity(C85:D85,$V$23:$V$24,$T$23:$U$24)+$V$32*NMultDensity(C85:D85,$V$36:$V$37,$T$36:$U$37)</f>
        <v>0.36532948763578532</v>
      </c>
      <c r="M85" s="25" cm="1">
        <f t="array" ref="M85">$V$6*NMultDensity(C85:D85,$V$10:$V$11,$T$10:$U$11)/L85</f>
        <v>4.1076674765607038E-104</v>
      </c>
      <c r="N85" s="25" cm="1">
        <f t="array" ref="N85">$V$19*NMultDensity(C85:D85,$V$23:$V$24,$T$23:$U$24)/L85</f>
        <v>0.51192633823250322</v>
      </c>
      <c r="O85" s="43" cm="1">
        <f t="array" ref="O85">$V$32*NMultDensity(C85:D85,$V$36:$V$37,$T$36:$U$37)/L85</f>
        <v>0.48807366176749667</v>
      </c>
      <c r="P85" s="39"/>
      <c r="Q85" s="39"/>
      <c r="R85" s="39"/>
    </row>
    <row r="86" spans="1:18" x14ac:dyDescent="0.25">
      <c r="A86" s="25">
        <v>5.4</v>
      </c>
      <c r="B86" s="25">
        <v>3</v>
      </c>
      <c r="C86" s="25">
        <v>4.5</v>
      </c>
      <c r="D86" s="25">
        <v>1.5</v>
      </c>
      <c r="E86" s="50" t="s">
        <v>6</v>
      </c>
      <c r="F86" s="71" t="str">
        <f t="shared" si="2"/>
        <v>versicolor</v>
      </c>
      <c r="G86" s="25" cm="1">
        <f t="array" ref="G86">$V$6*NMultDensity(A86:D86,$V$8:$V$11,$R$8:$U$11)+$V$19*NMultDensity(A86:D86,$V$21:$V$24,$R$21:$U$24)+$V$32*NMultDensity(A86:D86,$V$34:$V$37,$R$34:$U$37)</f>
        <v>0.11174686714720404</v>
      </c>
      <c r="H86" s="25" cm="1">
        <f t="array" ref="H86">$V$6*NMultDensity(A86:D86,$V$8:$V$11,$R$8:$U$11)/G86</f>
        <v>1.8921046690061583E-82</v>
      </c>
      <c r="I86" s="25" cm="1">
        <f t="array" ref="I86">$V$19*NMultDensity(A86:D86,$V$21:$V$24,$R$21:$U$24)/G86</f>
        <v>0.90749189761688509</v>
      </c>
      <c r="J86" s="39" cm="1">
        <f t="array" ref="J86">$V$32*NMultDensity(A86:D86,$V$34:$V$37,$R$34:$U$37)/G86</f>
        <v>9.2508102383114896E-2</v>
      </c>
      <c r="K86" s="71" t="str">
        <f t="shared" si="3"/>
        <v>versicolor</v>
      </c>
      <c r="L86" s="25" cm="1">
        <f t="array" ref="L86">$V$6*NMultDensity(C86:D86,$V$10:$V$11,$T$10:$U$11)+$V$19*NMultDensity(C86:D86,$V$23:$V$24,$T$23:$U$24)+$V$32*NMultDensity(C86:D86,$V$36:$V$37,$T$36:$U$37)</f>
        <v>0.64109537748196943</v>
      </c>
      <c r="M86" s="25" cm="1">
        <f t="array" ref="M86">$V$6*NMultDensity(C86:D86,$V$10:$V$11,$T$10:$U$11)/L86</f>
        <v>4.3003869890256717E-76</v>
      </c>
      <c r="N86" s="25" cm="1">
        <f t="array" ref="N86">$V$19*NMultDensity(C86:D86,$V$23:$V$24,$T$23:$U$24)/L86</f>
        <v>0.9380302068660954</v>
      </c>
      <c r="O86" s="43" cm="1">
        <f t="array" ref="O86">$V$32*NMultDensity(C86:D86,$V$36:$V$37,$T$36:$U$37)/L86</f>
        <v>6.196979313390466E-2</v>
      </c>
      <c r="P86" s="39"/>
      <c r="Q86" s="39"/>
      <c r="R86" s="39"/>
    </row>
    <row r="87" spans="1:18" x14ac:dyDescent="0.25">
      <c r="A87" s="25">
        <v>6</v>
      </c>
      <c r="B87" s="25">
        <v>3.4</v>
      </c>
      <c r="C87" s="25">
        <v>4.5</v>
      </c>
      <c r="D87" s="25">
        <v>1.6</v>
      </c>
      <c r="E87" s="50" t="s">
        <v>6</v>
      </c>
      <c r="F87" s="71" t="str">
        <f t="shared" si="2"/>
        <v>versicolor</v>
      </c>
      <c r="G87" s="25" cm="1">
        <f t="array" ref="G87">$V$6*NMultDensity(A87:D87,$V$8:$V$11,$R$8:$U$11)+$V$19*NMultDensity(A87:D87,$V$21:$V$24,$R$21:$U$24)+$V$32*NMultDensity(A87:D87,$V$34:$V$37,$R$34:$U$37)</f>
        <v>0.11942331681523632</v>
      </c>
      <c r="H87" s="25" cm="1">
        <f t="array" ref="H87">$V$6*NMultDensity(A87:D87,$V$8:$V$11,$R$8:$U$11)/G87</f>
        <v>5.7162981749974902E-83</v>
      </c>
      <c r="I87" s="25" cm="1">
        <f t="array" ref="I87">$V$19*NMultDensity(A87:D87,$V$21:$V$24,$R$21:$U$24)/G87</f>
        <v>0.99321885699261414</v>
      </c>
      <c r="J87" s="39" cm="1">
        <f t="array" ref="J87">$V$32*NMultDensity(A87:D87,$V$34:$V$37,$R$34:$U$37)/G87</f>
        <v>6.7811430073859017E-3</v>
      </c>
      <c r="K87" s="71" t="str">
        <f t="shared" si="3"/>
        <v>versicolor</v>
      </c>
      <c r="L87" s="25" cm="1">
        <f t="array" ref="L87">$V$6*NMultDensity(C87:D87,$V$10:$V$11,$T$10:$U$11)+$V$19*NMultDensity(C87:D87,$V$23:$V$24,$T$23:$U$24)+$V$32*NMultDensity(C87:D87,$V$36:$V$37,$T$36:$U$37)</f>
        <v>0.29061907935451636</v>
      </c>
      <c r="M87" s="25" cm="1">
        <f t="array" ref="M87">$V$6*NMultDensity(C87:D87,$V$10:$V$11,$T$10:$U$11)/L87</f>
        <v>8.5904596196432714E-79</v>
      </c>
      <c r="N87" s="25" cm="1">
        <f t="array" ref="N87">$V$19*NMultDensity(C87:D87,$V$23:$V$24,$T$23:$U$24)/L87</f>
        <v>0.78460883258523684</v>
      </c>
      <c r="O87" s="43" cm="1">
        <f t="array" ref="O87">$V$32*NMultDensity(C87:D87,$V$36:$V$37,$T$36:$U$37)/L87</f>
        <v>0.21539116741476305</v>
      </c>
      <c r="P87" s="39"/>
      <c r="Q87" s="39"/>
      <c r="R87" s="39"/>
    </row>
    <row r="88" spans="1:18" x14ac:dyDescent="0.25">
      <c r="A88" s="25">
        <v>6.7</v>
      </c>
      <c r="B88" s="25">
        <v>3.1</v>
      </c>
      <c r="C88" s="25">
        <v>4.7</v>
      </c>
      <c r="D88" s="25">
        <v>1.5</v>
      </c>
      <c r="E88" s="50" t="s">
        <v>6</v>
      </c>
      <c r="F88" s="71" t="str">
        <f t="shared" si="2"/>
        <v>versicolor</v>
      </c>
      <c r="G88" s="25" cm="1">
        <f t="array" ref="G88">$V$6*NMultDensity(A88:D88,$V$8:$V$11,$R$8:$U$11)+$V$19*NMultDensity(A88:D88,$V$21:$V$24,$R$21:$U$24)+$V$32*NMultDensity(A88:D88,$V$34:$V$37,$R$34:$U$37)</f>
        <v>0.56189726634488779</v>
      </c>
      <c r="H88" s="25" cm="1">
        <f t="array" ref="H88">$V$6*NMultDensity(A88:D88,$V$8:$V$11,$R$8:$U$11)/G88</f>
        <v>5.3339442065814563E-93</v>
      </c>
      <c r="I88" s="25" cm="1">
        <f t="array" ref="I88">$V$19*NMultDensity(A88:D88,$V$21:$V$24,$R$21:$U$24)/G88</f>
        <v>0.99896875058294299</v>
      </c>
      <c r="J88" s="39" cm="1">
        <f t="array" ref="J88">$V$32*NMultDensity(A88:D88,$V$34:$V$37,$R$34:$U$37)/G88</f>
        <v>1.0312494170569538E-3</v>
      </c>
      <c r="K88" s="71" t="str">
        <f t="shared" si="3"/>
        <v>versicolor</v>
      </c>
      <c r="L88" s="25" cm="1">
        <f t="array" ref="L88">$V$6*NMultDensity(C88:D88,$V$10:$V$11,$T$10:$U$11)+$V$19*NMultDensity(C88:D88,$V$23:$V$24,$T$23:$U$24)+$V$32*NMultDensity(C88:D88,$V$36:$V$37,$T$36:$U$37)</f>
        <v>0.64285585945194879</v>
      </c>
      <c r="M88" s="25" cm="1">
        <f t="array" ref="M88">$V$6*NMultDensity(C88:D88,$V$10:$V$11,$T$10:$U$11)/L88</f>
        <v>4.9617705484815642E-84</v>
      </c>
      <c r="N88" s="25" cm="1">
        <f t="array" ref="N88">$V$19*NMultDensity(C88:D88,$V$23:$V$24,$T$23:$U$24)/L88</f>
        <v>0.90326801281070923</v>
      </c>
      <c r="O88" s="43" cm="1">
        <f t="array" ref="O88">$V$32*NMultDensity(C88:D88,$V$36:$V$37,$T$36:$U$37)/L88</f>
        <v>9.6731987189290811E-2</v>
      </c>
      <c r="P88" s="39"/>
      <c r="Q88" s="39"/>
      <c r="R88" s="39"/>
    </row>
    <row r="89" spans="1:18" x14ac:dyDescent="0.25">
      <c r="A89" s="25">
        <v>6.3</v>
      </c>
      <c r="B89" s="25">
        <v>2.2999999999999998</v>
      </c>
      <c r="C89" s="25">
        <v>4.4000000000000004</v>
      </c>
      <c r="D89" s="25">
        <v>1.3</v>
      </c>
      <c r="E89" s="50" t="s">
        <v>6</v>
      </c>
      <c r="F89" s="71" t="str">
        <f t="shared" si="2"/>
        <v>versicolor</v>
      </c>
      <c r="G89" s="25" cm="1">
        <f t="array" ref="G89">$V$6*NMultDensity(A89:D89,$V$8:$V$11,$R$8:$U$11)+$V$19*NMultDensity(A89:D89,$V$21:$V$24,$R$21:$U$24)+$V$32*NMultDensity(A89:D89,$V$34:$V$37,$R$34:$U$37)</f>
        <v>0.10923564558306478</v>
      </c>
      <c r="H89" s="25" cm="1">
        <f t="array" ref="H89">$V$6*NMultDensity(A89:D89,$V$8:$V$11,$R$8:$U$11)/G89</f>
        <v>6.0031994598558931E-82</v>
      </c>
      <c r="I89" s="25" cm="1">
        <f t="array" ref="I89">$V$19*NMultDensity(A89:D89,$V$21:$V$24,$R$21:$U$24)/G89</f>
        <v>0.99812745365463917</v>
      </c>
      <c r="J89" s="39" cm="1">
        <f t="array" ref="J89">$V$32*NMultDensity(A89:D89,$V$34:$V$37,$R$34:$U$37)/G89</f>
        <v>1.8725463453608405E-3</v>
      </c>
      <c r="K89" s="71" t="str">
        <f t="shared" si="3"/>
        <v>versicolor</v>
      </c>
      <c r="L89" s="25" cm="1">
        <f t="array" ref="L89">$V$6*NMultDensity(C89:D89,$V$10:$V$11,$T$10:$U$11)+$V$19*NMultDensity(C89:D89,$V$23:$V$24,$T$23:$U$24)+$V$32*NMultDensity(C89:D89,$V$36:$V$37,$T$36:$U$37)</f>
        <v>0.75028207786164636</v>
      </c>
      <c r="M89" s="25" cm="1">
        <f t="array" ref="M89">$V$6*NMultDensity(C89:D89,$V$10:$V$11,$T$10:$U$11)/L89</f>
        <v>1.721031321865723E-67</v>
      </c>
      <c r="N89" s="25" cm="1">
        <f t="array" ref="N89">$V$19*NMultDensity(C89:D89,$V$23:$V$24,$T$23:$U$24)/L89</f>
        <v>0.98914315865529312</v>
      </c>
      <c r="O89" s="43" cm="1">
        <f t="array" ref="O89">$V$32*NMultDensity(C89:D89,$V$36:$V$37,$T$36:$U$37)/L89</f>
        <v>1.0856841344706802E-2</v>
      </c>
      <c r="P89" s="39"/>
      <c r="Q89" s="39"/>
      <c r="R89" s="39"/>
    </row>
    <row r="90" spans="1:18" x14ac:dyDescent="0.25">
      <c r="A90" s="25">
        <v>5.6</v>
      </c>
      <c r="B90" s="25">
        <v>3</v>
      </c>
      <c r="C90" s="25">
        <v>4.0999999999999996</v>
      </c>
      <c r="D90" s="25">
        <v>1.3</v>
      </c>
      <c r="E90" s="50" t="s">
        <v>6</v>
      </c>
      <c r="F90" s="71" t="str">
        <f t="shared" si="2"/>
        <v>versicolor</v>
      </c>
      <c r="G90" s="25" cm="1">
        <f t="array" ref="G90">$V$6*NMultDensity(A90:D90,$V$8:$V$11,$R$8:$U$11)+$V$19*NMultDensity(A90:D90,$V$21:$V$24,$R$21:$U$24)+$V$32*NMultDensity(A90:D90,$V$34:$V$37,$R$34:$U$37)</f>
        <v>0.61844029496968322</v>
      </c>
      <c r="H90" s="25" cm="1">
        <f t="array" ref="H90">$V$6*NMultDensity(A90:D90,$V$8:$V$11,$R$8:$U$11)/G90</f>
        <v>9.6059392943220329E-62</v>
      </c>
      <c r="I90" s="25" cm="1">
        <f t="array" ref="I90">$V$19*NMultDensity(A90:D90,$V$21:$V$24,$R$21:$U$24)/G90</f>
        <v>0.99959931009006142</v>
      </c>
      <c r="J90" s="39" cm="1">
        <f t="array" ref="J90">$V$32*NMultDensity(A90:D90,$V$34:$V$37,$R$34:$U$37)/G90</f>
        <v>4.0068990993868898E-4</v>
      </c>
      <c r="K90" s="71" t="str">
        <f t="shared" si="3"/>
        <v>versicolor</v>
      </c>
      <c r="L90" s="25" cm="1">
        <f t="array" ref="L90">$V$6*NMultDensity(C90:D90,$V$10:$V$11,$T$10:$U$11)+$V$19*NMultDensity(C90:D90,$V$23:$V$24,$T$23:$U$24)+$V$32*NMultDensity(C90:D90,$V$36:$V$37,$T$36:$U$37)</f>
        <v>0.85487446487713792</v>
      </c>
      <c r="M90" s="25" cm="1">
        <f t="array" ref="M90">$V$6*NMultDensity(C90:D90,$V$10:$V$11,$T$10:$U$11)/L90</f>
        <v>8.2376256596236545E-57</v>
      </c>
      <c r="N90" s="25" cm="1">
        <f t="array" ref="N90">$V$19*NMultDensity(C90:D90,$V$23:$V$24,$T$23:$U$24)/L90</f>
        <v>0.99618150009188222</v>
      </c>
      <c r="O90" s="43" cm="1">
        <f t="array" ref="O90">$V$32*NMultDensity(C90:D90,$V$36:$V$37,$T$36:$U$37)/L90</f>
        <v>3.8184999081177034E-3</v>
      </c>
      <c r="P90" s="39"/>
      <c r="Q90" s="39"/>
      <c r="R90" s="39"/>
    </row>
    <row r="91" spans="1:18" x14ac:dyDescent="0.25">
      <c r="A91" s="25">
        <v>5.5</v>
      </c>
      <c r="B91" s="25">
        <v>2.5</v>
      </c>
      <c r="C91" s="25">
        <v>4</v>
      </c>
      <c r="D91" s="25">
        <v>1.3</v>
      </c>
      <c r="E91" s="50" t="s">
        <v>6</v>
      </c>
      <c r="F91" s="71" t="str">
        <f t="shared" si="2"/>
        <v>versicolor</v>
      </c>
      <c r="G91" s="25" cm="1">
        <f t="array" ref="G91">$V$6*NMultDensity(A91:D91,$V$8:$V$11,$R$8:$U$11)+$V$19*NMultDensity(A91:D91,$V$21:$V$24,$R$21:$U$24)+$V$32*NMultDensity(A91:D91,$V$34:$V$37,$R$34:$U$37)</f>
        <v>0.86281197718953673</v>
      </c>
      <c r="H91" s="25" cm="1">
        <f t="array" ref="H91">$V$6*NMultDensity(A91:D91,$V$8:$V$11,$R$8:$U$11)/G91</f>
        <v>5.1245154484039086E-62</v>
      </c>
      <c r="I91" s="25" cm="1">
        <f t="array" ref="I91">$V$19*NMultDensity(A91:D91,$V$21:$V$24,$R$21:$U$24)/G91</f>
        <v>0.99820661615606232</v>
      </c>
      <c r="J91" s="39" cm="1">
        <f t="array" ref="J91">$V$32*NMultDensity(A91:D91,$V$34:$V$37,$R$34:$U$37)/G91</f>
        <v>1.7933838439376595E-3</v>
      </c>
      <c r="K91" s="71" t="str">
        <f t="shared" si="3"/>
        <v>versicolor</v>
      </c>
      <c r="L91" s="25" cm="1">
        <f t="array" ref="L91">$V$6*NMultDensity(C91:D91,$V$10:$V$11,$T$10:$U$11)+$V$19*NMultDensity(C91:D91,$V$23:$V$24,$T$23:$U$24)+$V$32*NMultDensity(C91:D91,$V$36:$V$37,$T$36:$U$37)</f>
        <v>0.70524254632692873</v>
      </c>
      <c r="M91" s="25" cm="1">
        <f t="array" ref="M91">$V$6*NMultDensity(C91:D91,$V$10:$V$11,$T$10:$U$11)/L91</f>
        <v>1.7975192909140874E-53</v>
      </c>
      <c r="N91" s="25" cm="1">
        <f t="array" ref="N91">$V$19*NMultDensity(C91:D91,$V$23:$V$24,$T$23:$U$24)/L91</f>
        <v>0.9968285281466075</v>
      </c>
      <c r="O91" s="43" cm="1">
        <f t="array" ref="O91">$V$32*NMultDensity(C91:D91,$V$36:$V$37,$T$36:$U$37)/L91</f>
        <v>3.1714718533925055E-3</v>
      </c>
      <c r="P91" s="39"/>
      <c r="Q91" s="39"/>
      <c r="R91" s="39"/>
    </row>
    <row r="92" spans="1:18" x14ac:dyDescent="0.25">
      <c r="A92" s="25">
        <v>5.5</v>
      </c>
      <c r="B92" s="25">
        <v>2.6</v>
      </c>
      <c r="C92" s="25">
        <v>4.4000000000000004</v>
      </c>
      <c r="D92" s="25">
        <v>1.2</v>
      </c>
      <c r="E92" s="50" t="s">
        <v>6</v>
      </c>
      <c r="F92" s="71" t="str">
        <f t="shared" si="2"/>
        <v>versicolor</v>
      </c>
      <c r="G92" s="25" cm="1">
        <f t="array" ref="G92">$V$6*NMultDensity(A92:D92,$V$8:$V$11,$R$8:$U$11)+$V$19*NMultDensity(A92:D92,$V$21:$V$24,$R$21:$U$24)+$V$32*NMultDensity(A92:D92,$V$34:$V$37,$R$34:$U$37)</f>
        <v>0.13595809029462413</v>
      </c>
      <c r="H92" s="25" cm="1">
        <f t="array" ref="H92">$V$6*NMultDensity(A92:D92,$V$8:$V$11,$R$8:$U$11)/G92</f>
        <v>1.0989173285920192E-72</v>
      </c>
      <c r="I92" s="25" cm="1">
        <f t="array" ref="I92">$V$19*NMultDensity(A92:D92,$V$21:$V$24,$R$21:$U$24)/G92</f>
        <v>0.96754884210576397</v>
      </c>
      <c r="J92" s="39" cm="1">
        <f t="array" ref="J92">$V$32*NMultDensity(A92:D92,$V$34:$V$37,$R$34:$U$37)/G92</f>
        <v>3.2451157894235964E-2</v>
      </c>
      <c r="K92" s="71" t="str">
        <f t="shared" si="3"/>
        <v>versicolor</v>
      </c>
      <c r="L92" s="25" cm="1">
        <f t="array" ref="L92">$V$6*NMultDensity(C92:D92,$V$10:$V$11,$T$10:$U$11)+$V$19*NMultDensity(C92:D92,$V$23:$V$24,$T$23:$U$24)+$V$32*NMultDensity(C92:D92,$V$36:$V$37,$T$36:$U$37)</f>
        <v>0.32998747656344812</v>
      </c>
      <c r="M92" s="25" cm="1">
        <f t="array" ref="M92">$V$6*NMultDensity(C92:D92,$V$10:$V$11,$T$10:$U$11)/L92</f>
        <v>2.5464915363537315E-65</v>
      </c>
      <c r="N92" s="25" cm="1">
        <f t="array" ref="N92">$V$19*NMultDensity(C92:D92,$V$23:$V$24,$T$23:$U$24)/L92</f>
        <v>0.98970652267189096</v>
      </c>
      <c r="O92" s="43" cm="1">
        <f t="array" ref="O92">$V$32*NMultDensity(C92:D92,$V$36:$V$37,$T$36:$U$37)/L92</f>
        <v>1.0293477328109072E-2</v>
      </c>
      <c r="P92" s="39"/>
      <c r="Q92" s="39"/>
      <c r="R92" s="39"/>
    </row>
    <row r="93" spans="1:18" x14ac:dyDescent="0.25">
      <c r="A93" s="25">
        <v>6.1</v>
      </c>
      <c r="B93" s="25">
        <v>3</v>
      </c>
      <c r="C93" s="25">
        <v>4.5999999999999996</v>
      </c>
      <c r="D93" s="25">
        <v>1.4</v>
      </c>
      <c r="E93" s="50" t="s">
        <v>6</v>
      </c>
      <c r="F93" s="71" t="str">
        <f t="shared" si="2"/>
        <v>versicolor</v>
      </c>
      <c r="G93" s="25" cm="1">
        <f t="array" ref="G93">$V$6*NMultDensity(A93:D93,$V$8:$V$11,$R$8:$U$11)+$V$19*NMultDensity(A93:D93,$V$21:$V$24,$R$21:$U$24)+$V$32*NMultDensity(A93:D93,$V$34:$V$37,$R$34:$U$37)</f>
        <v>1.0209458819305692</v>
      </c>
      <c r="H93" s="25" cm="1">
        <f t="array" ref="H93">$V$6*NMultDensity(A93:D93,$V$8:$V$11,$R$8:$U$11)/G93</f>
        <v>2.0819496263385494E-84</v>
      </c>
      <c r="I93" s="25" cm="1">
        <f t="array" ref="I93">$V$19*NMultDensity(A93:D93,$V$21:$V$24,$R$21:$U$24)/G93</f>
        <v>0.99486024829819786</v>
      </c>
      <c r="J93" s="39" cm="1">
        <f t="array" ref="J93">$V$32*NMultDensity(A93:D93,$V$34:$V$37,$R$34:$U$37)/G93</f>
        <v>5.1397517018021109E-3</v>
      </c>
      <c r="K93" s="71" t="str">
        <f t="shared" si="3"/>
        <v>versicolor</v>
      </c>
      <c r="L93" s="25" cm="1">
        <f t="array" ref="L93">$V$6*NMultDensity(C93:D93,$V$10:$V$11,$T$10:$U$11)+$V$19*NMultDensity(C93:D93,$V$23:$V$24,$T$23:$U$24)+$V$32*NMultDensity(C93:D93,$V$36:$V$37,$T$36:$U$37)</f>
        <v>0.70419298477005632</v>
      </c>
      <c r="M93" s="25" cm="1">
        <f t="array" ref="M93">$V$6*NMultDensity(C93:D93,$V$10:$V$11,$T$10:$U$11)/L93</f>
        <v>1.6619022747328699E-77</v>
      </c>
      <c r="N93" s="25" cm="1">
        <f t="array" ref="N93">$V$19*NMultDensity(C93:D93,$V$23:$V$24,$T$23:$U$24)/L93</f>
        <v>0.96156997991932769</v>
      </c>
      <c r="O93" s="43" cm="1">
        <f t="array" ref="O93">$V$32*NMultDensity(C93:D93,$V$36:$V$37,$T$36:$U$37)/L93</f>
        <v>3.8430020080672381E-2</v>
      </c>
      <c r="P93" s="39"/>
      <c r="Q93" s="39"/>
      <c r="R93" s="39"/>
    </row>
    <row r="94" spans="1:18" x14ac:dyDescent="0.25">
      <c r="A94" s="25">
        <v>5.8</v>
      </c>
      <c r="B94" s="25">
        <v>2.6</v>
      </c>
      <c r="C94" s="25">
        <v>4</v>
      </c>
      <c r="D94" s="25">
        <v>1.2</v>
      </c>
      <c r="E94" s="50" t="s">
        <v>6</v>
      </c>
      <c r="F94" s="71" t="str">
        <f t="shared" si="2"/>
        <v>versicolor</v>
      </c>
      <c r="G94" s="25" cm="1">
        <f t="array" ref="G94">$V$6*NMultDensity(A94:D94,$V$8:$V$11,$R$8:$U$11)+$V$19*NMultDensity(A94:D94,$V$21:$V$24,$R$21:$U$24)+$V$32*NMultDensity(A94:D94,$V$34:$V$37,$R$34:$U$37)</f>
        <v>1.5129400223221958</v>
      </c>
      <c r="H94" s="25" cm="1">
        <f t="array" ref="H94">$V$6*NMultDensity(A94:D94,$V$8:$V$11,$R$8:$U$11)/G94</f>
        <v>1.1851491373968799E-59</v>
      </c>
      <c r="I94" s="25" cm="1">
        <f t="array" ref="I94">$V$19*NMultDensity(A94:D94,$V$21:$V$24,$R$21:$U$24)/G94</f>
        <v>0.99993111227397091</v>
      </c>
      <c r="J94" s="39" cm="1">
        <f t="array" ref="J94">$V$32*NMultDensity(A94:D94,$V$34:$V$37,$R$34:$U$37)/G94</f>
        <v>6.8887726029018989E-5</v>
      </c>
      <c r="K94" s="71" t="str">
        <f t="shared" si="3"/>
        <v>versicolor</v>
      </c>
      <c r="L94" s="25" cm="1">
        <f t="array" ref="L94">$V$6*NMultDensity(C94:D94,$V$10:$V$11,$T$10:$U$11)+$V$19*NMultDensity(C94:D94,$V$23:$V$24,$T$23:$U$24)+$V$32*NMultDensity(C94:D94,$V$36:$V$37,$T$36:$U$37)</f>
        <v>0.7531868890346386</v>
      </c>
      <c r="M94" s="25" cm="1">
        <f t="array" ref="M94">$V$6*NMultDensity(C94:D94,$V$10:$V$11,$T$10:$U$11)/L94</f>
        <v>2.4729339552132314E-51</v>
      </c>
      <c r="N94" s="25" cm="1">
        <f t="array" ref="N94">$V$19*NMultDensity(C94:D94,$V$23:$V$24,$T$23:$U$24)/L94</f>
        <v>0.99863850117664343</v>
      </c>
      <c r="O94" s="43" cm="1">
        <f t="array" ref="O94">$V$32*NMultDensity(C94:D94,$V$36:$V$37,$T$36:$U$37)/L94</f>
        <v>1.3614988233565559E-3</v>
      </c>
      <c r="P94" s="39"/>
      <c r="Q94" s="39"/>
      <c r="R94" s="39"/>
    </row>
    <row r="95" spans="1:18" x14ac:dyDescent="0.25">
      <c r="A95" s="25">
        <v>5</v>
      </c>
      <c r="B95" s="25">
        <v>2.2999999999999998</v>
      </c>
      <c r="C95" s="25">
        <v>3.3</v>
      </c>
      <c r="D95" s="25">
        <v>1</v>
      </c>
      <c r="E95" s="50" t="s">
        <v>6</v>
      </c>
      <c r="F95" s="71" t="str">
        <f t="shared" si="2"/>
        <v>versicolor</v>
      </c>
      <c r="G95" s="25" cm="1">
        <f t="array" ref="G95">$V$6*NMultDensity(A95:D95,$V$8:$V$11,$R$8:$U$11)+$V$19*NMultDensity(A95:D95,$V$21:$V$24,$R$21:$U$24)+$V$32*NMultDensity(A95:D95,$V$34:$V$37,$R$34:$U$37)</f>
        <v>0.20713711923180633</v>
      </c>
      <c r="H95" s="25" cm="1">
        <f t="array" ref="H95">$V$6*NMultDensity(A95:D95,$V$8:$V$11,$R$8:$U$11)/G95</f>
        <v>1.2856989714326621E-34</v>
      </c>
      <c r="I95" s="25" cm="1">
        <f t="array" ref="I95">$V$19*NMultDensity(A95:D95,$V$21:$V$24,$R$21:$U$24)/G95</f>
        <v>0.99999359138663635</v>
      </c>
      <c r="J95" s="39" cm="1">
        <f t="array" ref="J95">$V$32*NMultDensity(A95:D95,$V$34:$V$37,$R$34:$U$37)/G95</f>
        <v>6.4086133636908166E-6</v>
      </c>
      <c r="K95" s="71" t="str">
        <f t="shared" si="3"/>
        <v>versicolor</v>
      </c>
      <c r="L95" s="25" cm="1">
        <f t="array" ref="L95">$V$6*NMultDensity(C95:D95,$V$10:$V$11,$T$10:$U$11)+$V$19*NMultDensity(C95:D95,$V$23:$V$24,$T$23:$U$24)+$V$32*NMultDensity(C95:D95,$V$36:$V$37,$T$36:$U$37)</f>
        <v>0.11449050527279699</v>
      </c>
      <c r="M95" s="25" cm="1">
        <f t="array" ref="M95">$V$6*NMultDensity(C95:D95,$V$10:$V$11,$T$10:$U$11)/L95</f>
        <v>2.1936935161959292E-27</v>
      </c>
      <c r="N95" s="25" cm="1">
        <f t="array" ref="N95">$V$19*NMultDensity(C95:D95,$V$23:$V$24,$T$23:$U$24)/L95</f>
        <v>0.99994947638290044</v>
      </c>
      <c r="O95" s="43" cm="1">
        <f t="array" ref="O95">$V$32*NMultDensity(C95:D95,$V$36:$V$37,$T$36:$U$37)/L95</f>
        <v>5.0523617099564161E-5</v>
      </c>
      <c r="P95" s="39"/>
      <c r="Q95" s="39"/>
      <c r="R95" s="39"/>
    </row>
    <row r="96" spans="1:18" x14ac:dyDescent="0.25">
      <c r="A96" s="25">
        <v>5.6</v>
      </c>
      <c r="B96" s="25">
        <v>2.7</v>
      </c>
      <c r="C96" s="25">
        <v>4.2</v>
      </c>
      <c r="D96" s="25">
        <v>1.3</v>
      </c>
      <c r="E96" s="50" t="s">
        <v>6</v>
      </c>
      <c r="F96" s="71" t="str">
        <f t="shared" si="2"/>
        <v>versicolor</v>
      </c>
      <c r="G96" s="25" cm="1">
        <f t="array" ref="G96">$V$6*NMultDensity(A96:D96,$V$8:$V$11,$R$8:$U$11)+$V$19*NMultDensity(A96:D96,$V$21:$V$24,$R$21:$U$24)+$V$32*NMultDensity(A96:D96,$V$34:$V$37,$R$34:$U$37)</f>
        <v>1.3336970319364732</v>
      </c>
      <c r="H96" s="25" cm="1">
        <f t="array" ref="H96">$V$6*NMultDensity(A96:D96,$V$8:$V$11,$R$8:$U$11)/G96</f>
        <v>1.1340849402347679E-67</v>
      </c>
      <c r="I96" s="25" cm="1">
        <f t="array" ref="I96">$V$19*NMultDensity(A96:D96,$V$21:$V$24,$R$21:$U$24)/G96</f>
        <v>0.99768694355854859</v>
      </c>
      <c r="J96" s="39" cm="1">
        <f t="array" ref="J96">$V$32*NMultDensity(A96:D96,$V$34:$V$37,$R$34:$U$37)/G96</f>
        <v>2.3130564414512987E-3</v>
      </c>
      <c r="K96" s="71" t="str">
        <f t="shared" si="3"/>
        <v>versicolor</v>
      </c>
      <c r="L96" s="25" cm="1">
        <f t="array" ref="L96">$V$6*NMultDensity(C96:D96,$V$10:$V$11,$T$10:$U$11)+$V$19*NMultDensity(C96:D96,$V$23:$V$24,$T$23:$U$24)+$V$32*NMultDensity(C96:D96,$V$36:$V$37,$T$36:$U$37)</f>
        <v>0.92064927773489091</v>
      </c>
      <c r="M96" s="25" cm="1">
        <f t="array" ref="M96">$V$6*NMultDensity(C96:D96,$V$10:$V$11,$T$10:$U$11)/L96</f>
        <v>2.9275737104571102E-60</v>
      </c>
      <c r="N96" s="25" cm="1">
        <f t="array" ref="N96">$V$19*NMultDensity(C96:D96,$V$23:$V$24,$T$23:$U$24)/L96</f>
        <v>0.99501129737471594</v>
      </c>
      <c r="O96" s="43" cm="1">
        <f t="array" ref="O96">$V$32*NMultDensity(C96:D96,$V$36:$V$37,$T$36:$U$37)/L96</f>
        <v>4.9887026252840774E-3</v>
      </c>
      <c r="P96" s="39"/>
      <c r="Q96" s="39"/>
      <c r="R96" s="39"/>
    </row>
    <row r="97" spans="1:18" x14ac:dyDescent="0.25">
      <c r="A97" s="25">
        <v>5.7</v>
      </c>
      <c r="B97" s="25">
        <v>3</v>
      </c>
      <c r="C97" s="25">
        <v>4.2</v>
      </c>
      <c r="D97" s="25">
        <v>1.2</v>
      </c>
      <c r="E97" s="50" t="s">
        <v>6</v>
      </c>
      <c r="F97" s="71" t="str">
        <f t="shared" si="2"/>
        <v>versicolor</v>
      </c>
      <c r="G97" s="25" cm="1">
        <f t="array" ref="G97">$V$6*NMultDensity(A97:D97,$V$8:$V$11,$R$8:$U$11)+$V$19*NMultDensity(A97:D97,$V$21:$V$24,$R$21:$U$24)+$V$32*NMultDensity(A97:D97,$V$34:$V$37,$R$34:$U$37)</f>
        <v>0.23413236889054212</v>
      </c>
      <c r="H97" s="25" cm="1">
        <f t="array" ref="H97">$V$6*NMultDensity(A97:D97,$V$8:$V$11,$R$8:$U$11)/G97</f>
        <v>1.6413776605529763E-62</v>
      </c>
      <c r="I97" s="25" cm="1">
        <f t="array" ref="I97">$V$19*NMultDensity(A97:D97,$V$21:$V$24,$R$21:$U$24)/G97</f>
        <v>0.99953651016258316</v>
      </c>
      <c r="J97" s="39" cm="1">
        <f t="array" ref="J97">$V$32*NMultDensity(A97:D97,$V$34:$V$37,$R$34:$U$37)/G97</f>
        <v>4.6348983741687112E-4</v>
      </c>
      <c r="K97" s="71" t="str">
        <f t="shared" si="3"/>
        <v>versicolor</v>
      </c>
      <c r="L97" s="25" cm="1">
        <f t="array" ref="L97">$V$6*NMultDensity(C97:D97,$V$10:$V$11,$T$10:$U$11)+$V$19*NMultDensity(C97:D97,$V$23:$V$24,$T$23:$U$24)+$V$32*NMultDensity(C97:D97,$V$36:$V$37,$T$36:$U$37)</f>
        <v>0.63058502042599185</v>
      </c>
      <c r="M97" s="25" cm="1">
        <f t="array" ref="M97">$V$6*NMultDensity(C97:D97,$V$10:$V$11,$T$10:$U$11)/L97</f>
        <v>4.1794889559992995E-58</v>
      </c>
      <c r="N97" s="25" cm="1">
        <f t="array" ref="N97">$V$19*NMultDensity(C97:D97,$V$23:$V$24,$T$23:$U$24)/L97</f>
        <v>0.99681533126245014</v>
      </c>
      <c r="O97" s="43" cm="1">
        <f t="array" ref="O97">$V$32*NMultDensity(C97:D97,$V$36:$V$37,$T$36:$U$37)/L97</f>
        <v>3.1846687375497525E-3</v>
      </c>
      <c r="P97" s="39"/>
      <c r="Q97" s="39"/>
      <c r="R97" s="39"/>
    </row>
    <row r="98" spans="1:18" x14ac:dyDescent="0.25">
      <c r="A98" s="25">
        <v>5.7</v>
      </c>
      <c r="B98" s="25">
        <v>2.9</v>
      </c>
      <c r="C98" s="25">
        <v>4.2</v>
      </c>
      <c r="D98" s="25">
        <v>1.3</v>
      </c>
      <c r="E98" s="50" t="s">
        <v>6</v>
      </c>
      <c r="F98" s="71" t="str">
        <f t="shared" si="2"/>
        <v>versicolor</v>
      </c>
      <c r="G98" s="25" cm="1">
        <f t="array" ref="G98">$V$6*NMultDensity(A98:D98,$V$8:$V$11,$R$8:$U$11)+$V$19*NMultDensity(A98:D98,$V$21:$V$24,$R$21:$U$24)+$V$32*NMultDensity(A98:D98,$V$34:$V$37,$R$34:$U$37)</f>
        <v>1.1384984879710789</v>
      </c>
      <c r="H98" s="25" cm="1">
        <f t="array" ref="H98">$V$6*NMultDensity(A98:D98,$V$8:$V$11,$R$8:$U$11)/G98</f>
        <v>3.0240098485551252E-66</v>
      </c>
      <c r="I98" s="25" cm="1">
        <f t="array" ref="I98">$V$19*NMultDensity(A98:D98,$V$21:$V$24,$R$21:$U$24)/G98</f>
        <v>0.99927737886975965</v>
      </c>
      <c r="J98" s="39" cm="1">
        <f t="array" ref="J98">$V$32*NMultDensity(A98:D98,$V$34:$V$37,$R$34:$U$37)/G98</f>
        <v>7.2262113024040462E-4</v>
      </c>
      <c r="K98" s="71" t="str">
        <f t="shared" si="3"/>
        <v>versicolor</v>
      </c>
      <c r="L98" s="25" cm="1">
        <f t="array" ref="L98">$V$6*NMultDensity(C98:D98,$V$10:$V$11,$T$10:$U$11)+$V$19*NMultDensity(C98:D98,$V$23:$V$24,$T$23:$U$24)+$V$32*NMultDensity(C98:D98,$V$36:$V$37,$T$36:$U$37)</f>
        <v>0.92064927773489091</v>
      </c>
      <c r="M98" s="25" cm="1">
        <f t="array" ref="M98">$V$6*NMultDensity(C98:D98,$V$10:$V$11,$T$10:$U$11)/L98</f>
        <v>2.9275737104571102E-60</v>
      </c>
      <c r="N98" s="25" cm="1">
        <f t="array" ref="N98">$V$19*NMultDensity(C98:D98,$V$23:$V$24,$T$23:$U$24)/L98</f>
        <v>0.99501129737471594</v>
      </c>
      <c r="O98" s="43" cm="1">
        <f t="array" ref="O98">$V$32*NMultDensity(C98:D98,$V$36:$V$37,$T$36:$U$37)/L98</f>
        <v>4.9887026252840774E-3</v>
      </c>
      <c r="P98" s="39"/>
      <c r="Q98" s="39"/>
      <c r="R98" s="39"/>
    </row>
    <row r="99" spans="1:18" x14ac:dyDescent="0.25">
      <c r="A99" s="25">
        <v>6.2</v>
      </c>
      <c r="B99" s="25">
        <v>2.9</v>
      </c>
      <c r="C99" s="25">
        <v>4.3</v>
      </c>
      <c r="D99" s="25">
        <v>1.3</v>
      </c>
      <c r="E99" s="50" t="s">
        <v>6</v>
      </c>
      <c r="F99" s="71" t="str">
        <f t="shared" si="2"/>
        <v>versicolor</v>
      </c>
      <c r="G99" s="25" cm="1">
        <f t="array" ref="G99">$V$6*NMultDensity(A99:D99,$V$8:$V$11,$R$8:$U$11)+$V$19*NMultDensity(A99:D99,$V$21:$V$24,$R$21:$U$24)+$V$32*NMultDensity(A99:D99,$V$34:$V$37,$R$34:$U$37)</f>
        <v>1.3186780039833685</v>
      </c>
      <c r="H99" s="25" cm="1">
        <f t="array" ref="H99">$V$6*NMultDensity(A99:D99,$V$8:$V$11,$R$8:$U$11)/G99</f>
        <v>1.8399732372251502E-71</v>
      </c>
      <c r="I99" s="25" cm="1">
        <f t="array" ref="I99">$V$19*NMultDensity(A99:D99,$V$21:$V$24,$R$21:$U$24)/G99</f>
        <v>0.99988547155255481</v>
      </c>
      <c r="J99" s="39" cm="1">
        <f t="array" ref="J99">$V$32*NMultDensity(A99:D99,$V$34:$V$37,$R$34:$U$37)/G99</f>
        <v>1.1452844744522789E-4</v>
      </c>
      <c r="K99" s="71" t="str">
        <f t="shared" si="3"/>
        <v>versicolor</v>
      </c>
      <c r="L99" s="25" cm="1">
        <f t="array" ref="L99">$V$6*NMultDensity(C99:D99,$V$10:$V$11,$T$10:$U$11)+$V$19*NMultDensity(C99:D99,$V$23:$V$24,$T$23:$U$24)+$V$32*NMultDensity(C99:D99,$V$36:$V$37,$T$36:$U$37)</f>
        <v>0.88121980755948492</v>
      </c>
      <c r="M99" s="25" cm="1">
        <f t="array" ref="M99">$V$6*NMultDensity(C99:D99,$V$10:$V$11,$T$10:$U$11)/L99</f>
        <v>8.0653048627338102E-64</v>
      </c>
      <c r="N99" s="25" cm="1">
        <f t="array" ref="N99">$V$19*NMultDensity(C99:D99,$V$23:$V$24,$T$23:$U$24)/L99</f>
        <v>0.99293071927990773</v>
      </c>
      <c r="O99" s="43" cm="1">
        <f t="array" ref="O99">$V$32*NMultDensity(C99:D99,$V$36:$V$37,$T$36:$U$37)/L99</f>
        <v>7.0692807200922209E-3</v>
      </c>
      <c r="P99" s="39"/>
      <c r="Q99" s="39"/>
      <c r="R99" s="39"/>
    </row>
    <row r="100" spans="1:18" x14ac:dyDescent="0.25">
      <c r="A100" s="25">
        <v>5.0999999999999996</v>
      </c>
      <c r="B100" s="25">
        <v>2.5</v>
      </c>
      <c r="C100" s="25">
        <v>3</v>
      </c>
      <c r="D100" s="25">
        <v>1.1000000000000001</v>
      </c>
      <c r="E100" s="50" t="s">
        <v>6</v>
      </c>
      <c r="F100" s="71" t="str">
        <f t="shared" si="2"/>
        <v>versicolor</v>
      </c>
      <c r="G100" s="25" cm="1">
        <f t="array" ref="G100">$V$6*NMultDensity(A100:D100,$V$8:$V$11,$R$8:$U$11)+$V$19*NMultDensity(A100:D100,$V$21:$V$24,$R$21:$U$24)+$V$32*NMultDensity(A100:D100,$V$34:$V$37,$R$34:$U$37)</f>
        <v>1.1303999297617872E-2</v>
      </c>
      <c r="H100" s="25" cm="1">
        <f t="array" ref="H100">$V$6*NMultDensity(A100:D100,$V$8:$V$11,$R$8:$U$11)/G100</f>
        <v>5.0385849461050988E-28</v>
      </c>
      <c r="I100" s="25" cm="1">
        <f t="array" ref="I100">$V$19*NMultDensity(A100:D100,$V$21:$V$24,$R$21:$U$24)/G100</f>
        <v>0.99999881755012343</v>
      </c>
      <c r="J100" s="39" cm="1">
        <f t="array" ref="J100">$V$32*NMultDensity(A100:D100,$V$34:$V$37,$R$34:$U$37)/G100</f>
        <v>1.182449876506107E-6</v>
      </c>
      <c r="K100" s="71" t="str">
        <f t="shared" si="3"/>
        <v>versicolor</v>
      </c>
      <c r="L100" s="25" cm="1">
        <f t="array" ref="L100">$V$6*NMultDensity(C100:D100,$V$10:$V$11,$T$10:$U$11)+$V$19*NMultDensity(C100:D100,$V$23:$V$24,$T$23:$U$24)+$V$32*NMultDensity(C100:D100,$V$36:$V$37,$T$36:$U$37)</f>
        <v>7.4598248874794947E-3</v>
      </c>
      <c r="M100" s="25" cm="1">
        <f t="array" ref="M100">$V$6*NMultDensity(C100:D100,$V$10:$V$11,$T$10:$U$11)/L100</f>
        <v>3.5308790382384646E-22</v>
      </c>
      <c r="N100" s="25" cm="1">
        <f t="array" ref="N100">$V$19*NMultDensity(C100:D100,$V$23:$V$24,$T$23:$U$24)/L100</f>
        <v>0.99973437858592895</v>
      </c>
      <c r="O100" s="43" cm="1">
        <f t="array" ref="O100">$V$32*NMultDensity(C100:D100,$V$36:$V$37,$T$36:$U$37)/L100</f>
        <v>2.6562141407098064E-4</v>
      </c>
      <c r="P100" s="39"/>
      <c r="Q100" s="39"/>
      <c r="R100" s="39"/>
    </row>
    <row r="101" spans="1:18" x14ac:dyDescent="0.25">
      <c r="A101" s="25">
        <v>5.7</v>
      </c>
      <c r="B101" s="25">
        <v>2.8</v>
      </c>
      <c r="C101" s="25">
        <v>4.0999999999999996</v>
      </c>
      <c r="D101" s="25">
        <v>1.3</v>
      </c>
      <c r="E101" s="50" t="s">
        <v>6</v>
      </c>
      <c r="F101" s="71" t="str">
        <f t="shared" si="2"/>
        <v>versicolor</v>
      </c>
      <c r="G101" s="25" cm="1">
        <f t="array" ref="G101">$V$6*NMultDensity(A101:D101,$V$8:$V$11,$R$8:$U$11)+$V$19*NMultDensity(A101:D101,$V$21:$V$24,$R$21:$U$24)+$V$32*NMultDensity(A101:D101,$V$34:$V$37,$R$34:$U$37)</f>
        <v>1.6064825180784827</v>
      </c>
      <c r="H101" s="25" cm="1">
        <f t="array" ref="H101">$V$6*NMultDensity(A101:D101,$V$8:$V$11,$R$8:$U$11)/G101</f>
        <v>1.3863327357416712E-63</v>
      </c>
      <c r="I101" s="25" cm="1">
        <f t="array" ref="I101">$V$19*NMultDensity(A101:D101,$V$21:$V$24,$R$21:$U$24)/G101</f>
        <v>0.99959153885966201</v>
      </c>
      <c r="J101" s="39" cm="1">
        <f t="array" ref="J101">$V$32*NMultDensity(A101:D101,$V$34:$V$37,$R$34:$U$37)/G101</f>
        <v>4.0846114033798363E-4</v>
      </c>
      <c r="K101" s="71" t="str">
        <f t="shared" si="3"/>
        <v>versicolor</v>
      </c>
      <c r="L101" s="25" cm="1">
        <f t="array" ref="L101">$V$6*NMultDensity(C101:D101,$V$10:$V$11,$T$10:$U$11)+$V$19*NMultDensity(C101:D101,$V$23:$V$24,$T$23:$U$24)+$V$32*NMultDensity(C101:D101,$V$36:$V$37,$T$36:$U$37)</f>
        <v>0.85487446487713792</v>
      </c>
      <c r="M101" s="25" cm="1">
        <f t="array" ref="M101">$V$6*NMultDensity(C101:D101,$V$10:$V$11,$T$10:$U$11)/L101</f>
        <v>8.2376256596236545E-57</v>
      </c>
      <c r="N101" s="25" cm="1">
        <f t="array" ref="N101">$V$19*NMultDensity(C101:D101,$V$23:$V$24,$T$23:$U$24)/L101</f>
        <v>0.99618150009188222</v>
      </c>
      <c r="O101" s="43" cm="1">
        <f t="array" ref="O101">$V$32*NMultDensity(C101:D101,$V$36:$V$37,$T$36:$U$37)/L101</f>
        <v>3.8184999081177034E-3</v>
      </c>
      <c r="P101" s="39"/>
      <c r="Q101" s="39"/>
      <c r="R101" s="39"/>
    </row>
    <row r="102" spans="1:18" x14ac:dyDescent="0.25">
      <c r="A102" s="25">
        <v>6.3</v>
      </c>
      <c r="B102" s="25">
        <v>3.3</v>
      </c>
      <c r="C102" s="25">
        <v>6</v>
      </c>
      <c r="D102" s="25">
        <v>2.5</v>
      </c>
      <c r="E102" s="50" t="s">
        <v>7</v>
      </c>
      <c r="F102" s="71" t="str">
        <f t="shared" si="2"/>
        <v>virginica</v>
      </c>
      <c r="G102" s="25" cm="1">
        <f t="array" ref="G102">$V$6*NMultDensity(A102:D102,$V$8:$V$11,$R$8:$U$11)+$V$19*NMultDensity(A102:D102,$V$21:$V$24,$R$21:$U$24)+$V$32*NMultDensity(A102:D102,$V$34:$V$37,$R$34:$U$37)</f>
        <v>1.527933573830627E-2</v>
      </c>
      <c r="H102" s="25" cm="1">
        <f t="array" ref="H102">$V$6*NMultDensity(A102:D102,$V$8:$V$11,$R$8:$U$11)/G102</f>
        <v>1.1087805442253707E-199</v>
      </c>
      <c r="I102" s="25" cm="1">
        <f t="array" ref="I102">$V$19*NMultDensity(A102:D102,$V$21:$V$24,$R$21:$U$24)/G102</f>
        <v>1.9751357212449095E-9</v>
      </c>
      <c r="J102" s="39" cm="1">
        <f t="array" ref="J102">$V$32*NMultDensity(A102:D102,$V$34:$V$37,$R$34:$U$37)/G102</f>
        <v>0.99999999802486428</v>
      </c>
      <c r="K102" s="71" t="str">
        <f t="shared" si="3"/>
        <v>virginica</v>
      </c>
      <c r="L102" s="25" cm="1">
        <f t="array" ref="L102">$V$6*NMultDensity(C102:D102,$V$10:$V$11,$T$10:$U$11)+$V$19*NMultDensity(C102:D102,$V$23:$V$24,$T$23:$U$24)+$V$32*NMultDensity(C102:D102,$V$36:$V$37,$T$36:$U$37)</f>
        <v>0.13666790197172884</v>
      </c>
      <c r="M102" s="25" cm="1">
        <f t="array" ref="M102">$V$6*NMultDensity(C102:D102,$V$10:$V$11,$T$10:$U$11)/L102</f>
        <v>1.162602350959597E-187</v>
      </c>
      <c r="N102" s="25" cm="1">
        <f t="array" ref="N102">$V$19*NMultDensity(C102:D102,$V$23:$V$24,$T$23:$U$24)/L102</f>
        <v>4.4049071877292504E-8</v>
      </c>
      <c r="O102" s="43" cm="1">
        <f t="array" ref="O102">$V$32*NMultDensity(C102:D102,$V$36:$V$37,$T$36:$U$37)/L102</f>
        <v>0.99999995595092817</v>
      </c>
      <c r="P102" s="39"/>
      <c r="Q102" s="39"/>
      <c r="R102" s="39"/>
    </row>
    <row r="103" spans="1:18" x14ac:dyDescent="0.25">
      <c r="A103" s="25">
        <v>5.8</v>
      </c>
      <c r="B103" s="25">
        <v>2.7</v>
      </c>
      <c r="C103" s="25">
        <v>5.0999999999999996</v>
      </c>
      <c r="D103" s="25">
        <v>1.9</v>
      </c>
      <c r="E103" s="50" t="s">
        <v>7</v>
      </c>
      <c r="F103" s="71" t="str">
        <f t="shared" si="2"/>
        <v>virginica</v>
      </c>
      <c r="G103" s="25" cm="1">
        <f t="array" ref="G103">$V$6*NMultDensity(A103:D103,$V$8:$V$11,$R$8:$U$11)+$V$19*NMultDensity(A103:D103,$V$21:$V$24,$R$21:$U$24)+$V$32*NMultDensity(A103:D103,$V$34:$V$37,$R$34:$U$37)</f>
        <v>0.48328061368110264</v>
      </c>
      <c r="H103" s="25" cm="1">
        <f t="array" ref="H103">$V$6*NMultDensity(A103:D103,$V$8:$V$11,$R$8:$U$11)/G103</f>
        <v>1.0860880053077985E-126</v>
      </c>
      <c r="I103" s="25" cm="1">
        <f t="array" ref="I103">$V$19*NMultDensity(A103:D103,$V$21:$V$24,$R$21:$U$24)/G103</f>
        <v>2.6841215380544732E-4</v>
      </c>
      <c r="J103" s="39" cm="1">
        <f t="array" ref="J103">$V$32*NMultDensity(A103:D103,$V$34:$V$37,$R$34:$U$37)/G103</f>
        <v>0.99973158784619465</v>
      </c>
      <c r="K103" s="71" t="str">
        <f t="shared" si="3"/>
        <v>virginica</v>
      </c>
      <c r="L103" s="25" cm="1">
        <f t="array" ref="L103">$V$6*NMultDensity(C103:D103,$V$10:$V$11,$T$10:$U$11)+$V$19*NMultDensity(C103:D103,$V$23:$V$24,$T$23:$U$24)+$V$32*NMultDensity(C103:D103,$V$36:$V$37,$T$36:$U$37)</f>
        <v>0.44990200196318475</v>
      </c>
      <c r="M103" s="25" cm="1">
        <f t="array" ref="M103">$V$6*NMultDensity(C103:D103,$V$10:$V$11,$T$10:$U$11)/L103</f>
        <v>2.2349813131060306E-114</v>
      </c>
      <c r="N103" s="25" cm="1">
        <f t="array" ref="N103">$V$19*NMultDensity(C103:D103,$V$23:$V$24,$T$23:$U$24)/L103</f>
        <v>2.2046088611883573E-2</v>
      </c>
      <c r="O103" s="43" cm="1">
        <f t="array" ref="O103">$V$32*NMultDensity(C103:D103,$V$36:$V$37,$T$36:$U$37)/L103</f>
        <v>0.97795391138811649</v>
      </c>
      <c r="P103" s="39"/>
      <c r="Q103" s="39"/>
      <c r="R103" s="39"/>
    </row>
    <row r="104" spans="1:18" x14ac:dyDescent="0.25">
      <c r="A104" s="25">
        <v>7.1</v>
      </c>
      <c r="B104" s="25">
        <v>3</v>
      </c>
      <c r="C104" s="25">
        <v>5.9</v>
      </c>
      <c r="D104" s="25">
        <v>2.1</v>
      </c>
      <c r="E104" s="50" t="s">
        <v>7</v>
      </c>
      <c r="F104" s="71" t="str">
        <f t="shared" si="2"/>
        <v>virginica</v>
      </c>
      <c r="G104" s="25" cm="1">
        <f t="array" ref="G104">$V$6*NMultDensity(A104:D104,$V$8:$V$11,$R$8:$U$11)+$V$19*NMultDensity(A104:D104,$V$21:$V$24,$R$21:$U$24)+$V$32*NMultDensity(A104:D104,$V$34:$V$37,$R$34:$U$37)</f>
        <v>0.82130070783319553</v>
      </c>
      <c r="H104" s="25" cm="1">
        <f t="array" ref="H104">$V$6*NMultDensity(A104:D104,$V$8:$V$11,$R$8:$U$11)/G104</f>
        <v>2.2026661183357689E-178</v>
      </c>
      <c r="I104" s="25" cm="1">
        <f t="array" ref="I104">$V$19*NMultDensity(A104:D104,$V$21:$V$24,$R$21:$U$24)/G104</f>
        <v>3.1830406679818122E-5</v>
      </c>
      <c r="J104" s="39" cm="1">
        <f t="array" ref="J104">$V$32*NMultDensity(A104:D104,$V$34:$V$37,$R$34:$U$37)/G104</f>
        <v>0.99996816959332013</v>
      </c>
      <c r="K104" s="71" t="str">
        <f t="shared" si="3"/>
        <v>virginica</v>
      </c>
      <c r="L104" s="25" cm="1">
        <f t="array" ref="L104">$V$6*NMultDensity(C104:D104,$V$10:$V$11,$T$10:$U$11)+$V$19*NMultDensity(C104:D104,$V$23:$V$24,$T$23:$U$24)+$V$32*NMultDensity(C104:D104,$V$36:$V$37,$T$36:$U$37)</f>
        <v>0.51426830089026454</v>
      </c>
      <c r="M104" s="25" cm="1">
        <f t="array" ref="M104">$V$6*NMultDensity(C104:D104,$V$10:$V$11,$T$10:$U$11)/L104</f>
        <v>1.4454125360794274E-162</v>
      </c>
      <c r="N104" s="25" cm="1">
        <f t="array" ref="N104">$V$19*NMultDensity(C104:D104,$V$23:$V$24,$T$23:$U$24)/L104</f>
        <v>6.7927499945870222E-4</v>
      </c>
      <c r="O104" s="43" cm="1">
        <f t="array" ref="O104">$V$32*NMultDensity(C104:D104,$V$36:$V$37,$T$36:$U$37)/L104</f>
        <v>0.99932072500054137</v>
      </c>
      <c r="P104" s="39"/>
      <c r="Q104" s="39"/>
      <c r="R104" s="39"/>
    </row>
    <row r="105" spans="1:18" x14ac:dyDescent="0.25">
      <c r="A105" s="25">
        <v>6.3</v>
      </c>
      <c r="B105" s="25">
        <v>2.9</v>
      </c>
      <c r="C105" s="25">
        <v>5.6</v>
      </c>
      <c r="D105" s="25">
        <v>1.8</v>
      </c>
      <c r="E105" s="50" t="s">
        <v>7</v>
      </c>
      <c r="F105" s="71" t="str">
        <f t="shared" si="2"/>
        <v>virginica</v>
      </c>
      <c r="G105" s="25" cm="1">
        <f t="array" ref="G105">$V$6*NMultDensity(A105:D105,$V$8:$V$11,$R$8:$U$11)+$V$19*NMultDensity(A105:D105,$V$21:$V$24,$R$21:$U$24)+$V$32*NMultDensity(A105:D105,$V$34:$V$37,$R$34:$U$37)</f>
        <v>0.43542548362380412</v>
      </c>
      <c r="H105" s="25" cm="1">
        <f t="array" ref="H105">$V$6*NMultDensity(A105:D105,$V$8:$V$11,$R$8:$U$11)/G105</f>
        <v>2.1419261396918283E-146</v>
      </c>
      <c r="I105" s="25" cm="1">
        <f t="array" ref="I105">$V$19*NMultDensity(A105:D105,$V$21:$V$24,$R$21:$U$24)/G105</f>
        <v>3.444954392589481E-3</v>
      </c>
      <c r="J105" s="39" cm="1">
        <f t="array" ref="J105">$V$32*NMultDensity(A105:D105,$V$34:$V$37,$R$34:$U$37)/G105</f>
        <v>0.99655504560741048</v>
      </c>
      <c r="K105" s="71" t="str">
        <f t="shared" si="3"/>
        <v>virginica</v>
      </c>
      <c r="L105" s="25" cm="1">
        <f t="array" ref="L105">$V$6*NMultDensity(C105:D105,$V$10:$V$11,$T$10:$U$11)+$V$19*NMultDensity(C105:D105,$V$23:$V$24,$T$23:$U$24)+$V$32*NMultDensity(C105:D105,$V$36:$V$37,$T$36:$U$37)</f>
        <v>0.43343738618097016</v>
      </c>
      <c r="M105" s="25" cm="1">
        <f t="array" ref="M105">$V$6*NMultDensity(C105:D105,$V$10:$V$11,$T$10:$U$11)/L105</f>
        <v>4.105920263102901E-135</v>
      </c>
      <c r="N105" s="25" cm="1">
        <f t="array" ref="N105">$V$19*NMultDensity(C105:D105,$V$23:$V$24,$T$23:$U$24)/L105</f>
        <v>3.547050690754816E-2</v>
      </c>
      <c r="O105" s="43" cm="1">
        <f t="array" ref="O105">$V$32*NMultDensity(C105:D105,$V$36:$V$37,$T$36:$U$37)/L105</f>
        <v>0.96452949309245184</v>
      </c>
      <c r="P105" s="39"/>
      <c r="Q105" s="39"/>
      <c r="R105" s="39"/>
    </row>
    <row r="106" spans="1:18" x14ac:dyDescent="0.25">
      <c r="A106" s="25">
        <v>6.5</v>
      </c>
      <c r="B106" s="25">
        <v>3</v>
      </c>
      <c r="C106" s="25">
        <v>5.8</v>
      </c>
      <c r="D106" s="25">
        <v>2.2000000000000002</v>
      </c>
      <c r="E106" s="50" t="s">
        <v>7</v>
      </c>
      <c r="F106" s="71" t="str">
        <f t="shared" si="2"/>
        <v>virginica</v>
      </c>
      <c r="G106" s="25" cm="1">
        <f t="array" ref="G106">$V$6*NMultDensity(A106:D106,$V$8:$V$11,$R$8:$U$11)+$V$19*NMultDensity(A106:D106,$V$21:$V$24,$R$21:$U$24)+$V$32*NMultDensity(A106:D106,$V$34:$V$37,$R$34:$U$37)</f>
        <v>0.56384605641508534</v>
      </c>
      <c r="H106" s="25" cm="1">
        <f t="array" ref="H106">$V$6*NMultDensity(A106:D106,$V$8:$V$11,$R$8:$U$11)/G106</f>
        <v>5.5885380604811947E-175</v>
      </c>
      <c r="I106" s="25" cm="1">
        <f t="array" ref="I106">$V$19*NMultDensity(A106:D106,$V$21:$V$24,$R$21:$U$24)/G106</f>
        <v>1.5347742121994273E-6</v>
      </c>
      <c r="J106" s="39" cm="1">
        <f t="array" ref="J106">$V$32*NMultDensity(A106:D106,$V$34:$V$37,$R$34:$U$37)/G106</f>
        <v>0.99999846522578784</v>
      </c>
      <c r="K106" s="71" t="str">
        <f t="shared" si="3"/>
        <v>virginica</v>
      </c>
      <c r="L106" s="25" cm="1">
        <f t="array" ref="L106">$V$6*NMultDensity(C106:D106,$V$10:$V$11,$T$10:$U$11)+$V$19*NMultDensity(C106:D106,$V$23:$V$24,$T$23:$U$24)+$V$32*NMultDensity(C106:D106,$V$36:$V$37,$T$36:$U$37)</f>
        <v>0.49728886179414761</v>
      </c>
      <c r="M106" s="25" cm="1">
        <f t="array" ref="M106">$V$6*NMultDensity(C106:D106,$V$10:$V$11,$T$10:$U$11)/L106</f>
        <v>1.2735793502479505E-161</v>
      </c>
      <c r="N106" s="25" cm="1">
        <f t="array" ref="N106">$V$19*NMultDensity(C106:D106,$V$23:$V$24,$T$23:$U$24)/L106</f>
        <v>1.0117671641865936E-4</v>
      </c>
      <c r="O106" s="43" cm="1">
        <f t="array" ref="O106">$V$32*NMultDensity(C106:D106,$V$36:$V$37,$T$36:$U$37)/L106</f>
        <v>0.99989882328358137</v>
      </c>
      <c r="P106" s="39"/>
      <c r="Q106" s="39"/>
      <c r="R106" s="39"/>
    </row>
    <row r="107" spans="1:18" x14ac:dyDescent="0.25">
      <c r="A107" s="25">
        <v>7.6</v>
      </c>
      <c r="B107" s="25">
        <v>3</v>
      </c>
      <c r="C107" s="25">
        <v>6.6</v>
      </c>
      <c r="D107" s="25">
        <v>2.1</v>
      </c>
      <c r="E107" s="50" t="s">
        <v>7</v>
      </c>
      <c r="F107" s="71" t="str">
        <f t="shared" si="2"/>
        <v>virginica</v>
      </c>
      <c r="G107" s="25" cm="1">
        <f t="array" ref="G107">$V$6*NMultDensity(A107:D107,$V$8:$V$11,$R$8:$U$11)+$V$19*NMultDensity(A107:D107,$V$21:$V$24,$R$21:$U$24)+$V$32*NMultDensity(A107:D107,$V$34:$V$37,$R$34:$U$37)</f>
        <v>0.15523804199976807</v>
      </c>
      <c r="H107" s="25" cm="1">
        <f t="array" ref="H107">$V$6*NMultDensity(A107:D107,$V$8:$V$11,$R$8:$U$11)/G107</f>
        <v>7.7857892797946974E-225</v>
      </c>
      <c r="I107" s="25" cm="1">
        <f t="array" ref="I107">$V$19*NMultDensity(A107:D107,$V$21:$V$24,$R$21:$U$24)/G107</f>
        <v>1.1414130519027842E-6</v>
      </c>
      <c r="J107" s="39" cm="1">
        <f t="array" ref="J107">$V$32*NMultDensity(A107:D107,$V$34:$V$37,$R$34:$U$37)/G107</f>
        <v>0.99999885858694815</v>
      </c>
      <c r="K107" s="71" t="str">
        <f t="shared" si="3"/>
        <v>virginica</v>
      </c>
      <c r="L107" s="25" cm="1">
        <f t="array" ref="L107">$V$6*NMultDensity(C107:D107,$V$10:$V$11,$T$10:$U$11)+$V$19*NMultDensity(C107:D107,$V$23:$V$24,$T$23:$U$24)+$V$32*NMultDensity(C107:D107,$V$36:$V$37,$T$36:$U$37)</f>
        <v>9.7036480824003901E-2</v>
      </c>
      <c r="M107" s="25" cm="1">
        <f t="array" ref="M107">$V$6*NMultDensity(C107:D107,$V$10:$V$11,$T$10:$U$11)/L107</f>
        <v>1.3557790972700139E-204</v>
      </c>
      <c r="N107" s="25" cm="1">
        <f t="array" ref="N107">$V$19*NMultDensity(C107:D107,$V$23:$V$24,$T$23:$U$24)/L107</f>
        <v>3.9305395810918855E-5</v>
      </c>
      <c r="O107" s="43" cm="1">
        <f t="array" ref="O107">$V$32*NMultDensity(C107:D107,$V$36:$V$37,$T$36:$U$37)/L107</f>
        <v>0.99996069460418902</v>
      </c>
      <c r="P107" s="39"/>
      <c r="Q107" s="39"/>
      <c r="R107" s="39"/>
    </row>
    <row r="108" spans="1:18" x14ac:dyDescent="0.25">
      <c r="A108" s="25">
        <v>4.9000000000000004</v>
      </c>
      <c r="B108" s="25">
        <v>2.5</v>
      </c>
      <c r="C108" s="25">
        <v>4.5</v>
      </c>
      <c r="D108" s="25">
        <v>1.7</v>
      </c>
      <c r="E108" s="50" t="s">
        <v>7</v>
      </c>
      <c r="F108" s="71" t="str">
        <f t="shared" si="2"/>
        <v>virginica</v>
      </c>
      <c r="G108" s="25" cm="1">
        <f t="array" ref="G108">$V$6*NMultDensity(A108:D108,$V$8:$V$11,$R$8:$U$11)+$V$19*NMultDensity(A108:D108,$V$21:$V$24,$R$21:$U$24)+$V$32*NMultDensity(A108:D108,$V$34:$V$37,$R$34:$U$37)</f>
        <v>2.2935304919533422E-2</v>
      </c>
      <c r="H108" s="25" cm="1">
        <f t="array" ref="H108">$V$6*NMultDensity(A108:D108,$V$8:$V$11,$R$8:$U$11)/G108</f>
        <v>4.3763220420737592E-94</v>
      </c>
      <c r="I108" s="25" cm="1">
        <f t="array" ref="I108">$V$19*NMultDensity(A108:D108,$V$21:$V$24,$R$21:$U$24)/G108</f>
        <v>2.2849438830970215E-3</v>
      </c>
      <c r="J108" s="39" cm="1">
        <f t="array" ref="J108">$V$32*NMultDensity(A108:D108,$V$34:$V$37,$R$34:$U$37)/G108</f>
        <v>0.99771505611690292</v>
      </c>
      <c r="K108" s="71" t="str">
        <f t="shared" si="3"/>
        <v>virginica</v>
      </c>
      <c r="L108" s="25" cm="1">
        <f t="array" ref="L108">$V$6*NMultDensity(C108:D108,$V$10:$V$11,$T$10:$U$11)+$V$19*NMultDensity(C108:D108,$V$23:$V$24,$T$23:$U$24)+$V$32*NMultDensity(C108:D108,$V$36:$V$37,$T$36:$U$37)</f>
        <v>0.1292699437737368</v>
      </c>
      <c r="M108" s="25" cm="1">
        <f t="array" ref="M108">$V$6*NMultDensity(C108:D108,$V$10:$V$11,$T$10:$U$11)/L108</f>
        <v>6.3590532220873833E-82</v>
      </c>
      <c r="N108" s="25" cm="1">
        <f t="array" ref="N108">$V$19*NMultDensity(C108:D108,$V$23:$V$24,$T$23:$U$24)/L108</f>
        <v>0.34194081712379493</v>
      </c>
      <c r="O108" s="43" cm="1">
        <f t="array" ref="O108">$V$32*NMultDensity(C108:D108,$V$36:$V$37,$T$36:$U$37)/L108</f>
        <v>0.65805918287620513</v>
      </c>
      <c r="P108" s="39"/>
      <c r="Q108" s="39"/>
      <c r="R108" s="39"/>
    </row>
    <row r="109" spans="1:18" x14ac:dyDescent="0.25">
      <c r="A109" s="25">
        <v>7.3</v>
      </c>
      <c r="B109" s="25">
        <v>2.9</v>
      </c>
      <c r="C109" s="25">
        <v>6.3</v>
      </c>
      <c r="D109" s="25">
        <v>1.8</v>
      </c>
      <c r="E109" s="50" t="s">
        <v>7</v>
      </c>
      <c r="F109" s="71" t="str">
        <f t="shared" si="2"/>
        <v>virginica</v>
      </c>
      <c r="G109" s="25" cm="1">
        <f t="array" ref="G109">$V$6*NMultDensity(A109:D109,$V$8:$V$11,$R$8:$U$11)+$V$19*NMultDensity(A109:D109,$V$21:$V$24,$R$21:$U$24)+$V$32*NMultDensity(A109:D109,$V$34:$V$37,$R$34:$U$37)</f>
        <v>0.19903483689961554</v>
      </c>
      <c r="H109" s="25" cm="1">
        <f t="array" ref="H109">$V$6*NMultDensity(A109:D109,$V$8:$V$11,$R$8:$U$11)/G109</f>
        <v>1.8280006479939223E-193</v>
      </c>
      <c r="I109" s="25" cm="1">
        <f t="array" ref="I109">$V$19*NMultDensity(A109:D109,$V$21:$V$24,$R$21:$U$24)/G109</f>
        <v>2.6076026819089012E-5</v>
      </c>
      <c r="J109" s="39" cm="1">
        <f t="array" ref="J109">$V$32*NMultDensity(A109:D109,$V$34:$V$37,$R$34:$U$37)/G109</f>
        <v>0.99997392397318086</v>
      </c>
      <c r="K109" s="71" t="str">
        <f t="shared" si="3"/>
        <v>virginica</v>
      </c>
      <c r="L109" s="25" cm="1">
        <f t="array" ref="L109">$V$6*NMultDensity(C109:D109,$V$10:$V$11,$T$10:$U$11)+$V$19*NMultDensity(C109:D109,$V$23:$V$24,$T$23:$U$24)+$V$32*NMultDensity(C109:D109,$V$36:$V$37,$T$36:$U$37)</f>
        <v>0.10356019656082603</v>
      </c>
      <c r="M109" s="25" cm="1">
        <f t="array" ref="M109">$V$6*NMultDensity(C109:D109,$V$10:$V$11,$T$10:$U$11)/L109</f>
        <v>1.0567471577275747E-175</v>
      </c>
      <c r="N109" s="25" cm="1">
        <f t="array" ref="N109">$V$19*NMultDensity(C109:D109,$V$23:$V$24,$T$23:$U$24)/L109</f>
        <v>1.8524410479475216E-4</v>
      </c>
      <c r="O109" s="43" cm="1">
        <f t="array" ref="O109">$V$32*NMultDensity(C109:D109,$V$36:$V$37,$T$36:$U$37)/L109</f>
        <v>0.9998147558952053</v>
      </c>
      <c r="P109" s="39"/>
      <c r="Q109" s="39"/>
      <c r="R109" s="39"/>
    </row>
    <row r="110" spans="1:18" x14ac:dyDescent="0.25">
      <c r="A110" s="25">
        <v>6.7</v>
      </c>
      <c r="B110" s="25">
        <v>2.5</v>
      </c>
      <c r="C110" s="25">
        <v>5.8</v>
      </c>
      <c r="D110" s="25">
        <v>1.8</v>
      </c>
      <c r="E110" s="50" t="s">
        <v>7</v>
      </c>
      <c r="F110" s="71" t="str">
        <f t="shared" si="2"/>
        <v>virginica</v>
      </c>
      <c r="G110" s="25" cm="1">
        <f t="array" ref="G110">$V$6*NMultDensity(A110:D110,$V$8:$V$11,$R$8:$U$11)+$V$19*NMultDensity(A110:D110,$V$21:$V$24,$R$21:$U$24)+$V$32*NMultDensity(A110:D110,$V$34:$V$37,$R$34:$U$37)</f>
        <v>0.21812374234120083</v>
      </c>
      <c r="H110" s="25" cm="1">
        <f t="array" ref="H110">$V$6*NMultDensity(A110:D110,$V$8:$V$11,$R$8:$U$11)/G110</f>
        <v>4.0815087555919675E-164</v>
      </c>
      <c r="I110" s="25" cm="1">
        <f t="array" ref="I110">$V$19*NMultDensity(A110:D110,$V$21:$V$24,$R$21:$U$24)/G110</f>
        <v>7.6310294854645033E-5</v>
      </c>
      <c r="J110" s="39" cm="1">
        <f t="array" ref="J110">$V$32*NMultDensity(A110:D110,$V$34:$V$37,$R$34:$U$37)/G110</f>
        <v>0.99992368970514545</v>
      </c>
      <c r="K110" s="71" t="str">
        <f t="shared" si="3"/>
        <v>virginica</v>
      </c>
      <c r="L110" s="25" cm="1">
        <f t="array" ref="L110">$V$6*NMultDensity(C110:D110,$V$10:$V$11,$T$10:$U$11)+$V$19*NMultDensity(C110:D110,$V$23:$V$24,$T$23:$U$24)+$V$32*NMultDensity(C110:D110,$V$36:$V$37,$T$36:$U$37)</f>
        <v>0.3411046234298637</v>
      </c>
      <c r="M110" s="25" cm="1">
        <f t="array" ref="M110">$V$6*NMultDensity(C110:D110,$V$10:$V$11,$T$10:$U$11)/L110</f>
        <v>5.6467922749634013E-146</v>
      </c>
      <c r="N110" s="25" cm="1">
        <f t="array" ref="N110">$V$19*NMultDensity(C110:D110,$V$23:$V$24,$T$23:$U$24)/L110</f>
        <v>1.2084678016958656E-2</v>
      </c>
      <c r="O110" s="43" cm="1">
        <f t="array" ref="O110">$V$32*NMultDensity(C110:D110,$V$36:$V$37,$T$36:$U$37)/L110</f>
        <v>0.98791532198304133</v>
      </c>
      <c r="P110" s="39"/>
      <c r="Q110" s="39"/>
      <c r="R110" s="39"/>
    </row>
    <row r="111" spans="1:18" x14ac:dyDescent="0.25">
      <c r="A111" s="25">
        <v>7.2</v>
      </c>
      <c r="B111" s="25">
        <v>3.6</v>
      </c>
      <c r="C111" s="25">
        <v>6.1</v>
      </c>
      <c r="D111" s="25">
        <v>2.5</v>
      </c>
      <c r="E111" s="50" t="s">
        <v>7</v>
      </c>
      <c r="F111" s="71" t="str">
        <f t="shared" si="2"/>
        <v>virginica</v>
      </c>
      <c r="G111" s="25" cm="1">
        <f t="array" ref="G111">$V$6*NMultDensity(A111:D111,$V$8:$V$11,$R$8:$U$11)+$V$19*NMultDensity(A111:D111,$V$21:$V$24,$R$21:$U$24)+$V$32*NMultDensity(A111:D111,$V$34:$V$37,$R$34:$U$37)</f>
        <v>0.13471685540103875</v>
      </c>
      <c r="H111" s="25" cm="1">
        <f t="array" ref="H111">$V$6*NMultDensity(A111:D111,$V$8:$V$11,$R$8:$U$11)/G111</f>
        <v>4.6551698749238212E-204</v>
      </c>
      <c r="I111" s="25" cm="1">
        <f t="array" ref="I111">$V$19*NMultDensity(A111:D111,$V$21:$V$24,$R$21:$U$24)/G111</f>
        <v>3.8690478338374837E-8</v>
      </c>
      <c r="J111" s="39" cm="1">
        <f t="array" ref="J111">$V$32*NMultDensity(A111:D111,$V$34:$V$37,$R$34:$U$37)/G111</f>
        <v>0.99999996130952173</v>
      </c>
      <c r="K111" s="71" t="str">
        <f t="shared" si="3"/>
        <v>virginica</v>
      </c>
      <c r="L111" s="25" cm="1">
        <f t="array" ref="L111">$V$6*NMultDensity(C111:D111,$V$10:$V$11,$T$10:$U$11)+$V$19*NMultDensity(C111:D111,$V$23:$V$24,$T$23:$U$24)+$V$32*NMultDensity(C111:D111,$V$36:$V$37,$T$36:$U$37)</f>
        <v>0.12742321792694308</v>
      </c>
      <c r="M111" s="25" cm="1">
        <f t="array" ref="M111">$V$6*NMultDensity(C111:D111,$V$10:$V$11,$T$10:$U$11)/L111</f>
        <v>4.6310403117042738E-193</v>
      </c>
      <c r="N111" s="25" cm="1">
        <f t="array" ref="N111">$V$19*NMultDensity(C111:D111,$V$23:$V$24,$T$23:$U$24)/L111</f>
        <v>7.6405304053123795E-8</v>
      </c>
      <c r="O111" s="43" cm="1">
        <f t="array" ref="O111">$V$32*NMultDensity(C111:D111,$V$36:$V$37,$T$36:$U$37)/L111</f>
        <v>0.99999992359469592</v>
      </c>
      <c r="P111" s="39"/>
      <c r="Q111" s="39"/>
      <c r="R111" s="39"/>
    </row>
    <row r="112" spans="1:18" x14ac:dyDescent="0.25">
      <c r="A112" s="25">
        <v>6.5</v>
      </c>
      <c r="B112" s="25">
        <v>3.2</v>
      </c>
      <c r="C112" s="25">
        <v>5.0999999999999996</v>
      </c>
      <c r="D112" s="25">
        <v>2</v>
      </c>
      <c r="E112" s="50" t="s">
        <v>7</v>
      </c>
      <c r="F112" s="71" t="str">
        <f t="shared" si="2"/>
        <v>virginica</v>
      </c>
      <c r="G112" s="25" cm="1">
        <f t="array" ref="G112">$V$6*NMultDensity(A112:D112,$V$8:$V$11,$R$8:$U$11)+$V$19*NMultDensity(A112:D112,$V$21:$V$24,$R$21:$U$24)+$V$32*NMultDensity(A112:D112,$V$34:$V$37,$R$34:$U$37)</f>
        <v>0.30755558180121917</v>
      </c>
      <c r="H112" s="25" cm="1">
        <f t="array" ref="H112">$V$6*NMultDensity(A112:D112,$V$8:$V$11,$R$8:$U$11)/G112</f>
        <v>1.1766290507574851E-127</v>
      </c>
      <c r="I112" s="25" cm="1">
        <f t="array" ref="I112">$V$19*NMultDensity(A112:D112,$V$21:$V$24,$R$21:$U$24)/G112</f>
        <v>3.5686605801704772E-3</v>
      </c>
      <c r="J112" s="39" cm="1">
        <f t="array" ref="J112">$V$32*NMultDensity(A112:D112,$V$34:$V$37,$R$34:$U$37)/G112</f>
        <v>0.99643133941982964</v>
      </c>
      <c r="K112" s="71" t="str">
        <f t="shared" si="3"/>
        <v>virginica</v>
      </c>
      <c r="L112" s="25" cm="1">
        <f t="array" ref="L112">$V$6*NMultDensity(C112:D112,$V$10:$V$11,$T$10:$U$11)+$V$19*NMultDensity(C112:D112,$V$23:$V$24,$T$23:$U$24)+$V$32*NMultDensity(C112:D112,$V$36:$V$37,$T$36:$U$37)</f>
        <v>0.44327110795936359</v>
      </c>
      <c r="M112" s="25" cm="1">
        <f t="array" ref="M112">$V$6*NMultDensity(C112:D112,$V$10:$V$11,$T$10:$U$11)/L112</f>
        <v>1.2181608853252124E-118</v>
      </c>
      <c r="N112" s="25" cm="1">
        <f t="array" ref="N112">$V$19*NMultDensity(C112:D112,$V$23:$V$24,$T$23:$U$24)/L112</f>
        <v>2.1973496071439331E-3</v>
      </c>
      <c r="O112" s="43" cm="1">
        <f t="array" ref="O112">$V$32*NMultDensity(C112:D112,$V$36:$V$37,$T$36:$U$37)/L112</f>
        <v>0.99780265039285609</v>
      </c>
      <c r="P112" s="39"/>
      <c r="Q112" s="39"/>
      <c r="R112" s="39"/>
    </row>
    <row r="113" spans="1:18" x14ac:dyDescent="0.25">
      <c r="A113" s="25">
        <v>6.4</v>
      </c>
      <c r="B113" s="25">
        <v>2.7</v>
      </c>
      <c r="C113" s="25">
        <v>5.3</v>
      </c>
      <c r="D113" s="25">
        <v>1.9</v>
      </c>
      <c r="E113" s="50" t="s">
        <v>7</v>
      </c>
      <c r="F113" s="71" t="str">
        <f t="shared" si="2"/>
        <v>virginica</v>
      </c>
      <c r="G113" s="25" cm="1">
        <f t="array" ref="G113">$V$6*NMultDensity(A113:D113,$V$8:$V$11,$R$8:$U$11)+$V$19*NMultDensity(A113:D113,$V$21:$V$24,$R$21:$U$24)+$V$32*NMultDensity(A113:D113,$V$34:$V$37,$R$34:$U$37)</f>
        <v>0.79949085217236282</v>
      </c>
      <c r="H113" s="25" cm="1">
        <f t="array" ref="H113">$V$6*NMultDensity(A113:D113,$V$8:$V$11,$R$8:$U$11)/G113</f>
        <v>9.7811223097928188E-138</v>
      </c>
      <c r="I113" s="25" cm="1">
        <f t="array" ref="I113">$V$19*NMultDensity(A113:D113,$V$21:$V$24,$R$21:$U$24)/G113</f>
        <v>5.5950877817952322E-4</v>
      </c>
      <c r="J113" s="39" cm="1">
        <f t="array" ref="J113">$V$32*NMultDensity(A113:D113,$V$34:$V$37,$R$34:$U$37)/G113</f>
        <v>0.99944049122182055</v>
      </c>
      <c r="K113" s="71" t="str">
        <f t="shared" si="3"/>
        <v>virginica</v>
      </c>
      <c r="L113" s="25" cm="1">
        <f t="array" ref="L113">$V$6*NMultDensity(C113:D113,$V$10:$V$11,$T$10:$U$11)+$V$19*NMultDensity(C113:D113,$V$23:$V$24,$T$23:$U$24)+$V$32*NMultDensity(C113:D113,$V$36:$V$37,$T$36:$U$37)</f>
        <v>0.5500027314509649</v>
      </c>
      <c r="M113" s="25" cm="1">
        <f t="array" ref="M113">$V$6*NMultDensity(C113:D113,$V$10:$V$11,$T$10:$U$11)/L113</f>
        <v>1.233572529839262E-123</v>
      </c>
      <c r="N113" s="25" cm="1">
        <f t="array" ref="N113">$V$19*NMultDensity(C113:D113,$V$23:$V$24,$T$23:$U$24)/L113</f>
        <v>2.4736254570534331E-2</v>
      </c>
      <c r="O113" s="43" cm="1">
        <f t="array" ref="O113">$V$32*NMultDensity(C113:D113,$V$36:$V$37,$T$36:$U$37)/L113</f>
        <v>0.97526374542946559</v>
      </c>
      <c r="P113" s="39"/>
      <c r="Q113" s="39"/>
      <c r="R113" s="39"/>
    </row>
    <row r="114" spans="1:18" x14ac:dyDescent="0.25">
      <c r="A114" s="25">
        <v>6.8</v>
      </c>
      <c r="B114" s="25">
        <v>3</v>
      </c>
      <c r="C114" s="25">
        <v>5.5</v>
      </c>
      <c r="D114" s="25">
        <v>2.1</v>
      </c>
      <c r="E114" s="50" t="s">
        <v>7</v>
      </c>
      <c r="F114" s="71" t="str">
        <f t="shared" si="2"/>
        <v>virginica</v>
      </c>
      <c r="G114" s="25" cm="1">
        <f t="array" ref="G114">$V$6*NMultDensity(A114:D114,$V$8:$V$11,$R$8:$U$11)+$V$19*NMultDensity(A114:D114,$V$21:$V$24,$R$21:$U$24)+$V$32*NMultDensity(A114:D114,$V$34:$V$37,$R$34:$U$37)</f>
        <v>0.81443142549677905</v>
      </c>
      <c r="H114" s="25" cm="1">
        <f t="array" ref="H114">$V$6*NMultDensity(A114:D114,$V$8:$V$11,$R$8:$U$11)/G114</f>
        <v>2.3265365600683445E-155</v>
      </c>
      <c r="I114" s="25" cm="1">
        <f t="array" ref="I114">$V$19*NMultDensity(A114:D114,$V$21:$V$24,$R$21:$U$24)/G114</f>
        <v>3.7962154078406291E-5</v>
      </c>
      <c r="J114" s="39" cm="1">
        <f t="array" ref="J114">$V$32*NMultDensity(A114:D114,$V$34:$V$37,$R$34:$U$37)/G114</f>
        <v>0.99996203784592153</v>
      </c>
      <c r="K114" s="71" t="str">
        <f t="shared" si="3"/>
        <v>virginica</v>
      </c>
      <c r="L114" s="25" cm="1">
        <f t="array" ref="L114">$V$6*NMultDensity(C114:D114,$V$10:$V$11,$T$10:$U$11)+$V$19*NMultDensity(C114:D114,$V$23:$V$24,$T$23:$U$24)+$V$32*NMultDensity(C114:D114,$V$36:$V$37,$T$36:$U$37)</f>
        <v>0.59544684295692785</v>
      </c>
      <c r="M114" s="25" cm="1">
        <f t="array" ref="M114">$V$6*NMultDensity(C114:D114,$V$10:$V$11,$T$10:$U$11)/L114</f>
        <v>9.2598282393269151E-142</v>
      </c>
      <c r="N114" s="25" cm="1">
        <f t="array" ref="N114">$V$19*NMultDensity(C114:D114,$V$23:$V$24,$T$23:$U$24)/L114</f>
        <v>5.678567020542389E-4</v>
      </c>
      <c r="O114" s="43" cm="1">
        <f t="array" ref="O114">$V$32*NMultDensity(C114:D114,$V$36:$V$37,$T$36:$U$37)/L114</f>
        <v>0.99943214329794583</v>
      </c>
      <c r="P114" s="39"/>
      <c r="Q114" s="39"/>
      <c r="R114" s="39"/>
    </row>
    <row r="115" spans="1:18" x14ac:dyDescent="0.25">
      <c r="A115" s="25">
        <v>5.7</v>
      </c>
      <c r="B115" s="25">
        <v>2.5</v>
      </c>
      <c r="C115" s="25">
        <v>5</v>
      </c>
      <c r="D115" s="25">
        <v>2</v>
      </c>
      <c r="E115" s="50" t="s">
        <v>7</v>
      </c>
      <c r="F115" s="71" t="str">
        <f t="shared" si="2"/>
        <v>virginica</v>
      </c>
      <c r="G115" s="25" cm="1">
        <f t="array" ref="G115">$V$6*NMultDensity(A115:D115,$V$8:$V$11,$R$8:$U$11)+$V$19*NMultDensity(A115:D115,$V$21:$V$24,$R$21:$U$24)+$V$32*NMultDensity(A115:D115,$V$34:$V$37,$R$34:$U$37)</f>
        <v>0.20133760842580245</v>
      </c>
      <c r="H115" s="25" cm="1">
        <f t="array" ref="H115">$V$6*NMultDensity(A115:D115,$V$8:$V$11,$R$8:$U$11)/G115</f>
        <v>1.2253400717371015E-128</v>
      </c>
      <c r="I115" s="25" cm="1">
        <f t="array" ref="I115">$V$19*NMultDensity(A115:D115,$V$21:$V$24,$R$21:$U$24)/G115</f>
        <v>9.2825655251444622E-7</v>
      </c>
      <c r="J115" s="39" cm="1">
        <f t="array" ref="J115">$V$32*NMultDensity(A115:D115,$V$34:$V$37,$R$34:$U$37)/G115</f>
        <v>0.99999907174344749</v>
      </c>
      <c r="K115" s="71" t="str">
        <f t="shared" si="3"/>
        <v>virginica</v>
      </c>
      <c r="L115" s="25" cm="1">
        <f t="array" ref="L115">$V$6*NMultDensity(C115:D115,$V$10:$V$11,$T$10:$U$11)+$V$19*NMultDensity(C115:D115,$V$23:$V$24,$T$23:$U$24)+$V$32*NMultDensity(C115:D115,$V$36:$V$37,$T$36:$U$37)</f>
        <v>0.37083528398481946</v>
      </c>
      <c r="M115" s="25" cm="1">
        <f t="array" ref="M115">$V$6*NMultDensity(C115:D115,$V$10:$V$11,$T$10:$U$11)/L115</f>
        <v>2.6152483879428871E-114</v>
      </c>
      <c r="N115" s="25" cm="1">
        <f t="array" ref="N115">$V$19*NMultDensity(C115:D115,$V$23:$V$24,$T$23:$U$24)/L115</f>
        <v>1.5028105457271931E-3</v>
      </c>
      <c r="O115" s="43" cm="1">
        <f t="array" ref="O115">$V$32*NMultDensity(C115:D115,$V$36:$V$37,$T$36:$U$37)/L115</f>
        <v>0.99849718945427279</v>
      </c>
      <c r="P115" s="39"/>
      <c r="Q115" s="39"/>
      <c r="R115" s="39"/>
    </row>
    <row r="116" spans="1:18" x14ac:dyDescent="0.25">
      <c r="A116" s="25">
        <v>5.8</v>
      </c>
      <c r="B116" s="25">
        <v>2.8</v>
      </c>
      <c r="C116" s="25">
        <v>5.0999999999999996</v>
      </c>
      <c r="D116" s="25">
        <v>2.4</v>
      </c>
      <c r="E116" s="50" t="s">
        <v>7</v>
      </c>
      <c r="F116" s="71" t="str">
        <f t="shared" si="2"/>
        <v>virginica</v>
      </c>
      <c r="G116" s="25" cm="1">
        <f t="array" ref="G116">$V$6*NMultDensity(A116:D116,$V$8:$V$11,$R$8:$U$11)+$V$19*NMultDensity(A116:D116,$V$21:$V$24,$R$21:$U$24)+$V$32*NMultDensity(A116:D116,$V$34:$V$37,$R$34:$U$37)</f>
        <v>7.5293619416540433E-2</v>
      </c>
      <c r="H116" s="25" cm="1">
        <f t="array" ref="H116">$V$6*NMultDensity(A116:D116,$V$8:$V$11,$R$8:$U$11)/G116</f>
        <v>3.6772395180358248E-154</v>
      </c>
      <c r="I116" s="25" cm="1">
        <f t="array" ref="I116">$V$19*NMultDensity(A116:D116,$V$21:$V$24,$R$21:$U$24)/G116</f>
        <v>1.821322605561117E-13</v>
      </c>
      <c r="J116" s="39" cm="1">
        <f t="array" ref="J116">$V$32*NMultDensity(A116:D116,$V$34:$V$37,$R$34:$U$37)/G116</f>
        <v>0.99999999999981792</v>
      </c>
      <c r="K116" s="71" t="str">
        <f t="shared" si="3"/>
        <v>virginica</v>
      </c>
      <c r="L116" s="25" cm="1">
        <f t="array" ref="L116">$V$6*NMultDensity(C116:D116,$V$10:$V$11,$T$10:$U$11)+$V$19*NMultDensity(C116:D116,$V$23:$V$24,$T$23:$U$24)+$V$32*NMultDensity(C116:D116,$V$36:$V$37,$T$36:$U$37)</f>
        <v>0.10290510944093574</v>
      </c>
      <c r="M116" s="25" cm="1">
        <f t="array" ref="M116">$V$6*NMultDensity(C116:D116,$V$10:$V$11,$T$10:$U$11)/L116</f>
        <v>1.763021985728793E-139</v>
      </c>
      <c r="N116" s="25" cm="1">
        <f t="array" ref="N116">$V$19*NMultDensity(C116:D116,$V$23:$V$24,$T$23:$U$24)/L116</f>
        <v>1.0738448239892349E-9</v>
      </c>
      <c r="O116" s="43" cm="1">
        <f t="array" ref="O116">$V$32*NMultDensity(C116:D116,$V$36:$V$37,$T$36:$U$37)/L116</f>
        <v>0.99999999892615521</v>
      </c>
      <c r="P116" s="39"/>
      <c r="Q116" s="39"/>
      <c r="R116" s="39"/>
    </row>
    <row r="117" spans="1:18" x14ac:dyDescent="0.25">
      <c r="A117" s="25">
        <v>6.4</v>
      </c>
      <c r="B117" s="25">
        <v>3.2</v>
      </c>
      <c r="C117" s="25">
        <v>5.3</v>
      </c>
      <c r="D117" s="25">
        <v>2.2999999999999998</v>
      </c>
      <c r="E117" s="50" t="s">
        <v>7</v>
      </c>
      <c r="F117" s="71" t="str">
        <f t="shared" si="2"/>
        <v>virginica</v>
      </c>
      <c r="G117" s="25" cm="1">
        <f t="array" ref="G117">$V$6*NMultDensity(A117:D117,$V$8:$V$11,$R$8:$U$11)+$V$19*NMultDensity(A117:D117,$V$21:$V$24,$R$21:$U$24)+$V$32*NMultDensity(A117:D117,$V$34:$V$37,$R$34:$U$37)</f>
        <v>0.48749983926358875</v>
      </c>
      <c r="H117" s="25" cm="1">
        <f t="array" ref="H117">$V$6*NMultDensity(A117:D117,$V$8:$V$11,$R$8:$U$11)/G117</f>
        <v>1.9171962038815906E-153</v>
      </c>
      <c r="I117" s="25" cm="1">
        <f t="array" ref="I117">$V$19*NMultDensity(A117:D117,$V$21:$V$24,$R$21:$U$24)/G117</f>
        <v>3.8339270996952065E-8</v>
      </c>
      <c r="J117" s="39" cm="1">
        <f t="array" ref="J117">$V$32*NMultDensity(A117:D117,$V$34:$V$37,$R$34:$U$37)/G117</f>
        <v>0.99999996166072902</v>
      </c>
      <c r="K117" s="71" t="str">
        <f t="shared" si="3"/>
        <v>virginica</v>
      </c>
      <c r="L117" s="25" cm="1">
        <f t="array" ref="L117">$V$6*NMultDensity(C117:D117,$V$10:$V$11,$T$10:$U$11)+$V$19*NMultDensity(C117:D117,$V$23:$V$24,$T$23:$U$24)+$V$32*NMultDensity(C117:D117,$V$36:$V$37,$T$36:$U$37)</f>
        <v>0.27261112603716087</v>
      </c>
      <c r="M117" s="25" cm="1">
        <f t="array" ref="M117">$V$6*NMultDensity(C117:D117,$V$10:$V$11,$T$10:$U$11)/L117</f>
        <v>2.4383926032539359E-142</v>
      </c>
      <c r="N117" s="25" cm="1">
        <f t="array" ref="N117">$V$19*NMultDensity(C117:D117,$V$23:$V$24,$T$23:$U$24)/L117</f>
        <v>4.8988661418762415E-7</v>
      </c>
      <c r="O117" s="43" cm="1">
        <f t="array" ref="O117">$V$32*NMultDensity(C117:D117,$V$36:$V$37,$T$36:$U$37)/L117</f>
        <v>0.99999951011338584</v>
      </c>
      <c r="P117" s="39"/>
      <c r="Q117" s="39"/>
      <c r="R117" s="39"/>
    </row>
    <row r="118" spans="1:18" x14ac:dyDescent="0.25">
      <c r="A118" s="25">
        <v>6.5</v>
      </c>
      <c r="B118" s="25">
        <v>3</v>
      </c>
      <c r="C118" s="25">
        <v>5.5</v>
      </c>
      <c r="D118" s="25">
        <v>1.8</v>
      </c>
      <c r="E118" s="50" t="s">
        <v>7</v>
      </c>
      <c r="F118" s="71" t="str">
        <f t="shared" si="2"/>
        <v>virginica</v>
      </c>
      <c r="G118" s="25" cm="1">
        <f t="array" ref="G118">$V$6*NMultDensity(A118:D118,$V$8:$V$11,$R$8:$U$11)+$V$19*NMultDensity(A118:D118,$V$21:$V$24,$R$21:$U$24)+$V$32*NMultDensity(A118:D118,$V$34:$V$37,$R$34:$U$37)</f>
        <v>0.71888207689838579</v>
      </c>
      <c r="H118" s="25" cm="1">
        <f t="array" ref="H118">$V$6*NMultDensity(A118:D118,$V$8:$V$11,$R$8:$U$11)/G118</f>
        <v>8.7960707504226092E-141</v>
      </c>
      <c r="I118" s="25" cm="1">
        <f t="array" ref="I118">$V$19*NMultDensity(A118:D118,$V$21:$V$24,$R$21:$U$24)/G118</f>
        <v>1.9741752115189689E-2</v>
      </c>
      <c r="J118" s="39" cm="1">
        <f t="array" ref="J118">$V$32*NMultDensity(A118:D118,$V$34:$V$37,$R$34:$U$37)/G118</f>
        <v>0.98025824788481031</v>
      </c>
      <c r="K118" s="71" t="str">
        <f t="shared" si="3"/>
        <v>virginica</v>
      </c>
      <c r="L118" s="25" cm="1">
        <f t="array" ref="L118">$V$6*NMultDensity(C118:D118,$V$10:$V$11,$T$10:$U$11)+$V$19*NMultDensity(C118:D118,$V$23:$V$24,$T$23:$U$24)+$V$32*NMultDensity(C118:D118,$V$36:$V$37,$T$36:$U$37)</f>
        <v>0.46559770304507125</v>
      </c>
      <c r="M118" s="25" cm="1">
        <f t="array" ref="M118">$V$6*NMultDensity(C118:D118,$V$10:$V$11,$T$10:$U$11)/L118</f>
        <v>6.6444305978837698E-130</v>
      </c>
      <c r="N118" s="25" cm="1">
        <f t="array" ref="N118">$V$19*NMultDensity(C118:D118,$V$23:$V$24,$T$23:$U$24)/L118</f>
        <v>5.3360244148389073E-2</v>
      </c>
      <c r="O118" s="43" cm="1">
        <f t="array" ref="O118">$V$32*NMultDensity(C118:D118,$V$36:$V$37,$T$36:$U$37)/L118</f>
        <v>0.94663975585161098</v>
      </c>
      <c r="P118" s="39"/>
      <c r="Q118" s="39"/>
      <c r="R118" s="39"/>
    </row>
    <row r="119" spans="1:18" x14ac:dyDescent="0.25">
      <c r="A119" s="25">
        <v>7.7</v>
      </c>
      <c r="B119" s="25">
        <v>3.8</v>
      </c>
      <c r="C119" s="25">
        <v>6.7</v>
      </c>
      <c r="D119" s="25">
        <v>2.2000000000000002</v>
      </c>
      <c r="E119" s="50" t="s">
        <v>7</v>
      </c>
      <c r="F119" s="71" t="str">
        <f t="shared" si="2"/>
        <v>virginica</v>
      </c>
      <c r="G119" s="25" cm="1">
        <f t="array" ref="G119">$V$6*NMultDensity(A119:D119,$V$8:$V$11,$R$8:$U$11)+$V$19*NMultDensity(A119:D119,$V$21:$V$24,$R$21:$U$24)+$V$32*NMultDensity(A119:D119,$V$34:$V$37,$R$34:$U$37)</f>
        <v>1.0888237819653189E-2</v>
      </c>
      <c r="H119" s="25" cm="1">
        <f t="array" ref="H119">$V$6*NMultDensity(A119:D119,$V$8:$V$11,$R$8:$U$11)/G119</f>
        <v>1.9153035495126675E-224</v>
      </c>
      <c r="I119" s="25" cm="1">
        <f t="array" ref="I119">$V$19*NMultDensity(A119:D119,$V$21:$V$24,$R$21:$U$24)/G119</f>
        <v>1.5266961278594121E-4</v>
      </c>
      <c r="J119" s="39" cm="1">
        <f t="array" ref="J119">$V$32*NMultDensity(A119:D119,$V$34:$V$37,$R$34:$U$37)/G119</f>
        <v>0.99984733038721407</v>
      </c>
      <c r="K119" s="71" t="str">
        <f t="shared" si="3"/>
        <v>virginica</v>
      </c>
      <c r="L119" s="25" cm="1">
        <f t="array" ref="L119">$V$6*NMultDensity(C119:D119,$V$10:$V$11,$T$10:$U$11)+$V$19*NMultDensity(C119:D119,$V$23:$V$24,$T$23:$U$24)+$V$32*NMultDensity(C119:D119,$V$36:$V$37,$T$36:$U$37)</f>
        <v>7.2180506047477069E-2</v>
      </c>
      <c r="M119" s="25" cm="1">
        <f t="array" ref="M119">$V$6*NMultDensity(C119:D119,$V$10:$V$11,$T$10:$U$11)/L119</f>
        <v>5.9163865832478361E-215</v>
      </c>
      <c r="N119" s="25" cm="1">
        <f t="array" ref="N119">$V$19*NMultDensity(C119:D119,$V$23:$V$24,$T$23:$U$24)/L119</f>
        <v>1.5453078195957833E-5</v>
      </c>
      <c r="O119" s="43" cm="1">
        <f t="array" ref="O119">$V$32*NMultDensity(C119:D119,$V$36:$V$37,$T$36:$U$37)/L119</f>
        <v>0.99998454692180405</v>
      </c>
      <c r="P119" s="39"/>
      <c r="Q119" s="39"/>
      <c r="R119" s="39"/>
    </row>
    <row r="120" spans="1:18" x14ac:dyDescent="0.25">
      <c r="A120" s="25">
        <v>7.7</v>
      </c>
      <c r="B120" s="25">
        <v>2.6</v>
      </c>
      <c r="C120" s="25">
        <v>6.9</v>
      </c>
      <c r="D120" s="25">
        <v>2.2999999999999998</v>
      </c>
      <c r="E120" s="50" t="s">
        <v>7</v>
      </c>
      <c r="F120" s="71" t="str">
        <f t="shared" si="2"/>
        <v>virginica</v>
      </c>
      <c r="G120" s="25" cm="1">
        <f t="array" ref="G120">$V$6*NMultDensity(A120:D120,$V$8:$V$11,$R$8:$U$11)+$V$19*NMultDensity(A120:D120,$V$21:$V$24,$R$21:$U$24)+$V$32*NMultDensity(A120:D120,$V$34:$V$37,$R$34:$U$37)</f>
        <v>1.3404416041698586E-3</v>
      </c>
      <c r="H120" s="25" cm="1">
        <f t="array" ref="H120">$V$6*NMultDensity(A120:D120,$V$8:$V$11,$R$8:$U$11)/G120</f>
        <v>3.1883271553551582E-260</v>
      </c>
      <c r="I120" s="25" cm="1">
        <f t="array" ref="I120">$V$19*NMultDensity(A120:D120,$V$21:$V$24,$R$21:$U$24)/G120</f>
        <v>8.4610913550268535E-11</v>
      </c>
      <c r="J120" s="39" cm="1">
        <f t="array" ref="J120">$V$32*NMultDensity(A120:D120,$V$34:$V$37,$R$34:$U$37)/G120</f>
        <v>0.99999999991538913</v>
      </c>
      <c r="K120" s="71" t="str">
        <f t="shared" si="3"/>
        <v>virginica</v>
      </c>
      <c r="L120" s="25" cm="1">
        <f t="array" ref="L120">$V$6*NMultDensity(C120:D120,$V$10:$V$11,$T$10:$U$11)+$V$19*NMultDensity(C120:D120,$V$23:$V$24,$T$23:$U$24)+$V$32*NMultDensity(C120:D120,$V$36:$V$37,$T$36:$U$37)</f>
        <v>3.1050702096504051E-2</v>
      </c>
      <c r="M120" s="25" cm="1">
        <f t="array" ref="M120">$V$6*NMultDensity(C120:D120,$V$10:$V$11,$T$10:$U$11)/L120</f>
        <v>2.1089875991031297E-232</v>
      </c>
      <c r="N120" s="25" cm="1">
        <f t="array" ref="N120">$V$19*NMultDensity(C120:D120,$V$23:$V$24,$T$23:$U$24)/L120</f>
        <v>2.9813252756840046E-6</v>
      </c>
      <c r="O120" s="43" cm="1">
        <f t="array" ref="O120">$V$32*NMultDensity(C120:D120,$V$36:$V$37,$T$36:$U$37)/L120</f>
        <v>0.99999701867472424</v>
      </c>
      <c r="P120" s="39"/>
      <c r="Q120" s="39"/>
      <c r="R120" s="39"/>
    </row>
    <row r="121" spans="1:18" x14ac:dyDescent="0.25">
      <c r="A121" s="25">
        <v>6</v>
      </c>
      <c r="B121" s="25">
        <v>2.2000000000000002</v>
      </c>
      <c r="C121" s="25">
        <v>5</v>
      </c>
      <c r="D121" s="25">
        <v>1.5</v>
      </c>
      <c r="E121" s="50" t="s">
        <v>7</v>
      </c>
      <c r="F121" s="71" t="str">
        <f t="shared" si="2"/>
        <v>virginica</v>
      </c>
      <c r="G121" s="25" cm="1">
        <f t="array" ref="G121">$V$6*NMultDensity(A121:D121,$V$8:$V$11,$R$8:$U$11)+$V$19*NMultDensity(A121:D121,$V$21:$V$24,$R$21:$U$24)+$V$32*NMultDensity(A121:D121,$V$34:$V$37,$R$34:$U$37)</f>
        <v>5.1576516286399927E-2</v>
      </c>
      <c r="H121" s="25" cm="1">
        <f t="array" ref="H121">$V$6*NMultDensity(A121:D121,$V$8:$V$11,$R$8:$U$11)/G121</f>
        <v>7.6800399453863634E-112</v>
      </c>
      <c r="I121" s="25" cm="1">
        <f t="array" ref="I121">$V$19*NMultDensity(A121:D121,$V$21:$V$24,$R$21:$U$24)/G121</f>
        <v>2.4593461727649899E-2</v>
      </c>
      <c r="J121" s="39" cm="1">
        <f t="array" ref="J121">$V$32*NMultDensity(A121:D121,$V$34:$V$37,$R$34:$U$37)/G121</f>
        <v>0.97540653827235013</v>
      </c>
      <c r="K121" s="71" t="str">
        <f t="shared" si="3"/>
        <v>versicolor</v>
      </c>
      <c r="L121" s="25" cm="1">
        <f t="array" ref="L121">$V$6*NMultDensity(C121:D121,$V$10:$V$11,$T$10:$U$11)+$V$19*NMultDensity(C121:D121,$V$23:$V$24,$T$23:$U$24)+$V$32*NMultDensity(C121:D121,$V$36:$V$37,$T$36:$U$37)</f>
        <v>0.31852276988221828</v>
      </c>
      <c r="M121" s="25" cm="1">
        <f t="array" ref="M121">$V$6*NMultDensity(C121:D121,$V$10:$V$11,$T$10:$U$11)/L121</f>
        <v>7.6230696458013499E-97</v>
      </c>
      <c r="N121" s="25" cm="1">
        <f t="array" ref="N121">$V$19*NMultDensity(C121:D121,$V$23:$V$24,$T$23:$U$24)/L121</f>
        <v>0.709532982247985</v>
      </c>
      <c r="O121" s="43" cm="1">
        <f t="array" ref="O121">$V$32*NMultDensity(C121:D121,$V$36:$V$37,$T$36:$U$37)/L121</f>
        <v>0.29046701775201494</v>
      </c>
      <c r="P121" s="39"/>
      <c r="Q121" s="39"/>
      <c r="R121" s="39"/>
    </row>
    <row r="122" spans="1:18" x14ac:dyDescent="0.25">
      <c r="A122" s="25">
        <v>6.9</v>
      </c>
      <c r="B122" s="25">
        <v>3.2</v>
      </c>
      <c r="C122" s="25">
        <v>5.7</v>
      </c>
      <c r="D122" s="25">
        <v>2.2999999999999998</v>
      </c>
      <c r="E122" s="50" t="s">
        <v>7</v>
      </c>
      <c r="F122" s="71" t="str">
        <f t="shared" si="2"/>
        <v>virginica</v>
      </c>
      <c r="G122" s="25" cm="1">
        <f t="array" ref="G122">$V$6*NMultDensity(A122:D122,$V$8:$V$11,$R$8:$U$11)+$V$19*NMultDensity(A122:D122,$V$21:$V$24,$R$21:$U$24)+$V$32*NMultDensity(A122:D122,$V$34:$V$37,$R$34:$U$37)</f>
        <v>0.66183948921760616</v>
      </c>
      <c r="H122" s="25" cm="1">
        <f t="array" ref="H122">$V$6*NMultDensity(A122:D122,$V$8:$V$11,$R$8:$U$11)/G122</f>
        <v>2.3857818721592311E-174</v>
      </c>
      <c r="I122" s="25" cm="1">
        <f t="array" ref="I122">$V$19*NMultDensity(A122:D122,$V$21:$V$24,$R$21:$U$24)/G122</f>
        <v>3.049965973826397E-7</v>
      </c>
      <c r="J122" s="39" cm="1">
        <f t="array" ref="J122">$V$32*NMultDensity(A122:D122,$V$34:$V$37,$R$34:$U$37)/G122</f>
        <v>0.99999969500340258</v>
      </c>
      <c r="K122" s="71" t="str">
        <f t="shared" si="3"/>
        <v>virginica</v>
      </c>
      <c r="L122" s="25" cm="1">
        <f t="array" ref="L122">$V$6*NMultDensity(C122:D122,$V$10:$V$11,$T$10:$U$11)+$V$19*NMultDensity(C122:D122,$V$23:$V$24,$T$23:$U$24)+$V$32*NMultDensity(C122:D122,$V$36:$V$37,$T$36:$U$37)</f>
        <v>0.38150029410255426</v>
      </c>
      <c r="M122" s="25" cm="1">
        <f t="array" ref="M122">$V$6*NMultDensity(C122:D122,$V$10:$V$11,$T$10:$U$11)/L122</f>
        <v>2.3583001951371176E-161</v>
      </c>
      <c r="N122" s="25" cm="1">
        <f t="array" ref="N122">$V$19*NMultDensity(C122:D122,$V$23:$V$24,$T$23:$U$24)/L122</f>
        <v>5.5305115003538078E-6</v>
      </c>
      <c r="O122" s="43" cm="1">
        <f t="array" ref="O122">$V$32*NMultDensity(C122:D122,$V$36:$V$37,$T$36:$U$37)/L122</f>
        <v>0.99999446948849968</v>
      </c>
      <c r="P122" s="39"/>
      <c r="Q122" s="39"/>
      <c r="R122" s="39"/>
    </row>
    <row r="123" spans="1:18" x14ac:dyDescent="0.25">
      <c r="A123" s="25">
        <v>5.6</v>
      </c>
      <c r="B123" s="25">
        <v>2.8</v>
      </c>
      <c r="C123" s="25">
        <v>4.9000000000000004</v>
      </c>
      <c r="D123" s="25">
        <v>2</v>
      </c>
      <c r="E123" s="50" t="s">
        <v>7</v>
      </c>
      <c r="F123" s="71" t="str">
        <f t="shared" si="2"/>
        <v>virginica</v>
      </c>
      <c r="G123" s="25" cm="1">
        <f t="array" ref="G123">$V$6*NMultDensity(A123:D123,$V$8:$V$11,$R$8:$U$11)+$V$19*NMultDensity(A123:D123,$V$21:$V$24,$R$21:$U$24)+$V$32*NMultDensity(A123:D123,$V$34:$V$37,$R$34:$U$37)</f>
        <v>0.3371712243832426</v>
      </c>
      <c r="H123" s="25" cm="1">
        <f t="array" ref="H123">$V$6*NMultDensity(A123:D123,$V$8:$V$11,$R$8:$U$11)/G123</f>
        <v>5.0944279332474784E-122</v>
      </c>
      <c r="I123" s="25" cm="1">
        <f t="array" ref="I123">$V$19*NMultDensity(A123:D123,$V$21:$V$24,$R$21:$U$24)/G123</f>
        <v>1.471947424553238E-5</v>
      </c>
      <c r="J123" s="39" cm="1">
        <f t="array" ref="J123">$V$32*NMultDensity(A123:D123,$V$34:$V$37,$R$34:$U$37)/G123</f>
        <v>0.99998528052575442</v>
      </c>
      <c r="K123" s="71" t="str">
        <f t="shared" si="3"/>
        <v>virginica</v>
      </c>
      <c r="L123" s="25" cm="1">
        <f t="array" ref="L123">$V$6*NMultDensity(C123:D123,$V$10:$V$11,$T$10:$U$11)+$V$19*NMultDensity(C123:D123,$V$23:$V$24,$T$23:$U$24)+$V$32*NMultDensity(C123:D123,$V$36:$V$37,$T$36:$U$37)</f>
        <v>0.29911896135122829</v>
      </c>
      <c r="M123" s="25" cm="1">
        <f t="array" ref="M123">$V$6*NMultDensity(C123:D123,$V$10:$V$11,$T$10:$U$11)/L123</f>
        <v>4.0121327152927306E-110</v>
      </c>
      <c r="N123" s="25" cm="1">
        <f t="array" ref="N123">$V$19*NMultDensity(C123:D123,$V$23:$V$24,$T$23:$U$24)/L123</f>
        <v>9.4658058935552091E-4</v>
      </c>
      <c r="O123" s="43" cm="1">
        <f t="array" ref="O123">$V$32*NMultDensity(C123:D123,$V$36:$V$37,$T$36:$U$37)/L123</f>
        <v>0.99905341941064452</v>
      </c>
      <c r="P123" s="39"/>
      <c r="Q123" s="39"/>
      <c r="R123" s="39"/>
    </row>
    <row r="124" spans="1:18" x14ac:dyDescent="0.25">
      <c r="A124" s="25">
        <v>7.7</v>
      </c>
      <c r="B124" s="25">
        <v>2.8</v>
      </c>
      <c r="C124" s="25">
        <v>6.7</v>
      </c>
      <c r="D124" s="25">
        <v>2</v>
      </c>
      <c r="E124" s="50" t="s">
        <v>7</v>
      </c>
      <c r="F124" s="71" t="str">
        <f t="shared" si="2"/>
        <v>virginica</v>
      </c>
      <c r="G124" s="25" cm="1">
        <f t="array" ref="G124">$V$6*NMultDensity(A124:D124,$V$8:$V$11,$R$8:$U$11)+$V$19*NMultDensity(A124:D124,$V$21:$V$24,$R$21:$U$24)+$V$32*NMultDensity(A124:D124,$V$34:$V$37,$R$34:$U$37)</f>
        <v>4.4688363928946859E-2</v>
      </c>
      <c r="H124" s="25" cm="1">
        <f t="array" ref="H124">$V$6*NMultDensity(A124:D124,$V$8:$V$11,$R$8:$U$11)/G124</f>
        <v>8.8400954383247519E-232</v>
      </c>
      <c r="I124" s="25" cm="1">
        <f t="array" ref="I124">$V$19*NMultDensity(A124:D124,$V$21:$V$24,$R$21:$U$24)/G124</f>
        <v>1.7134045727228585E-7</v>
      </c>
      <c r="J124" s="39" cm="1">
        <f t="array" ref="J124">$V$32*NMultDensity(A124:D124,$V$34:$V$37,$R$34:$U$37)/G124</f>
        <v>0.99999982865954273</v>
      </c>
      <c r="K124" s="71" t="str">
        <f t="shared" si="3"/>
        <v>virginica</v>
      </c>
      <c r="L124" s="25" cm="1">
        <f t="array" ref="L124">$V$6*NMultDensity(C124:D124,$V$10:$V$11,$T$10:$U$11)+$V$19*NMultDensity(C124:D124,$V$23:$V$24,$T$23:$U$24)+$V$32*NMultDensity(C124:D124,$V$36:$V$37,$T$36:$U$37)</f>
        <v>5.212749513279364E-2</v>
      </c>
      <c r="M124" s="25" cm="1">
        <f t="array" ref="M124">$V$6*NMultDensity(C124:D124,$V$10:$V$11,$T$10:$U$11)/L124</f>
        <v>8.7521102559051721E-208</v>
      </c>
      <c r="N124" s="25" cm="1">
        <f t="array" ref="N124">$V$19*NMultDensity(C124:D124,$V$23:$V$24,$T$23:$U$24)/L124</f>
        <v>1.3601111374447471E-5</v>
      </c>
      <c r="O124" s="43" cm="1">
        <f t="array" ref="O124">$V$32*NMultDensity(C124:D124,$V$36:$V$37,$T$36:$U$37)/L124</f>
        <v>0.99998639888862551</v>
      </c>
      <c r="P124" s="39"/>
      <c r="Q124" s="39"/>
      <c r="R124" s="39"/>
    </row>
    <row r="125" spans="1:18" x14ac:dyDescent="0.25">
      <c r="A125" s="25">
        <v>6.3</v>
      </c>
      <c r="B125" s="25">
        <v>2.7</v>
      </c>
      <c r="C125" s="25">
        <v>4.9000000000000004</v>
      </c>
      <c r="D125" s="25">
        <v>1.8</v>
      </c>
      <c r="E125" s="50" t="s">
        <v>7</v>
      </c>
      <c r="F125" s="71" t="str">
        <f t="shared" si="2"/>
        <v>virginica</v>
      </c>
      <c r="G125" s="25" cm="1">
        <f t="array" ref="G125">$V$6*NMultDensity(A125:D125,$V$8:$V$11,$R$8:$U$11)+$V$19*NMultDensity(A125:D125,$V$21:$V$24,$R$21:$U$24)+$V$32*NMultDensity(A125:D125,$V$34:$V$37,$R$34:$U$37)</f>
        <v>0.25751492592347042</v>
      </c>
      <c r="H125" s="25" cm="1">
        <f t="array" ref="H125">$V$6*NMultDensity(A125:D125,$V$8:$V$11,$R$8:$U$11)/G125</f>
        <v>3.9374511129714795E-114</v>
      </c>
      <c r="I125" s="25" cm="1">
        <f t="array" ref="I125">$V$19*NMultDensity(A125:D125,$V$21:$V$24,$R$21:$U$24)/G125</f>
        <v>1.6715559608021655E-2</v>
      </c>
      <c r="J125" s="39" cm="1">
        <f t="array" ref="J125">$V$32*NMultDensity(A125:D125,$V$34:$V$37,$R$34:$U$37)/G125</f>
        <v>0.98328444039197838</v>
      </c>
      <c r="K125" s="71" t="str">
        <f t="shared" si="3"/>
        <v>virginica</v>
      </c>
      <c r="L125" s="25" cm="1">
        <f t="array" ref="L125">$V$6*NMultDensity(C125:D125,$V$10:$V$11,$T$10:$U$11)+$V$19*NMultDensity(C125:D125,$V$23:$V$24,$T$23:$U$24)+$V$32*NMultDensity(C125:D125,$V$36:$V$37,$T$36:$U$37)</f>
        <v>0.31692652394808662</v>
      </c>
      <c r="M125" s="25" cm="1">
        <f t="array" ref="M125">$V$6*NMultDensity(C125:D125,$V$10:$V$11,$T$10:$U$11)/L125</f>
        <v>1.0779836000467012E-101</v>
      </c>
      <c r="N125" s="25" cm="1">
        <f t="array" ref="N125">$V$19*NMultDensity(C125:D125,$V$23:$V$24,$T$23:$U$24)/L125</f>
        <v>0.11515160605134238</v>
      </c>
      <c r="O125" s="43" cm="1">
        <f t="array" ref="O125">$V$32*NMultDensity(C125:D125,$V$36:$V$37,$T$36:$U$37)/L125</f>
        <v>0.88484839394865755</v>
      </c>
      <c r="P125" s="39"/>
      <c r="Q125" s="39"/>
      <c r="R125" s="39"/>
    </row>
    <row r="126" spans="1:18" x14ac:dyDescent="0.25">
      <c r="A126" s="25">
        <v>6.7</v>
      </c>
      <c r="B126" s="25">
        <v>3.3</v>
      </c>
      <c r="C126" s="25">
        <v>5.7</v>
      </c>
      <c r="D126" s="25">
        <v>2.1</v>
      </c>
      <c r="E126" s="50" t="s">
        <v>7</v>
      </c>
      <c r="F126" s="71" t="str">
        <f t="shared" si="2"/>
        <v>virginica</v>
      </c>
      <c r="G126" s="25" cm="1">
        <f t="array" ref="G126">$V$6*NMultDensity(A126:D126,$V$8:$V$11,$R$8:$U$11)+$V$19*NMultDensity(A126:D126,$V$21:$V$24,$R$21:$U$24)+$V$32*NMultDensity(A126:D126,$V$34:$V$37,$R$34:$U$37)</f>
        <v>0.65125561207760385</v>
      </c>
      <c r="H126" s="25" cm="1">
        <f t="array" ref="H126">$V$6*NMultDensity(A126:D126,$V$8:$V$11,$R$8:$U$11)/G126</f>
        <v>6.4066791393604692E-162</v>
      </c>
      <c r="I126" s="25" cm="1">
        <f t="array" ref="I126">$V$19*NMultDensity(A126:D126,$V$21:$V$24,$R$21:$U$24)/G126</f>
        <v>5.2700426067189452E-4</v>
      </c>
      <c r="J126" s="39" cm="1">
        <f t="array" ref="J126">$V$32*NMultDensity(A126:D126,$V$34:$V$37,$R$34:$U$37)/G126</f>
        <v>0.99947299573932802</v>
      </c>
      <c r="K126" s="71" t="str">
        <f t="shared" si="3"/>
        <v>virginica</v>
      </c>
      <c r="L126" s="25" cm="1">
        <f t="array" ref="L126">$V$6*NMultDensity(C126:D126,$V$10:$V$11,$T$10:$U$11)+$V$19*NMultDensity(C126:D126,$V$23:$V$24,$T$23:$U$24)+$V$32*NMultDensity(C126:D126,$V$36:$V$37,$T$36:$U$37)</f>
        <v>0.59549976423500017</v>
      </c>
      <c r="M126" s="25" cm="1">
        <f t="array" ref="M126">$V$6*NMultDensity(C126:D126,$V$10:$V$11,$T$10:$U$11)/L126</f>
        <v>7.1617887405288603E-152</v>
      </c>
      <c r="N126" s="25" cm="1">
        <f t="array" ref="N126">$V$19*NMultDensity(C126:D126,$V$23:$V$24,$T$23:$U$24)/L126</f>
        <v>7.3194400924319052E-4</v>
      </c>
      <c r="O126" s="43" cm="1">
        <f t="array" ref="O126">$V$32*NMultDensity(C126:D126,$V$36:$V$37,$T$36:$U$37)/L126</f>
        <v>0.99926805599075674</v>
      </c>
      <c r="P126" s="39"/>
      <c r="Q126" s="39"/>
      <c r="R126" s="39"/>
    </row>
    <row r="127" spans="1:18" x14ac:dyDescent="0.25">
      <c r="A127" s="25">
        <v>7.2</v>
      </c>
      <c r="B127" s="25">
        <v>3.2</v>
      </c>
      <c r="C127" s="25">
        <v>6</v>
      </c>
      <c r="D127" s="25">
        <v>1.8</v>
      </c>
      <c r="E127" s="50" t="s">
        <v>7</v>
      </c>
      <c r="F127" s="71" t="str">
        <f t="shared" si="2"/>
        <v>virginica</v>
      </c>
      <c r="G127" s="25" cm="1">
        <f t="array" ref="G127">$V$6*NMultDensity(A127:D127,$V$8:$V$11,$R$8:$U$11)+$V$19*NMultDensity(A127:D127,$V$21:$V$24,$R$21:$U$24)+$V$32*NMultDensity(A127:D127,$V$34:$V$37,$R$34:$U$37)</f>
        <v>0.25405772590867348</v>
      </c>
      <c r="H127" s="25" cm="1">
        <f t="array" ref="H127">$V$6*NMultDensity(A127:D127,$V$8:$V$11,$R$8:$U$11)/G127</f>
        <v>6.1751222003017554E-170</v>
      </c>
      <c r="I127" s="25" cm="1">
        <f t="array" ref="I127">$V$19*NMultDensity(A127:D127,$V$21:$V$24,$R$21:$U$24)/G127</f>
        <v>4.3344786779127269E-3</v>
      </c>
      <c r="J127" s="39" cm="1">
        <f t="array" ref="J127">$V$32*NMultDensity(A127:D127,$V$34:$V$37,$R$34:$U$37)/G127</f>
        <v>0.99566552132208719</v>
      </c>
      <c r="K127" s="71" t="str">
        <f t="shared" si="3"/>
        <v>virginica</v>
      </c>
      <c r="L127" s="25" cm="1">
        <f t="array" ref="L127">$V$6*NMultDensity(C127:D127,$V$10:$V$11,$T$10:$U$11)+$V$19*NMultDensity(C127:D127,$V$23:$V$24,$T$23:$U$24)+$V$32*NMultDensity(C127:D127,$V$36:$V$37,$T$36:$U$37)</f>
        <v>0.23529175472232083</v>
      </c>
      <c r="M127" s="25" cm="1">
        <f t="array" ref="M127">$V$6*NMultDensity(C127:D127,$V$10:$V$11,$T$10:$U$11)/L127</f>
        <v>1.9964413131479503E-157</v>
      </c>
      <c r="N127" s="25" cm="1">
        <f t="array" ref="N127">$V$19*NMultDensity(C127:D127,$V$23:$V$24,$T$23:$U$24)/L127</f>
        <v>2.9204053626096177E-3</v>
      </c>
      <c r="O127" s="43" cm="1">
        <f t="array" ref="O127">$V$32*NMultDensity(C127:D127,$V$36:$V$37,$T$36:$U$37)/L127</f>
        <v>0.99707959463739038</v>
      </c>
      <c r="P127" s="39"/>
      <c r="Q127" s="39"/>
      <c r="R127" s="39"/>
    </row>
    <row r="128" spans="1:18" x14ac:dyDescent="0.25">
      <c r="A128" s="25">
        <v>6.2</v>
      </c>
      <c r="B128" s="25">
        <v>2.8</v>
      </c>
      <c r="C128" s="25">
        <v>4.8</v>
      </c>
      <c r="D128" s="25">
        <v>1.8</v>
      </c>
      <c r="E128" s="50" t="s">
        <v>7</v>
      </c>
      <c r="F128" s="71" t="str">
        <f t="shared" si="2"/>
        <v>virginica</v>
      </c>
      <c r="G128" s="25" cm="1">
        <f t="array" ref="G128">$V$6*NMultDensity(A128:D128,$V$8:$V$11,$R$8:$U$11)+$V$19*NMultDensity(A128:D128,$V$21:$V$24,$R$21:$U$24)+$V$32*NMultDensity(A128:D128,$V$34:$V$37,$R$34:$U$37)</f>
        <v>0.2470870998747825</v>
      </c>
      <c r="H128" s="25" cm="1">
        <f t="array" ref="H128">$V$6*NMultDensity(A128:D128,$V$8:$V$11,$R$8:$U$11)/G128</f>
        <v>2.2069102177149792E-108</v>
      </c>
      <c r="I128" s="25" cm="1">
        <f t="array" ref="I128">$V$19*NMultDensity(A128:D128,$V$21:$V$24,$R$21:$U$24)/G128</f>
        <v>3.4116973008486332E-2</v>
      </c>
      <c r="J128" s="39" cm="1">
        <f t="array" ref="J128">$V$32*NMultDensity(A128:D128,$V$34:$V$37,$R$34:$U$37)/G128</f>
        <v>0.96588302699151363</v>
      </c>
      <c r="K128" s="71" t="str">
        <f t="shared" si="3"/>
        <v>virginica</v>
      </c>
      <c r="L128" s="25" cm="1">
        <f t="array" ref="L128">$V$6*NMultDensity(C128:D128,$V$10:$V$11,$T$10:$U$11)+$V$19*NMultDensity(C128:D128,$V$23:$V$24,$T$23:$U$24)+$V$32*NMultDensity(C128:D128,$V$36:$V$37,$T$36:$U$37)</f>
        <v>0.25445186645034112</v>
      </c>
      <c r="M128" s="25" cm="1">
        <f t="array" ref="M128">$V$6*NMultDensity(C128:D128,$V$10:$V$11,$T$10:$U$11)/L128</f>
        <v>1.7200223713321113E-97</v>
      </c>
      <c r="N128" s="25" cm="1">
        <f t="array" ref="N128">$V$19*NMultDensity(C128:D128,$V$23:$V$24,$T$23:$U$24)/L128</f>
        <v>0.10089153335772567</v>
      </c>
      <c r="O128" s="43" cm="1">
        <f t="array" ref="O128">$V$32*NMultDensity(C128:D128,$V$36:$V$37,$T$36:$U$37)/L128</f>
        <v>0.89910846664227428</v>
      </c>
      <c r="P128" s="39"/>
      <c r="Q128" s="39"/>
      <c r="R128" s="39"/>
    </row>
    <row r="129" spans="1:18" x14ac:dyDescent="0.25">
      <c r="A129" s="25">
        <v>6.1</v>
      </c>
      <c r="B129" s="25">
        <v>3</v>
      </c>
      <c r="C129" s="25">
        <v>4.9000000000000004</v>
      </c>
      <c r="D129" s="25">
        <v>1.8</v>
      </c>
      <c r="E129" s="50" t="s">
        <v>7</v>
      </c>
      <c r="F129" s="71" t="str">
        <f t="shared" si="2"/>
        <v>virginica</v>
      </c>
      <c r="G129" s="25" cm="1">
        <f t="array" ref="G129">$V$6*NMultDensity(A129:D129,$V$8:$V$11,$R$8:$U$11)+$V$19*NMultDensity(A129:D129,$V$21:$V$24,$R$21:$U$24)+$V$32*NMultDensity(A129:D129,$V$34:$V$37,$R$34:$U$37)</f>
        <v>0.38276851747255969</v>
      </c>
      <c r="H129" s="25" cm="1">
        <f t="array" ref="H129">$V$6*NMultDensity(A129:D129,$V$8:$V$11,$R$8:$U$11)/G129</f>
        <v>1.1287072633474139E-110</v>
      </c>
      <c r="I129" s="25" cm="1">
        <f t="array" ref="I129">$V$19*NMultDensity(A129:D129,$V$21:$V$24,$R$21:$U$24)/G129</f>
        <v>9.4808641922918324E-2</v>
      </c>
      <c r="J129" s="39" cm="1">
        <f t="array" ref="J129">$V$32*NMultDensity(A129:D129,$V$34:$V$37,$R$34:$U$37)/G129</f>
        <v>0.90519135807708162</v>
      </c>
      <c r="K129" s="71" t="str">
        <f t="shared" si="3"/>
        <v>virginica</v>
      </c>
      <c r="L129" s="25" cm="1">
        <f t="array" ref="L129">$V$6*NMultDensity(C129:D129,$V$10:$V$11,$T$10:$U$11)+$V$19*NMultDensity(C129:D129,$V$23:$V$24,$T$23:$U$24)+$V$32*NMultDensity(C129:D129,$V$36:$V$37,$T$36:$U$37)</f>
        <v>0.31692652394808662</v>
      </c>
      <c r="M129" s="25" cm="1">
        <f t="array" ref="M129">$V$6*NMultDensity(C129:D129,$V$10:$V$11,$T$10:$U$11)/L129</f>
        <v>1.0779836000467012E-101</v>
      </c>
      <c r="N129" s="25" cm="1">
        <f t="array" ref="N129">$V$19*NMultDensity(C129:D129,$V$23:$V$24,$T$23:$U$24)/L129</f>
        <v>0.11515160605134238</v>
      </c>
      <c r="O129" s="43" cm="1">
        <f t="array" ref="O129">$V$32*NMultDensity(C129:D129,$V$36:$V$37,$T$36:$U$37)/L129</f>
        <v>0.88484839394865755</v>
      </c>
      <c r="P129" s="39"/>
      <c r="Q129" s="39"/>
      <c r="R129" s="39"/>
    </row>
    <row r="130" spans="1:18" x14ac:dyDescent="0.25">
      <c r="A130" s="25">
        <v>6.4</v>
      </c>
      <c r="B130" s="25">
        <v>2.8</v>
      </c>
      <c r="C130" s="25">
        <v>5.6</v>
      </c>
      <c r="D130" s="25">
        <v>2.1</v>
      </c>
      <c r="E130" s="50" t="s">
        <v>7</v>
      </c>
      <c r="F130" s="71" t="str">
        <f t="shared" si="2"/>
        <v>virginica</v>
      </c>
      <c r="G130" s="25" cm="1">
        <f t="array" ref="G130">$V$6*NMultDensity(A130:D130,$V$8:$V$11,$R$8:$U$11)+$V$19*NMultDensity(A130:D130,$V$21:$V$24,$R$21:$U$24)+$V$32*NMultDensity(A130:D130,$V$34:$V$37,$R$34:$U$37)</f>
        <v>0.72920473583151713</v>
      </c>
      <c r="H130" s="25" cm="1">
        <f t="array" ref="H130">$V$6*NMultDensity(A130:D130,$V$8:$V$11,$R$8:$U$11)/G130</f>
        <v>3.8447226258188802E-161</v>
      </c>
      <c r="I130" s="25" cm="1">
        <f t="array" ref="I130">$V$19*NMultDensity(A130:D130,$V$21:$V$24,$R$21:$U$24)/G130</f>
        <v>3.507151612410688E-6</v>
      </c>
      <c r="J130" s="39" cm="1">
        <f t="array" ref="J130">$V$32*NMultDensity(A130:D130,$V$34:$V$37,$R$34:$U$37)/G130</f>
        <v>0.99999649284838754</v>
      </c>
      <c r="K130" s="71" t="str">
        <f t="shared" si="3"/>
        <v>virginica</v>
      </c>
      <c r="L130" s="25" cm="1">
        <f t="array" ref="L130">$V$6*NMultDensity(C130:D130,$V$10:$V$11,$T$10:$U$11)+$V$19*NMultDensity(C130:D130,$V$23:$V$24,$T$23:$U$24)+$V$32*NMultDensity(C130:D130,$V$36:$V$37,$T$36:$U$37)</f>
        <v>0.60649372261890622</v>
      </c>
      <c r="M130" s="25" cm="1">
        <f t="array" ref="M130">$V$6*NMultDensity(C130:D130,$V$10:$V$11,$T$10:$U$11)/L130</f>
        <v>9.6326446896510232E-147</v>
      </c>
      <c r="N130" s="25" cm="1">
        <f t="array" ref="N130">$V$19*NMultDensity(C130:D130,$V$23:$V$24,$T$23:$U$24)/L130</f>
        <v>6.7172964428554639E-4</v>
      </c>
      <c r="O130" s="43" cm="1">
        <f t="array" ref="O130">$V$32*NMultDensity(C130:D130,$V$36:$V$37,$T$36:$U$37)/L130</f>
        <v>0.99932827035571448</v>
      </c>
      <c r="P130" s="39"/>
      <c r="Q130" s="39"/>
      <c r="R130" s="39"/>
    </row>
    <row r="131" spans="1:18" x14ac:dyDescent="0.25">
      <c r="A131" s="25">
        <v>7.2</v>
      </c>
      <c r="B131" s="25">
        <v>3</v>
      </c>
      <c r="C131" s="25">
        <v>5.8</v>
      </c>
      <c r="D131" s="25">
        <v>1.6</v>
      </c>
      <c r="E131" s="50" t="s">
        <v>7</v>
      </c>
      <c r="F131" s="71" t="str">
        <f t="shared" ref="F131:F151" si="4">IF(H131&gt;MAX(I131:J131),$E$2,IF(I131&gt;J131,$E$52,$E$102))</f>
        <v>virginica</v>
      </c>
      <c r="G131" s="25" cm="1">
        <f t="array" ref="G131">$V$6*NMultDensity(A131:D131,$V$8:$V$11,$R$8:$U$11)+$V$19*NMultDensity(A131:D131,$V$21:$V$24,$R$21:$U$24)+$V$32*NMultDensity(A131:D131,$V$34:$V$37,$R$34:$U$37)</f>
        <v>0.10184252384141534</v>
      </c>
      <c r="H131" s="25" cm="1">
        <f t="array" ref="H131">$V$6*NMultDensity(A131:D131,$V$8:$V$11,$R$8:$U$11)/G131</f>
        <v>9.2210830925182074E-155</v>
      </c>
      <c r="I131" s="25" cm="1">
        <f t="array" ref="I131">$V$19*NMultDensity(A131:D131,$V$21:$V$24,$R$21:$U$24)/G131</f>
        <v>1.1752009154725266E-2</v>
      </c>
      <c r="J131" s="39" cm="1">
        <f t="array" ref="J131">$V$32*NMultDensity(A131:D131,$V$34:$V$37,$R$34:$U$37)/G131</f>
        <v>0.9882479908452747</v>
      </c>
      <c r="K131" s="71" t="str">
        <f t="shared" ref="K131:K151" si="5">IF(M131&gt;MAX(N131:O131),$E$2,IF(N131&gt;O131,$E$52,$E$102))</f>
        <v>virginica</v>
      </c>
      <c r="L131" s="25" cm="1">
        <f t="array" ref="L131">$V$6*NMultDensity(C131:D131,$V$10:$V$11,$T$10:$U$11)+$V$19*NMultDensity(C131:D131,$V$23:$V$24,$T$23:$U$24)+$V$32*NMultDensity(C131:D131,$V$36:$V$37,$T$36:$U$37)</f>
        <v>0.11487402994997468</v>
      </c>
      <c r="M131" s="25" cm="1">
        <f t="array" ref="M131">$V$6*NMultDensity(C131:D131,$V$10:$V$11,$T$10:$U$11)/L131</f>
        <v>2.137124610293201E-140</v>
      </c>
      <c r="N131" s="25" cm="1">
        <f t="array" ref="N131">$V$19*NMultDensity(C131:D131,$V$23:$V$24,$T$23:$U$24)/L131</f>
        <v>5.7998609632607511E-3</v>
      </c>
      <c r="O131" s="43" cm="1">
        <f t="array" ref="O131">$V$32*NMultDensity(C131:D131,$V$36:$V$37,$T$36:$U$37)/L131</f>
        <v>0.99420013903673932</v>
      </c>
      <c r="P131" s="39"/>
      <c r="Q131" s="39"/>
      <c r="R131" s="39"/>
    </row>
    <row r="132" spans="1:18" x14ac:dyDescent="0.25">
      <c r="A132" s="25">
        <v>7.4</v>
      </c>
      <c r="B132" s="25">
        <v>2.8</v>
      </c>
      <c r="C132" s="25">
        <v>6.1</v>
      </c>
      <c r="D132" s="25">
        <v>1.9</v>
      </c>
      <c r="E132" s="50" t="s">
        <v>7</v>
      </c>
      <c r="F132" s="71" t="str">
        <f t="shared" si="4"/>
        <v>virginica</v>
      </c>
      <c r="G132" s="25" cm="1">
        <f t="array" ref="G132">$V$6*NMultDensity(A132:D132,$V$8:$V$11,$R$8:$U$11)+$V$19*NMultDensity(A132:D132,$V$21:$V$24,$R$21:$U$24)+$V$32*NMultDensity(A132:D132,$V$34:$V$37,$R$34:$U$37)</f>
        <v>0.23580108142297851</v>
      </c>
      <c r="H132" s="25" cm="1">
        <f t="array" ref="H132">$V$6*NMultDensity(A132:D132,$V$8:$V$11,$R$8:$U$11)/G132</f>
        <v>7.2341486134289535E-187</v>
      </c>
      <c r="I132" s="25" cm="1">
        <f t="array" ref="I132">$V$19*NMultDensity(A132:D132,$V$21:$V$24,$R$21:$U$24)/G132</f>
        <v>8.931668092576362E-5</v>
      </c>
      <c r="J132" s="39" cm="1">
        <f t="array" ref="J132">$V$32*NMultDensity(A132:D132,$V$34:$V$37,$R$34:$U$37)/G132</f>
        <v>0.99991068331907418</v>
      </c>
      <c r="K132" s="71" t="str">
        <f t="shared" si="5"/>
        <v>virginica</v>
      </c>
      <c r="L132" s="25" cm="1">
        <f t="array" ref="L132">$V$6*NMultDensity(C132:D132,$V$10:$V$11,$T$10:$U$11)+$V$19*NMultDensity(C132:D132,$V$23:$V$24,$T$23:$U$24)+$V$32*NMultDensity(C132:D132,$V$36:$V$37,$T$36:$U$37)</f>
        <v>0.27414851019400555</v>
      </c>
      <c r="M132" s="25" cm="1">
        <f t="array" ref="M132">$V$6*NMultDensity(C132:D132,$V$10:$V$11,$T$10:$U$11)/L132</f>
        <v>1.7310416219496088E-166</v>
      </c>
      <c r="N132" s="25" cm="1">
        <f t="array" ref="N132">$V$19*NMultDensity(C132:D132,$V$23:$V$24,$T$23:$U$24)/L132</f>
        <v>1.5159764541373339E-3</v>
      </c>
      <c r="O132" s="43" cm="1">
        <f t="array" ref="O132">$V$32*NMultDensity(C132:D132,$V$36:$V$37,$T$36:$U$37)/L132</f>
        <v>0.99848402354586263</v>
      </c>
      <c r="P132" s="39"/>
      <c r="Q132" s="39"/>
      <c r="R132" s="39"/>
    </row>
    <row r="133" spans="1:18" x14ac:dyDescent="0.25">
      <c r="A133" s="25">
        <v>7.9</v>
      </c>
      <c r="B133" s="25">
        <v>3.8</v>
      </c>
      <c r="C133" s="25">
        <v>6.4</v>
      </c>
      <c r="D133" s="25">
        <v>2</v>
      </c>
      <c r="E133" s="50" t="s">
        <v>7</v>
      </c>
      <c r="F133" s="71" t="str">
        <f t="shared" si="4"/>
        <v>virginica</v>
      </c>
      <c r="G133" s="25" cm="1">
        <f t="array" ref="G133">$V$6*NMultDensity(A133:D133,$V$8:$V$11,$R$8:$U$11)+$V$19*NMultDensity(A133:D133,$V$21:$V$24,$R$21:$U$24)+$V$32*NMultDensity(A133:D133,$V$34:$V$37,$R$34:$U$37)</f>
        <v>5.5836081772593369E-3</v>
      </c>
      <c r="H133" s="25" cm="1">
        <f t="array" ref="H133">$V$6*NMultDensity(A133:D133,$V$8:$V$11,$R$8:$U$11)/G133</f>
        <v>7.0172764591975304E-198</v>
      </c>
      <c r="I133" s="25" cm="1">
        <f t="array" ref="I133">$V$19*NMultDensity(A133:D133,$V$21:$V$24,$R$21:$U$24)/G133</f>
        <v>5.45262538017156E-3</v>
      </c>
      <c r="J133" s="39" cm="1">
        <f t="array" ref="J133">$V$32*NMultDensity(A133:D133,$V$34:$V$37,$R$34:$U$37)/G133</f>
        <v>0.99454737461982845</v>
      </c>
      <c r="K133" s="71" t="str">
        <f t="shared" si="5"/>
        <v>virginica</v>
      </c>
      <c r="L133" s="25" cm="1">
        <f t="array" ref="L133">$V$6*NMultDensity(C133:D133,$V$10:$V$11,$T$10:$U$11)+$V$19*NMultDensity(C133:D133,$V$23:$V$24,$T$23:$U$24)+$V$32*NMultDensity(C133:D133,$V$36:$V$37,$T$36:$U$37)</f>
        <v>0.1590326124826684</v>
      </c>
      <c r="M133" s="25" cm="1">
        <f t="array" ref="M133">$V$6*NMultDensity(C133:D133,$V$10:$V$11,$T$10:$U$11)/L133</f>
        <v>3.1725871342698363E-188</v>
      </c>
      <c r="N133" s="25" cm="1">
        <f t="array" ref="N133">$V$19*NMultDensity(C133:D133,$V$23:$V$24,$T$23:$U$24)/L133</f>
        <v>1.7527705273872996E-4</v>
      </c>
      <c r="O133" s="43" cm="1">
        <f t="array" ref="O133">$V$32*NMultDensity(C133:D133,$V$36:$V$37,$T$36:$U$37)/L133</f>
        <v>0.99982472294726132</v>
      </c>
      <c r="P133" s="39"/>
      <c r="Q133" s="39"/>
      <c r="R133" s="39"/>
    </row>
    <row r="134" spans="1:18" x14ac:dyDescent="0.25">
      <c r="A134" s="25">
        <v>6.4</v>
      </c>
      <c r="B134" s="25">
        <v>2.8</v>
      </c>
      <c r="C134" s="25">
        <v>5.6</v>
      </c>
      <c r="D134" s="25">
        <v>2.2000000000000002</v>
      </c>
      <c r="E134" s="50" t="s">
        <v>7</v>
      </c>
      <c r="F134" s="71" t="str">
        <f t="shared" si="4"/>
        <v>virginica</v>
      </c>
      <c r="G134" s="25" cm="1">
        <f t="array" ref="G134">$V$6*NMultDensity(A134:D134,$V$8:$V$11,$R$8:$U$11)+$V$19*NMultDensity(A134:D134,$V$21:$V$24,$R$21:$U$24)+$V$32*NMultDensity(A134:D134,$V$34:$V$37,$R$34:$U$37)</f>
        <v>0.51932141337666538</v>
      </c>
      <c r="H134" s="25" cm="1">
        <f t="array" ref="H134">$V$6*NMultDensity(A134:D134,$V$8:$V$11,$R$8:$U$11)/G134</f>
        <v>2.6197800492065014E-166</v>
      </c>
      <c r="I134" s="25" cm="1">
        <f t="array" ref="I134">$V$19*NMultDensity(A134:D134,$V$21:$V$24,$R$21:$U$24)/G134</f>
        <v>1.0793837425581912E-7</v>
      </c>
      <c r="J134" s="39" cm="1">
        <f t="array" ref="J134">$V$32*NMultDensity(A134:D134,$V$34:$V$37,$R$34:$U$37)/G134</f>
        <v>0.99999989206162565</v>
      </c>
      <c r="K134" s="71" t="str">
        <f t="shared" si="5"/>
        <v>virginica</v>
      </c>
      <c r="L134" s="25" cm="1">
        <f t="array" ref="L134">$V$6*NMultDensity(C134:D134,$V$10:$V$11,$T$10:$U$11)+$V$19*NMultDensity(C134:D134,$V$23:$V$24,$T$23:$U$24)+$V$32*NMultDensity(C134:D134,$V$36:$V$37,$T$36:$U$37)</f>
        <v>0.5103264314378988</v>
      </c>
      <c r="M134" s="25" cm="1">
        <f t="array" ref="M134">$V$6*NMultDensity(C134:D134,$V$10:$V$11,$T$10:$U$11)/L134</f>
        <v>2.2494711525996475E-151</v>
      </c>
      <c r="N134" s="25" cm="1">
        <f t="array" ref="N134">$V$19*NMultDensity(C134:D134,$V$23:$V$24,$T$23:$U$24)/L134</f>
        <v>6.2208319583478779E-5</v>
      </c>
      <c r="O134" s="43" cm="1">
        <f t="array" ref="O134">$V$32*NMultDensity(C134:D134,$V$36:$V$37,$T$36:$U$37)/L134</f>
        <v>0.99993779168041652</v>
      </c>
      <c r="P134" s="39"/>
      <c r="Q134" s="39"/>
      <c r="R134" s="39"/>
    </row>
    <row r="135" spans="1:18" x14ac:dyDescent="0.25">
      <c r="A135" s="25">
        <v>6.3</v>
      </c>
      <c r="B135" s="25">
        <v>2.8</v>
      </c>
      <c r="C135" s="25">
        <v>5.0999999999999996</v>
      </c>
      <c r="D135" s="25">
        <v>1.5</v>
      </c>
      <c r="E135" s="50" t="s">
        <v>7</v>
      </c>
      <c r="F135" s="71" t="str">
        <f t="shared" si="4"/>
        <v>virginica</v>
      </c>
      <c r="G135" s="25" cm="1">
        <f t="array" ref="G135">$V$6*NMultDensity(A135:D135,$V$8:$V$11,$R$8:$U$11)+$V$19*NMultDensity(A135:D135,$V$21:$V$24,$R$21:$U$24)+$V$32*NMultDensity(A135:D135,$V$34:$V$37,$R$34:$U$37)</f>
        <v>0.27796132758928549</v>
      </c>
      <c r="H135" s="25" cm="1">
        <f t="array" ref="H135">$V$6*NMultDensity(A135:D135,$V$8:$V$11,$R$8:$U$11)/G135</f>
        <v>1.0694648518270761E-111</v>
      </c>
      <c r="I135" s="25" cm="1">
        <f t="array" ref="I135">$V$19*NMultDensity(A135:D135,$V$21:$V$24,$R$21:$U$24)/G135</f>
        <v>0.47391166263358891</v>
      </c>
      <c r="J135" s="39" cm="1">
        <f t="array" ref="J135">$V$32*NMultDensity(A135:D135,$V$34:$V$37,$R$34:$U$37)/G135</f>
        <v>0.52608833736641103</v>
      </c>
      <c r="K135" s="71" t="str">
        <f t="shared" si="5"/>
        <v>versicolor</v>
      </c>
      <c r="L135" s="25" cm="1">
        <f t="array" ref="L135">$V$6*NMultDensity(C135:D135,$V$10:$V$11,$T$10:$U$11)+$V$19*NMultDensity(C135:D135,$V$23:$V$24,$T$23:$U$24)+$V$32*NMultDensity(C135:D135,$V$36:$V$37,$T$36:$U$37)</f>
        <v>0.22826930459507144</v>
      </c>
      <c r="M135" s="25" cm="1">
        <f t="array" ref="M135">$V$6*NMultDensity(C135:D135,$V$10:$V$11,$T$10:$U$11)/L135</f>
        <v>2.1399659763924706E-101</v>
      </c>
      <c r="N135" s="25" cm="1">
        <f t="array" ref="N135">$V$19*NMultDensity(C135:D135,$V$23:$V$24,$T$23:$U$24)/L135</f>
        <v>0.56997912377717952</v>
      </c>
      <c r="O135" s="43" cm="1">
        <f t="array" ref="O135">$V$32*NMultDensity(C135:D135,$V$36:$V$37,$T$36:$U$37)/L135</f>
        <v>0.43002087622282043</v>
      </c>
      <c r="P135" s="39"/>
      <c r="Q135" s="39"/>
      <c r="R135" s="39"/>
    </row>
    <row r="136" spans="1:18" x14ac:dyDescent="0.25">
      <c r="A136" s="25">
        <v>6.1</v>
      </c>
      <c r="B136" s="25">
        <v>2.6</v>
      </c>
      <c r="C136" s="25">
        <v>5.6</v>
      </c>
      <c r="D136" s="25">
        <v>1.4</v>
      </c>
      <c r="E136" s="50" t="s">
        <v>7</v>
      </c>
      <c r="F136" s="71" t="str">
        <f t="shared" si="4"/>
        <v>virginica</v>
      </c>
      <c r="G136" s="25" cm="1">
        <f t="array" ref="G136">$V$6*NMultDensity(A136:D136,$V$8:$V$11,$R$8:$U$11)+$V$19*NMultDensity(A136:D136,$V$21:$V$24,$R$21:$U$24)+$V$32*NMultDensity(A136:D136,$V$34:$V$37,$R$34:$U$37)</f>
        <v>1.5416543520509873E-2</v>
      </c>
      <c r="H136" s="25" cm="1">
        <f t="array" ref="H136">$V$6*NMultDensity(A136:D136,$V$8:$V$11,$R$8:$U$11)/G136</f>
        <v>3.3766233449249772E-136</v>
      </c>
      <c r="I136" s="25" cm="1">
        <f t="array" ref="I136">$V$19*NMultDensity(A136:D136,$V$21:$V$24,$R$21:$U$24)/G136</f>
        <v>1.2690734680096693E-4</v>
      </c>
      <c r="J136" s="39" cm="1">
        <f t="array" ref="J136">$V$32*NMultDensity(A136:D136,$V$34:$V$37,$R$34:$U$37)/G136</f>
        <v>0.99987309265319901</v>
      </c>
      <c r="K136" s="71" t="str">
        <f t="shared" si="5"/>
        <v>virginica</v>
      </c>
      <c r="L136" s="25" cm="1">
        <f t="array" ref="L136">$V$6*NMultDensity(C136:D136,$V$10:$V$11,$T$10:$U$11)+$V$19*NMultDensity(C136:D136,$V$23:$V$24,$T$23:$U$24)+$V$32*NMultDensity(C136:D136,$V$36:$V$37,$T$36:$U$37)</f>
        <v>3.228707635282245E-2</v>
      </c>
      <c r="M136" s="25" cm="1">
        <f t="array" ref="M136">$V$6*NMultDensity(C136:D136,$V$10:$V$11,$T$10:$U$11)/L136</f>
        <v>7.9789009061920386E-125</v>
      </c>
      <c r="N136" s="25" cm="1">
        <f t="array" ref="N136">$V$19*NMultDensity(C136:D136,$V$23:$V$24,$T$23:$U$24)/L136</f>
        <v>5.0233769901642618E-3</v>
      </c>
      <c r="O136" s="43" cm="1">
        <f t="array" ref="O136">$V$32*NMultDensity(C136:D136,$V$36:$V$37,$T$36:$U$37)/L136</f>
        <v>0.9949766230098358</v>
      </c>
      <c r="P136" s="39"/>
      <c r="Q136" s="39"/>
      <c r="R136" s="39"/>
    </row>
    <row r="137" spans="1:18" x14ac:dyDescent="0.25">
      <c r="A137" s="25">
        <v>7.7</v>
      </c>
      <c r="B137" s="25">
        <v>3</v>
      </c>
      <c r="C137" s="25">
        <v>6.1</v>
      </c>
      <c r="D137" s="25">
        <v>2.2999999999999998</v>
      </c>
      <c r="E137" s="50" t="s">
        <v>7</v>
      </c>
      <c r="F137" s="71" t="str">
        <f t="shared" si="4"/>
        <v>virginica</v>
      </c>
      <c r="G137" s="25" cm="1">
        <f t="array" ref="G137">$V$6*NMultDensity(A137:D137,$V$8:$V$11,$R$8:$U$11)+$V$19*NMultDensity(A137:D137,$V$21:$V$24,$R$21:$U$24)+$V$32*NMultDensity(A137:D137,$V$34:$V$37,$R$34:$U$37)</f>
        <v>5.3273654457554158E-2</v>
      </c>
      <c r="H137" s="25" cm="1">
        <f t="array" ref="H137">$V$6*NMultDensity(A137:D137,$V$8:$V$11,$R$8:$U$11)/G137</f>
        <v>6.4009129537312412E-204</v>
      </c>
      <c r="I137" s="25" cm="1">
        <f t="array" ref="I137">$V$19*NMultDensity(A137:D137,$V$21:$V$24,$R$21:$U$24)/G137</f>
        <v>7.1336613032275487E-8</v>
      </c>
      <c r="J137" s="39" cm="1">
        <f t="array" ref="J137">$V$32*NMultDensity(A137:D137,$V$34:$V$37,$R$34:$U$37)/G137</f>
        <v>0.99999992866338694</v>
      </c>
      <c r="K137" s="71" t="str">
        <f t="shared" si="5"/>
        <v>virginica</v>
      </c>
      <c r="L137" s="25" cm="1">
        <f t="array" ref="L137">$V$6*NMultDensity(C137:D137,$V$10:$V$11,$T$10:$U$11)+$V$19*NMultDensity(C137:D137,$V$23:$V$24,$T$23:$U$24)+$V$32*NMultDensity(C137:D137,$V$36:$V$37,$T$36:$U$37)</f>
        <v>0.29710086785981815</v>
      </c>
      <c r="M137" s="25" cm="1">
        <f t="array" ref="M137">$V$6*NMultDensity(C137:D137,$V$10:$V$11,$T$10:$U$11)/L137</f>
        <v>1.05662772562417E-182</v>
      </c>
      <c r="N137" s="25" cm="1">
        <f t="array" ref="N137">$V$19*NMultDensity(C137:D137,$V$23:$V$24,$T$23:$U$24)/L137</f>
        <v>1.6763712540780602E-5</v>
      </c>
      <c r="O137" s="43" cm="1">
        <f t="array" ref="O137">$V$32*NMultDensity(C137:D137,$V$36:$V$37,$T$36:$U$37)/L137</f>
        <v>0.99998323628745922</v>
      </c>
      <c r="P137" s="39"/>
      <c r="Q137" s="39"/>
      <c r="R137" s="39"/>
    </row>
    <row r="138" spans="1:18" x14ac:dyDescent="0.25">
      <c r="A138" s="25">
        <v>6.3</v>
      </c>
      <c r="B138" s="25">
        <v>3.4</v>
      </c>
      <c r="C138" s="25">
        <v>5.6</v>
      </c>
      <c r="D138" s="25">
        <v>2.4</v>
      </c>
      <c r="E138" s="50" t="s">
        <v>7</v>
      </c>
      <c r="F138" s="71" t="str">
        <f t="shared" si="4"/>
        <v>virginica</v>
      </c>
      <c r="G138" s="25" cm="1">
        <f t="array" ref="G138">$V$6*NMultDensity(A138:D138,$V$8:$V$11,$R$8:$U$11)+$V$19*NMultDensity(A138:D138,$V$21:$V$24,$R$21:$U$24)+$V$32*NMultDensity(A138:D138,$V$34:$V$37,$R$34:$U$37)</f>
        <v>0.13311648726678774</v>
      </c>
      <c r="H138" s="25" cm="1">
        <f t="array" ref="H138">$V$6*NMultDensity(A138:D138,$V$8:$V$11,$R$8:$U$11)/G138</f>
        <v>4.8393574411781243E-172</v>
      </c>
      <c r="I138" s="25" cm="1">
        <f t="array" ref="I138">$V$19*NMultDensity(A138:D138,$V$21:$V$24,$R$21:$U$24)/G138</f>
        <v>3.1675943508205339E-8</v>
      </c>
      <c r="J138" s="39" cm="1">
        <f t="array" ref="J138">$V$32*NMultDensity(A138:D138,$V$34:$V$37,$R$34:$U$37)/G138</f>
        <v>0.99999996832405647</v>
      </c>
      <c r="K138" s="71" t="str">
        <f t="shared" si="5"/>
        <v>virginica</v>
      </c>
      <c r="L138" s="25" cm="1">
        <f t="array" ref="L138">$V$6*NMultDensity(C138:D138,$V$10:$V$11,$T$10:$U$11)+$V$19*NMultDensity(C138:D138,$V$23:$V$24,$T$23:$U$24)+$V$32*NMultDensity(C138:D138,$V$36:$V$37,$T$36:$U$37)</f>
        <v>0.23210139766953353</v>
      </c>
      <c r="M138" s="25" cm="1">
        <f t="array" ref="M138">$V$6*NMultDensity(C138:D138,$V$10:$V$11,$T$10:$U$11)/L138</f>
        <v>9.180820288070476E-162</v>
      </c>
      <c r="N138" s="25" cm="1">
        <f t="array" ref="N138">$V$19*NMultDensity(C138:D138,$V$23:$V$24,$T$23:$U$24)/L138</f>
        <v>1.1098651706050279E-7</v>
      </c>
      <c r="O138" s="43" cm="1">
        <f t="array" ref="O138">$V$32*NMultDensity(C138:D138,$V$36:$V$37,$T$36:$U$37)/L138</f>
        <v>0.99999988901348291</v>
      </c>
      <c r="P138" s="39"/>
      <c r="Q138" s="39"/>
      <c r="R138" s="39"/>
    </row>
    <row r="139" spans="1:18" x14ac:dyDescent="0.25">
      <c r="A139" s="25">
        <v>6.4</v>
      </c>
      <c r="B139" s="25">
        <v>3.1</v>
      </c>
      <c r="C139" s="25">
        <v>5.5</v>
      </c>
      <c r="D139" s="25">
        <v>1.8</v>
      </c>
      <c r="E139" s="50" t="s">
        <v>7</v>
      </c>
      <c r="F139" s="71" t="str">
        <f t="shared" si="4"/>
        <v>virginica</v>
      </c>
      <c r="G139" s="25" cm="1">
        <f t="array" ref="G139">$V$6*NMultDensity(A139:D139,$V$8:$V$11,$R$8:$U$11)+$V$19*NMultDensity(A139:D139,$V$21:$V$24,$R$21:$U$24)+$V$32*NMultDensity(A139:D139,$V$34:$V$37,$R$34:$U$37)</f>
        <v>0.43420193942607749</v>
      </c>
      <c r="H139" s="25" cm="1">
        <f t="array" ref="H139">$V$6*NMultDensity(A139:D139,$V$8:$V$11,$R$8:$U$11)/G139</f>
        <v>2.6549088038329118E-139</v>
      </c>
      <c r="I139" s="25" cm="1">
        <f t="array" ref="I139">$V$19*NMultDensity(A139:D139,$V$21:$V$24,$R$21:$U$24)/G139</f>
        <v>3.0146645775966579E-2</v>
      </c>
      <c r="J139" s="39" cm="1">
        <f t="array" ref="J139">$V$32*NMultDensity(A139:D139,$V$34:$V$37,$R$34:$U$37)/G139</f>
        <v>0.9698533542240334</v>
      </c>
      <c r="K139" s="71" t="str">
        <f t="shared" si="5"/>
        <v>virginica</v>
      </c>
      <c r="L139" s="25" cm="1">
        <f t="array" ref="L139">$V$6*NMultDensity(C139:D139,$V$10:$V$11,$T$10:$U$11)+$V$19*NMultDensity(C139:D139,$V$23:$V$24,$T$23:$U$24)+$V$32*NMultDensity(C139:D139,$V$36:$V$37,$T$36:$U$37)</f>
        <v>0.46559770304507125</v>
      </c>
      <c r="M139" s="25" cm="1">
        <f t="array" ref="M139">$V$6*NMultDensity(C139:D139,$V$10:$V$11,$T$10:$U$11)/L139</f>
        <v>6.6444305978837698E-130</v>
      </c>
      <c r="N139" s="25" cm="1">
        <f t="array" ref="N139">$V$19*NMultDensity(C139:D139,$V$23:$V$24,$T$23:$U$24)/L139</f>
        <v>5.3360244148389073E-2</v>
      </c>
      <c r="O139" s="43" cm="1">
        <f t="array" ref="O139">$V$32*NMultDensity(C139:D139,$V$36:$V$37,$T$36:$U$37)/L139</f>
        <v>0.94663975585161098</v>
      </c>
      <c r="P139" s="39"/>
      <c r="Q139" s="39"/>
      <c r="R139" s="39"/>
    </row>
    <row r="140" spans="1:18" x14ac:dyDescent="0.25">
      <c r="A140" s="25">
        <v>6</v>
      </c>
      <c r="B140" s="25">
        <v>3</v>
      </c>
      <c r="C140" s="25">
        <v>4.8</v>
      </c>
      <c r="D140" s="25">
        <v>1.8</v>
      </c>
      <c r="E140" s="50" t="s">
        <v>7</v>
      </c>
      <c r="F140" s="71" t="str">
        <f t="shared" si="4"/>
        <v>virginica</v>
      </c>
      <c r="G140" s="25" cm="1">
        <f t="array" ref="G140">$V$6*NMultDensity(A140:D140,$V$8:$V$11,$R$8:$U$11)+$V$19*NMultDensity(A140:D140,$V$21:$V$24,$R$21:$U$24)+$V$32*NMultDensity(A140:D140,$V$34:$V$37,$R$34:$U$37)</f>
        <v>0.2946478015619165</v>
      </c>
      <c r="H140" s="25" cm="1">
        <f t="array" ref="H140">$V$6*NMultDensity(A140:D140,$V$8:$V$11,$R$8:$U$11)/G140</f>
        <v>3.4799620319717589E-106</v>
      </c>
      <c r="I140" s="25" cm="1">
        <f t="array" ref="I140">$V$19*NMultDensity(A140:D140,$V$21:$V$24,$R$21:$U$24)/G140</f>
        <v>8.7867092290298876E-2</v>
      </c>
      <c r="J140" s="39" cm="1">
        <f t="array" ref="J140">$V$32*NMultDensity(A140:D140,$V$34:$V$37,$R$34:$U$37)/G140</f>
        <v>0.91213290770970112</v>
      </c>
      <c r="K140" s="71" t="str">
        <f t="shared" si="5"/>
        <v>virginica</v>
      </c>
      <c r="L140" s="25" cm="1">
        <f t="array" ref="L140">$V$6*NMultDensity(C140:D140,$V$10:$V$11,$T$10:$U$11)+$V$19*NMultDensity(C140:D140,$V$23:$V$24,$T$23:$U$24)+$V$32*NMultDensity(C140:D140,$V$36:$V$37,$T$36:$U$37)</f>
        <v>0.25445186645034112</v>
      </c>
      <c r="M140" s="25" cm="1">
        <f t="array" ref="M140">$V$6*NMultDensity(C140:D140,$V$10:$V$11,$T$10:$U$11)/L140</f>
        <v>1.7200223713321113E-97</v>
      </c>
      <c r="N140" s="25" cm="1">
        <f t="array" ref="N140">$V$19*NMultDensity(C140:D140,$V$23:$V$24,$T$23:$U$24)/L140</f>
        <v>0.10089153335772567</v>
      </c>
      <c r="O140" s="43" cm="1">
        <f t="array" ref="O140">$V$32*NMultDensity(C140:D140,$V$36:$V$37,$T$36:$U$37)/L140</f>
        <v>0.89910846664227428</v>
      </c>
      <c r="P140" s="39"/>
      <c r="Q140" s="39"/>
      <c r="R140" s="39"/>
    </row>
    <row r="141" spans="1:18" x14ac:dyDescent="0.25">
      <c r="A141" s="25">
        <v>6.9</v>
      </c>
      <c r="B141" s="25">
        <v>3.1</v>
      </c>
      <c r="C141" s="25">
        <v>5.4</v>
      </c>
      <c r="D141" s="25">
        <v>2.1</v>
      </c>
      <c r="E141" s="50" t="s">
        <v>7</v>
      </c>
      <c r="F141" s="71" t="str">
        <f t="shared" si="4"/>
        <v>virginica</v>
      </c>
      <c r="G141" s="25" cm="1">
        <f t="array" ref="G141">$V$6*NMultDensity(A141:D141,$V$8:$V$11,$R$8:$U$11)+$V$19*NMultDensity(A141:D141,$V$21:$V$24,$R$21:$U$24)+$V$32*NMultDensity(A141:D141,$V$34:$V$37,$R$34:$U$37)</f>
        <v>0.39227011980424042</v>
      </c>
      <c r="H141" s="25" cm="1">
        <f t="array" ref="H141">$V$6*NMultDensity(A141:D141,$V$8:$V$11,$R$8:$U$11)/G141</f>
        <v>1.7638325970987114E-149</v>
      </c>
      <c r="I141" s="25" cm="1">
        <f t="array" ref="I141">$V$19*NMultDensity(A141:D141,$V$21:$V$24,$R$21:$U$24)/G141</f>
        <v>1.1118455049755121E-4</v>
      </c>
      <c r="J141" s="39" cm="1">
        <f t="array" ref="J141">$V$32*NMultDensity(A141:D141,$V$34:$V$37,$R$34:$U$37)/G141</f>
        <v>0.99988881544950248</v>
      </c>
      <c r="K141" s="71" t="str">
        <f t="shared" si="5"/>
        <v>virginica</v>
      </c>
      <c r="L141" s="25" cm="1">
        <f t="array" ref="L141">$V$6*NMultDensity(C141:D141,$V$10:$V$11,$T$10:$U$11)+$V$19*NMultDensity(C141:D141,$V$23:$V$24,$T$23:$U$24)+$V$32*NMultDensity(C141:D141,$V$36:$V$37,$T$36:$U$37)</f>
        <v>0.56356129274403943</v>
      </c>
      <c r="M141" s="25" cm="1">
        <f t="array" ref="M141">$V$6*NMultDensity(C141:D141,$V$10:$V$11,$T$10:$U$11)/L141</f>
        <v>6.3618609595564696E-137</v>
      </c>
      <c r="N141" s="25" cm="1">
        <f t="array" ref="N141">$V$19*NMultDensity(C141:D141,$V$23:$V$24,$T$23:$U$24)/L141</f>
        <v>4.4218202245153494E-4</v>
      </c>
      <c r="O141" s="43" cm="1">
        <f t="array" ref="O141">$V$32*NMultDensity(C141:D141,$V$36:$V$37,$T$36:$U$37)/L141</f>
        <v>0.9995578179775485</v>
      </c>
      <c r="P141" s="39"/>
      <c r="Q141" s="39"/>
      <c r="R141" s="39"/>
    </row>
    <row r="142" spans="1:18" x14ac:dyDescent="0.25">
      <c r="A142" s="25">
        <v>6.7</v>
      </c>
      <c r="B142" s="25">
        <v>3.1</v>
      </c>
      <c r="C142" s="25">
        <v>5.6</v>
      </c>
      <c r="D142" s="25">
        <v>2.4</v>
      </c>
      <c r="E142" s="50" t="s">
        <v>7</v>
      </c>
      <c r="F142" s="71" t="str">
        <f t="shared" si="4"/>
        <v>virginica</v>
      </c>
      <c r="G142" s="25" cm="1">
        <f t="array" ref="G142">$V$6*NMultDensity(A142:D142,$V$8:$V$11,$R$8:$U$11)+$V$19*NMultDensity(A142:D142,$V$21:$V$24,$R$21:$U$24)+$V$32*NMultDensity(A142:D142,$V$34:$V$37,$R$34:$U$37)</f>
        <v>0.42051575775144168</v>
      </c>
      <c r="H142" s="25" cm="1">
        <f t="array" ref="H142">$V$6*NMultDensity(A142:D142,$V$8:$V$11,$R$8:$U$11)/G142</f>
        <v>1.380748979497472E-175</v>
      </c>
      <c r="I142" s="25" cm="1">
        <f t="array" ref="I142">$V$19*NMultDensity(A142:D142,$V$21:$V$24,$R$21:$U$24)/G142</f>
        <v>6.1354408465793624E-10</v>
      </c>
      <c r="J142" s="39" cm="1">
        <f t="array" ref="J142">$V$32*NMultDensity(A142:D142,$V$34:$V$37,$R$34:$U$37)/G142</f>
        <v>0.9999999993864559</v>
      </c>
      <c r="K142" s="71" t="str">
        <f t="shared" si="5"/>
        <v>virginica</v>
      </c>
      <c r="L142" s="25" cm="1">
        <f t="array" ref="L142">$V$6*NMultDensity(C142:D142,$V$10:$V$11,$T$10:$U$11)+$V$19*NMultDensity(C142:D142,$V$23:$V$24,$T$23:$U$24)+$V$32*NMultDensity(C142:D142,$V$36:$V$37,$T$36:$U$37)</f>
        <v>0.23210139766953353</v>
      </c>
      <c r="M142" s="25" cm="1">
        <f t="array" ref="M142">$V$6*NMultDensity(C142:D142,$V$10:$V$11,$T$10:$U$11)/L142</f>
        <v>9.180820288070476E-162</v>
      </c>
      <c r="N142" s="25" cm="1">
        <f t="array" ref="N142">$V$19*NMultDensity(C142:D142,$V$23:$V$24,$T$23:$U$24)/L142</f>
        <v>1.1098651706050279E-7</v>
      </c>
      <c r="O142" s="43" cm="1">
        <f t="array" ref="O142">$V$32*NMultDensity(C142:D142,$V$36:$V$37,$T$36:$U$37)/L142</f>
        <v>0.99999988901348291</v>
      </c>
      <c r="P142" s="39"/>
      <c r="Q142" s="39"/>
      <c r="R142" s="39"/>
    </row>
    <row r="143" spans="1:18" x14ac:dyDescent="0.25">
      <c r="A143" s="25">
        <v>6.9</v>
      </c>
      <c r="B143" s="25">
        <v>3.1</v>
      </c>
      <c r="C143" s="25">
        <v>5.0999999999999996</v>
      </c>
      <c r="D143" s="25">
        <v>2.2999999999999998</v>
      </c>
      <c r="E143" s="50" t="s">
        <v>7</v>
      </c>
      <c r="F143" s="71" t="str">
        <f t="shared" si="4"/>
        <v>virginica</v>
      </c>
      <c r="G143" s="25" cm="1">
        <f t="array" ref="G143">$V$6*NMultDensity(A143:D143,$V$8:$V$11,$R$8:$U$11)+$V$19*NMultDensity(A143:D143,$V$21:$V$24,$R$21:$U$24)+$V$32*NMultDensity(A143:D143,$V$34:$V$37,$R$34:$U$37)</f>
        <v>1.9510892342482239E-2</v>
      </c>
      <c r="H143" s="25" cm="1">
        <f t="array" ref="H143">$V$6*NMultDensity(A143:D143,$V$8:$V$11,$R$8:$U$11)/G143</f>
        <v>3.9045226633216754E-146</v>
      </c>
      <c r="I143" s="25" cm="1">
        <f t="array" ref="I143">$V$19*NMultDensity(A143:D143,$V$21:$V$24,$R$21:$U$24)/G143</f>
        <v>3.5835320443111908E-9</v>
      </c>
      <c r="J143" s="39" cm="1">
        <f t="array" ref="J143">$V$32*NMultDensity(A143:D143,$V$34:$V$37,$R$34:$U$37)/G143</f>
        <v>0.99999999641646797</v>
      </c>
      <c r="K143" s="71" t="str">
        <f t="shared" si="5"/>
        <v>virginica</v>
      </c>
      <c r="L143" s="25" cm="1">
        <f t="array" ref="L143">$V$6*NMultDensity(C143:D143,$V$10:$V$11,$T$10:$U$11)+$V$19*NMultDensity(C143:D143,$V$23:$V$24,$T$23:$U$24)+$V$32*NMultDensity(C143:D143,$V$36:$V$37,$T$36:$U$37)</f>
        <v>0.18497562012550481</v>
      </c>
      <c r="M143" s="25" cm="1">
        <f t="array" ref="M143">$V$6*NMultDensity(C143:D143,$V$10:$V$11,$T$10:$U$11)/L143</f>
        <v>1.044819551136721E-133</v>
      </c>
      <c r="N143" s="25" cm="1">
        <f t="array" ref="N143">$V$19*NMultDensity(C143:D143,$V$23:$V$24,$T$23:$U$24)/L143</f>
        <v>8.9045400036668013E-8</v>
      </c>
      <c r="O143" s="43" cm="1">
        <f t="array" ref="O143">$V$32*NMultDensity(C143:D143,$V$36:$V$37,$T$36:$U$37)/L143</f>
        <v>0.99999991095459995</v>
      </c>
      <c r="P143" s="39"/>
      <c r="Q143" s="39"/>
      <c r="R143" s="39"/>
    </row>
    <row r="144" spans="1:18" x14ac:dyDescent="0.25">
      <c r="A144" s="25">
        <v>5.8</v>
      </c>
      <c r="B144" s="25">
        <v>2.7</v>
      </c>
      <c r="C144" s="25">
        <v>5.0999999999999996</v>
      </c>
      <c r="D144" s="25">
        <v>1.9</v>
      </c>
      <c r="E144" s="50" t="s">
        <v>7</v>
      </c>
      <c r="F144" s="71" t="str">
        <f t="shared" si="4"/>
        <v>virginica</v>
      </c>
      <c r="G144" s="25" cm="1">
        <f t="array" ref="G144">$V$6*NMultDensity(A144:D144,$V$8:$V$11,$R$8:$U$11)+$V$19*NMultDensity(A144:D144,$V$21:$V$24,$R$21:$U$24)+$V$32*NMultDensity(A144:D144,$V$34:$V$37,$R$34:$U$37)</f>
        <v>0.48328061368110264</v>
      </c>
      <c r="H144" s="25" cm="1">
        <f t="array" ref="H144">$V$6*NMultDensity(A144:D144,$V$8:$V$11,$R$8:$U$11)/G144</f>
        <v>1.0860880053077985E-126</v>
      </c>
      <c r="I144" s="25" cm="1">
        <f t="array" ref="I144">$V$19*NMultDensity(A144:D144,$V$21:$V$24,$R$21:$U$24)/G144</f>
        <v>2.6841215380544732E-4</v>
      </c>
      <c r="J144" s="39" cm="1">
        <f t="array" ref="J144">$V$32*NMultDensity(A144:D144,$V$34:$V$37,$R$34:$U$37)/G144</f>
        <v>0.99973158784619465</v>
      </c>
      <c r="K144" s="71" t="str">
        <f t="shared" si="5"/>
        <v>virginica</v>
      </c>
      <c r="L144" s="25" cm="1">
        <f t="array" ref="L144">$V$6*NMultDensity(C144:D144,$V$10:$V$11,$T$10:$U$11)+$V$19*NMultDensity(C144:D144,$V$23:$V$24,$T$23:$U$24)+$V$32*NMultDensity(C144:D144,$V$36:$V$37,$T$36:$U$37)</f>
        <v>0.44990200196318475</v>
      </c>
      <c r="M144" s="25" cm="1">
        <f t="array" ref="M144">$V$6*NMultDensity(C144:D144,$V$10:$V$11,$T$10:$U$11)/L144</f>
        <v>2.2349813131060306E-114</v>
      </c>
      <c r="N144" s="25" cm="1">
        <f t="array" ref="N144">$V$19*NMultDensity(C144:D144,$V$23:$V$24,$T$23:$U$24)/L144</f>
        <v>2.2046088611883573E-2</v>
      </c>
      <c r="O144" s="43" cm="1">
        <f t="array" ref="O144">$V$32*NMultDensity(C144:D144,$V$36:$V$37,$T$36:$U$37)/L144</f>
        <v>0.97795391138811649</v>
      </c>
      <c r="P144" s="39"/>
      <c r="Q144" s="39"/>
      <c r="R144" s="39"/>
    </row>
    <row r="145" spans="1:18" x14ac:dyDescent="0.25">
      <c r="A145" s="25">
        <v>6.8</v>
      </c>
      <c r="B145" s="25">
        <v>3.2</v>
      </c>
      <c r="C145" s="25">
        <v>5.9</v>
      </c>
      <c r="D145" s="25">
        <v>2.2999999999999998</v>
      </c>
      <c r="E145" s="50" t="s">
        <v>7</v>
      </c>
      <c r="F145" s="71" t="str">
        <f t="shared" si="4"/>
        <v>virginica</v>
      </c>
      <c r="G145" s="25" cm="1">
        <f t="array" ref="G145">$V$6*NMultDensity(A145:D145,$V$8:$V$11,$R$8:$U$11)+$V$19*NMultDensity(A145:D145,$V$21:$V$24,$R$21:$U$24)+$V$32*NMultDensity(A145:D145,$V$34:$V$37,$R$34:$U$37)</f>
        <v>0.63900757481272463</v>
      </c>
      <c r="H145" s="25" cm="1">
        <f t="array" ref="H145">$V$6*NMultDensity(A145:D145,$V$8:$V$11,$R$8:$U$11)/G145</f>
        <v>1.2325654952848805E-184</v>
      </c>
      <c r="I145" s="25" cm="1">
        <f t="array" ref="I145">$V$19*NMultDensity(A145:D145,$V$21:$V$24,$R$21:$U$24)/G145</f>
        <v>5.4948480572394067E-7</v>
      </c>
      <c r="J145" s="39" cm="1">
        <f t="array" ref="J145">$V$32*NMultDensity(A145:D145,$V$34:$V$37,$R$34:$U$37)/G145</f>
        <v>0.99999945051519423</v>
      </c>
      <c r="K145" s="71" t="str">
        <f t="shared" si="5"/>
        <v>virginica</v>
      </c>
      <c r="L145" s="25" cm="1">
        <f t="array" ref="L145">$V$6*NMultDensity(C145:D145,$V$10:$V$11,$T$10:$U$11)+$V$19*NMultDensity(C145:D145,$V$23:$V$24,$T$23:$U$24)+$V$32*NMultDensity(C145:D145,$V$36:$V$37,$T$36:$U$37)</f>
        <v>0.36225768268609715</v>
      </c>
      <c r="M145" s="25" cm="1">
        <f t="array" ref="M145">$V$6*NMultDensity(C145:D145,$V$10:$V$11,$T$10:$U$11)/L145</f>
        <v>9.7730852755468756E-172</v>
      </c>
      <c r="N145" s="25" cm="1">
        <f t="array" ref="N145">$V$19*NMultDensity(C145:D145,$V$23:$V$24,$T$23:$U$24)/L145</f>
        <v>1.134881277403546E-5</v>
      </c>
      <c r="O145" s="43" cm="1">
        <f t="array" ref="O145">$V$32*NMultDensity(C145:D145,$V$36:$V$37,$T$36:$U$37)/L145</f>
        <v>0.99998865118722602</v>
      </c>
      <c r="P145" s="39"/>
      <c r="Q145" s="39"/>
      <c r="R145" s="39"/>
    </row>
    <row r="146" spans="1:18" x14ac:dyDescent="0.25">
      <c r="A146" s="25">
        <v>6.7</v>
      </c>
      <c r="B146" s="25">
        <v>3.3</v>
      </c>
      <c r="C146" s="25">
        <v>5.7</v>
      </c>
      <c r="D146" s="25">
        <v>2.5</v>
      </c>
      <c r="E146" s="50" t="s">
        <v>7</v>
      </c>
      <c r="F146" s="71" t="str">
        <f t="shared" si="4"/>
        <v>virginica</v>
      </c>
      <c r="G146" s="25" cm="1">
        <f t="array" ref="G146">$V$6*NMultDensity(A146:D146,$V$8:$V$11,$R$8:$U$11)+$V$19*NMultDensity(A146:D146,$V$21:$V$24,$R$21:$U$24)+$V$32*NMultDensity(A146:D146,$V$34:$V$37,$R$34:$U$37)</f>
        <v>0.2591606168042177</v>
      </c>
      <c r="H146" s="25" cm="1">
        <f t="array" ref="H146">$V$6*NMultDensity(A146:D146,$V$8:$V$11,$R$8:$U$11)/G146</f>
        <v>8.5248193086189558E-185</v>
      </c>
      <c r="I146" s="25" cm="1">
        <f t="array" ref="I146">$V$19*NMultDensity(A146:D146,$V$21:$V$24,$R$21:$U$24)/G146</f>
        <v>1.0850291725584242E-10</v>
      </c>
      <c r="J146" s="39" cm="1">
        <f t="array" ref="J146">$V$32*NMultDensity(A146:D146,$V$34:$V$37,$R$34:$U$37)/G146</f>
        <v>0.99999999989149713</v>
      </c>
      <c r="K146" s="71" t="str">
        <f t="shared" si="5"/>
        <v>virginica</v>
      </c>
      <c r="L146" s="25" cm="1">
        <f t="array" ref="L146">$V$6*NMultDensity(C146:D146,$V$10:$V$11,$T$10:$U$11)+$V$19*NMultDensity(C146:D146,$V$23:$V$24,$T$23:$U$24)+$V$32*NMultDensity(C146:D146,$V$36:$V$37,$T$36:$U$37)</f>
        <v>0.13535243550663931</v>
      </c>
      <c r="M146" s="25" cm="1">
        <f t="array" ref="M146">$V$6*NMultDensity(C146:D146,$V$10:$V$11,$T$10:$U$11)/L146</f>
        <v>2.4511810143936319E-172</v>
      </c>
      <c r="N146" s="25" cm="1">
        <f t="array" ref="N146">$V$19*NMultDensity(C146:D146,$V$23:$V$24,$T$23:$U$24)/L146</f>
        <v>5.1549944124793881E-9</v>
      </c>
      <c r="O146" s="43" cm="1">
        <f t="array" ref="O146">$V$32*NMultDensity(C146:D146,$V$36:$V$37,$T$36:$U$37)/L146</f>
        <v>0.99999999484500546</v>
      </c>
      <c r="P146" s="39"/>
      <c r="Q146" s="39"/>
      <c r="R146" s="39"/>
    </row>
    <row r="147" spans="1:18" x14ac:dyDescent="0.25">
      <c r="A147" s="25">
        <v>6.7</v>
      </c>
      <c r="B147" s="25">
        <v>3</v>
      </c>
      <c r="C147" s="25">
        <v>5.2</v>
      </c>
      <c r="D147" s="25">
        <v>2.2999999999999998</v>
      </c>
      <c r="E147" s="50" t="s">
        <v>7</v>
      </c>
      <c r="F147" s="71" t="str">
        <f t="shared" si="4"/>
        <v>virginica</v>
      </c>
      <c r="G147" s="25" cm="1">
        <f t="array" ref="G147">$V$6*NMultDensity(A147:D147,$V$8:$V$11,$R$8:$U$11)+$V$19*NMultDensity(A147:D147,$V$21:$V$24,$R$21:$U$24)+$V$32*NMultDensity(A147:D147,$V$34:$V$37,$R$34:$U$37)</f>
        <v>0.12835530836744694</v>
      </c>
      <c r="H147" s="25" cm="1">
        <f t="array" ref="H147">$V$6*NMultDensity(A147:D147,$V$8:$V$11,$R$8:$U$11)/G147</f>
        <v>2.317935570235557E-151</v>
      </c>
      <c r="I147" s="25" cm="1">
        <f t="array" ref="I147">$V$19*NMultDensity(A147:D147,$V$21:$V$24,$R$21:$U$24)/G147</f>
        <v>1.8636344932818788E-9</v>
      </c>
      <c r="J147" s="39" cm="1">
        <f t="array" ref="J147">$V$32*NMultDensity(A147:D147,$V$34:$V$37,$R$34:$U$37)/G147</f>
        <v>0.99999999813636553</v>
      </c>
      <c r="K147" s="71" t="str">
        <f t="shared" si="5"/>
        <v>virginica</v>
      </c>
      <c r="L147" s="25" cm="1">
        <f t="array" ref="L147">$V$6*NMultDensity(C147:D147,$V$10:$V$11,$T$10:$U$11)+$V$19*NMultDensity(C147:D147,$V$23:$V$24,$T$23:$U$24)+$V$32*NMultDensity(C147:D147,$V$36:$V$37,$T$36:$U$37)</f>
        <v>0.22870914623330577</v>
      </c>
      <c r="M147" s="25" cm="1">
        <f t="array" ref="M147">$V$6*NMultDensity(C147:D147,$V$10:$V$11,$T$10:$U$11)/L147</f>
        <v>5.9705632092392952E-138</v>
      </c>
      <c r="N147" s="25" cm="1">
        <f t="array" ref="N147">$V$19*NMultDensity(C147:D147,$V$23:$V$24,$T$23:$U$24)/L147</f>
        <v>2.1762022445768023E-7</v>
      </c>
      <c r="O147" s="43" cm="1">
        <f t="array" ref="O147">$V$32*NMultDensity(C147:D147,$V$36:$V$37,$T$36:$U$37)/L147</f>
        <v>0.9999997823797756</v>
      </c>
      <c r="P147" s="39"/>
      <c r="Q147" s="39"/>
      <c r="R147" s="39"/>
    </row>
    <row r="148" spans="1:18" x14ac:dyDescent="0.25">
      <c r="A148" s="25">
        <v>6.3</v>
      </c>
      <c r="B148" s="25">
        <v>2.5</v>
      </c>
      <c r="C148" s="25">
        <v>5</v>
      </c>
      <c r="D148" s="25">
        <v>1.9</v>
      </c>
      <c r="E148" s="50" t="s">
        <v>7</v>
      </c>
      <c r="F148" s="71" t="str">
        <f t="shared" si="4"/>
        <v>virginica</v>
      </c>
      <c r="G148" s="25" cm="1">
        <f t="array" ref="G148">$V$6*NMultDensity(A148:D148,$V$8:$V$11,$R$8:$U$11)+$V$19*NMultDensity(A148:D148,$V$21:$V$24,$R$21:$U$24)+$V$32*NMultDensity(A148:D148,$V$34:$V$37,$R$34:$U$37)</f>
        <v>0.16797159781034279</v>
      </c>
      <c r="H148" s="25" cm="1">
        <f t="array" ref="H148">$V$6*NMultDensity(A148:D148,$V$8:$V$11,$R$8:$U$11)/G148</f>
        <v>3.1684687829359403E-125</v>
      </c>
      <c r="I148" s="25" cm="1">
        <f t="array" ref="I148">$V$19*NMultDensity(A148:D148,$V$21:$V$24,$R$21:$U$24)/G148</f>
        <v>9.7533881386561137E-5</v>
      </c>
      <c r="J148" s="39" cm="1">
        <f t="array" ref="J148">$V$32*NMultDensity(A148:D148,$V$34:$V$37,$R$34:$U$37)/G148</f>
        <v>0.99990246611861344</v>
      </c>
      <c r="K148" s="71" t="str">
        <f t="shared" si="5"/>
        <v>virginica</v>
      </c>
      <c r="L148" s="25" cm="1">
        <f t="array" ref="L148">$V$6*NMultDensity(C148:D148,$V$10:$V$11,$T$10:$U$11)+$V$19*NMultDensity(C148:D148,$V$23:$V$24,$T$23:$U$24)+$V$32*NMultDensity(C148:D148,$V$36:$V$37,$T$36:$U$37)</f>
        <v>0.3842653006029581</v>
      </c>
      <c r="M148" s="25" cm="1">
        <f t="array" ref="M148">$V$6*NMultDensity(C148:D148,$V$10:$V$11,$T$10:$U$11)/L148</f>
        <v>5.7610253161122778E-110</v>
      </c>
      <c r="N148" s="25" cm="1">
        <f t="array" ref="N148">$V$19*NMultDensity(C148:D148,$V$23:$V$24,$T$23:$U$24)/L148</f>
        <v>1.8441361646592741E-2</v>
      </c>
      <c r="O148" s="43" cm="1">
        <f t="array" ref="O148">$V$32*NMultDensity(C148:D148,$V$36:$V$37,$T$36:$U$37)/L148</f>
        <v>0.98155863835340729</v>
      </c>
      <c r="P148" s="39"/>
      <c r="Q148" s="39"/>
      <c r="R148" s="39"/>
    </row>
    <row r="149" spans="1:18" x14ac:dyDescent="0.25">
      <c r="A149" s="25">
        <v>6.5</v>
      </c>
      <c r="B149" s="25">
        <v>3</v>
      </c>
      <c r="C149" s="25">
        <v>5.2</v>
      </c>
      <c r="D149" s="25">
        <v>2</v>
      </c>
      <c r="E149" s="50" t="s">
        <v>7</v>
      </c>
      <c r="F149" s="71" t="str">
        <f t="shared" si="4"/>
        <v>virginica</v>
      </c>
      <c r="G149" s="25" cm="1">
        <f t="array" ref="G149">$V$6*NMultDensity(A149:D149,$V$8:$V$11,$R$8:$U$11)+$V$19*NMultDensity(A149:D149,$V$21:$V$24,$R$21:$U$24)+$V$32*NMultDensity(A149:D149,$V$34:$V$37,$R$34:$U$37)</f>
        <v>0.71499166053020613</v>
      </c>
      <c r="H149" s="25" cm="1">
        <f t="array" ref="H149">$V$6*NMultDensity(A149:D149,$V$8:$V$11,$R$8:$U$11)/G149</f>
        <v>1.4112481642715825E-134</v>
      </c>
      <c r="I149" s="25" cm="1">
        <f t="array" ref="I149">$V$19*NMultDensity(A149:D149,$V$21:$V$24,$R$21:$U$24)/G149</f>
        <v>6.2848728991506141E-4</v>
      </c>
      <c r="J149" s="39" cm="1">
        <f t="array" ref="J149">$V$32*NMultDensity(A149:D149,$V$34:$V$37,$R$34:$U$37)/G149</f>
        <v>0.99937151271008495</v>
      </c>
      <c r="K149" s="71" t="str">
        <f t="shared" si="5"/>
        <v>virginica</v>
      </c>
      <c r="L149" s="25" cm="1">
        <f t="array" ref="L149">$V$6*NMultDensity(C149:D149,$V$10:$V$11,$T$10:$U$11)+$V$19*NMultDensity(C149:D149,$V$23:$V$24,$T$23:$U$24)+$V$32*NMultDensity(C149:D149,$V$36:$V$37,$T$36:$U$37)</f>
        <v>0.51083220327916157</v>
      </c>
      <c r="M149" s="25" cm="1">
        <f t="array" ref="M149">$V$6*NMultDensity(C149:D149,$V$10:$V$11,$T$10:$U$11)/L149</f>
        <v>4.0549099714135134E-123</v>
      </c>
      <c r="N149" s="25" cm="1">
        <f t="array" ref="N149">$V$19*NMultDensity(C149:D149,$V$23:$V$24,$T$23:$U$24)/L149</f>
        <v>2.9591922289864598E-3</v>
      </c>
      <c r="O149" s="43" cm="1">
        <f t="array" ref="O149">$V$32*NMultDensity(C149:D149,$V$36:$V$37,$T$36:$U$37)/L149</f>
        <v>0.99704080777101356</v>
      </c>
      <c r="P149" s="39"/>
      <c r="Q149" s="39"/>
      <c r="R149" s="39"/>
    </row>
    <row r="150" spans="1:18" x14ac:dyDescent="0.25">
      <c r="A150" s="25">
        <v>6.2</v>
      </c>
      <c r="B150" s="25">
        <v>3.4</v>
      </c>
      <c r="C150" s="25">
        <v>5.4</v>
      </c>
      <c r="D150" s="25">
        <v>2.2999999999999998</v>
      </c>
      <c r="E150" s="50" t="s">
        <v>7</v>
      </c>
      <c r="F150" s="71" t="str">
        <f t="shared" si="4"/>
        <v>virginica</v>
      </c>
      <c r="G150" s="25" cm="1">
        <f t="array" ref="G150">$V$6*NMultDensity(A150:D150,$V$8:$V$11,$R$8:$U$11)+$V$19*NMultDensity(A150:D150,$V$21:$V$24,$R$21:$U$24)+$V$32*NMultDensity(A150:D150,$V$34:$V$37,$R$34:$U$37)</f>
        <v>0.17357347985699914</v>
      </c>
      <c r="H150" s="25" cm="1">
        <f t="array" ref="H150">$V$6*NMultDensity(A150:D150,$V$8:$V$11,$R$8:$U$11)/G150</f>
        <v>3.2015002701425227E-156</v>
      </c>
      <c r="I150" s="25" cm="1">
        <f t="array" ref="I150">$V$19*NMultDensity(A150:D150,$V$21:$V$24,$R$21:$U$24)/G150</f>
        <v>6.8936571171143117E-7</v>
      </c>
      <c r="J150" s="39" cm="1">
        <f t="array" ref="J150">$V$32*NMultDensity(A150:D150,$V$34:$V$37,$R$34:$U$37)/G150</f>
        <v>0.99999931063428826</v>
      </c>
      <c r="K150" s="71" t="str">
        <f t="shared" si="5"/>
        <v>virginica</v>
      </c>
      <c r="L150" s="25" cm="1">
        <f t="array" ref="L150">$V$6*NMultDensity(C150:D150,$V$10:$V$11,$T$10:$U$11)+$V$19*NMultDensity(C150:D150,$V$23:$V$24,$T$23:$U$24)+$V$32*NMultDensity(C150:D150,$V$36:$V$37,$T$36:$U$37)</f>
        <v>0.31325259083109225</v>
      </c>
      <c r="M150" s="25" cm="1">
        <f t="array" ref="M150">$V$6*NMultDensity(C150:D150,$V$10:$V$11,$T$10:$U$11)/L150</f>
        <v>7.1171519531894855E-147</v>
      </c>
      <c r="N150" s="25" cm="1">
        <f t="array" ref="N150">$V$19*NMultDensity(C150:D150,$V$23:$V$24,$T$23:$U$24)/L150</f>
        <v>1.0157817324637295E-6</v>
      </c>
      <c r="O150" s="43" cm="1">
        <f t="array" ref="O150">$V$32*NMultDensity(C150:D150,$V$36:$V$37,$T$36:$U$37)/L150</f>
        <v>0.99999898421826761</v>
      </c>
      <c r="P150" s="39"/>
      <c r="Q150" s="39"/>
      <c r="R150" s="39"/>
    </row>
    <row r="151" spans="1:18" ht="15.75" thickBot="1" x14ac:dyDescent="0.3">
      <c r="A151" s="26">
        <v>5.9</v>
      </c>
      <c r="B151" s="26">
        <v>3</v>
      </c>
      <c r="C151" s="26">
        <v>5.0999999999999996</v>
      </c>
      <c r="D151" s="26">
        <v>1.8</v>
      </c>
      <c r="E151" s="51" t="s">
        <v>7</v>
      </c>
      <c r="F151" s="73" t="str">
        <f t="shared" si="4"/>
        <v>virginica</v>
      </c>
      <c r="G151" s="72" cm="1">
        <f t="array" ref="G151">$V$6*NMultDensity(A151:D151,$V$8:$V$11,$R$8:$U$11)+$V$19*NMultDensity(A151:D151,$V$21:$V$24,$R$21:$U$24)+$V$32*NMultDensity(A151:D151,$V$34:$V$37,$R$34:$U$37)</f>
        <v>0.33676718322963034</v>
      </c>
      <c r="H151" s="72" cm="1">
        <f t="array" ref="H151">$V$6*NMultDensity(A151:D151,$V$8:$V$11,$R$8:$U$11)/G151</f>
        <v>1.2934796223748677E-119</v>
      </c>
      <c r="I151" s="72" cm="1">
        <f t="array" ref="I151">$V$19*NMultDensity(A151:D151,$V$21:$V$24,$R$21:$U$24)/G151</f>
        <v>3.6695861073831493E-2</v>
      </c>
      <c r="J151" s="45" cm="1">
        <f t="array" ref="J151">$V$32*NMultDensity(A151:D151,$V$34:$V$37,$R$34:$U$37)/G151</f>
        <v>0.96330413892616851</v>
      </c>
      <c r="K151" s="73" t="str">
        <f t="shared" si="5"/>
        <v>virginica</v>
      </c>
      <c r="L151" s="72" cm="1">
        <f t="array" ref="L151">$V$6*NMultDensity(C151:D151,$V$10:$V$11,$T$10:$U$11)+$V$19*NMultDensity(C151:D151,$V$23:$V$24,$T$23:$U$24)+$V$32*NMultDensity(C151:D151,$V$36:$V$37,$T$36:$U$37)</f>
        <v>0.42913973191962296</v>
      </c>
      <c r="M151" s="72" cm="1">
        <f t="array" ref="M151">$V$6*NMultDensity(C151:D151,$V$10:$V$11,$T$10:$U$11)/L151</f>
        <v>1.5865362533966323E-110</v>
      </c>
      <c r="N151" s="72" cm="1">
        <f t="array" ref="N151">$V$19*NMultDensity(C151:D151,$V$23:$V$24,$T$23:$U$24)/L151</f>
        <v>0.12032752423338187</v>
      </c>
      <c r="O151" s="46" cm="1">
        <f t="array" ref="O151">$V$32*NMultDensity(C151:D151,$V$36:$V$37,$T$36:$U$37)/L151</f>
        <v>0.87967247576661822</v>
      </c>
      <c r="P151" s="39"/>
      <c r="Q151" s="39"/>
      <c r="R151" s="39"/>
    </row>
  </sheetData>
  <mergeCells count="9">
    <mergeCell ref="Q19:S19"/>
    <mergeCell ref="T19:U19"/>
    <mergeCell ref="Q32:S32"/>
    <mergeCell ref="T32:U32"/>
    <mergeCell ref="Q2:S2"/>
    <mergeCell ref="Q3:R3"/>
    <mergeCell ref="Q4:R4"/>
    <mergeCell ref="Q6:S6"/>
    <mergeCell ref="T6:U6"/>
  </mergeCell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3" operator="notContains" id="{DEB93E48-A791-4A82-AD49-15492B71CE76}">
            <xm:f>ISERROR(SEARCH($E$2,F2))</xm:f>
            <xm:f>$E$2</xm:f>
            <x14:dxf>
              <fill>
                <patternFill patternType="solid">
                  <fgColor auto="1"/>
                  <bgColor rgb="FFFF5050"/>
                </patternFill>
              </fill>
            </x14:dxf>
          </x14:cfRule>
          <xm:sqref>F2:F51 K2:K51</xm:sqref>
        </x14:conditionalFormatting>
        <x14:conditionalFormatting xmlns:xm="http://schemas.microsoft.com/office/excel/2006/main">
          <x14:cfRule type="notContainsText" priority="2" operator="notContains" id="{ABA732E4-6C2B-4FB7-8920-A0AC1C6DB3D8}">
            <xm:f>ISERROR(SEARCH($E$52,F52))</xm:f>
            <xm:f>$E$52</xm:f>
            <x14:dxf>
              <fill>
                <patternFill>
                  <bgColor rgb="FFFF5050"/>
                </patternFill>
              </fill>
            </x14:dxf>
          </x14:cfRule>
          <xm:sqref>F52:F101 K52:K101</xm:sqref>
        </x14:conditionalFormatting>
        <x14:conditionalFormatting xmlns:xm="http://schemas.microsoft.com/office/excel/2006/main">
          <x14:cfRule type="notContainsText" priority="1" operator="notContains" id="{D9855F08-3BD7-4D5D-9A3A-9FD41A27FF58}">
            <xm:f>ISERROR(SEARCH($E$102,F102))</xm:f>
            <xm:f>$E$102</xm:f>
            <x14:dxf>
              <fill>
                <patternFill>
                  <bgColor rgb="FFFF5050"/>
                </patternFill>
              </fill>
            </x14:dxf>
          </x14:cfRule>
          <xm:sqref>F102:F151 K102:K151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DC1C7-5084-4833-81D0-5CB43AD2EB68}">
  <dimension ref="A1:AE151"/>
  <sheetViews>
    <sheetView tabSelected="1" topLeftCell="R31" zoomScaleNormal="100" zoomScaleSheetLayoutView="40" workbookViewId="0">
      <selection activeCell="AI43" sqref="AI43"/>
    </sheetView>
  </sheetViews>
  <sheetFormatPr defaultRowHeight="15" x14ac:dyDescent="0.25"/>
  <cols>
    <col min="1" max="1" width="12.42578125" bestFit="1" customWidth="1"/>
    <col min="2" max="2" width="12" bestFit="1" customWidth="1"/>
    <col min="3" max="3" width="12.140625" bestFit="1" customWidth="1"/>
    <col min="4" max="4" width="11.7109375" bestFit="1" customWidth="1"/>
    <col min="9" max="9" width="9.7109375" bestFit="1" customWidth="1"/>
    <col min="10" max="10" width="13.28515625" bestFit="1" customWidth="1"/>
    <col min="11" max="14" width="9.7109375" customWidth="1"/>
    <col min="15" max="15" width="13.28515625" bestFit="1" customWidth="1"/>
    <col min="16" max="19" width="9.7109375" customWidth="1"/>
    <col min="20" max="20" width="13.28515625" bestFit="1" customWidth="1"/>
    <col min="21" max="24" width="9.7109375" customWidth="1"/>
    <col min="25" max="25" width="12" customWidth="1"/>
    <col min="26" max="27" width="20" bestFit="1" customWidth="1"/>
    <col min="28" max="28" width="9.7109375" bestFit="1" customWidth="1"/>
    <col min="29" max="29" width="8.42578125" bestFit="1" customWidth="1"/>
    <col min="30" max="30" width="14.28515625" bestFit="1" customWidth="1"/>
    <col min="31" max="131" width="6.7109375" customWidth="1"/>
  </cols>
  <sheetData>
    <row r="1" spans="1:31" ht="15.75" thickBot="1" x14ac:dyDescent="0.3">
      <c r="A1" s="82" t="s">
        <v>0</v>
      </c>
      <c r="B1" s="83" t="s">
        <v>1</v>
      </c>
      <c r="C1" s="83" t="s">
        <v>2</v>
      </c>
      <c r="D1" s="84" t="s">
        <v>3</v>
      </c>
      <c r="E1" s="22" t="s">
        <v>35</v>
      </c>
      <c r="F1" s="23" t="s">
        <v>4</v>
      </c>
      <c r="G1" s="23" t="s">
        <v>36</v>
      </c>
      <c r="H1" s="12" t="s">
        <v>37</v>
      </c>
      <c r="I1" s="86" t="s">
        <v>4</v>
      </c>
      <c r="J1" s="48" t="s">
        <v>20</v>
      </c>
      <c r="K1" s="48" t="s">
        <v>21</v>
      </c>
      <c r="L1" s="48" t="s">
        <v>22</v>
      </c>
      <c r="M1" s="48" t="s">
        <v>23</v>
      </c>
      <c r="N1" s="49" t="s">
        <v>24</v>
      </c>
      <c r="O1" s="47" t="s">
        <v>25</v>
      </c>
      <c r="P1" s="48" t="s">
        <v>26</v>
      </c>
      <c r="Q1" s="48" t="s">
        <v>27</v>
      </c>
      <c r="R1" s="48" t="s">
        <v>28</v>
      </c>
      <c r="S1" s="49" t="s">
        <v>29</v>
      </c>
      <c r="T1" s="47" t="s">
        <v>46</v>
      </c>
      <c r="U1" s="48" t="s">
        <v>47</v>
      </c>
      <c r="V1" s="48" t="s">
        <v>48</v>
      </c>
      <c r="W1" s="48" t="s">
        <v>49</v>
      </c>
      <c r="X1" s="49" t="s">
        <v>50</v>
      </c>
    </row>
    <row r="2" spans="1:31" ht="15.75" thickBot="1" x14ac:dyDescent="0.3">
      <c r="A2" s="71">
        <v>5.0999999999999996</v>
      </c>
      <c r="B2" s="25">
        <v>3.5</v>
      </c>
      <c r="C2" s="25">
        <v>1.4</v>
      </c>
      <c r="D2" s="68">
        <v>0.2</v>
      </c>
      <c r="E2" s="80" t="s">
        <v>38</v>
      </c>
      <c r="F2" s="81" t="s">
        <v>5</v>
      </c>
      <c r="G2" s="81">
        <f ca="1">C2+0.05*RAND()-0.025</f>
        <v>1.4103661755294761</v>
      </c>
      <c r="H2" s="60">
        <f ca="1">D2+0.05*RAND()-0.025</f>
        <v>0.17732581115165105</v>
      </c>
      <c r="I2" s="85" t="s">
        <v>5</v>
      </c>
      <c r="J2" s="69" t="str">
        <f t="shared" ref="J2:J33" si="0">IF(L2&gt;MAX(M2:N2),$I$2,IF(M2&gt;N2,$I$52,$I$102))</f>
        <v>setosa</v>
      </c>
      <c r="K2" s="25" cm="1">
        <f t="array" ref="K2">$AE$7*NMultDensity(A2:D2,$AE$9:$AE$12,$AA$49:$AD$52)+$AE$20*NMultDensity(A2:D2,$AE$22:$AE$25,$AA$49:$AD$52)+$AE$33*NMultDensity(A2:D2,$AE$35:$AE$38,$AA$49:$AD$52)</f>
        <v>0.24064967665209519</v>
      </c>
      <c r="L2" s="25" cm="1">
        <f t="array" ref="L2">$AE$7*NMultDensity(A2:D2,$AE$9:$AE$12,$AA$49:$AD$52)/K2</f>
        <v>1</v>
      </c>
      <c r="M2" s="25" cm="1">
        <f t="array" ref="M2">$AE$20*NMultDensity(A2:D2,$AE$22:$AE$25,$AA$49:$AD$52)/K2</f>
        <v>1.4357322967828767E-21</v>
      </c>
      <c r="N2" s="43" cm="1">
        <f t="array" ref="N2">$AE$33*NMultDensity(A2:D2,$AE$35:$AE$38,$AA$49:$AD$52)/K2</f>
        <v>1.6718618150706912E-39</v>
      </c>
      <c r="O2" s="71" t="str">
        <f t="shared" ref="O2:O33" si="1">IF(Q2&gt;MAX(R2:S2),$I$2,IF(R2&gt;S2,$I$52,$I$102))</f>
        <v>setosa</v>
      </c>
      <c r="P2" s="25" cm="1">
        <f t="array" ref="P2">$AE$7*NMultDensity(C2:D2,$AE$11:$AE$12,$AC$51:$AD$52)+$AE$20*NMultDensity(C2:D2,$AE$24:$AE$25,$AC$51:$AD$52)+$AE$33*NMultDensity(C2:D2,$AE$37:$AE$38,$AC$51:$AD$52)</f>
        <v>0.14613092598253186</v>
      </c>
      <c r="Q2" s="25" cm="1">
        <f t="array" ref="Q2">$AE$7*NMultDensity(C2:D2,$AE$11:$AE$12,$AC$51:$AD$52)/P2</f>
        <v>0.99999998705041671</v>
      </c>
      <c r="R2" s="25" cm="1">
        <f t="array" ref="R2">$AE$20*NMultDensity(C2:D2,$AE$24:$AE$25,$AC$51:$AD$52)/P2</f>
        <v>1.2949583187380858E-8</v>
      </c>
      <c r="S2" s="43" cm="1">
        <f t="array" ref="S2">$AE$33*NMultDensity(C2:D2,$AE$37:$AE$38,$AC$51:$AD$52)/P2</f>
        <v>2.9430275134318876E-19</v>
      </c>
      <c r="T2" s="71" t="str">
        <f t="shared" ref="T2:T33" si="2">IF(V2&gt;MAX(W2:X2),$I$2,IF(W2&gt;X2,$I$52,$I$102))</f>
        <v>setosa</v>
      </c>
      <c r="U2" s="25" cm="1">
        <f t="array" ref="U2">$AE$7*NMultDensity(C2:D2,$AE$11:$AE$12,$AC$51:$AD$52)*VLOOKUP($E2,$Z$62:$AD$65,2)+$AE$20*NMultDensity(C2:D2,$AE$24:$AE$25,$AC$51:$AD$52)*VLOOKUP($E2,$Z$62:$AD$65,3)+$AE$33*NMultDensity(C2:D2,$AE$37:$AE$38,$AC$51:$AD$52)*VLOOKUP($E2,$Z$62:$AD$65,4)</f>
        <v>6.429760694030702E-2</v>
      </c>
      <c r="V2" s="25" cm="1">
        <f t="array" ref="V2">$AE$7*NMultDensity(C2:D2,$AE$11:$AE$12,$AC$51:$AD$52)/U2*VLOOKUP($E2,$Z$62:$AD$65,2)</f>
        <v>0.99999999470244327</v>
      </c>
      <c r="W2" s="25" cm="1">
        <f t="array" ref="W2">$AE$20*NMultDensity(C2:D2,$AE$24:$AE$25,$AC$51:$AD$52)/U2*VLOOKUP($E2,$Z$62:$AD$65,3)</f>
        <v>5.2975567990110327E-9</v>
      </c>
      <c r="X2" s="43" cm="1">
        <f t="array" ref="X2">$AE$33*NMultDensity(C2:D2,$AE$37:$AE$38,$AC$51:$AD$52)/U2*VLOOKUP($E2,$Z$62:$AD$65,4)</f>
        <v>4.0132193672072889E-19</v>
      </c>
      <c r="Z2" s="97" t="s">
        <v>19</v>
      </c>
      <c r="AA2" s="97"/>
      <c r="AB2" s="97"/>
    </row>
    <row r="3" spans="1:31" ht="16.5" thickTop="1" thickBot="1" x14ac:dyDescent="0.3">
      <c r="A3" s="71">
        <v>4.9000000000000004</v>
      </c>
      <c r="B3" s="25">
        <v>3</v>
      </c>
      <c r="C3" s="25">
        <v>1.4</v>
      </c>
      <c r="D3" s="68">
        <v>0.2</v>
      </c>
      <c r="E3" s="80" t="s">
        <v>38</v>
      </c>
      <c r="F3" s="81" t="s">
        <v>5</v>
      </c>
      <c r="G3" s="81">
        <f t="shared" ref="G3:G66" ca="1" si="3">C3+0.05*RAND()-0.025</f>
        <v>1.3759097887083207</v>
      </c>
      <c r="H3" s="60">
        <f t="shared" ref="H3:H66" ca="1" si="4">D3+0.05*RAND()-0.025</f>
        <v>0.2229046520796015</v>
      </c>
      <c r="I3" s="78" t="s">
        <v>5</v>
      </c>
      <c r="J3" s="69" t="str">
        <f t="shared" si="0"/>
        <v>setosa</v>
      </c>
      <c r="K3" s="25" cm="1">
        <f t="array" ref="K3">$AE$7*NMultDensity(A3:D3,$AE$9:$AE$12,$AA$49:$AD$52)+$AE$20*NMultDensity(A3:D3,$AE$22:$AE$25,$AA$49:$AD$52)+$AE$33*NMultDensity(A3:D3,$AE$35:$AE$38,$AA$49:$AD$52)</f>
        <v>8.9397981386154263E-2</v>
      </c>
      <c r="L3" s="25" cm="1">
        <f t="array" ref="L3">$AE$7*NMultDensity(A3:D3,$AE$9:$AE$12,$AA$49:$AD$52)/K3</f>
        <v>0.99999999999999967</v>
      </c>
      <c r="M3" s="25" cm="1">
        <f t="array" ref="M3">$AE$20*NMultDensity(A3:D3,$AE$22:$AE$25,$AA$49:$AD$52)/K3</f>
        <v>2.8578868413863222E-16</v>
      </c>
      <c r="N3" s="43" cm="1">
        <f t="array" ref="N3">$AE$33*NMultDensity(A3:D3,$AE$35:$AE$38,$AA$49:$AD$52)/K3</f>
        <v>5.9821384212960303E-33</v>
      </c>
      <c r="O3" s="71" t="str">
        <f t="shared" si="1"/>
        <v>setosa</v>
      </c>
      <c r="P3" s="25" cm="1">
        <f t="array" ref="P3">$AE$7*NMultDensity(C3:D3,$AE$11:$AE$12,$AC$51:$AD$52)+$AE$20*NMultDensity(C3:D3,$AE$24:$AE$25,$AC$51:$AD$52)+$AE$33*NMultDensity(C3:D3,$AE$37:$AE$38,$AC$51:$AD$52)</f>
        <v>0.14613092598253186</v>
      </c>
      <c r="Q3" s="25" cm="1">
        <f t="array" ref="Q3">$AE$7*NMultDensity(C3:D3,$AE$11:$AE$12,$AC$51:$AD$52)/P3</f>
        <v>0.99999998705041671</v>
      </c>
      <c r="R3" s="25" cm="1">
        <f t="array" ref="R3">$AE$20*NMultDensity(C3:D3,$AE$24:$AE$25,$AC$51:$AD$52)/P3</f>
        <v>1.2949583187380858E-8</v>
      </c>
      <c r="S3" s="43" cm="1">
        <f t="array" ref="S3">$AE$33*NMultDensity(C3:D3,$AE$37:$AE$38,$AC$51:$AD$52)/P3</f>
        <v>2.9430275134318876E-19</v>
      </c>
      <c r="T3" s="71" t="str">
        <f t="shared" si="2"/>
        <v>setosa</v>
      </c>
      <c r="U3" s="25" cm="1">
        <f t="array" ref="U3">$AE$7*NMultDensity(C3:D3,$AE$11:$AE$12,$AC$51:$AD$52)*VLOOKUP($E3,$Z$62:$AD$65,2)+$AE$20*NMultDensity(C3:D3,$AE$24:$AE$25,$AC$51:$AD$52)*VLOOKUP($E3,$Z$62:$AD$65,3)+$AE$33*NMultDensity(C3:D3,$AE$37:$AE$38,$AC$51:$AD$52)*VLOOKUP($E3,$Z$62:$AD$65,4)</f>
        <v>6.429760694030702E-2</v>
      </c>
      <c r="V3" s="25" cm="1">
        <f t="array" ref="V3">$AE$7*NMultDensity(C3:D3,$AE$11:$AE$12,$AC$51:$AD$52)/U3*VLOOKUP($E3,$Z$62:$AD$65,2)</f>
        <v>0.99999999470244327</v>
      </c>
      <c r="W3" s="25" cm="1">
        <f t="array" ref="W3">$AE$20*NMultDensity(C3:D3,$AE$24:$AE$25,$AC$51:$AD$52)/U3*VLOOKUP($E3,$Z$62:$AD$65,3)</f>
        <v>5.2975567990110327E-9</v>
      </c>
      <c r="X3" s="43" cm="1">
        <f t="array" ref="X3">$AE$33*NMultDensity(C3:D3,$AE$37:$AE$38,$AC$51:$AD$52)/U3*VLOOKUP($E3,$Z$62:$AD$65,4)</f>
        <v>4.0132193672072889E-19</v>
      </c>
      <c r="Z3" s="98" t="s">
        <v>33</v>
      </c>
      <c r="AA3" s="99"/>
      <c r="AB3" s="75">
        <f>COUNTIF(J2:J51,I2)/150+COUNTIF(J52:J101,I52)/150+COUNTIF(J102:J151,I102)/150</f>
        <v>0.98666666666666658</v>
      </c>
    </row>
    <row r="4" spans="1:31" ht="16.5" thickTop="1" thickBot="1" x14ac:dyDescent="0.3">
      <c r="A4" s="71">
        <v>4.7</v>
      </c>
      <c r="B4" s="25">
        <v>3.2</v>
      </c>
      <c r="C4" s="25">
        <v>1.3</v>
      </c>
      <c r="D4" s="68">
        <v>0.2</v>
      </c>
      <c r="E4" s="80" t="s">
        <v>38</v>
      </c>
      <c r="F4" s="81" t="s">
        <v>5</v>
      </c>
      <c r="G4" s="81">
        <f t="shared" ca="1" si="3"/>
        <v>1.2811388453626269</v>
      </c>
      <c r="H4" s="60">
        <f t="shared" ca="1" si="4"/>
        <v>0.17699374604730428</v>
      </c>
      <c r="I4" s="78" t="s">
        <v>5</v>
      </c>
      <c r="J4" s="69" t="str">
        <f t="shared" si="0"/>
        <v>setosa</v>
      </c>
      <c r="K4" s="25" cm="1">
        <f t="array" ref="K4">$AE$7*NMultDensity(A4:D4,$AE$9:$AE$12,$AA$49:$AD$52)+$AE$20*NMultDensity(A4:D4,$AE$22:$AE$25,$AA$49:$AD$52)+$AE$33*NMultDensity(A4:D4,$AE$35:$AE$38,$AA$49:$AD$52)</f>
        <v>0.20766600744878524</v>
      </c>
      <c r="L4" s="25" cm="1">
        <f t="array" ref="L4">$AE$7*NMultDensity(A4:D4,$AE$9:$AE$12,$AA$49:$AD$52)/K4</f>
        <v>1</v>
      </c>
      <c r="M4" s="25" cm="1">
        <f t="array" ref="M4">$AE$20*NMultDensity(A4:D4,$AE$22:$AE$25,$AA$49:$AD$52)/K4</f>
        <v>4.2828248119030145E-18</v>
      </c>
      <c r="N4" s="43" cm="1">
        <f t="array" ref="N4">$AE$33*NMultDensity(A4:D4,$AE$35:$AE$38,$AA$49:$AD$52)/K4</f>
        <v>3.947660780881344E-35</v>
      </c>
      <c r="O4" s="71" t="str">
        <f t="shared" si="1"/>
        <v>setosa</v>
      </c>
      <c r="P4" s="25" cm="1">
        <f t="array" ref="P4">$AE$7*NMultDensity(C4:D4,$AE$11:$AE$12,$AC$51:$AD$52)+$AE$20*NMultDensity(C4:D4,$AE$24:$AE$25,$AC$51:$AD$52)+$AE$33*NMultDensity(C4:D4,$AE$37:$AE$38,$AC$51:$AD$52)</f>
        <v>0.14115711041154599</v>
      </c>
      <c r="Q4" s="25" cm="1">
        <f t="array" ref="Q4">$AE$7*NMultDensity(C4:D4,$AE$11:$AE$12,$AC$51:$AD$52)/P4</f>
        <v>0.9999999947194923</v>
      </c>
      <c r="R4" s="25" cm="1">
        <f t="array" ref="R4">$AE$20*NMultDensity(C4:D4,$AE$24:$AE$25,$AC$51:$AD$52)/P4</f>
        <v>5.2805075692161505E-9</v>
      </c>
      <c r="S4" s="43" cm="1">
        <f t="array" ref="S4">$AE$33*NMultDensity(C4:D4,$AE$37:$AE$38,$AC$51:$AD$52)/P4</f>
        <v>8.7029364067305012E-20</v>
      </c>
      <c r="T4" s="71" t="str">
        <f t="shared" si="2"/>
        <v>setosa</v>
      </c>
      <c r="U4" s="25" cm="1">
        <f t="array" ref="U4">$AE$7*NMultDensity(C4:D4,$AE$11:$AE$12,$AC$51:$AD$52)*VLOOKUP($E4,$Z$62:$AD$65,2)+$AE$20*NMultDensity(C4:D4,$AE$24:$AE$25,$AC$51:$AD$52)*VLOOKUP($E4,$Z$62:$AD$65,3)+$AE$33*NMultDensity(C4:D4,$AE$37:$AE$38,$AC$51:$AD$52)*VLOOKUP($E4,$Z$62:$AD$65,4)</f>
        <v>6.2109128387281123E-2</v>
      </c>
      <c r="V4" s="25" cm="1">
        <f t="array" ref="V4">$AE$7*NMultDensity(C4:D4,$AE$11:$AE$12,$AC$51:$AD$52)/U4*VLOOKUP($E4,$Z$62:$AD$65,2)</f>
        <v>0.99999999783979243</v>
      </c>
      <c r="W4" s="25" cm="1">
        <f t="array" ref="W4">$AE$20*NMultDensity(C4:D4,$AE$24:$AE$25,$AC$51:$AD$52)/U4*VLOOKUP($E4,$Z$62:$AD$65,3)</f>
        <v>2.1602076486925575E-9</v>
      </c>
      <c r="X4" s="43" cm="1">
        <f t="array" ref="X4">$AE$33*NMultDensity(C4:D4,$AE$37:$AE$38,$AC$51:$AD$52)/U4*VLOOKUP($E4,$Z$62:$AD$65,4)</f>
        <v>1.1867640591663102E-19</v>
      </c>
      <c r="Z4" s="100" t="s">
        <v>32</v>
      </c>
      <c r="AA4" s="101"/>
      <c r="AB4" s="75">
        <f>COUNTIF(O2:O51,I2)/150+COUNTIF(O52:O101,I52)/150+COUNTIF(O102:O151,I102)/150</f>
        <v>0.96000000000000008</v>
      </c>
    </row>
    <row r="5" spans="1:31" ht="16.5" thickTop="1" thickBot="1" x14ac:dyDescent="0.3">
      <c r="A5" s="71">
        <v>4.5999999999999996</v>
      </c>
      <c r="B5" s="25">
        <v>3.1</v>
      </c>
      <c r="C5" s="25">
        <v>1.5</v>
      </c>
      <c r="D5" s="68">
        <v>0.2</v>
      </c>
      <c r="E5" s="80" t="s">
        <v>38</v>
      </c>
      <c r="F5" s="81" t="s">
        <v>5</v>
      </c>
      <c r="G5" s="81">
        <f t="shared" ca="1" si="3"/>
        <v>1.4761412085905008</v>
      </c>
      <c r="H5" s="60">
        <f t="shared" ca="1" si="4"/>
        <v>0.21695339016985998</v>
      </c>
      <c r="I5" s="78" t="s">
        <v>5</v>
      </c>
      <c r="J5" s="69" t="str">
        <f t="shared" si="0"/>
        <v>setosa</v>
      </c>
      <c r="K5" s="25" cm="1">
        <f t="array" ref="K5">$AE$7*NMultDensity(A5:D5,$AE$9:$AE$12,$AA$49:$AD$52)+$AE$20*NMultDensity(A5:D5,$AE$22:$AE$25,$AA$49:$AD$52)+$AE$33*NMultDensity(A5:D5,$AE$35:$AE$38,$AA$49:$AD$52)</f>
        <v>8.2667038042299204E-2</v>
      </c>
      <c r="L5" s="25" cm="1">
        <f t="array" ref="L5">$AE$7*NMultDensity(A5:D5,$AE$9:$AE$12,$AA$49:$AD$52)/K5</f>
        <v>0.99999999999999289</v>
      </c>
      <c r="M5" s="25" cm="1">
        <f t="array" ref="M5">$AE$20*NMultDensity(A5:D5,$AE$22:$AE$25,$AA$49:$AD$52)/K5</f>
        <v>7.0550793257525106E-15</v>
      </c>
      <c r="N5" s="43" cm="1">
        <f t="array" ref="N5">$AE$33*NMultDensity(A5:D5,$AE$35:$AE$38,$AA$49:$AD$52)/K5</f>
        <v>6.6462695345684182E-31</v>
      </c>
      <c r="O5" s="71" t="str">
        <f t="shared" si="1"/>
        <v>setosa</v>
      </c>
      <c r="P5" s="25" cm="1">
        <f t="array" ref="P5">$AE$7*NMultDensity(C5:D5,$AE$11:$AE$12,$AC$51:$AD$52)+$AE$20*NMultDensity(C5:D5,$AE$24:$AE$25,$AC$51:$AD$52)+$AE$33*NMultDensity(C5:D5,$AE$37:$AE$38,$AC$51:$AD$52)</f>
        <v>0.1439203548375585</v>
      </c>
      <c r="Q5" s="25" cm="1">
        <f t="array" ref="Q5">$AE$7*NMultDensity(C5:D5,$AE$11:$AE$12,$AC$51:$AD$52)/P5</f>
        <v>0.99999996824326065</v>
      </c>
      <c r="R5" s="25" cm="1">
        <f t="array" ref="R5">$AE$20*NMultDensity(C5:D5,$AE$24:$AE$25,$AC$51:$AD$52)/P5</f>
        <v>3.1756739415871158E-8</v>
      </c>
      <c r="S5" s="43" cm="1">
        <f t="array" ref="S5">$AE$33*NMultDensity(C5:D5,$AE$37:$AE$38,$AC$51:$AD$52)/P5</f>
        <v>9.9522855775976634E-19</v>
      </c>
      <c r="T5" s="71" t="str">
        <f t="shared" si="2"/>
        <v>setosa</v>
      </c>
      <c r="U5" s="25" cm="1">
        <f t="array" ref="U5">$AE$7*NMultDensity(C5:D5,$AE$11:$AE$12,$AC$51:$AD$52)*VLOOKUP($E5,$Z$62:$AD$65,2)+$AE$20*NMultDensity(C5:D5,$AE$24:$AE$25,$AC$51:$AD$52)*VLOOKUP($E5,$Z$62:$AD$65,3)+$AE$33*NMultDensity(C5:D5,$AE$37:$AE$38,$AC$51:$AD$52)*VLOOKUP($E5,$Z$62:$AD$65,4)</f>
        <v>6.3324954940211023E-2</v>
      </c>
      <c r="V5" s="25" cm="1">
        <f t="array" ref="V5">$AE$7*NMultDensity(C5:D5,$AE$11:$AE$12,$AC$51:$AD$52)/U5*VLOOKUP($E5,$Z$62:$AD$65,2)</f>
        <v>0.99999998700860648</v>
      </c>
      <c r="W5" s="25" cm="1">
        <f t="array" ref="W5">$AE$20*NMultDensity(C5:D5,$AE$24:$AE$25,$AC$51:$AD$52)/U5*VLOOKUP($E5,$Z$62:$AD$65,3)</f>
        <v>1.2991393641189836E-8</v>
      </c>
      <c r="X5" s="43" cm="1">
        <f t="array" ref="X5">$AE$33*NMultDensity(C5:D5,$AE$37:$AE$38,$AC$51:$AD$52)/U5*VLOOKUP($E5,$Z$62:$AD$65,4)</f>
        <v>1.3571298769576022E-18</v>
      </c>
      <c r="Z5" s="100" t="s">
        <v>51</v>
      </c>
      <c r="AA5" s="101"/>
      <c r="AB5" s="75">
        <f>COUNTIF(O2:O51,I2)/150+COUNTIF(O52:O101,I52)/150+COUNTIF(O102:O151,I102)/150</f>
        <v>0.96000000000000008</v>
      </c>
    </row>
    <row r="6" spans="1:31" ht="15.75" thickTop="1" x14ac:dyDescent="0.25">
      <c r="A6" s="71">
        <v>5</v>
      </c>
      <c r="B6" s="25">
        <v>3.6</v>
      </c>
      <c r="C6" s="25">
        <v>1.4</v>
      </c>
      <c r="D6" s="68">
        <v>0.2</v>
      </c>
      <c r="E6" s="80" t="s">
        <v>38</v>
      </c>
      <c r="F6" s="81" t="s">
        <v>5</v>
      </c>
      <c r="G6" s="81">
        <f t="shared" ca="1" si="3"/>
        <v>1.3966938306036605</v>
      </c>
      <c r="H6" s="60">
        <f t="shared" ca="1" si="4"/>
        <v>0.22320875986133845</v>
      </c>
      <c r="I6" s="78" t="s">
        <v>5</v>
      </c>
      <c r="J6" s="69" t="str">
        <f t="shared" si="0"/>
        <v>setosa</v>
      </c>
      <c r="K6" s="25" cm="1">
        <f t="array" ref="K6">$AE$7*NMultDensity(A6:D6,$AE$9:$AE$12,$AA$49:$AD$52)+$AE$20*NMultDensity(A6:D6,$AE$22:$AE$25,$AA$49:$AD$52)+$AE$33*NMultDensity(A6:D6,$AE$35:$AE$38,$AA$49:$AD$52)</f>
        <v>0.20329388703380902</v>
      </c>
      <c r="L6" s="25" cm="1">
        <f t="array" ref="L6">$AE$7*NMultDensity(A6:D6,$AE$9:$AE$12,$AA$49:$AD$52)/K6</f>
        <v>1</v>
      </c>
      <c r="M6" s="25" cm="1">
        <f t="array" ref="M6">$AE$20*NMultDensity(A6:D6,$AE$22:$AE$25,$AA$49:$AD$52)/K6</f>
        <v>5.22021090093268E-22</v>
      </c>
      <c r="N6" s="43" cm="1">
        <f t="array" ref="N6">$AE$33*NMultDensity(A6:D6,$AE$35:$AE$38,$AA$49:$AD$52)/K6</f>
        <v>5.8877077600644735E-40</v>
      </c>
      <c r="O6" s="71" t="str">
        <f t="shared" si="1"/>
        <v>setosa</v>
      </c>
      <c r="P6" s="25" cm="1">
        <f t="array" ref="P6">$AE$7*NMultDensity(C6:D6,$AE$11:$AE$12,$AC$51:$AD$52)+$AE$20*NMultDensity(C6:D6,$AE$24:$AE$25,$AC$51:$AD$52)+$AE$33*NMultDensity(C6:D6,$AE$37:$AE$38,$AC$51:$AD$52)</f>
        <v>0.14613092598253186</v>
      </c>
      <c r="Q6" s="25" cm="1">
        <f t="array" ref="Q6">$AE$7*NMultDensity(C6:D6,$AE$11:$AE$12,$AC$51:$AD$52)/P6</f>
        <v>0.99999998705041671</v>
      </c>
      <c r="R6" s="25" cm="1">
        <f t="array" ref="R6">$AE$20*NMultDensity(C6:D6,$AE$24:$AE$25,$AC$51:$AD$52)/P6</f>
        <v>1.2949583187380858E-8</v>
      </c>
      <c r="S6" s="43" cm="1">
        <f t="array" ref="S6">$AE$33*NMultDensity(C6:D6,$AE$37:$AE$38,$AC$51:$AD$52)/P6</f>
        <v>2.9430275134318876E-19</v>
      </c>
      <c r="T6" s="71" t="str">
        <f t="shared" si="2"/>
        <v>setosa</v>
      </c>
      <c r="U6" s="25" cm="1">
        <f t="array" ref="U6">$AE$7*NMultDensity(C6:D6,$AE$11:$AE$12,$AC$51:$AD$52)*VLOOKUP($E6,$Z$62:$AD$65,2)+$AE$20*NMultDensity(C6:D6,$AE$24:$AE$25,$AC$51:$AD$52)*VLOOKUP($E6,$Z$62:$AD$65,3)+$AE$33*NMultDensity(C6:D6,$AE$37:$AE$38,$AC$51:$AD$52)*VLOOKUP($E6,$Z$62:$AD$65,4)</f>
        <v>6.429760694030702E-2</v>
      </c>
      <c r="V6" s="25" cm="1">
        <f t="array" ref="V6">$AE$7*NMultDensity(C6:D6,$AE$11:$AE$12,$AC$51:$AD$52)/U6*VLOOKUP($E6,$Z$62:$AD$65,2)</f>
        <v>0.99999999470244327</v>
      </c>
      <c r="W6" s="25" cm="1">
        <f t="array" ref="W6">$AE$20*NMultDensity(C6:D6,$AE$24:$AE$25,$AC$51:$AD$52)/U6*VLOOKUP($E6,$Z$62:$AD$65,3)</f>
        <v>5.2975567990110327E-9</v>
      </c>
      <c r="X6" s="43" cm="1">
        <f t="array" ref="X6">$AE$33*NMultDensity(C6:D6,$AE$37:$AE$38,$AC$51:$AD$52)/U6*VLOOKUP($E6,$Z$62:$AD$65,4)</f>
        <v>4.0132193672072889E-19</v>
      </c>
    </row>
    <row r="7" spans="1:31" ht="15.75" thickBot="1" x14ac:dyDescent="0.3">
      <c r="A7" s="71">
        <v>5.4</v>
      </c>
      <c r="B7" s="25">
        <v>3.9</v>
      </c>
      <c r="C7" s="25">
        <v>1.7</v>
      </c>
      <c r="D7" s="68">
        <v>0.4</v>
      </c>
      <c r="E7" s="80" t="s">
        <v>38</v>
      </c>
      <c r="F7" s="81" t="s">
        <v>5</v>
      </c>
      <c r="G7" s="81">
        <f t="shared" ca="1" si="3"/>
        <v>1.7032836876032811</v>
      </c>
      <c r="H7" s="60">
        <f t="shared" ca="1" si="4"/>
        <v>0.39329923672397399</v>
      </c>
      <c r="I7" s="78" t="s">
        <v>5</v>
      </c>
      <c r="J7" s="69" t="str">
        <f t="shared" si="0"/>
        <v>setosa</v>
      </c>
      <c r="K7" s="25" cm="1">
        <f t="array" ref="K7">$AE$7*NMultDensity(A7:D7,$AE$9:$AE$12,$AA$49:$AD$52)+$AE$20*NMultDensity(A7:D7,$AE$22:$AE$25,$AA$49:$AD$52)+$AE$33*NMultDensity(A7:D7,$AE$35:$AE$38,$AA$49:$AD$52)</f>
        <v>9.6443986503445558E-2</v>
      </c>
      <c r="L7" s="25" cm="1">
        <f t="array" ref="L7">$AE$7*NMultDensity(A7:D7,$AE$9:$AE$12,$AA$49:$AD$52)/K7</f>
        <v>1</v>
      </c>
      <c r="M7" s="25" cm="1">
        <f t="array" ref="M7">$AE$20*NMultDensity(A7:D7,$AE$22:$AE$25,$AA$49:$AD$52)/K7</f>
        <v>1.1605795449175158E-21</v>
      </c>
      <c r="N7" s="43" cm="1">
        <f t="array" ref="N7">$AE$33*NMultDensity(A7:D7,$AE$35:$AE$38,$AA$49:$AD$52)/K7</f>
        <v>7.7084283922251439E-39</v>
      </c>
      <c r="O7" s="71" t="str">
        <f t="shared" si="1"/>
        <v>setosa</v>
      </c>
      <c r="P7" s="25" cm="1">
        <f t="array" ref="P7">$AE$7*NMultDensity(C7:D7,$AE$11:$AE$12,$AC$51:$AD$52)+$AE$20*NMultDensity(C7:D7,$AE$24:$AE$25,$AC$51:$AD$52)+$AE$33*NMultDensity(C7:D7,$AE$37:$AE$38,$AC$51:$AD$52)</f>
        <v>0.11825771822736533</v>
      </c>
      <c r="Q7" s="25" cm="1">
        <f t="array" ref="Q7">$AE$7*NMultDensity(C7:D7,$AE$11:$AE$12,$AC$51:$AD$52)/P7</f>
        <v>0.99999838216910875</v>
      </c>
      <c r="R7" s="25" cm="1">
        <f t="array" ref="R7">$AE$20*NMultDensity(C7:D7,$AE$24:$AE$25,$AC$51:$AD$52)/P7</f>
        <v>1.6178308906963157E-6</v>
      </c>
      <c r="S7" s="43" cm="1">
        <f t="array" ref="S7">$AE$33*NMultDensity(C7:D7,$AE$37:$AE$38,$AC$51:$AD$52)/P7</f>
        <v>6.2315633925264089E-16</v>
      </c>
      <c r="T7" s="71" t="str">
        <f t="shared" si="2"/>
        <v>setosa</v>
      </c>
      <c r="U7" s="25" cm="1">
        <f t="array" ref="U7">$AE$7*NMultDensity(C7:D7,$AE$11:$AE$12,$AC$51:$AD$52)*VLOOKUP($E7,$Z$62:$AD$65,2)+$AE$20*NMultDensity(C7:D7,$AE$24:$AE$25,$AC$51:$AD$52)*VLOOKUP($E7,$Z$62:$AD$65,3)+$AE$33*NMultDensity(C7:D7,$AE$37:$AE$38,$AC$51:$AD$52)*VLOOKUP($E7,$Z$62:$AD$65,4)</f>
        <v>5.2033346276583459E-2</v>
      </c>
      <c r="V7" s="25" cm="1">
        <f t="array" ref="V7">$AE$7*NMultDensity(C7:D7,$AE$11:$AE$12,$AC$51:$AD$52)/U7*VLOOKUP($E7,$Z$62:$AD$65,2)</f>
        <v>0.99999933815945663</v>
      </c>
      <c r="W7" s="25" cm="1">
        <f t="array" ref="W7">$AE$20*NMultDensity(C7:D7,$AE$24:$AE$25,$AC$51:$AD$52)/U7*VLOOKUP($E7,$Z$62:$AD$65,3)</f>
        <v>6.6184054254390025E-7</v>
      </c>
      <c r="X7" s="43" cm="1">
        <f t="array" ref="X7">$AE$33*NMultDensity(C7:D7,$AE$37:$AE$38,$AC$51:$AD$52)/U7*VLOOKUP($E7,$Z$62:$AD$65,4)</f>
        <v>8.4975945679779569E-16</v>
      </c>
      <c r="Z7" s="102" t="s">
        <v>8</v>
      </c>
      <c r="AA7" s="103"/>
      <c r="AB7" s="104"/>
      <c r="AC7" s="105" t="s">
        <v>17</v>
      </c>
      <c r="AD7" s="106"/>
      <c r="AE7" s="24">
        <f>0.1</f>
        <v>0.1</v>
      </c>
    </row>
    <row r="8" spans="1:31" ht="15.75" thickBot="1" x14ac:dyDescent="0.3">
      <c r="A8" s="71">
        <v>4.5999999999999996</v>
      </c>
      <c r="B8" s="25">
        <v>3.4</v>
      </c>
      <c r="C8" s="25">
        <v>1.4</v>
      </c>
      <c r="D8" s="68">
        <v>0.3</v>
      </c>
      <c r="E8" s="80" t="s">
        <v>38</v>
      </c>
      <c r="F8" s="81" t="s">
        <v>5</v>
      </c>
      <c r="G8" s="81">
        <f t="shared" ca="1" si="3"/>
        <v>1.376988489721229</v>
      </c>
      <c r="H8" s="60">
        <f t="shared" ca="1" si="4"/>
        <v>0.2960649210428703</v>
      </c>
      <c r="I8" s="78" t="s">
        <v>5</v>
      </c>
      <c r="J8" s="69" t="str">
        <f t="shared" si="0"/>
        <v>setosa</v>
      </c>
      <c r="K8" s="25" cm="1">
        <f t="array" ref="K8">$AE$7*NMultDensity(A8:D8,$AE$9:$AE$12,$AA$49:$AD$52)+$AE$20*NMultDensity(A8:D8,$AE$22:$AE$25,$AA$49:$AD$52)+$AE$33*NMultDensity(A8:D8,$AE$35:$AE$38,$AA$49:$AD$52)</f>
        <v>0.15401624841550629</v>
      </c>
      <c r="L8" s="25" cm="1">
        <f t="array" ref="L8">$AE$7*NMultDensity(A8:D8,$AE$9:$AE$12,$AA$49:$AD$52)/K8</f>
        <v>1</v>
      </c>
      <c r="M8" s="25" cm="1">
        <f t="array" ref="M8">$AE$20*NMultDensity(A8:D8,$AE$22:$AE$25,$AA$49:$AD$52)/K8</f>
        <v>1.6620041813888783E-17</v>
      </c>
      <c r="N8" s="43" cm="1">
        <f t="array" ref="N8">$AE$33*NMultDensity(A8:D8,$AE$35:$AE$38,$AA$49:$AD$52)/K8</f>
        <v>6.6439667859344045E-34</v>
      </c>
      <c r="O8" s="71" t="str">
        <f t="shared" si="1"/>
        <v>setosa</v>
      </c>
      <c r="P8" s="25" cm="1">
        <f t="array" ref="P8">$AE$7*NMultDensity(C8:D8,$AE$11:$AE$12,$AC$51:$AD$52)+$AE$20*NMultDensity(C8:D8,$AE$24:$AE$25,$AC$51:$AD$52)+$AE$33*NMultDensity(C8:D8,$AE$37:$AE$38,$AC$51:$AD$52)</f>
        <v>0.14077359482943874</v>
      </c>
      <c r="Q8" s="25" cm="1">
        <f t="array" ref="Q8">$AE$7*NMultDensity(C8:D8,$AE$11:$AE$12,$AC$51:$AD$52)/P8</f>
        <v>0.99999996231013255</v>
      </c>
      <c r="R8" s="25" cm="1">
        <f t="array" ref="R8">$AE$20*NMultDensity(C8:D8,$AE$24:$AE$25,$AC$51:$AD$52)/P8</f>
        <v>3.768986734545163E-8</v>
      </c>
      <c r="S8" s="43" cm="1">
        <f t="array" ref="S8">$AE$33*NMultDensity(C8:D8,$AE$37:$AE$38,$AC$51:$AD$52)/P8</f>
        <v>2.177725990822559E-18</v>
      </c>
      <c r="T8" s="71" t="str">
        <f t="shared" si="2"/>
        <v>setosa</v>
      </c>
      <c r="U8" s="25" cm="1">
        <f t="array" ref="U8">$AE$7*NMultDensity(C8:D8,$AE$11:$AE$12,$AC$51:$AD$52)*VLOOKUP($E8,$Z$62:$AD$65,2)+$AE$20*NMultDensity(C8:D8,$AE$24:$AE$25,$AC$51:$AD$52)*VLOOKUP($E8,$Z$62:$AD$65,3)+$AE$33*NMultDensity(C8:D8,$AE$37:$AE$38,$AC$51:$AD$52)*VLOOKUP($E8,$Z$62:$AD$65,4)</f>
        <v>6.1940380345461128E-2</v>
      </c>
      <c r="V8" s="25" cm="1">
        <f t="array" ref="V8">$AE$7*NMultDensity(C8:D8,$AE$11:$AE$12,$AC$51:$AD$52)/U8*VLOOKUP($E8,$Z$62:$AD$65,2)</f>
        <v>0.99999998458141748</v>
      </c>
      <c r="W8" s="25" cm="1">
        <f t="array" ref="W8">$AE$20*NMultDensity(C8:D8,$AE$24:$AE$25,$AC$51:$AD$52)/U8*VLOOKUP($E8,$Z$62:$AD$65,3)</f>
        <v>1.5418582439258223E-8</v>
      </c>
      <c r="X8" s="43" cm="1">
        <f t="array" ref="X8">$AE$33*NMultDensity(C8:D8,$AE$37:$AE$38,$AC$51:$AD$52)/U8*VLOOKUP($E8,$Z$62:$AD$65,4)</f>
        <v>2.9696264172590688E-18</v>
      </c>
      <c r="AA8" s="22" t="s">
        <v>15</v>
      </c>
      <c r="AB8" s="23" t="s">
        <v>16</v>
      </c>
      <c r="AC8" s="23" t="s">
        <v>9</v>
      </c>
      <c r="AD8" s="70" t="s">
        <v>10</v>
      </c>
      <c r="AE8" s="56" t="s">
        <v>11</v>
      </c>
    </row>
    <row r="9" spans="1:31" x14ac:dyDescent="0.25">
      <c r="A9" s="71">
        <v>5</v>
      </c>
      <c r="B9" s="25">
        <v>3.4</v>
      </c>
      <c r="C9" s="25">
        <v>1.5</v>
      </c>
      <c r="D9" s="68">
        <v>0.2</v>
      </c>
      <c r="E9" s="80" t="s">
        <v>38</v>
      </c>
      <c r="F9" s="81" t="s">
        <v>5</v>
      </c>
      <c r="G9" s="81">
        <f t="shared" ca="1" si="3"/>
        <v>1.4793083780257852</v>
      </c>
      <c r="H9" s="60">
        <f t="shared" ca="1" si="4"/>
        <v>0.22232223494651832</v>
      </c>
      <c r="I9" s="78" t="s">
        <v>5</v>
      </c>
      <c r="J9" s="69" t="str">
        <f t="shared" si="0"/>
        <v>setosa</v>
      </c>
      <c r="K9" s="25" cm="1">
        <f t="array" ref="K9">$AE$7*NMultDensity(A9:D9,$AE$9:$AE$12,$AA$49:$AD$52)+$AE$20*NMultDensity(A9:D9,$AE$22:$AE$25,$AA$49:$AD$52)+$AE$33*NMultDensity(A9:D9,$AE$35:$AE$38,$AA$49:$AD$52)</f>
        <v>0.27090869667485529</v>
      </c>
      <c r="L9" s="25" cm="1">
        <f t="array" ref="L9">$AE$7*NMultDensity(A9:D9,$AE$9:$AE$12,$AA$49:$AD$52)/K9</f>
        <v>1</v>
      </c>
      <c r="M9" s="25" cm="1">
        <f t="array" ref="M9">$AE$20*NMultDensity(A9:D9,$AE$22:$AE$25,$AA$49:$AD$52)/K9</f>
        <v>2.6810269760095317E-19</v>
      </c>
      <c r="N9" s="43" cm="1">
        <f t="array" ref="N9">$AE$33*NMultDensity(A9:D9,$AE$35:$AE$38,$AA$49:$AD$52)/K9</f>
        <v>1.4977183028881744E-36</v>
      </c>
      <c r="O9" s="71" t="str">
        <f t="shared" si="1"/>
        <v>setosa</v>
      </c>
      <c r="P9" s="25" cm="1">
        <f t="array" ref="P9">$AE$7*NMultDensity(C9:D9,$AE$11:$AE$12,$AC$51:$AD$52)+$AE$20*NMultDensity(C9:D9,$AE$24:$AE$25,$AC$51:$AD$52)+$AE$33*NMultDensity(C9:D9,$AE$37:$AE$38,$AC$51:$AD$52)</f>
        <v>0.1439203548375585</v>
      </c>
      <c r="Q9" s="25" cm="1">
        <f t="array" ref="Q9">$AE$7*NMultDensity(C9:D9,$AE$11:$AE$12,$AC$51:$AD$52)/P9</f>
        <v>0.99999996824326065</v>
      </c>
      <c r="R9" s="25" cm="1">
        <f t="array" ref="R9">$AE$20*NMultDensity(C9:D9,$AE$24:$AE$25,$AC$51:$AD$52)/P9</f>
        <v>3.1756739415871158E-8</v>
      </c>
      <c r="S9" s="43" cm="1">
        <f t="array" ref="S9">$AE$33*NMultDensity(C9:D9,$AE$37:$AE$38,$AC$51:$AD$52)/P9</f>
        <v>9.9522855775976634E-19</v>
      </c>
      <c r="T9" s="71" t="str">
        <f t="shared" si="2"/>
        <v>setosa</v>
      </c>
      <c r="U9" s="25" cm="1">
        <f t="array" ref="U9">$AE$7*NMultDensity(C9:D9,$AE$11:$AE$12,$AC$51:$AD$52)*VLOOKUP($E9,$Z$62:$AD$65,2)+$AE$20*NMultDensity(C9:D9,$AE$24:$AE$25,$AC$51:$AD$52)*VLOOKUP($E9,$Z$62:$AD$65,3)+$AE$33*NMultDensity(C9:D9,$AE$37:$AE$38,$AC$51:$AD$52)*VLOOKUP($E9,$Z$62:$AD$65,4)</f>
        <v>6.3324954940211023E-2</v>
      </c>
      <c r="V9" s="25" cm="1">
        <f t="array" ref="V9">$AE$7*NMultDensity(C9:D9,$AE$11:$AE$12,$AC$51:$AD$52)/U9*VLOOKUP($E9,$Z$62:$AD$65,2)</f>
        <v>0.99999998700860648</v>
      </c>
      <c r="W9" s="25" cm="1">
        <f t="array" ref="W9">$AE$20*NMultDensity(C9:D9,$AE$24:$AE$25,$AC$51:$AD$52)/U9*VLOOKUP($E9,$Z$62:$AD$65,3)</f>
        <v>1.2991393641189836E-8</v>
      </c>
      <c r="X9" s="43" cm="1">
        <f t="array" ref="X9">$AE$33*NMultDensity(C9:D9,$AE$37:$AE$38,$AC$51:$AD$52)/U9*VLOOKUP($E9,$Z$62:$AD$65,4)</f>
        <v>1.3571298769576022E-18</v>
      </c>
      <c r="Z9" s="30" t="s">
        <v>15</v>
      </c>
      <c r="AA9" s="2">
        <f>_xlfn.COVARIANCE.S($A$2:$A$51,A2:A51)</f>
        <v>0.12424897959183666</v>
      </c>
      <c r="AB9" s="3">
        <f>_xlfn.COVARIANCE.S($A$2:$A$51,B2:B51)</f>
        <v>9.9216326530612187E-2</v>
      </c>
      <c r="AC9" s="3">
        <f>_xlfn.COVARIANCE.S($A$2:$A$51,C2:C51)</f>
        <v>1.6355102040816319E-2</v>
      </c>
      <c r="AD9" s="3">
        <f>_xlfn.COVARIANCE.S($A$2:$A$51,D2:D51)</f>
        <v>1.033061224489795E-2</v>
      </c>
      <c r="AE9" s="7">
        <f>AVERAGE($A$2:$A$51)</f>
        <v>5.0059999999999993</v>
      </c>
    </row>
    <row r="10" spans="1:31" x14ac:dyDescent="0.25">
      <c r="A10" s="71">
        <v>4.4000000000000004</v>
      </c>
      <c r="B10" s="25">
        <v>2.9</v>
      </c>
      <c r="C10" s="25">
        <v>1.4</v>
      </c>
      <c r="D10" s="68">
        <v>0.2</v>
      </c>
      <c r="E10" s="80" t="s">
        <v>38</v>
      </c>
      <c r="F10" s="81" t="s">
        <v>5</v>
      </c>
      <c r="G10" s="81">
        <f t="shared" ca="1" si="3"/>
        <v>1.3820731027378956</v>
      </c>
      <c r="H10" s="60">
        <f t="shared" ca="1" si="4"/>
        <v>0.19152272910840509</v>
      </c>
      <c r="I10" s="78" t="s">
        <v>5</v>
      </c>
      <c r="J10" s="69" t="str">
        <f t="shared" si="0"/>
        <v>setosa</v>
      </c>
      <c r="K10" s="25" cm="1">
        <f t="array" ref="K10">$AE$7*NMultDensity(A10:D10,$AE$9:$AE$12,$AA$49:$AD$52)+$AE$20*NMultDensity(A10:D10,$AE$22:$AE$25,$AA$49:$AD$52)+$AE$33*NMultDensity(A10:D10,$AE$35:$AE$38,$AA$49:$AD$52)</f>
        <v>2.649797454164524E-2</v>
      </c>
      <c r="L10" s="25" cm="1">
        <f t="array" ref="L10">$AE$7*NMultDensity(A10:D10,$AE$9:$AE$12,$AA$49:$AD$52)/K10</f>
        <v>0.99999999999964162</v>
      </c>
      <c r="M10" s="25" cm="1">
        <f t="array" ref="M10">$AE$20*NMultDensity(A10:D10,$AE$22:$AE$25,$AA$49:$AD$52)/K10</f>
        <v>3.5836509040610633E-13</v>
      </c>
      <c r="N10" s="43" cm="1">
        <f t="array" ref="N10">$AE$33*NMultDensity(A10:D10,$AE$35:$AE$38,$AA$49:$AD$52)/K10</f>
        <v>8.0354901608288134E-29</v>
      </c>
      <c r="O10" s="71" t="str">
        <f t="shared" si="1"/>
        <v>setosa</v>
      </c>
      <c r="P10" s="25" cm="1">
        <f t="array" ref="P10">$AE$7*NMultDensity(C10:D10,$AE$11:$AE$12,$AC$51:$AD$52)+$AE$20*NMultDensity(C10:D10,$AE$24:$AE$25,$AC$51:$AD$52)+$AE$33*NMultDensity(C10:D10,$AE$37:$AE$38,$AC$51:$AD$52)</f>
        <v>0.14613092598253186</v>
      </c>
      <c r="Q10" s="25" cm="1">
        <f t="array" ref="Q10">$AE$7*NMultDensity(C10:D10,$AE$11:$AE$12,$AC$51:$AD$52)/P10</f>
        <v>0.99999998705041671</v>
      </c>
      <c r="R10" s="25" cm="1">
        <f t="array" ref="R10">$AE$20*NMultDensity(C10:D10,$AE$24:$AE$25,$AC$51:$AD$52)/P10</f>
        <v>1.2949583187380858E-8</v>
      </c>
      <c r="S10" s="43" cm="1">
        <f t="array" ref="S10">$AE$33*NMultDensity(C10:D10,$AE$37:$AE$38,$AC$51:$AD$52)/P10</f>
        <v>2.9430275134318876E-19</v>
      </c>
      <c r="T10" s="71" t="str">
        <f t="shared" si="2"/>
        <v>setosa</v>
      </c>
      <c r="U10" s="25" cm="1">
        <f t="array" ref="U10">$AE$7*NMultDensity(C10:D10,$AE$11:$AE$12,$AC$51:$AD$52)*VLOOKUP($E10,$Z$62:$AD$65,2)+$AE$20*NMultDensity(C10:D10,$AE$24:$AE$25,$AC$51:$AD$52)*VLOOKUP($E10,$Z$62:$AD$65,3)+$AE$33*NMultDensity(C10:D10,$AE$37:$AE$38,$AC$51:$AD$52)*VLOOKUP($E10,$Z$62:$AD$65,4)</f>
        <v>6.429760694030702E-2</v>
      </c>
      <c r="V10" s="25" cm="1">
        <f t="array" ref="V10">$AE$7*NMultDensity(C10:D10,$AE$11:$AE$12,$AC$51:$AD$52)/U10*VLOOKUP($E10,$Z$62:$AD$65,2)</f>
        <v>0.99999999470244327</v>
      </c>
      <c r="W10" s="25" cm="1">
        <f t="array" ref="W10">$AE$20*NMultDensity(C10:D10,$AE$24:$AE$25,$AC$51:$AD$52)/U10*VLOOKUP($E10,$Z$62:$AD$65,3)</f>
        <v>5.2975567990110327E-9</v>
      </c>
      <c r="X10" s="43" cm="1">
        <f t="array" ref="X10">$AE$33*NMultDensity(C10:D10,$AE$37:$AE$38,$AC$51:$AD$52)/U10*VLOOKUP($E10,$Z$62:$AD$65,4)</f>
        <v>4.0132193672072889E-19</v>
      </c>
      <c r="Z10" s="31" t="s">
        <v>16</v>
      </c>
      <c r="AA10" s="4">
        <f>_xlfn.COVARIANCE.S($B$2:$B$51,A2:A51)</f>
        <v>9.9216326530612187E-2</v>
      </c>
      <c r="AB10" s="5">
        <f>_xlfn.COVARIANCE.S($B$2:$B$51,B2:B51)</f>
        <v>0.14368979591836734</v>
      </c>
      <c r="AC10" s="5">
        <f>_xlfn.COVARIANCE.S($B$2:$B$51,C2:C51)</f>
        <v>1.1697959183673459E-2</v>
      </c>
      <c r="AD10" s="5">
        <f>_xlfn.COVARIANCE.S($B$2:$B$51,D2:D51)</f>
        <v>9.2979591836734737E-3</v>
      </c>
      <c r="AE10" s="8">
        <f>AVERAGE($B$2:$B$51)</f>
        <v>3.4280000000000008</v>
      </c>
    </row>
    <row r="11" spans="1:31" x14ac:dyDescent="0.25">
      <c r="A11" s="71">
        <v>4.9000000000000004</v>
      </c>
      <c r="B11" s="25">
        <v>3.1</v>
      </c>
      <c r="C11" s="25">
        <v>1.5</v>
      </c>
      <c r="D11" s="68">
        <v>0.1</v>
      </c>
      <c r="E11" s="80" t="s">
        <v>38</v>
      </c>
      <c r="F11" s="81" t="s">
        <v>5</v>
      </c>
      <c r="G11" s="81">
        <f t="shared" ca="1" si="3"/>
        <v>1.5000593367870663</v>
      </c>
      <c r="H11" s="60">
        <f t="shared" ca="1" si="4"/>
        <v>7.7736692762437665E-2</v>
      </c>
      <c r="I11" s="78" t="s">
        <v>5</v>
      </c>
      <c r="J11" s="69" t="str">
        <f t="shared" si="0"/>
        <v>setosa</v>
      </c>
      <c r="K11" s="25" cm="1">
        <f t="array" ref="K11">$AE$7*NMultDensity(A11:D11,$AE$9:$AE$12,$AA$49:$AD$52)+$AE$20*NMultDensity(A11:D11,$AE$22:$AE$25,$AA$49:$AD$52)+$AE$33*NMultDensity(A11:D11,$AE$35:$AE$38,$AA$49:$AD$52)</f>
        <v>0.13947115032345564</v>
      </c>
      <c r="L11" s="25" cm="1">
        <f t="array" ref="L11">$AE$7*NMultDensity(A11:D11,$AE$9:$AE$12,$AA$49:$AD$52)/K11</f>
        <v>1</v>
      </c>
      <c r="M11" s="25" cm="1">
        <f t="array" ref="M11">$AE$20*NMultDensity(A11:D11,$AE$22:$AE$25,$AA$49:$AD$52)/K11</f>
        <v>3.5791203620355256E-17</v>
      </c>
      <c r="N11" s="43" cm="1">
        <f t="array" ref="N11">$AE$33*NMultDensity(A11:D11,$AE$35:$AE$38,$AA$49:$AD$52)/K11</f>
        <v>3.2662987168943411E-34</v>
      </c>
      <c r="O11" s="71" t="str">
        <f t="shared" si="1"/>
        <v>setosa</v>
      </c>
      <c r="P11" s="25" cm="1">
        <f t="array" ref="P11">$AE$7*NMultDensity(C11:D11,$AE$11:$AE$12,$AC$51:$AD$52)+$AE$20*NMultDensity(C11:D11,$AE$24:$AE$25,$AC$51:$AD$52)+$AE$33*NMultDensity(C11:D11,$AE$37:$AE$38,$AC$51:$AD$52)</f>
        <v>0.11466203598667483</v>
      </c>
      <c r="Q11" s="25" cm="1">
        <f t="array" ref="Q11">$AE$7*NMultDensity(C11:D11,$AE$11:$AE$12,$AC$51:$AD$52)/P11</f>
        <v>0.99999998908893639</v>
      </c>
      <c r="R11" s="25" cm="1">
        <f t="array" ref="R11">$AE$20*NMultDensity(C11:D11,$AE$24:$AE$25,$AC$51:$AD$52)/P11</f>
        <v>1.0911063534794421E-8</v>
      </c>
      <c r="S11" s="43" cm="1">
        <f t="array" ref="S11">$AE$33*NMultDensity(C11:D11,$AE$37:$AE$38,$AC$51:$AD$52)/P11</f>
        <v>1.344974082403525E-19</v>
      </c>
      <c r="T11" s="71" t="str">
        <f t="shared" si="2"/>
        <v>setosa</v>
      </c>
      <c r="U11" s="25" cm="1">
        <f t="array" ref="U11">$AE$7*NMultDensity(C11:D11,$AE$11:$AE$12,$AC$51:$AD$52)*VLOOKUP($E11,$Z$62:$AD$65,2)+$AE$20*NMultDensity(C11:D11,$AE$24:$AE$25,$AC$51:$AD$52)*VLOOKUP($E11,$Z$62:$AD$65,3)+$AE$33*NMultDensity(C11:D11,$AE$37:$AE$38,$AC$51:$AD$52)*VLOOKUP($E11,$Z$62:$AD$65,4)</f>
        <v>5.0451295508854889E-2</v>
      </c>
      <c r="V11" s="25" cm="1">
        <f t="array" ref="V11">$AE$7*NMultDensity(C11:D11,$AE$11:$AE$12,$AC$51:$AD$52)/U11*VLOOKUP($E11,$Z$62:$AD$65,2)</f>
        <v>0.99999999553638297</v>
      </c>
      <c r="W11" s="25" cm="1">
        <f t="array" ref="W11">$AE$20*NMultDensity(C11:D11,$AE$24:$AE$25,$AC$51:$AD$52)/U11*VLOOKUP($E11,$Z$62:$AD$65,3)</f>
        <v>4.4636169293766492E-9</v>
      </c>
      <c r="X11" s="43" cm="1">
        <f t="array" ref="X11">$AE$33*NMultDensity(C11:D11,$AE$37:$AE$38,$AC$51:$AD$52)/U11*VLOOKUP($E11,$Z$62:$AD$65,4)</f>
        <v>1.8340555787388729E-19</v>
      </c>
      <c r="Z11" s="31" t="s">
        <v>9</v>
      </c>
      <c r="AA11" s="4">
        <f>_xlfn.COVARIANCE.S($C$2:$C$51,A2:A51)</f>
        <v>1.6355102040816319E-2</v>
      </c>
      <c r="AB11" s="5">
        <f>_xlfn.COVARIANCE.S($C$2:$C$51,B2:B51)</f>
        <v>1.1697959183673459E-2</v>
      </c>
      <c r="AC11" s="6">
        <f>_xlfn.COVARIANCE.S($C$2:$C$51,C2:C51)</f>
        <v>3.0159183673469397E-2</v>
      </c>
      <c r="AD11" s="6">
        <f>_xlfn.COVARIANCE.S($C$2:$C$51,D2:D51)</f>
        <v>6.0693877551020407E-3</v>
      </c>
      <c r="AE11" s="8">
        <f>AVERAGE($C$2:$C$51)</f>
        <v>1.4620000000000002</v>
      </c>
    </row>
    <row r="12" spans="1:31" ht="15.75" thickBot="1" x14ac:dyDescent="0.3">
      <c r="A12" s="71">
        <v>5.4</v>
      </c>
      <c r="B12" s="25">
        <v>3.7</v>
      </c>
      <c r="C12" s="25">
        <v>1.5</v>
      </c>
      <c r="D12" s="68">
        <v>0.2</v>
      </c>
      <c r="E12" s="80" t="s">
        <v>38</v>
      </c>
      <c r="F12" s="81" t="s">
        <v>5</v>
      </c>
      <c r="G12" s="81">
        <f t="shared" ca="1" si="3"/>
        <v>1.4829500886717748</v>
      </c>
      <c r="H12" s="60">
        <f t="shared" ca="1" si="4"/>
        <v>0.18944643477808021</v>
      </c>
      <c r="I12" s="78" t="s">
        <v>5</v>
      </c>
      <c r="J12" s="69" t="str">
        <f t="shared" si="0"/>
        <v>setosa</v>
      </c>
      <c r="K12" s="25" cm="1">
        <f t="array" ref="K12">$AE$7*NMultDensity(A12:D12,$AE$9:$AE$12,$AA$49:$AD$52)+$AE$20*NMultDensity(A12:D12,$AE$22:$AE$25,$AA$49:$AD$52)+$AE$33*NMultDensity(A12:D12,$AE$35:$AE$38,$AA$49:$AD$52)</f>
        <v>0.11096404037466917</v>
      </c>
      <c r="L12" s="25" cm="1">
        <f t="array" ref="L12">$AE$7*NMultDensity(A12:D12,$AE$9:$AE$12,$AA$49:$AD$52)/K12</f>
        <v>1</v>
      </c>
      <c r="M12" s="25" cm="1">
        <f t="array" ref="M12">$AE$20*NMultDensity(A12:D12,$AE$22:$AE$25,$AA$49:$AD$52)/K12</f>
        <v>1.0188270484576037E-23</v>
      </c>
      <c r="N12" s="43" cm="1">
        <f t="array" ref="N12">$AE$33*NMultDensity(A12:D12,$AE$35:$AE$38,$AA$49:$AD$52)/K12</f>
        <v>3.37506642356158E-42</v>
      </c>
      <c r="O12" s="71" t="str">
        <f t="shared" si="1"/>
        <v>setosa</v>
      </c>
      <c r="P12" s="25" cm="1">
        <f t="array" ref="P12">$AE$7*NMultDensity(C12:D12,$AE$11:$AE$12,$AC$51:$AD$52)+$AE$20*NMultDensity(C12:D12,$AE$24:$AE$25,$AC$51:$AD$52)+$AE$33*NMultDensity(C12:D12,$AE$37:$AE$38,$AC$51:$AD$52)</f>
        <v>0.1439203548375585</v>
      </c>
      <c r="Q12" s="25" cm="1">
        <f t="array" ref="Q12">$AE$7*NMultDensity(C12:D12,$AE$11:$AE$12,$AC$51:$AD$52)/P12</f>
        <v>0.99999996824326065</v>
      </c>
      <c r="R12" s="25" cm="1">
        <f t="array" ref="R12">$AE$20*NMultDensity(C12:D12,$AE$24:$AE$25,$AC$51:$AD$52)/P12</f>
        <v>3.1756739415871158E-8</v>
      </c>
      <c r="S12" s="43" cm="1">
        <f t="array" ref="S12">$AE$33*NMultDensity(C12:D12,$AE$37:$AE$38,$AC$51:$AD$52)/P12</f>
        <v>9.9522855775976634E-19</v>
      </c>
      <c r="T12" s="71" t="str">
        <f t="shared" si="2"/>
        <v>setosa</v>
      </c>
      <c r="U12" s="25" cm="1">
        <f t="array" ref="U12">$AE$7*NMultDensity(C12:D12,$AE$11:$AE$12,$AC$51:$AD$52)*VLOOKUP($E12,$Z$62:$AD$65,2)+$AE$20*NMultDensity(C12:D12,$AE$24:$AE$25,$AC$51:$AD$52)*VLOOKUP($E12,$Z$62:$AD$65,3)+$AE$33*NMultDensity(C12:D12,$AE$37:$AE$38,$AC$51:$AD$52)*VLOOKUP($E12,$Z$62:$AD$65,4)</f>
        <v>6.3324954940211023E-2</v>
      </c>
      <c r="V12" s="25" cm="1">
        <f t="array" ref="V12">$AE$7*NMultDensity(C12:D12,$AE$11:$AE$12,$AC$51:$AD$52)/U12*VLOOKUP($E12,$Z$62:$AD$65,2)</f>
        <v>0.99999998700860648</v>
      </c>
      <c r="W12" s="25" cm="1">
        <f t="array" ref="W12">$AE$20*NMultDensity(C12:D12,$AE$24:$AE$25,$AC$51:$AD$52)/U12*VLOOKUP($E12,$Z$62:$AD$65,3)</f>
        <v>1.2991393641189836E-8</v>
      </c>
      <c r="X12" s="43" cm="1">
        <f t="array" ref="X12">$AE$33*NMultDensity(C12:D12,$AE$37:$AE$38,$AC$51:$AD$52)/U12*VLOOKUP($E12,$Z$62:$AD$65,4)</f>
        <v>1.3571298769576022E-18</v>
      </c>
      <c r="Z12" s="54" t="s">
        <v>10</v>
      </c>
      <c r="AA12" s="4">
        <f>_xlfn.COVARIANCE.S($D$2:$D$51,A2:A51)</f>
        <v>1.033061224489795E-2</v>
      </c>
      <c r="AB12" s="5">
        <f>_xlfn.COVARIANCE.S($D$2:$D$51,B2:B51)</f>
        <v>9.2979591836734737E-3</v>
      </c>
      <c r="AC12" s="6">
        <f>_xlfn.COVARIANCE.S($D$2:$D$51,C2:C51)</f>
        <v>6.0693877551020407E-3</v>
      </c>
      <c r="AD12" s="6">
        <f>_xlfn.COVARIANCE.S($D$2:$D$51,D2:D51)</f>
        <v>1.11061224489796E-2</v>
      </c>
      <c r="AE12" s="9">
        <f>AVERAGE($D$2:$D$51)</f>
        <v>0.24599999999999991</v>
      </c>
    </row>
    <row r="13" spans="1:31" ht="15.75" thickBot="1" x14ac:dyDescent="0.3">
      <c r="A13" s="71">
        <v>4.8</v>
      </c>
      <c r="B13" s="25">
        <v>3.4</v>
      </c>
      <c r="C13" s="25">
        <v>1.6</v>
      </c>
      <c r="D13" s="68">
        <v>0.2</v>
      </c>
      <c r="E13" s="80" t="s">
        <v>38</v>
      </c>
      <c r="F13" s="81" t="s">
        <v>5</v>
      </c>
      <c r="G13" s="81">
        <f t="shared" ca="1" si="3"/>
        <v>1.5932864608177102</v>
      </c>
      <c r="H13" s="60">
        <f t="shared" ca="1" si="4"/>
        <v>0.18657891846980598</v>
      </c>
      <c r="I13" s="78" t="s">
        <v>5</v>
      </c>
      <c r="J13" s="69" t="str">
        <f t="shared" si="0"/>
        <v>setosa</v>
      </c>
      <c r="K13" s="25" cm="1">
        <f t="array" ref="K13">$AE$7*NMultDensity(A13:D13,$AE$9:$AE$12,$AA$49:$AD$52)+$AE$20*NMultDensity(A13:D13,$AE$22:$AE$25,$AA$49:$AD$52)+$AE$33*NMultDensity(A13:D13,$AE$35:$AE$38,$AA$49:$AD$52)</f>
        <v>0.14688391940122811</v>
      </c>
      <c r="L13" s="25" cm="1">
        <f t="array" ref="L13">$AE$7*NMultDensity(A13:D13,$AE$9:$AE$12,$AA$49:$AD$52)/K13</f>
        <v>1</v>
      </c>
      <c r="M13" s="25" cm="1">
        <f t="array" ref="M13">$AE$20*NMultDensity(A13:D13,$AE$22:$AE$25,$AA$49:$AD$52)/K13</f>
        <v>1.8203021285729156E-17</v>
      </c>
      <c r="N13" s="43" cm="1">
        <f t="array" ref="N13">$AE$33*NMultDensity(A13:D13,$AE$35:$AE$38,$AA$49:$AD$52)/K13</f>
        <v>4.7250429684100703E-34</v>
      </c>
      <c r="O13" s="71" t="str">
        <f t="shared" si="1"/>
        <v>setosa</v>
      </c>
      <c r="P13" s="25" cm="1">
        <f t="array" ref="P13">$AE$7*NMultDensity(C13:D13,$AE$11:$AE$12,$AC$51:$AD$52)+$AE$20*NMultDensity(C13:D13,$AE$24:$AE$25,$AC$51:$AD$52)+$AE$33*NMultDensity(C13:D13,$AE$37:$AE$38,$AC$51:$AD$52)</f>
        <v>0.13484753777565919</v>
      </c>
      <c r="Q13" s="25" cm="1">
        <f t="array" ref="Q13">$AE$7*NMultDensity(C13:D13,$AE$11:$AE$12,$AC$51:$AD$52)/P13</f>
        <v>0.99999992212178146</v>
      </c>
      <c r="R13" s="25" cm="1">
        <f t="array" ref="R13">$AE$20*NMultDensity(C13:D13,$AE$24:$AE$25,$AC$51:$AD$52)/P13</f>
        <v>7.7878218641358856E-8</v>
      </c>
      <c r="S13" s="43" cm="1">
        <f t="array" ref="S13">$AE$33*NMultDensity(C13:D13,$AE$37:$AE$38,$AC$51:$AD$52)/P13</f>
        <v>3.3655134061974587E-18</v>
      </c>
      <c r="T13" s="71" t="str">
        <f t="shared" si="2"/>
        <v>setosa</v>
      </c>
      <c r="U13" s="25" cm="1">
        <f t="array" ref="U13">$AE$7*NMultDensity(C13:D13,$AE$11:$AE$12,$AC$51:$AD$52)*VLOOKUP($E13,$Z$62:$AD$65,2)+$AE$20*NMultDensity(C13:D13,$AE$24:$AE$25,$AC$51:$AD$52)*VLOOKUP($E13,$Z$62:$AD$65,3)+$AE$33*NMultDensity(C13:D13,$AE$37:$AE$38,$AC$51:$AD$52)*VLOOKUP($E13,$Z$62:$AD$65,4)</f>
        <v>5.9332913890851678E-2</v>
      </c>
      <c r="V13" s="25" cm="1">
        <f t="array" ref="V13">$AE$7*NMultDensity(C13:D13,$AE$11:$AE$12,$AC$51:$AD$52)/U13*VLOOKUP($E13,$Z$62:$AD$65,2)</f>
        <v>0.99999996814072722</v>
      </c>
      <c r="W13" s="25" cm="1">
        <f t="array" ref="W13">$AE$20*NMultDensity(C13:D13,$AE$24:$AE$25,$AC$51:$AD$52)/U13*VLOOKUP($E13,$Z$62:$AD$65,3)</f>
        <v>3.1859272728504267E-8</v>
      </c>
      <c r="X13" s="43" cm="1">
        <f t="array" ref="X13">$AE$33*NMultDensity(C13:D13,$AE$37:$AE$38,$AC$51:$AD$52)/U13*VLOOKUP($E13,$Z$62:$AD$65,4)</f>
        <v>4.589336674192977E-18</v>
      </c>
      <c r="Z13" s="55" t="s">
        <v>11</v>
      </c>
      <c r="AA13" s="10">
        <f>AVERAGE($A$2:$A$51)</f>
        <v>5.0059999999999993</v>
      </c>
      <c r="AB13" s="11">
        <f>AVERAGE($B$2:$B$51)</f>
        <v>3.4280000000000008</v>
      </c>
      <c r="AC13" s="11">
        <f>AVERAGE($C$2:$C$51)</f>
        <v>1.4620000000000002</v>
      </c>
      <c r="AD13" s="12">
        <f>AVERAGE($D$2:$D$51)</f>
        <v>0.24599999999999991</v>
      </c>
    </row>
    <row r="14" spans="1:31" x14ac:dyDescent="0.25">
      <c r="A14" s="71">
        <v>4.8</v>
      </c>
      <c r="B14" s="25">
        <v>3</v>
      </c>
      <c r="C14" s="25">
        <v>1.4</v>
      </c>
      <c r="D14" s="68">
        <v>0.1</v>
      </c>
      <c r="E14" s="80" t="s">
        <v>38</v>
      </c>
      <c r="F14" s="81" t="s">
        <v>5</v>
      </c>
      <c r="G14" s="81">
        <f t="shared" ca="1" si="3"/>
        <v>1.3931041026095183</v>
      </c>
      <c r="H14" s="60">
        <f t="shared" ca="1" si="4"/>
        <v>0.11191660254218655</v>
      </c>
      <c r="I14" s="78" t="s">
        <v>5</v>
      </c>
      <c r="J14" s="69" t="str">
        <f t="shared" si="0"/>
        <v>setosa</v>
      </c>
      <c r="K14" s="25" cm="1">
        <f t="array" ref="K14">$AE$7*NMultDensity(A14:D14,$AE$9:$AE$12,$AA$49:$AD$52)+$AE$20*NMultDensity(A14:D14,$AE$22:$AE$25,$AA$49:$AD$52)+$AE$33*NMultDensity(A14:D14,$AE$35:$AE$38,$AA$49:$AD$52)</f>
        <v>0.1060533663467083</v>
      </c>
      <c r="L14" s="25" cm="1">
        <f t="array" ref="L14">$AE$7*NMultDensity(A14:D14,$AE$9:$AE$12,$AA$49:$AD$52)/K14</f>
        <v>0.99999999999999989</v>
      </c>
      <c r="M14" s="25" cm="1">
        <f t="array" ref="M14">$AE$20*NMultDensity(A14:D14,$AE$22:$AE$25,$AA$49:$AD$52)/K14</f>
        <v>8.5884790907309433E-17</v>
      </c>
      <c r="N14" s="43" cm="1">
        <f t="array" ref="N14">$AE$33*NMultDensity(A14:D14,$AE$35:$AE$38,$AA$49:$AD$52)/K14</f>
        <v>8.2845501270444562E-34</v>
      </c>
      <c r="O14" s="71" t="str">
        <f t="shared" si="1"/>
        <v>setosa</v>
      </c>
      <c r="P14" s="25" cm="1">
        <f t="array" ref="P14">$AE$7*NMultDensity(C14:D14,$AE$11:$AE$12,$AC$51:$AD$52)+$AE$20*NMultDensity(C14:D14,$AE$24:$AE$25,$AC$51:$AD$52)+$AE$33*NMultDensity(C14:D14,$AE$37:$AE$38,$AC$51:$AD$52)</f>
        <v>0.12192168569853455</v>
      </c>
      <c r="Q14" s="25" cm="1">
        <f t="array" ref="Q14">$AE$7*NMultDensity(C14:D14,$AE$11:$AE$12,$AC$51:$AD$52)/P14</f>
        <v>0.99999999555074837</v>
      </c>
      <c r="R14" s="25" cm="1">
        <f t="array" ref="R14">$AE$20*NMultDensity(C14:D14,$AE$24:$AE$25,$AC$51:$AD$52)/P14</f>
        <v>4.4492515844269583E-9</v>
      </c>
      <c r="S14" s="43" cm="1">
        <f t="array" ref="S14">$AE$33*NMultDensity(C14:D14,$AE$37:$AE$38,$AC$51:$AD$52)/P14</f>
        <v>3.9772730089355984E-20</v>
      </c>
      <c r="T14" s="71" t="str">
        <f t="shared" si="2"/>
        <v>setosa</v>
      </c>
      <c r="U14" s="25" cm="1">
        <f t="array" ref="U14">$AE$7*NMultDensity(C14:D14,$AE$11:$AE$12,$AC$51:$AD$52)*VLOOKUP($E14,$Z$62:$AD$65,2)+$AE$20*NMultDensity(C14:D14,$AE$24:$AE$25,$AC$51:$AD$52)*VLOOKUP($E14,$Z$62:$AD$65,3)+$AE$33*NMultDensity(C14:D14,$AE$37:$AE$38,$AC$51:$AD$52)*VLOOKUP($E14,$Z$62:$AD$65,4)</f>
        <v>5.3645541566315534E-2</v>
      </c>
      <c r="V14" s="25" cm="1">
        <f t="array" ref="V14">$AE$7*NMultDensity(C14:D14,$AE$11:$AE$12,$AC$51:$AD$52)/U14*VLOOKUP($E14,$Z$62:$AD$65,2)</f>
        <v>0.99999999817985152</v>
      </c>
      <c r="W14" s="25" cm="1">
        <f t="array" ref="W14">$AE$20*NMultDensity(C14:D14,$AE$24:$AE$25,$AC$51:$AD$52)/U14*VLOOKUP($E14,$Z$62:$AD$65,3)</f>
        <v>1.82014838023275E-9</v>
      </c>
      <c r="X14" s="43" cm="1">
        <f t="array" ref="X14">$AE$33*NMultDensity(C14:D14,$AE$37:$AE$38,$AC$51:$AD$52)/U14*VLOOKUP($E14,$Z$62:$AD$65,4)</f>
        <v>5.4235541173530808E-20</v>
      </c>
      <c r="Z14" s="20" t="s">
        <v>12</v>
      </c>
      <c r="AA14" s="4">
        <f>MIN(A2:A51)</f>
        <v>4.3</v>
      </c>
      <c r="AB14" s="5">
        <f>MIN(B2:B51)</f>
        <v>2.2999999999999998</v>
      </c>
      <c r="AC14" s="13">
        <f>MIN(C2:C51)</f>
        <v>1</v>
      </c>
      <c r="AD14" s="14">
        <f>MIN(D2:D51)</f>
        <v>0.1</v>
      </c>
    </row>
    <row r="15" spans="1:31" ht="15.75" thickBot="1" x14ac:dyDescent="0.3">
      <c r="A15" s="71">
        <v>4.3</v>
      </c>
      <c r="B15" s="25">
        <v>3</v>
      </c>
      <c r="C15" s="25">
        <v>1.1000000000000001</v>
      </c>
      <c r="D15" s="68">
        <v>0.1</v>
      </c>
      <c r="E15" s="80" t="s">
        <v>38</v>
      </c>
      <c r="F15" s="81" t="s">
        <v>5</v>
      </c>
      <c r="G15" s="81">
        <f t="shared" ca="1" si="3"/>
        <v>1.11031634135264</v>
      </c>
      <c r="H15" s="60">
        <f t="shared" ca="1" si="4"/>
        <v>0.10940435534309881</v>
      </c>
      <c r="I15" s="78" t="s">
        <v>5</v>
      </c>
      <c r="J15" s="69" t="str">
        <f t="shared" si="0"/>
        <v>setosa</v>
      </c>
      <c r="K15" s="25" cm="1">
        <f t="array" ref="K15">$AE$7*NMultDensity(A15:D15,$AE$9:$AE$12,$AA$49:$AD$52)+$AE$20*NMultDensity(A15:D15,$AE$22:$AE$25,$AA$49:$AD$52)+$AE$33*NMultDensity(A15:D15,$AE$35:$AE$38,$AA$49:$AD$52)</f>
        <v>8.2891243982558066E-2</v>
      </c>
      <c r="L15" s="25" cm="1">
        <f t="array" ref="L15">$AE$7*NMultDensity(A15:D15,$AE$9:$AE$12,$AA$49:$AD$52)/K15</f>
        <v>1</v>
      </c>
      <c r="M15" s="25" cm="1">
        <f t="array" ref="M15">$AE$20*NMultDensity(A15:D15,$AE$22:$AE$25,$AA$49:$AD$52)/K15</f>
        <v>2.0560357892382131E-17</v>
      </c>
      <c r="N15" s="43" cm="1">
        <f t="array" ref="N15">$AE$33*NMultDensity(A15:D15,$AE$35:$AE$38,$AA$49:$AD$52)/K15</f>
        <v>1.4409933912346194E-34</v>
      </c>
      <c r="O15" s="71" t="str">
        <f t="shared" si="1"/>
        <v>setosa</v>
      </c>
      <c r="P15" s="25" cm="1">
        <f t="array" ref="P15">$AE$7*NMultDensity(C15:D15,$AE$11:$AE$12,$AC$51:$AD$52)+$AE$20*NMultDensity(C15:D15,$AE$24:$AE$25,$AC$51:$AD$52)+$AE$33*NMultDensity(C15:D15,$AE$37:$AE$38,$AC$51:$AD$52)</f>
        <v>0.10866986136678983</v>
      </c>
      <c r="Q15" s="25" cm="1">
        <f t="array" ref="Q15">$AE$7*NMultDensity(C15:D15,$AE$11:$AE$12,$AC$51:$AD$52)/P15</f>
        <v>0.99999999969831999</v>
      </c>
      <c r="R15" s="25" cm="1">
        <f t="array" ref="R15">$AE$20*NMultDensity(C15:D15,$AE$24:$AE$25,$AC$51:$AD$52)/P15</f>
        <v>3.0168005214551786E-10</v>
      </c>
      <c r="S15" s="43" cm="1">
        <f t="array" ref="S15">$AE$33*NMultDensity(C15:D15,$AE$37:$AE$38,$AC$51:$AD$52)/P15</f>
        <v>1.0284894909615198E-21</v>
      </c>
      <c r="T15" s="71" t="str">
        <f t="shared" si="2"/>
        <v>setosa</v>
      </c>
      <c r="U15" s="25" cm="1">
        <f t="array" ref="U15">$AE$7*NMultDensity(C15:D15,$AE$11:$AE$12,$AC$51:$AD$52)*VLOOKUP($E15,$Z$62:$AD$65,2)+$AE$20*NMultDensity(C15:D15,$AE$24:$AE$25,$AC$51:$AD$52)*VLOOKUP($E15,$Z$62:$AD$65,3)+$AE$33*NMultDensity(C15:D15,$AE$37:$AE$38,$AC$51:$AD$52)*VLOOKUP($E15,$Z$62:$AD$65,4)</f>
        <v>4.7814738992863808E-2</v>
      </c>
      <c r="V15" s="25" cm="1">
        <f t="array" ref="V15">$AE$7*NMultDensity(C15:D15,$AE$11:$AE$12,$AC$51:$AD$52)/U15*VLOOKUP($E15,$Z$62:$AD$65,2)</f>
        <v>0.9999999998765855</v>
      </c>
      <c r="W15" s="25" cm="1">
        <f t="array" ref="W15">$AE$20*NMultDensity(C15:D15,$AE$24:$AE$25,$AC$51:$AD$52)/U15*VLOOKUP($E15,$Z$62:$AD$65,3)</f>
        <v>1.2341456680880332E-10</v>
      </c>
      <c r="X15" s="43" cm="1">
        <f t="array" ref="X15">$AE$33*NMultDensity(C15:D15,$AE$37:$AE$38,$AC$51:$AD$52)/U15*VLOOKUP($E15,$Z$62:$AD$65,4)</f>
        <v>1.4024856697429962E-21</v>
      </c>
      <c r="Z15" s="21" t="s">
        <v>13</v>
      </c>
      <c r="AA15" s="15">
        <f>MAX(A2:A51)</f>
        <v>5.8</v>
      </c>
      <c r="AB15" s="16">
        <f>MAX(B2:B51)</f>
        <v>4.4000000000000004</v>
      </c>
      <c r="AC15" s="17">
        <f>MAX(C2:C51)</f>
        <v>1.9</v>
      </c>
      <c r="AD15" s="18">
        <f>MAX(D2:D51)</f>
        <v>0.6</v>
      </c>
    </row>
    <row r="16" spans="1:31" x14ac:dyDescent="0.25">
      <c r="A16" s="71">
        <v>5.8</v>
      </c>
      <c r="B16" s="25">
        <v>4</v>
      </c>
      <c r="C16" s="25">
        <v>1.2</v>
      </c>
      <c r="D16" s="68">
        <v>0.2</v>
      </c>
      <c r="E16" s="80" t="s">
        <v>38</v>
      </c>
      <c r="F16" s="81" t="s">
        <v>5</v>
      </c>
      <c r="G16" s="81">
        <f t="shared" ca="1" si="3"/>
        <v>1.1933466822255629</v>
      </c>
      <c r="H16" s="60">
        <f t="shared" ca="1" si="4"/>
        <v>0.19390158368881855</v>
      </c>
      <c r="I16" s="78" t="s">
        <v>5</v>
      </c>
      <c r="J16" s="69" t="str">
        <f t="shared" si="0"/>
        <v>setosa</v>
      </c>
      <c r="K16" s="25" cm="1">
        <f t="array" ref="K16">$AE$7*NMultDensity(A16:D16,$AE$9:$AE$12,$AA$49:$AD$52)+$AE$20*NMultDensity(A16:D16,$AE$22:$AE$25,$AA$49:$AD$52)+$AE$33*NMultDensity(A16:D16,$AE$35:$AE$38,$AA$49:$AD$52)</f>
        <v>5.8047405978874577E-4</v>
      </c>
      <c r="L16" s="25" cm="1">
        <f t="array" ref="L16">$AE$7*NMultDensity(A16:D16,$AE$9:$AE$12,$AA$49:$AD$52)/K16</f>
        <v>1</v>
      </c>
      <c r="M16" s="25" cm="1">
        <f t="array" ref="M16">$AE$20*NMultDensity(A16:D16,$AE$22:$AE$25,$AA$49:$AD$52)/K16</f>
        <v>5.639857317234486E-31</v>
      </c>
      <c r="N16" s="43" cm="1">
        <f t="array" ref="N16">$AE$33*NMultDensity(A16:D16,$AE$35:$AE$38,$AA$49:$AD$52)/K16</f>
        <v>1.1458015853431963E-51</v>
      </c>
      <c r="O16" s="71" t="str">
        <f t="shared" si="1"/>
        <v>setosa</v>
      </c>
      <c r="P16" s="25" cm="1">
        <f t="array" ref="P16">$AE$7*NMultDensity(C16:D16,$AE$11:$AE$12,$AC$51:$AD$52)+$AE$20*NMultDensity(C16:D16,$AE$24:$AE$25,$AC$51:$AD$52)+$AE$33*NMultDensity(C16:D16,$AE$37:$AE$38,$AC$51:$AD$52)</f>
        <v>0.12971914806484716</v>
      </c>
      <c r="Q16" s="25" cm="1">
        <f t="array" ref="Q16">$AE$7*NMultDensity(C16:D16,$AE$11:$AE$12,$AC$51:$AD$52)/P16</f>
        <v>0.99999999784674454</v>
      </c>
      <c r="R16" s="25" cm="1">
        <f t="array" ref="R16">$AE$20*NMultDensity(C16:D16,$AE$24:$AE$25,$AC$51:$AD$52)/P16</f>
        <v>2.1532554104967998E-9</v>
      </c>
      <c r="S16" s="43" cm="1">
        <f t="array" ref="S16">$AE$33*NMultDensity(C16:D16,$AE$37:$AE$38,$AC$51:$AD$52)/P16</f>
        <v>2.57357776676957E-20</v>
      </c>
      <c r="T16" s="71" t="str">
        <f t="shared" si="2"/>
        <v>setosa</v>
      </c>
      <c r="U16" s="25" cm="1">
        <f t="array" ref="U16">$AE$7*NMultDensity(C16:D16,$AE$11:$AE$12,$AC$51:$AD$52)*VLOOKUP($E16,$Z$62:$AD$65,2)+$AE$20*NMultDensity(C16:D16,$AE$24:$AE$25,$AC$51:$AD$52)*VLOOKUP($E16,$Z$62:$AD$65,3)+$AE$33*NMultDensity(C16:D16,$AE$37:$AE$38,$AC$51:$AD$52)*VLOOKUP($E16,$Z$62:$AD$65,4)</f>
        <v>5.7076425075909952E-2</v>
      </c>
      <c r="V16" s="25" cm="1">
        <f t="array" ref="V16">$AE$7*NMultDensity(C16:D16,$AE$11:$AE$12,$AC$51:$AD$52)/U16*VLOOKUP($E16,$Z$62:$AD$65,2)</f>
        <v>0.99999999911912285</v>
      </c>
      <c r="W16" s="25" cm="1">
        <f t="array" ref="W16">$AE$20*NMultDensity(C16:D16,$AE$24:$AE$25,$AC$51:$AD$52)/U16*VLOOKUP($E16,$Z$62:$AD$65,3)</f>
        <v>8.8087721450586336E-10</v>
      </c>
      <c r="X16" s="43" cm="1">
        <f t="array" ref="X16">$AE$33*NMultDensity(C16:D16,$AE$37:$AE$38,$AC$51:$AD$52)/U16*VLOOKUP($E16,$Z$62:$AD$65,4)</f>
        <v>3.5094242318783649E-20</v>
      </c>
    </row>
    <row r="17" spans="1:31" ht="15.75" thickBot="1" x14ac:dyDescent="0.3">
      <c r="A17" s="71">
        <v>5.7</v>
      </c>
      <c r="B17" s="25">
        <v>4.4000000000000004</v>
      </c>
      <c r="C17" s="25">
        <v>1.5</v>
      </c>
      <c r="D17" s="68">
        <v>0.4</v>
      </c>
      <c r="E17" s="80" t="s">
        <v>38</v>
      </c>
      <c r="F17" s="81" t="s">
        <v>5</v>
      </c>
      <c r="G17" s="81">
        <f t="shared" ca="1" si="3"/>
        <v>1.5122794469435876</v>
      </c>
      <c r="H17" s="60">
        <f t="shared" ca="1" si="4"/>
        <v>0.40095831369775781</v>
      </c>
      <c r="I17" s="78" t="s">
        <v>5</v>
      </c>
      <c r="J17" s="69" t="str">
        <f t="shared" si="0"/>
        <v>setosa</v>
      </c>
      <c r="K17" s="25" cm="1">
        <f t="array" ref="K17">$AE$7*NMultDensity(A17:D17,$AE$9:$AE$12,$AA$49:$AD$52)+$AE$20*NMultDensity(A17:D17,$AE$22:$AE$25,$AA$49:$AD$52)+$AE$33*NMultDensity(A17:D17,$AE$35:$AE$38,$AA$49:$AD$52)</f>
        <v>5.9468913127018637E-4</v>
      </c>
      <c r="L17" s="25" cm="1">
        <f t="array" ref="L17">$AE$7*NMultDensity(A17:D17,$AE$9:$AE$12,$AA$49:$AD$52)/K17</f>
        <v>1</v>
      </c>
      <c r="M17" s="25" cm="1">
        <f t="array" ref="M17">$AE$20*NMultDensity(A17:D17,$AE$22:$AE$25,$AA$49:$AD$52)/K17</f>
        <v>2.7006381009578541E-29</v>
      </c>
      <c r="N17" s="43" cm="1">
        <f t="array" ref="N17">$AE$33*NMultDensity(A17:D17,$AE$35:$AE$38,$AA$49:$AD$52)/K17</f>
        <v>1.4887075949877504E-48</v>
      </c>
      <c r="O17" s="71" t="str">
        <f t="shared" si="1"/>
        <v>setosa</v>
      </c>
      <c r="P17" s="25" cm="1">
        <f t="array" ref="P17">$AE$7*NMultDensity(C17:D17,$AE$11:$AE$12,$AC$51:$AD$52)+$AE$20*NMultDensity(C17:D17,$AE$24:$AE$25,$AC$51:$AD$52)+$AE$33*NMultDensity(C17:D17,$AE$37:$AE$38,$AC$51:$AD$52)</f>
        <v>0.11772835893489199</v>
      </c>
      <c r="Q17" s="25" cm="1">
        <f t="array" ref="Q17">$AE$7*NMultDensity(C17:D17,$AE$11:$AE$12,$AC$51:$AD$52)/P17</f>
        <v>0.99999973098687966</v>
      </c>
      <c r="R17" s="25" cm="1">
        <f t="array" ref="R17">$AE$20*NMultDensity(C17:D17,$AE$24:$AE$25,$AC$51:$AD$52)/P17</f>
        <v>2.6901312029862262E-7</v>
      </c>
      <c r="S17" s="43" cm="1">
        <f t="array" ref="S17">$AE$33*NMultDensity(C17:D17,$AE$37:$AE$38,$AC$51:$AD$52)/P17</f>
        <v>5.4492981749114641E-17</v>
      </c>
      <c r="T17" s="71" t="str">
        <f t="shared" si="2"/>
        <v>setosa</v>
      </c>
      <c r="U17" s="25" cm="1">
        <f t="array" ref="U17">$AE$7*NMultDensity(C17:D17,$AE$11:$AE$12,$AC$51:$AD$52)*VLOOKUP($E17,$Z$62:$AD$65,2)+$AE$20*NMultDensity(C17:D17,$AE$24:$AE$25,$AC$51:$AD$52)*VLOOKUP($E17,$Z$62:$AD$65,3)+$AE$33*NMultDensity(C17:D17,$AE$37:$AE$38,$AC$51:$AD$52)*VLOOKUP($E17,$Z$62:$AD$65,4)</f>
        <v>5.180046969702945E-2</v>
      </c>
      <c r="V17" s="25" cm="1">
        <f t="array" ref="V17">$AE$7*NMultDensity(C17:D17,$AE$11:$AE$12,$AC$51:$AD$52)/U17*VLOOKUP($E17,$Z$62:$AD$65,2)</f>
        <v>0.99999988994916045</v>
      </c>
      <c r="W17" s="25" cm="1">
        <f t="array" ref="W17">$AE$20*NMultDensity(C17:D17,$AE$24:$AE$25,$AC$51:$AD$52)/U17*VLOOKUP($E17,$Z$62:$AD$65,3)</f>
        <v>1.1005083943427998E-7</v>
      </c>
      <c r="X17" s="43" cm="1">
        <f t="array" ref="X17">$AE$33*NMultDensity(C17:D17,$AE$37:$AE$38,$AC$51:$AD$52)/U17*VLOOKUP($E17,$Z$62:$AD$65,4)</f>
        <v>7.4308623288334952E-17</v>
      </c>
      <c r="Z17" s="19" t="s">
        <v>14</v>
      </c>
      <c r="AA17" s="19">
        <f>COUNT(C2:C51)</f>
        <v>50</v>
      </c>
    </row>
    <row r="18" spans="1:31" ht="15.75" thickTop="1" x14ac:dyDescent="0.25">
      <c r="A18" s="71">
        <v>5.4</v>
      </c>
      <c r="B18" s="25">
        <v>3.9</v>
      </c>
      <c r="C18" s="25">
        <v>1.3</v>
      </c>
      <c r="D18" s="68">
        <v>0.4</v>
      </c>
      <c r="E18" s="80" t="s">
        <v>38</v>
      </c>
      <c r="F18" s="81" t="s">
        <v>5</v>
      </c>
      <c r="G18" s="81">
        <f t="shared" ca="1" si="3"/>
        <v>1.3151160860521933</v>
      </c>
      <c r="H18" s="60">
        <f t="shared" ca="1" si="4"/>
        <v>0.41241447796376757</v>
      </c>
      <c r="I18" s="78" t="s">
        <v>5</v>
      </c>
      <c r="J18" s="69" t="str">
        <f t="shared" si="0"/>
        <v>setosa</v>
      </c>
      <c r="K18" s="25" cm="1">
        <f t="array" ref="K18">$AE$7*NMultDensity(A18:D18,$AE$9:$AE$12,$AA$49:$AD$52)+$AE$20*NMultDensity(A18:D18,$AE$22:$AE$25,$AA$49:$AD$52)+$AE$33*NMultDensity(A18:D18,$AE$35:$AE$38,$AA$49:$AD$52)</f>
        <v>2.5763017203157518E-2</v>
      </c>
      <c r="L18" s="25" cm="1">
        <f t="array" ref="L18">$AE$7*NMultDensity(A18:D18,$AE$9:$AE$12,$AA$49:$AD$52)/K18</f>
        <v>1</v>
      </c>
      <c r="M18" s="25" cm="1">
        <f t="array" ref="M18">$AE$20*NMultDensity(A18:D18,$AE$22:$AE$25,$AA$49:$AD$52)/K18</f>
        <v>1.9164584262226849E-25</v>
      </c>
      <c r="N18" s="43" cm="1">
        <f t="array" ref="N18">$AE$33*NMultDensity(A18:D18,$AE$35:$AE$38,$AA$49:$AD$52)/K18</f>
        <v>6.1792018917205719E-44</v>
      </c>
      <c r="O18" s="71" t="str">
        <f t="shared" si="1"/>
        <v>setosa</v>
      </c>
      <c r="P18" s="25" cm="1">
        <f t="array" ref="P18">$AE$7*NMultDensity(C18:D18,$AE$11:$AE$12,$AC$51:$AD$52)+$AE$20*NMultDensity(C18:D18,$AE$24:$AE$25,$AC$51:$AD$52)+$AE$33*NMultDensity(C18:D18,$AE$37:$AE$38,$AC$51:$AD$52)</f>
        <v>9.600547185099903E-2</v>
      </c>
      <c r="Q18" s="25" cm="1">
        <f t="array" ref="Q18">$AE$7*NMultDensity(C18:D18,$AE$11:$AE$12,$AC$51:$AD$52)/P18</f>
        <v>0.99999995526851548</v>
      </c>
      <c r="R18" s="25" cm="1">
        <f t="array" ref="R18">$AE$20*NMultDensity(C18:D18,$AE$24:$AE$25,$AC$51:$AD$52)/P18</f>
        <v>4.4731484562711708E-8</v>
      </c>
      <c r="S18" s="43" cm="1">
        <f t="array" ref="S18">$AE$33*NMultDensity(C18:D18,$AE$37:$AE$38,$AC$51:$AD$52)/P18</f>
        <v>4.7652274935942734E-18</v>
      </c>
      <c r="T18" s="71" t="str">
        <f t="shared" si="2"/>
        <v>setosa</v>
      </c>
      <c r="U18" s="25" cm="1">
        <f t="array" ref="U18">$AE$7*NMultDensity(C18:D18,$AE$11:$AE$12,$AC$51:$AD$52)*VLOOKUP($E18,$Z$62:$AD$65,2)+$AE$20*NMultDensity(C18:D18,$AE$24:$AE$25,$AC$51:$AD$52)*VLOOKUP($E18,$Z$62:$AD$65,3)+$AE$33*NMultDensity(C18:D18,$AE$37:$AE$38,$AC$51:$AD$52)*VLOOKUP($E18,$Z$62:$AD$65,4)</f>
        <v>4.2242406497878082E-2</v>
      </c>
      <c r="V18" s="25" cm="1">
        <f t="array" ref="V18">$AE$7*NMultDensity(C18:D18,$AE$11:$AE$12,$AC$51:$AD$52)/U18*VLOOKUP($E18,$Z$62:$AD$65,2)</f>
        <v>0.99999998170075577</v>
      </c>
      <c r="W18" s="25" cm="1">
        <f t="array" ref="W18">$AE$20*NMultDensity(C18:D18,$AE$24:$AE$25,$AC$51:$AD$52)/U18*VLOOKUP($E18,$Z$62:$AD$65,3)</f>
        <v>1.8299244168435727E-8</v>
      </c>
      <c r="X18" s="43" cm="1">
        <f t="array" ref="X18">$AE$33*NMultDensity(C18:D18,$AE$37:$AE$38,$AC$51:$AD$52)/U18*VLOOKUP($E18,$Z$62:$AD$65,4)</f>
        <v>6.4980376630226141E-18</v>
      </c>
    </row>
    <row r="19" spans="1:31" x14ac:dyDescent="0.25">
      <c r="A19" s="71">
        <v>5.0999999999999996</v>
      </c>
      <c r="B19" s="25">
        <v>3.5</v>
      </c>
      <c r="C19" s="25">
        <v>1.4</v>
      </c>
      <c r="D19" s="68">
        <v>0.3</v>
      </c>
      <c r="E19" s="80" t="s">
        <v>38</v>
      </c>
      <c r="F19" s="81" t="s">
        <v>5</v>
      </c>
      <c r="G19" s="81">
        <f t="shared" ca="1" si="3"/>
        <v>1.4055808301936816</v>
      </c>
      <c r="H19" s="60">
        <f t="shared" ca="1" si="4"/>
        <v>0.309719926798801</v>
      </c>
      <c r="I19" s="78" t="s">
        <v>5</v>
      </c>
      <c r="J19" s="69" t="str">
        <f t="shared" si="0"/>
        <v>setosa</v>
      </c>
      <c r="K19" s="25" cm="1">
        <f t="array" ref="K19">$AE$7*NMultDensity(A19:D19,$AE$9:$AE$12,$AA$49:$AD$52)+$AE$20*NMultDensity(A19:D19,$AE$22:$AE$25,$AA$49:$AD$52)+$AE$33*NMultDensity(A19:D19,$AE$35:$AE$38,$AA$49:$AD$52)</f>
        <v>0.23932778945172301</v>
      </c>
      <c r="L19" s="25" cm="1">
        <f t="array" ref="L19">$AE$7*NMultDensity(A19:D19,$AE$9:$AE$12,$AA$49:$AD$52)/K19</f>
        <v>1</v>
      </c>
      <c r="M19" s="25" cm="1">
        <f t="array" ref="M19">$AE$20*NMultDensity(A19:D19,$AE$22:$AE$25,$AA$49:$AD$52)/K19</f>
        <v>1.3254136654148133E-20</v>
      </c>
      <c r="N19" s="43" cm="1">
        <f t="array" ref="N19">$AE$33*NMultDensity(A19:D19,$AE$35:$AE$38,$AA$49:$AD$52)/K19</f>
        <v>4.9461984501813795E-38</v>
      </c>
      <c r="O19" s="71" t="str">
        <f t="shared" si="1"/>
        <v>setosa</v>
      </c>
      <c r="P19" s="25" cm="1">
        <f t="array" ref="P19">$AE$7*NMultDensity(C19:D19,$AE$11:$AE$12,$AC$51:$AD$52)+$AE$20*NMultDensity(C19:D19,$AE$24:$AE$25,$AC$51:$AD$52)+$AE$33*NMultDensity(C19:D19,$AE$37:$AE$38,$AC$51:$AD$52)</f>
        <v>0.14077359482943874</v>
      </c>
      <c r="Q19" s="25" cm="1">
        <f t="array" ref="Q19">$AE$7*NMultDensity(C19:D19,$AE$11:$AE$12,$AC$51:$AD$52)/P19</f>
        <v>0.99999996231013255</v>
      </c>
      <c r="R19" s="25" cm="1">
        <f t="array" ref="R19">$AE$20*NMultDensity(C19:D19,$AE$24:$AE$25,$AC$51:$AD$52)/P19</f>
        <v>3.768986734545163E-8</v>
      </c>
      <c r="S19" s="43" cm="1">
        <f t="array" ref="S19">$AE$33*NMultDensity(C19:D19,$AE$37:$AE$38,$AC$51:$AD$52)/P19</f>
        <v>2.177725990822559E-18</v>
      </c>
      <c r="T19" s="71" t="str">
        <f t="shared" si="2"/>
        <v>setosa</v>
      </c>
      <c r="U19" s="25" cm="1">
        <f t="array" ref="U19">$AE$7*NMultDensity(C19:D19,$AE$11:$AE$12,$AC$51:$AD$52)*VLOOKUP($E19,$Z$62:$AD$65,2)+$AE$20*NMultDensity(C19:D19,$AE$24:$AE$25,$AC$51:$AD$52)*VLOOKUP($E19,$Z$62:$AD$65,3)+$AE$33*NMultDensity(C19:D19,$AE$37:$AE$38,$AC$51:$AD$52)*VLOOKUP($E19,$Z$62:$AD$65,4)</f>
        <v>6.1940380345461128E-2</v>
      </c>
      <c r="V19" s="25" cm="1">
        <f t="array" ref="V19">$AE$7*NMultDensity(C19:D19,$AE$11:$AE$12,$AC$51:$AD$52)/U19*VLOOKUP($E19,$Z$62:$AD$65,2)</f>
        <v>0.99999998458141748</v>
      </c>
      <c r="W19" s="25" cm="1">
        <f t="array" ref="W19">$AE$20*NMultDensity(C19:D19,$AE$24:$AE$25,$AC$51:$AD$52)/U19*VLOOKUP($E19,$Z$62:$AD$65,3)</f>
        <v>1.5418582439258223E-8</v>
      </c>
      <c r="X19" s="43" cm="1">
        <f t="array" ref="X19">$AE$33*NMultDensity(C19:D19,$AE$37:$AE$38,$AC$51:$AD$52)/U19*VLOOKUP($E19,$Z$62:$AD$65,4)</f>
        <v>2.9696264172590688E-18</v>
      </c>
      <c r="AE19" s="1"/>
    </row>
    <row r="20" spans="1:31" ht="15.75" thickBot="1" x14ac:dyDescent="0.3">
      <c r="A20" s="71">
        <v>5.7</v>
      </c>
      <c r="B20" s="25">
        <v>3.8</v>
      </c>
      <c r="C20" s="25">
        <v>1.7</v>
      </c>
      <c r="D20" s="68">
        <v>0.3</v>
      </c>
      <c r="E20" s="80" t="s">
        <v>38</v>
      </c>
      <c r="F20" s="81" t="s">
        <v>5</v>
      </c>
      <c r="G20" s="81">
        <f t="shared" ca="1" si="3"/>
        <v>1.6871534004865731</v>
      </c>
      <c r="H20" s="60">
        <f t="shared" ca="1" si="4"/>
        <v>0.27968628772220056</v>
      </c>
      <c r="I20" s="78" t="s">
        <v>5</v>
      </c>
      <c r="J20" s="69" t="str">
        <f t="shared" si="0"/>
        <v>setosa</v>
      </c>
      <c r="K20" s="25" cm="1">
        <f t="array" ref="K20">$AE$7*NMultDensity(A20:D20,$AE$9:$AE$12,$AA$49:$AD$52)+$AE$20*NMultDensity(A20:D20,$AE$22:$AE$25,$AA$49:$AD$52)+$AE$33*NMultDensity(A20:D20,$AE$35:$AE$38,$AA$49:$AD$52)</f>
        <v>7.0473198776203588E-2</v>
      </c>
      <c r="L20" s="25" cm="1">
        <f t="array" ref="L20">$AE$7*NMultDensity(A20:D20,$AE$9:$AE$12,$AA$49:$AD$52)/K20</f>
        <v>1</v>
      </c>
      <c r="M20" s="25" cm="1">
        <f t="array" ref="M20">$AE$20*NMultDensity(A20:D20,$AE$22:$AE$25,$AA$49:$AD$52)/K20</f>
        <v>4.4924571436296908E-23</v>
      </c>
      <c r="N20" s="43" cm="1">
        <f t="array" ref="N20">$AE$33*NMultDensity(A20:D20,$AE$35:$AE$38,$AA$49:$AD$52)/K20</f>
        <v>4.4073907572124553E-41</v>
      </c>
      <c r="O20" s="71" t="str">
        <f t="shared" si="1"/>
        <v>setosa</v>
      </c>
      <c r="P20" s="25" cm="1">
        <f t="array" ref="P20">$AE$7*NMultDensity(C20:D20,$AE$11:$AE$12,$AC$51:$AD$52)+$AE$20*NMultDensity(C20:D20,$AE$24:$AE$25,$AC$51:$AD$52)+$AE$33*NMultDensity(C20:D20,$AE$37:$AE$38,$AC$51:$AD$52)</f>
        <v>0.13298661527694208</v>
      </c>
      <c r="Q20" s="25" cm="1">
        <f t="array" ref="Q20">$AE$7*NMultDensity(C20:D20,$AE$11:$AE$12,$AC$51:$AD$52)/P20</f>
        <v>0.99999944414085518</v>
      </c>
      <c r="R20" s="25" cm="1">
        <f t="array" ref="R20">$AE$20*NMultDensity(C20:D20,$AE$24:$AE$25,$AC$51:$AD$52)/P20</f>
        <v>5.5585914485829867E-7</v>
      </c>
      <c r="S20" s="43" cm="1">
        <f t="array" ref="S20">$AE$33*NMultDensity(C20:D20,$AE$37:$AE$38,$AC$51:$AD$52)/P20</f>
        <v>8.4214825995987477E-17</v>
      </c>
      <c r="T20" s="71" t="str">
        <f t="shared" si="2"/>
        <v>setosa</v>
      </c>
      <c r="U20" s="25" cm="1">
        <f t="array" ref="U20">$AE$7*NMultDensity(C20:D20,$AE$11:$AE$12,$AC$51:$AD$52)*VLOOKUP($E20,$Z$62:$AD$65,2)+$AE$20*NMultDensity(C20:D20,$AE$24:$AE$25,$AC$51:$AD$52)*VLOOKUP($E20,$Z$62:$AD$65,3)+$AE$33*NMultDensity(C20:D20,$AE$37:$AE$38,$AC$51:$AD$52)*VLOOKUP($E20,$Z$62:$AD$65,4)</f>
        <v>5.8514091502179705E-2</v>
      </c>
      <c r="V20" s="25" cm="1">
        <f t="array" ref="V20">$AE$7*NMultDensity(C20:D20,$AE$11:$AE$12,$AC$51:$AD$52)/U20*VLOOKUP($E20,$Z$62:$AD$65,2)</f>
        <v>0.99999977260300232</v>
      </c>
      <c r="W20" s="25" cm="1">
        <f t="array" ref="W20">$AE$20*NMultDensity(C20:D20,$AE$24:$AE$25,$AC$51:$AD$52)/U20*VLOOKUP($E20,$Z$62:$AD$65,3)</f>
        <v>2.2739699758789976E-7</v>
      </c>
      <c r="X20" s="43" cm="1">
        <f t="array" ref="X20">$AE$33*NMultDensity(C20:D20,$AE$37:$AE$38,$AC$51:$AD$52)/U20*VLOOKUP($E20,$Z$62:$AD$65,4)</f>
        <v>1.1483843680552556E-16</v>
      </c>
      <c r="Z20" s="107" t="s">
        <v>18</v>
      </c>
      <c r="AA20" s="108"/>
      <c r="AB20" s="109"/>
      <c r="AC20" s="103" t="s">
        <v>17</v>
      </c>
      <c r="AD20" s="104"/>
      <c r="AE20" s="29">
        <f>1/3</f>
        <v>0.33333333333333331</v>
      </c>
    </row>
    <row r="21" spans="1:31" ht="15.75" thickBot="1" x14ac:dyDescent="0.3">
      <c r="A21" s="71">
        <v>5.0999999999999996</v>
      </c>
      <c r="B21" s="25">
        <v>3.8</v>
      </c>
      <c r="C21" s="25">
        <v>1.5</v>
      </c>
      <c r="D21" s="68">
        <v>0.3</v>
      </c>
      <c r="E21" s="80" t="s">
        <v>38</v>
      </c>
      <c r="F21" s="81" t="s">
        <v>5</v>
      </c>
      <c r="G21" s="81">
        <f t="shared" ca="1" si="3"/>
        <v>1.5135290060455082</v>
      </c>
      <c r="H21" s="60">
        <f t="shared" ca="1" si="4"/>
        <v>0.30082889304215427</v>
      </c>
      <c r="I21" s="78" t="s">
        <v>5</v>
      </c>
      <c r="J21" s="69" t="str">
        <f t="shared" si="0"/>
        <v>setosa</v>
      </c>
      <c r="K21" s="25" cm="1">
        <f t="array" ref="K21">$AE$7*NMultDensity(A21:D21,$AE$9:$AE$12,$AA$49:$AD$52)+$AE$20*NMultDensity(A21:D21,$AE$22:$AE$25,$AA$49:$AD$52)+$AE$33*NMultDensity(A21:D21,$AE$35:$AE$38,$AA$49:$AD$52)</f>
        <v>0.12243484991438053</v>
      </c>
      <c r="L21" s="25" cm="1">
        <f t="array" ref="L21">$AE$7*NMultDensity(A21:D21,$AE$9:$AE$12,$AA$49:$AD$52)/K21</f>
        <v>1</v>
      </c>
      <c r="M21" s="25" cm="1">
        <f t="array" ref="M21">$AE$20*NMultDensity(A21:D21,$AE$22:$AE$25,$AA$49:$AD$52)/K21</f>
        <v>2.6320336387077001E-22</v>
      </c>
      <c r="N21" s="43" cm="1">
        <f t="array" ref="N21">$AE$33*NMultDensity(A21:D21,$AE$35:$AE$38,$AA$49:$AD$52)/K21</f>
        <v>5.9029160966621749E-40</v>
      </c>
      <c r="O21" s="71" t="str">
        <f t="shared" si="1"/>
        <v>setosa</v>
      </c>
      <c r="P21" s="25" cm="1">
        <f t="array" ref="P21">$AE$7*NMultDensity(C21:D21,$AE$11:$AE$12,$AC$51:$AD$52)+$AE$20*NMultDensity(C21:D21,$AE$24:$AE$25,$AC$51:$AD$52)+$AE$33*NMultDensity(C21:D21,$AE$37:$AE$38,$AC$51:$AD$52)</f>
        <v>0.14519200095537188</v>
      </c>
      <c r="Q21" s="25" cm="1">
        <f t="array" ref="Q21">$AE$7*NMultDensity(C21:D21,$AE$11:$AE$12,$AC$51:$AD$52)/P21</f>
        <v>0.9999999075717545</v>
      </c>
      <c r="R21" s="25" cm="1">
        <f t="array" ref="R21">$AE$20*NMultDensity(C21:D21,$AE$24:$AE$25,$AC$51:$AD$52)/P21</f>
        <v>9.2428245417835385E-8</v>
      </c>
      <c r="S21" s="43" cm="1">
        <f t="array" ref="S21">$AE$33*NMultDensity(C21:D21,$AE$37:$AE$38,$AC$51:$AD$52)/P21</f>
        <v>7.3643043066217934E-18</v>
      </c>
      <c r="T21" s="71" t="str">
        <f t="shared" si="2"/>
        <v>setosa</v>
      </c>
      <c r="U21" s="25" cm="1">
        <f t="array" ref="U21">$AE$7*NMultDensity(C21:D21,$AE$11:$AE$12,$AC$51:$AD$52)*VLOOKUP($E21,$Z$62:$AD$65,2)+$AE$20*NMultDensity(C21:D21,$AE$24:$AE$25,$AC$51:$AD$52)*VLOOKUP($E21,$Z$62:$AD$65,3)+$AE$33*NMultDensity(C21:D21,$AE$37:$AE$38,$AC$51:$AD$52)*VLOOKUP($E21,$Z$62:$AD$65,4)</f>
        <v>6.3884476931204734E-2</v>
      </c>
      <c r="V21" s="25" cm="1">
        <f t="array" ref="V21">$AE$7*NMultDensity(C21:D21,$AE$11:$AE$12,$AC$51:$AD$52)/U21*VLOOKUP($E21,$Z$62:$AD$65,2)</f>
        <v>0.999999962188443</v>
      </c>
      <c r="W21" s="25" cm="1">
        <f t="array" ref="W21">$AE$20*NMultDensity(C21:D21,$AE$24:$AE$25,$AC$51:$AD$52)/U21*VLOOKUP($E21,$Z$62:$AD$65,3)</f>
        <v>3.7811557008802038E-8</v>
      </c>
      <c r="X21" s="43" cm="1">
        <f t="array" ref="X21">$AE$33*NMultDensity(C21:D21,$AE$37:$AE$38,$AC$51:$AD$52)/U21*VLOOKUP($E21,$Z$62:$AD$65,4)</f>
        <v>1.0042233693866923E-17</v>
      </c>
      <c r="AA21" s="22" t="s">
        <v>15</v>
      </c>
      <c r="AB21" s="23" t="s">
        <v>16</v>
      </c>
      <c r="AC21" s="23" t="s">
        <v>9</v>
      </c>
      <c r="AD21" s="70" t="s">
        <v>10</v>
      </c>
      <c r="AE21" s="56" t="s">
        <v>11</v>
      </c>
    </row>
    <row r="22" spans="1:31" x14ac:dyDescent="0.25">
      <c r="A22" s="71">
        <v>5.4</v>
      </c>
      <c r="B22" s="25">
        <v>3.4</v>
      </c>
      <c r="C22" s="25">
        <v>1.7</v>
      </c>
      <c r="D22" s="68">
        <v>0.2</v>
      </c>
      <c r="E22" s="80" t="s">
        <v>38</v>
      </c>
      <c r="F22" s="81" t="s">
        <v>5</v>
      </c>
      <c r="G22" s="81">
        <f t="shared" ca="1" si="3"/>
        <v>1.7157740156177663</v>
      </c>
      <c r="H22" s="60">
        <f t="shared" ca="1" si="4"/>
        <v>0.21014279204174774</v>
      </c>
      <c r="I22" s="78" t="s">
        <v>5</v>
      </c>
      <c r="J22" s="69" t="str">
        <f t="shared" si="0"/>
        <v>setosa</v>
      </c>
      <c r="K22" s="25" cm="1">
        <f t="array" ref="K22">$AE$7*NMultDensity(A22:D22,$AE$9:$AE$12,$AA$49:$AD$52)+$AE$20*NMultDensity(A22:D22,$AE$22:$AE$25,$AA$49:$AD$52)+$AE$33*NMultDensity(A22:D22,$AE$35:$AE$38,$AA$49:$AD$52)</f>
        <v>0.19189556739310415</v>
      </c>
      <c r="L22" s="25" cm="1">
        <f t="array" ref="L22">$AE$7*NMultDensity(A22:D22,$AE$9:$AE$12,$AA$49:$AD$52)/K22</f>
        <v>1</v>
      </c>
      <c r="M22" s="25" cm="1">
        <f t="array" ref="M22">$AE$20*NMultDensity(A22:D22,$AE$22:$AE$25,$AA$49:$AD$52)/K22</f>
        <v>3.5220223445093719E-19</v>
      </c>
      <c r="N22" s="43" cm="1">
        <f t="array" ref="N22">$AE$33*NMultDensity(A22:D22,$AE$35:$AE$38,$AA$49:$AD$52)/K22</f>
        <v>1.8772077746274063E-36</v>
      </c>
      <c r="O22" s="71" t="str">
        <f t="shared" si="1"/>
        <v>setosa</v>
      </c>
      <c r="P22" s="25" cm="1">
        <f t="array" ref="P22">$AE$7*NMultDensity(C22:D22,$AE$11:$AE$12,$AC$51:$AD$52)+$AE$20*NMultDensity(C22:D22,$AE$24:$AE$25,$AC$51:$AD$52)+$AE$33*NMultDensity(C22:D22,$AE$37:$AE$38,$AC$51:$AD$52)</f>
        <v>0.12020002362653033</v>
      </c>
      <c r="Q22" s="25" cm="1">
        <f t="array" ref="Q22">$AE$7*NMultDensity(C22:D22,$AE$11:$AE$12,$AC$51:$AD$52)/P22</f>
        <v>0.9999998090163964</v>
      </c>
      <c r="R22" s="25" cm="1">
        <f t="array" ref="R22">$AE$20*NMultDensity(C22:D22,$AE$24:$AE$25,$AC$51:$AD$52)/P22</f>
        <v>1.9098360360829579E-7</v>
      </c>
      <c r="S22" s="43" cm="1">
        <f t="array" ref="S22">$AE$33*NMultDensity(C22:D22,$AE$37:$AE$38,$AC$51:$AD$52)/P22</f>
        <v>1.1380983433680295E-17</v>
      </c>
      <c r="T22" s="71" t="str">
        <f t="shared" si="2"/>
        <v>setosa</v>
      </c>
      <c r="U22" s="25" cm="1">
        <f t="array" ref="U22">$AE$7*NMultDensity(C22:D22,$AE$11:$AE$12,$AC$51:$AD$52)*VLOOKUP($E22,$Z$62:$AD$65,2)+$AE$20*NMultDensity(C22:D22,$AE$24:$AE$25,$AC$51:$AD$52)*VLOOKUP($E22,$Z$62:$AD$65,3)+$AE$33*NMultDensity(C22:D22,$AE$37:$AE$38,$AC$51:$AD$52)*VLOOKUP($E22,$Z$62:$AD$65,4)</f>
        <v>5.2888004427052597E-2</v>
      </c>
      <c r="V22" s="25" cm="1">
        <f t="array" ref="V22">$AE$7*NMultDensity(C22:D22,$AE$11:$AE$12,$AC$51:$AD$52)/U22*VLOOKUP($E22,$Z$62:$AD$65,2)</f>
        <v>0.99999992187033515</v>
      </c>
      <c r="W22" s="25" cm="1">
        <f t="array" ref="W22">$AE$20*NMultDensity(C22:D22,$AE$24:$AE$25,$AC$51:$AD$52)/U22*VLOOKUP($E22,$Z$62:$AD$65,3)</f>
        <v>7.8129664838816646E-8</v>
      </c>
      <c r="X22" s="43" cm="1">
        <f t="array" ref="X22">$AE$33*NMultDensity(C22:D22,$AE$37:$AE$38,$AC$51:$AD$52)/U22*VLOOKUP($E22,$Z$62:$AD$65,4)</f>
        <v>1.5519524615549109E-17</v>
      </c>
      <c r="Z22" s="30" t="s">
        <v>15</v>
      </c>
      <c r="AA22" s="27">
        <f>_xlfn.COVARIANCE.S($A$52:$A$101,A52:A101)</f>
        <v>0.2664326530612246</v>
      </c>
      <c r="AB22" s="27">
        <f>_xlfn.COVARIANCE.S($A$52:$A$101,B52:B101)</f>
        <v>8.5183673469387738E-2</v>
      </c>
      <c r="AC22" s="27">
        <f>_xlfn.COVARIANCE.S($A$52:$A$101,C52:C101)</f>
        <v>0.18289795918367358</v>
      </c>
      <c r="AD22" s="27">
        <f>_xlfn.COVARIANCE.S($A$52:$A$101,D52:D101)</f>
        <v>5.5779591836734706E-2</v>
      </c>
      <c r="AE22" s="7">
        <f>AA26</f>
        <v>5.9359999999999999</v>
      </c>
    </row>
    <row r="23" spans="1:31" x14ac:dyDescent="0.25">
      <c r="A23" s="71">
        <v>5.0999999999999996</v>
      </c>
      <c r="B23" s="25">
        <v>3.7</v>
      </c>
      <c r="C23" s="25">
        <v>1.5</v>
      </c>
      <c r="D23" s="68">
        <v>0.4</v>
      </c>
      <c r="E23" s="80" t="s">
        <v>38</v>
      </c>
      <c r="F23" s="81" t="s">
        <v>5</v>
      </c>
      <c r="G23" s="81">
        <f t="shared" ca="1" si="3"/>
        <v>1.5162367518965463</v>
      </c>
      <c r="H23" s="60">
        <f t="shared" ca="1" si="4"/>
        <v>0.38762904747874505</v>
      </c>
      <c r="I23" s="78" t="s">
        <v>5</v>
      </c>
      <c r="J23" s="69" t="str">
        <f t="shared" si="0"/>
        <v>setosa</v>
      </c>
      <c r="K23" s="25" cm="1">
        <f t="array" ref="K23">$AE$7*NMultDensity(A23:D23,$AE$9:$AE$12,$AA$49:$AD$52)+$AE$20*NMultDensity(A23:D23,$AE$22:$AE$25,$AA$49:$AD$52)+$AE$33*NMultDensity(A23:D23,$AE$35:$AE$38,$AA$49:$AD$52)</f>
        <v>0.18011339543289306</v>
      </c>
      <c r="L23" s="25" cm="1">
        <f t="array" ref="L23">$AE$7*NMultDensity(A23:D23,$AE$9:$AE$12,$AA$49:$AD$52)/K23</f>
        <v>1</v>
      </c>
      <c r="M23" s="25" cm="1">
        <f t="array" ref="M23">$AE$20*NMultDensity(A23:D23,$AE$22:$AE$25,$AA$49:$AD$52)/K23</f>
        <v>1.8539757024593821E-20</v>
      </c>
      <c r="N23" s="43" cm="1">
        <f t="array" ref="N23">$AE$33*NMultDensity(A23:D23,$AE$35:$AE$38,$AA$49:$AD$52)/K23</f>
        <v>2.0317746259451767E-37</v>
      </c>
      <c r="O23" s="71" t="str">
        <f t="shared" si="1"/>
        <v>setosa</v>
      </c>
      <c r="P23" s="25" cm="1">
        <f t="array" ref="P23">$AE$7*NMultDensity(C23:D23,$AE$11:$AE$12,$AC$51:$AD$52)+$AE$20*NMultDensity(C23:D23,$AE$24:$AE$25,$AC$51:$AD$52)+$AE$33*NMultDensity(C23:D23,$AE$37:$AE$38,$AC$51:$AD$52)</f>
        <v>0.11772835893489199</v>
      </c>
      <c r="Q23" s="25" cm="1">
        <f t="array" ref="Q23">$AE$7*NMultDensity(C23:D23,$AE$11:$AE$12,$AC$51:$AD$52)/P23</f>
        <v>0.99999973098687966</v>
      </c>
      <c r="R23" s="25" cm="1">
        <f t="array" ref="R23">$AE$20*NMultDensity(C23:D23,$AE$24:$AE$25,$AC$51:$AD$52)/P23</f>
        <v>2.6901312029862262E-7</v>
      </c>
      <c r="S23" s="43" cm="1">
        <f t="array" ref="S23">$AE$33*NMultDensity(C23:D23,$AE$37:$AE$38,$AC$51:$AD$52)/P23</f>
        <v>5.4492981749114641E-17</v>
      </c>
      <c r="T23" s="71" t="str">
        <f t="shared" si="2"/>
        <v>setosa</v>
      </c>
      <c r="U23" s="25" cm="1">
        <f t="array" ref="U23">$AE$7*NMultDensity(C23:D23,$AE$11:$AE$12,$AC$51:$AD$52)*VLOOKUP($E23,$Z$62:$AD$65,2)+$AE$20*NMultDensity(C23:D23,$AE$24:$AE$25,$AC$51:$AD$52)*VLOOKUP($E23,$Z$62:$AD$65,3)+$AE$33*NMultDensity(C23:D23,$AE$37:$AE$38,$AC$51:$AD$52)*VLOOKUP($E23,$Z$62:$AD$65,4)</f>
        <v>5.180046969702945E-2</v>
      </c>
      <c r="V23" s="25" cm="1">
        <f t="array" ref="V23">$AE$7*NMultDensity(C23:D23,$AE$11:$AE$12,$AC$51:$AD$52)/U23*VLOOKUP($E23,$Z$62:$AD$65,2)</f>
        <v>0.99999988994916045</v>
      </c>
      <c r="W23" s="25" cm="1">
        <f t="array" ref="W23">$AE$20*NMultDensity(C23:D23,$AE$24:$AE$25,$AC$51:$AD$52)/U23*VLOOKUP($E23,$Z$62:$AD$65,3)</f>
        <v>1.1005083943427998E-7</v>
      </c>
      <c r="X23" s="43" cm="1">
        <f t="array" ref="X23">$AE$33*NMultDensity(C23:D23,$AE$37:$AE$38,$AC$51:$AD$52)/U23*VLOOKUP($E23,$Z$62:$AD$65,4)</f>
        <v>7.4308623288334952E-17</v>
      </c>
      <c r="Z23" s="31" t="s">
        <v>16</v>
      </c>
      <c r="AA23" s="27">
        <f>_xlfn.COVARIANCE.S($B$52:$B$101,A52:A101)</f>
        <v>8.5183673469387738E-2</v>
      </c>
      <c r="AB23" s="27">
        <f>_xlfn.COVARIANCE.S($B$52:$B$101,B52:B101)</f>
        <v>9.8469387755102056E-2</v>
      </c>
      <c r="AC23" s="27">
        <f>_xlfn.COVARIANCE.S($B$52:$B$101,C52:C101)</f>
        <v>8.2653061224489829E-2</v>
      </c>
      <c r="AD23" s="27">
        <f>_xlfn.COVARIANCE.S($B$52:$B$101,D52:D101)</f>
        <v>4.1204081632653065E-2</v>
      </c>
      <c r="AE23" s="8">
        <f>AB26</f>
        <v>2.7700000000000005</v>
      </c>
    </row>
    <row r="24" spans="1:31" x14ac:dyDescent="0.25">
      <c r="A24" s="71">
        <v>4.5999999999999996</v>
      </c>
      <c r="B24" s="25">
        <v>3.6</v>
      </c>
      <c r="C24" s="25">
        <v>1</v>
      </c>
      <c r="D24" s="68">
        <v>0.2</v>
      </c>
      <c r="E24" s="80" t="s">
        <v>39</v>
      </c>
      <c r="F24" s="81" t="s">
        <v>5</v>
      </c>
      <c r="G24" s="81">
        <f t="shared" ca="1" si="3"/>
        <v>0.98665576202714222</v>
      </c>
      <c r="H24" s="60">
        <f t="shared" ca="1" si="4"/>
        <v>0.19805383499949078</v>
      </c>
      <c r="I24" s="78" t="s">
        <v>5</v>
      </c>
      <c r="J24" s="69" t="str">
        <f t="shared" si="0"/>
        <v>setosa</v>
      </c>
      <c r="K24" s="25" cm="1">
        <f t="array" ref="K24">$AE$7*NMultDensity(A24:D24,$AE$9:$AE$12,$AA$49:$AD$52)+$AE$20*NMultDensity(A24:D24,$AE$22:$AE$25,$AA$49:$AD$52)+$AE$33*NMultDensity(A24:D24,$AE$35:$AE$38,$AA$49:$AD$52)</f>
        <v>0.1043700076624758</v>
      </c>
      <c r="L24" s="25" cm="1">
        <f t="array" ref="L24">$AE$7*NMultDensity(A24:D24,$AE$9:$AE$12,$AA$49:$AD$52)/K24</f>
        <v>1</v>
      </c>
      <c r="M24" s="25" cm="1">
        <f t="array" ref="M24">$AE$20*NMultDensity(A24:D24,$AE$22:$AE$25,$AA$49:$AD$52)/K24</f>
        <v>5.1063358022449449E-24</v>
      </c>
      <c r="N24" s="43" cm="1">
        <f t="array" ref="N24">$AE$33*NMultDensity(A24:D24,$AE$35:$AE$38,$AA$49:$AD$52)/K24</f>
        <v>1.3299867356816017E-42</v>
      </c>
      <c r="O24" s="71" t="str">
        <f t="shared" si="1"/>
        <v>setosa</v>
      </c>
      <c r="P24" s="25" cm="1">
        <f t="array" ref="P24">$AE$7*NMultDensity(C24:D24,$AE$11:$AE$12,$AC$51:$AD$52)+$AE$20*NMultDensity(C24:D24,$AE$24:$AE$25,$AC$51:$AD$52)+$AE$33*NMultDensity(C24:D24,$AE$37:$AE$38,$AC$51:$AD$52)</f>
        <v>9.4325443490260952E-2</v>
      </c>
      <c r="Q24" s="25" cm="1">
        <f t="array" ref="Q24">$AE$7*NMultDensity(C24:D24,$AE$11:$AE$12,$AC$51:$AD$52)/P24</f>
        <v>0.99999999964195696</v>
      </c>
      <c r="R24" s="25" cm="1">
        <f t="array" ref="R24">$AE$20*NMultDensity(C24:D24,$AE$24:$AE$25,$AC$51:$AD$52)/P24</f>
        <v>3.5804309328026702E-10</v>
      </c>
      <c r="S24" s="43" cm="1">
        <f t="array" ref="S24">$AE$33*NMultDensity(C24:D24,$AE$37:$AE$38,$AC$51:$AD$52)/P24</f>
        <v>2.2505064705528958E-21</v>
      </c>
      <c r="T24" s="71" t="str">
        <f t="shared" si="2"/>
        <v>setosa</v>
      </c>
      <c r="U24" s="25" cm="1">
        <f t="array" ref="U24">$AE$7*NMultDensity(C24:D24,$AE$11:$AE$12,$AC$51:$AD$52)*VLOOKUP($E24,$Z$62:$AD$65,2)+$AE$20*NMultDensity(C24:D24,$AE$24:$AE$25,$AC$51:$AD$52)*VLOOKUP($E24,$Z$62:$AD$65,3)+$AE$33*NMultDensity(C24:D24,$AE$37:$AE$38,$AC$51:$AD$52)*VLOOKUP($E24,$Z$62:$AD$65,4)</f>
        <v>1.6978579835001485E-2</v>
      </c>
      <c r="V24" s="25" cm="1">
        <f t="array" ref="V24">$AE$7*NMultDensity(C24:D24,$AE$11:$AE$12,$AC$51:$AD$52)/U24*VLOOKUP($E24,$Z$62:$AD$65,2)</f>
        <v>0.9999999992441313</v>
      </c>
      <c r="W24" s="25" cm="1">
        <f t="array" ref="W24">$AE$20*NMultDensity(C24:D24,$AE$24:$AE$25,$AC$51:$AD$52)/U24*VLOOKUP($E24,$Z$62:$AD$65,3)</f>
        <v>7.5586875217985977E-10</v>
      </c>
      <c r="X24" s="43" cm="1">
        <f t="array" ref="X24">$AE$33*NMultDensity(C24:D24,$AE$37:$AE$38,$AC$51:$AD$52)/U24*VLOOKUP($E24,$Z$62:$AD$65,4)</f>
        <v>4.7510692137215725E-21</v>
      </c>
      <c r="Z24" s="31" t="s">
        <v>9</v>
      </c>
      <c r="AA24" s="27">
        <f>_xlfn.COVARIANCE.S($C$52:$C$101,A52:A101)</f>
        <v>0.18289795918367358</v>
      </c>
      <c r="AB24" s="27">
        <f>_xlfn.COVARIANCE.S($C$52:$C$101,B52:B101)</f>
        <v>8.2653061224489829E-2</v>
      </c>
      <c r="AC24" s="28">
        <f>_xlfn.COVARIANCE.S($C$52:$C$101,C52:C101)</f>
        <v>0.22081632653061237</v>
      </c>
      <c r="AD24" s="34">
        <f>_xlfn.COVARIANCE.S($C$52:$C$101,D52:D101)</f>
        <v>7.3102040816326527E-2</v>
      </c>
      <c r="AE24" s="8">
        <f>AC26</f>
        <v>4.26</v>
      </c>
    </row>
    <row r="25" spans="1:31" ht="15.75" thickBot="1" x14ac:dyDescent="0.3">
      <c r="A25" s="71">
        <v>5.0999999999999996</v>
      </c>
      <c r="B25" s="25">
        <v>3.3</v>
      </c>
      <c r="C25" s="25">
        <v>1.7</v>
      </c>
      <c r="D25" s="68">
        <v>0.5</v>
      </c>
      <c r="E25" s="80" t="s">
        <v>39</v>
      </c>
      <c r="F25" s="81" t="s">
        <v>5</v>
      </c>
      <c r="G25" s="81">
        <f t="shared" ca="1" si="3"/>
        <v>1.694760782913125</v>
      </c>
      <c r="H25" s="60">
        <f t="shared" ca="1" si="4"/>
        <v>0.49848162256933715</v>
      </c>
      <c r="I25" s="78" t="s">
        <v>5</v>
      </c>
      <c r="J25" s="69" t="str">
        <f t="shared" si="0"/>
        <v>setosa</v>
      </c>
      <c r="K25" s="25" cm="1">
        <f t="array" ref="K25">$AE$7*NMultDensity(A25:D25,$AE$9:$AE$12,$AA$49:$AD$52)+$AE$20*NMultDensity(A25:D25,$AE$22:$AE$25,$AA$49:$AD$52)+$AE$33*NMultDensity(A25:D25,$AE$35:$AE$38,$AA$49:$AD$52)</f>
        <v>7.9988899807943215E-2</v>
      </c>
      <c r="L25" s="25" cm="1">
        <f t="array" ref="L25">$AE$7*NMultDensity(A25:D25,$AE$9:$AE$12,$AA$49:$AD$52)/K25</f>
        <v>0.99999999999995492</v>
      </c>
      <c r="M25" s="25" cm="1">
        <f t="array" ref="M25">$AE$20*NMultDensity(A25:D25,$AE$22:$AE$25,$AA$49:$AD$52)/K25</f>
        <v>4.5144856962167077E-14</v>
      </c>
      <c r="N25" s="43" cm="1">
        <f t="array" ref="N25">$AE$33*NMultDensity(A25:D25,$AE$35:$AE$38,$AA$49:$AD$52)/K25</f>
        <v>3.8896853759414989E-29</v>
      </c>
      <c r="O25" s="71" t="str">
        <f t="shared" si="1"/>
        <v>setosa</v>
      </c>
      <c r="P25" s="25" cm="1">
        <f t="array" ref="P25">$AE$7*NMultDensity(C25:D25,$AE$11:$AE$12,$AC$51:$AD$52)+$AE$20*NMultDensity(C25:D25,$AE$24:$AE$25,$AC$51:$AD$52)+$AE$33*NMultDensity(C25:D25,$AE$37:$AE$38,$AC$51:$AD$52)</f>
        <v>8.4522010440527179E-2</v>
      </c>
      <c r="Q25" s="25" cm="1">
        <f t="array" ref="Q25">$AE$7*NMultDensity(C25:D25,$AE$11:$AE$12,$AC$51:$AD$52)/P25</f>
        <v>0.99999529130444775</v>
      </c>
      <c r="R25" s="25" cm="1">
        <f t="array" ref="R25">$AE$20*NMultDensity(C25:D25,$AE$24:$AE$25,$AC$51:$AD$52)/P25</f>
        <v>4.7086955476176289E-6</v>
      </c>
      <c r="S25" s="43" cm="1">
        <f t="array" ref="S25">$AE$33*NMultDensity(C25:D25,$AE$37:$AE$38,$AC$51:$AD$52)/P25</f>
        <v>4.6111006071455149E-15</v>
      </c>
      <c r="T25" s="71" t="str">
        <f t="shared" si="2"/>
        <v>setosa</v>
      </c>
      <c r="U25" s="25" cm="1">
        <f t="array" ref="U25">$AE$7*NMultDensity(C25:D25,$AE$11:$AE$12,$AC$51:$AD$52)*VLOOKUP($E25,$Z$62:$AD$65,2)+$AE$20*NMultDensity(C25:D25,$AE$24:$AE$25,$AC$51:$AD$52)*VLOOKUP($E25,$Z$62:$AD$65,3)+$AE$33*NMultDensity(C25:D25,$AE$37:$AE$38,$AC$51:$AD$52)*VLOOKUP($E25,$Z$62:$AD$65,4)</f>
        <v>1.5214041476977816E-2</v>
      </c>
      <c r="V25" s="25" cm="1">
        <f t="array" ref="V25">$AE$7*NMultDensity(C25:D25,$AE$11:$AE$12,$AC$51:$AD$52)/U25*VLOOKUP($E25,$Z$62:$AD$65,2)</f>
        <v>0.99999005947250852</v>
      </c>
      <c r="W25" s="25" cm="1">
        <f t="array" ref="W25">$AE$20*NMultDensity(C25:D25,$AE$24:$AE$25,$AC$51:$AD$52)/U25*VLOOKUP($E25,$Z$62:$AD$65,3)</f>
        <v>9.940527481728838E-6</v>
      </c>
      <c r="X25" s="43" cm="1">
        <f t="array" ref="X25">$AE$33*NMultDensity(C25:D25,$AE$37:$AE$38,$AC$51:$AD$52)/U25*VLOOKUP($E25,$Z$62:$AD$65,4)</f>
        <v>9.734494796449031E-15</v>
      </c>
      <c r="Z25" s="54" t="s">
        <v>10</v>
      </c>
      <c r="AA25" s="27">
        <f>_xlfn.COVARIANCE.S($D$52:$D$101,A52:A101)</f>
        <v>5.5779591836734706E-2</v>
      </c>
      <c r="AB25" s="27">
        <f>_xlfn.COVARIANCE.S($D$52:$D$101,B52:B101)</f>
        <v>4.1204081632653065E-2</v>
      </c>
      <c r="AC25" s="35">
        <f>_xlfn.COVARIANCE.S($D$52:$D$101,C52:C101)</f>
        <v>7.3102040816326527E-2</v>
      </c>
      <c r="AD25" s="36">
        <f>_xlfn.COVARIANCE.S($D$52:$D$101,D52:D101)</f>
        <v>3.9106122448979576E-2</v>
      </c>
      <c r="AE25" s="9">
        <f>AD26</f>
        <v>1.3259999999999998</v>
      </c>
    </row>
    <row r="26" spans="1:31" ht="15.75" thickBot="1" x14ac:dyDescent="0.3">
      <c r="A26" s="71">
        <v>4.8</v>
      </c>
      <c r="B26" s="25">
        <v>3.4</v>
      </c>
      <c r="C26" s="25">
        <v>1.9</v>
      </c>
      <c r="D26" s="68">
        <v>0.2</v>
      </c>
      <c r="E26" s="80" t="s">
        <v>39</v>
      </c>
      <c r="F26" s="81" t="s">
        <v>5</v>
      </c>
      <c r="G26" s="81">
        <f t="shared" ca="1" si="3"/>
        <v>1.9081019310305676</v>
      </c>
      <c r="H26" s="60">
        <f t="shared" ca="1" si="4"/>
        <v>0.19347062157664136</v>
      </c>
      <c r="I26" s="78" t="s">
        <v>5</v>
      </c>
      <c r="J26" s="69" t="str">
        <f t="shared" si="0"/>
        <v>setosa</v>
      </c>
      <c r="K26" s="25" cm="1">
        <f t="array" ref="K26">$AE$7*NMultDensity(A26:D26,$AE$9:$AE$12,$AA$49:$AD$52)+$AE$20*NMultDensity(A26:D26,$AE$22:$AE$25,$AA$49:$AD$52)+$AE$33*NMultDensity(A26:D26,$AE$35:$AE$38,$AA$49:$AD$52)</f>
        <v>2.4821344267586254E-2</v>
      </c>
      <c r="L26" s="25" cm="1">
        <f t="array" ref="L26">$AE$7*NMultDensity(A26:D26,$AE$9:$AE$12,$AA$49:$AD$52)/K26</f>
        <v>0.99999999999998757</v>
      </c>
      <c r="M26" s="25" cm="1">
        <f t="array" ref="M26">$AE$20*NMultDensity(A26:D26,$AE$22:$AE$25,$AA$49:$AD$52)/K26</f>
        <v>1.2496117752402808E-14</v>
      </c>
      <c r="N26" s="43" cm="1">
        <f t="array" ref="N26">$AE$33*NMultDensity(A26:D26,$AE$35:$AE$38,$AA$49:$AD$52)/K26</f>
        <v>3.1363957393356187E-30</v>
      </c>
      <c r="O26" s="71" t="str">
        <f t="shared" si="1"/>
        <v>setosa</v>
      </c>
      <c r="P26" s="25" cm="1">
        <f t="array" ref="P26">$AE$7*NMultDensity(C26:D26,$AE$11:$AE$12,$AC$51:$AD$52)+$AE$20*NMultDensity(C26:D26,$AE$24:$AE$25,$AC$51:$AD$52)+$AE$33*NMultDensity(C26:D26,$AE$37:$AE$38,$AC$51:$AD$52)</f>
        <v>8.2233740351266585E-2</v>
      </c>
      <c r="Q26" s="25" cm="1">
        <f t="array" ref="Q26">$AE$7*NMultDensity(C26:D26,$AE$11:$AE$12,$AC$51:$AD$52)/P26</f>
        <v>0.99999885143410805</v>
      </c>
      <c r="R26" s="25" cm="1">
        <f t="array" ref="R26">$AE$20*NMultDensity(C26:D26,$AE$24:$AE$25,$AC$51:$AD$52)/P26</f>
        <v>1.148565891785674E-6</v>
      </c>
      <c r="S26" s="43" cm="1">
        <f t="array" ref="S26">$AE$33*NMultDensity(C26:D26,$AE$37:$AE$38,$AC$51:$AD$52)/P26</f>
        <v>1.3014767261182409E-16</v>
      </c>
      <c r="T26" s="71" t="str">
        <f t="shared" si="2"/>
        <v>setosa</v>
      </c>
      <c r="U26" s="25" cm="1">
        <f t="array" ref="U26">$AE$7*NMultDensity(C26:D26,$AE$11:$AE$12,$AC$51:$AD$52)*VLOOKUP($E26,$Z$62:$AD$65,2)+$AE$20*NMultDensity(C26:D26,$AE$24:$AE$25,$AC$51:$AD$52)*VLOOKUP($E26,$Z$62:$AD$65,3)+$AE$33*NMultDensity(C26:D26,$AE$37:$AE$38,$AC$51:$AD$52)*VLOOKUP($E26,$Z$62:$AD$65,4)</f>
        <v>1.480209215340185E-2</v>
      </c>
      <c r="V26" s="25" cm="1">
        <f t="array" ref="V26">$AE$7*NMultDensity(C26:D26,$AE$11:$AE$12,$AC$51:$AD$52)/U26*VLOOKUP($E26,$Z$62:$AD$65,2)</f>
        <v>0.99999757525287825</v>
      </c>
      <c r="W26" s="25" cm="1">
        <f t="array" ref="W26">$AE$20*NMultDensity(C26:D26,$AE$24:$AE$25,$AC$51:$AD$52)/U26*VLOOKUP($E26,$Z$62:$AD$65,3)</f>
        <v>2.4247471215677115E-6</v>
      </c>
      <c r="X26" s="43" cm="1">
        <f t="array" ref="X26">$AE$33*NMultDensity(C26:D26,$AE$37:$AE$38,$AC$51:$AD$52)/U26*VLOOKUP($E26,$Z$62:$AD$65,4)</f>
        <v>2.7475584709696806E-16</v>
      </c>
      <c r="Z26" s="53" t="s">
        <v>11</v>
      </c>
      <c r="AA26" s="10">
        <f>AVERAGE(A$52:A$101)</f>
        <v>5.9359999999999999</v>
      </c>
      <c r="AB26" s="11">
        <f>AVERAGE(B$52:B$101)</f>
        <v>2.7700000000000005</v>
      </c>
      <c r="AC26" s="11">
        <f>AVERAGE(C$52:C$101)</f>
        <v>4.26</v>
      </c>
      <c r="AD26" s="12">
        <f>AVERAGE(D$52:D$101)</f>
        <v>1.3259999999999998</v>
      </c>
    </row>
    <row r="27" spans="1:31" x14ac:dyDescent="0.25">
      <c r="A27" s="71">
        <v>5</v>
      </c>
      <c r="B27" s="25">
        <v>3</v>
      </c>
      <c r="C27" s="25">
        <v>1.6</v>
      </c>
      <c r="D27" s="68">
        <v>0.2</v>
      </c>
      <c r="E27" s="80" t="s">
        <v>39</v>
      </c>
      <c r="F27" s="81" t="s">
        <v>5</v>
      </c>
      <c r="G27" s="81">
        <f t="shared" ca="1" si="3"/>
        <v>1.5827209302100327</v>
      </c>
      <c r="H27" s="60">
        <f t="shared" ca="1" si="4"/>
        <v>0.17959890147268537</v>
      </c>
      <c r="I27" s="78" t="s">
        <v>5</v>
      </c>
      <c r="J27" s="69" t="str">
        <f t="shared" si="0"/>
        <v>setosa</v>
      </c>
      <c r="K27" s="25" cm="1">
        <f t="array" ref="K27">$AE$7*NMultDensity(A27:D27,$AE$9:$AE$12,$AA$49:$AD$52)+$AE$20*NMultDensity(A27:D27,$AE$22:$AE$25,$AA$49:$AD$52)+$AE$33*NMultDensity(A27:D27,$AE$35:$AE$38,$AA$49:$AD$52)</f>
        <v>7.2837653826425555E-2</v>
      </c>
      <c r="L27" s="25" cm="1">
        <f t="array" ref="L27">$AE$7*NMultDensity(A27:D27,$AE$9:$AE$12,$AA$49:$AD$52)/K27</f>
        <v>0.99999999999999201</v>
      </c>
      <c r="M27" s="25" cm="1">
        <f t="array" ref="M27">$AE$20*NMultDensity(A27:D27,$AE$22:$AE$25,$AA$49:$AD$52)/K27</f>
        <v>8.0164774565039958E-15</v>
      </c>
      <c r="N27" s="43" cm="1">
        <f t="array" ref="N27">$AE$33*NMultDensity(A27:D27,$AE$35:$AE$38,$AA$49:$AD$52)/K27</f>
        <v>5.1569100501926199E-31</v>
      </c>
      <c r="O27" s="71" t="str">
        <f t="shared" si="1"/>
        <v>setosa</v>
      </c>
      <c r="P27" s="25" cm="1">
        <f t="array" ref="P27">$AE$7*NMultDensity(C27:D27,$AE$11:$AE$12,$AC$51:$AD$52)+$AE$20*NMultDensity(C27:D27,$AE$24:$AE$25,$AC$51:$AD$52)+$AE$33*NMultDensity(C27:D27,$AE$37:$AE$38,$AC$51:$AD$52)</f>
        <v>0.13484753777565919</v>
      </c>
      <c r="Q27" s="25" cm="1">
        <f t="array" ref="Q27">$AE$7*NMultDensity(C27:D27,$AE$11:$AE$12,$AC$51:$AD$52)/P27</f>
        <v>0.99999992212178146</v>
      </c>
      <c r="R27" s="25" cm="1">
        <f t="array" ref="R27">$AE$20*NMultDensity(C27:D27,$AE$24:$AE$25,$AC$51:$AD$52)/P27</f>
        <v>7.7878218641358856E-8</v>
      </c>
      <c r="S27" s="43" cm="1">
        <f t="array" ref="S27">$AE$33*NMultDensity(C27:D27,$AE$37:$AE$38,$AC$51:$AD$52)/P27</f>
        <v>3.3655134061974587E-18</v>
      </c>
      <c r="T27" s="71" t="str">
        <f t="shared" si="2"/>
        <v>setosa</v>
      </c>
      <c r="U27" s="25" cm="1">
        <f t="array" ref="U27">$AE$7*NMultDensity(C27:D27,$AE$11:$AE$12,$AC$51:$AD$52)*VLOOKUP($E27,$Z$62:$AD$65,2)+$AE$20*NMultDensity(C27:D27,$AE$24:$AE$25,$AC$51:$AD$52)*VLOOKUP($E27,$Z$62:$AD$65,3)+$AE$33*NMultDensity(C27:D27,$AE$37:$AE$38,$AC$51:$AD$52)*VLOOKUP($E27,$Z$62:$AD$65,4)</f>
        <v>2.4272558899955863E-2</v>
      </c>
      <c r="V27" s="25" cm="1">
        <f t="array" ref="V27">$AE$7*NMultDensity(C27:D27,$AE$11:$AE$12,$AC$51:$AD$52)/U27*VLOOKUP($E27,$Z$62:$AD$65,2)</f>
        <v>0.99999983559044148</v>
      </c>
      <c r="W27" s="25" cm="1">
        <f t="array" ref="W27">$AE$20*NMultDensity(C27:D27,$AE$24:$AE$25,$AC$51:$AD$52)/U27*VLOOKUP($E27,$Z$62:$AD$65,3)</f>
        <v>1.6440955846073141E-7</v>
      </c>
      <c r="X27" s="43" cm="1">
        <f t="array" ref="X27">$AE$33*NMultDensity(C27:D27,$AE$37:$AE$38,$AC$51:$AD$52)/U27*VLOOKUP($E27,$Z$62:$AD$65,4)</f>
        <v>7.1049721316139973E-18</v>
      </c>
      <c r="Z27" s="32" t="s">
        <v>12</v>
      </c>
      <c r="AA27" s="2">
        <f>MIN(A52:A101)</f>
        <v>4.9000000000000004</v>
      </c>
      <c r="AB27" s="3">
        <f>MIN(B52:B101)</f>
        <v>2</v>
      </c>
      <c r="AC27" s="37">
        <f>MIN(C52:C101)</f>
        <v>3</v>
      </c>
      <c r="AD27" s="38">
        <f>MIN(D52:D101)</f>
        <v>1</v>
      </c>
    </row>
    <row r="28" spans="1:31" ht="15.75" thickBot="1" x14ac:dyDescent="0.3">
      <c r="A28" s="71">
        <v>5</v>
      </c>
      <c r="B28" s="25">
        <v>3.4</v>
      </c>
      <c r="C28" s="25">
        <v>1.6</v>
      </c>
      <c r="D28" s="68">
        <v>0.4</v>
      </c>
      <c r="E28" s="80" t="s">
        <v>39</v>
      </c>
      <c r="F28" s="81" t="s">
        <v>5</v>
      </c>
      <c r="G28" s="81">
        <f t="shared" ca="1" si="3"/>
        <v>1.5961470036068968</v>
      </c>
      <c r="H28" s="60">
        <f t="shared" ca="1" si="4"/>
        <v>0.4020228890957378</v>
      </c>
      <c r="I28" s="78" t="s">
        <v>5</v>
      </c>
      <c r="J28" s="69" t="str">
        <f t="shared" si="0"/>
        <v>setosa</v>
      </c>
      <c r="K28" s="25" cm="1">
        <f t="array" ref="K28">$AE$7*NMultDensity(A28:D28,$AE$9:$AE$12,$AA$49:$AD$52)+$AE$20*NMultDensity(A28:D28,$AE$22:$AE$25,$AA$49:$AD$52)+$AE$33*NMultDensity(A28:D28,$AE$35:$AE$38,$AA$49:$AD$52)</f>
        <v>0.19440768010147114</v>
      </c>
      <c r="L28" s="25" cm="1">
        <f t="array" ref="L28">$AE$7*NMultDensity(A28:D28,$AE$9:$AE$12,$AA$49:$AD$52)/K28</f>
        <v>0.99999999999999989</v>
      </c>
      <c r="M28" s="25" cm="1">
        <f t="array" ref="M28">$AE$20*NMultDensity(A28:D28,$AE$22:$AE$25,$AA$49:$AD$52)/K28</f>
        <v>2.0155844966966814E-16</v>
      </c>
      <c r="N28" s="43" cm="1">
        <f t="array" ref="N28">$AE$33*NMultDensity(A28:D28,$AE$35:$AE$38,$AA$49:$AD$52)/K28</f>
        <v>2.4636602595165416E-32</v>
      </c>
      <c r="O28" s="71" t="str">
        <f t="shared" si="1"/>
        <v>setosa</v>
      </c>
      <c r="P28" s="25" cm="1">
        <f t="array" ref="P28">$AE$7*NMultDensity(C28:D28,$AE$11:$AE$12,$AC$51:$AD$52)+$AE$20*NMultDensity(C28:D28,$AE$24:$AE$25,$AC$51:$AD$52)+$AE$33*NMultDensity(C28:D28,$AE$37:$AE$38,$AC$51:$AD$52)</f>
        <v>0.1209719880428768</v>
      </c>
      <c r="Q28" s="25" cm="1">
        <f t="array" ref="Q28">$AE$7*NMultDensity(C28:D28,$AE$11:$AE$12,$AC$51:$AD$52)/P28</f>
        <v>0.99999934028947013</v>
      </c>
      <c r="R28" s="25" cm="1">
        <f t="array" ref="R28">$AE$20*NMultDensity(C28:D28,$AE$24:$AE$25,$AC$51:$AD$52)/P28</f>
        <v>6.5971052968306768E-7</v>
      </c>
      <c r="S28" s="43" cm="1">
        <f t="array" ref="S28">$AE$33*NMultDensity(C28:D28,$AE$37:$AE$38,$AC$51:$AD$52)/P28</f>
        <v>1.8427606000271322E-16</v>
      </c>
      <c r="T28" s="71" t="str">
        <f t="shared" si="2"/>
        <v>setosa</v>
      </c>
      <c r="U28" s="25" cm="1">
        <f t="array" ref="U28">$AE$7*NMultDensity(C28:D28,$AE$11:$AE$12,$AC$51:$AD$52)*VLOOKUP($E28,$Z$62:$AD$65,2)+$AE$20*NMultDensity(C28:D28,$AE$24:$AE$25,$AC$51:$AD$52)*VLOOKUP($E28,$Z$62:$AD$65,3)+$AE$33*NMultDensity(C28:D28,$AE$37:$AE$38,$AC$51:$AD$52)*VLOOKUP($E28,$Z$62:$AD$65,4)</f>
        <v>2.1774973809016687E-2</v>
      </c>
      <c r="V28" s="25" cm="1">
        <f t="array" ref="V28">$AE$7*NMultDensity(C28:D28,$AE$11:$AE$12,$AC$51:$AD$52)/U28*VLOOKUP($E28,$Z$62:$AD$65,2)</f>
        <v>0.99999860727879131</v>
      </c>
      <c r="W28" s="25" cm="1">
        <f t="array" ref="W28">$AE$20*NMultDensity(C28:D28,$AE$24:$AE$25,$AC$51:$AD$52)/U28*VLOOKUP($E28,$Z$62:$AD$65,3)</f>
        <v>1.3927212084499806E-6</v>
      </c>
      <c r="X28" s="43" cm="1">
        <f t="array" ref="X28">$AE$33*NMultDensity(C28:D28,$AE$37:$AE$38,$AC$51:$AD$52)/U28*VLOOKUP($E28,$Z$62:$AD$65,4)</f>
        <v>3.8902695262219795E-16</v>
      </c>
      <c r="Z28" s="33" t="s">
        <v>13</v>
      </c>
      <c r="AA28" s="15">
        <f>MAX(A52:A101)</f>
        <v>7</v>
      </c>
      <c r="AB28" s="16">
        <f>MAX(B52:B101)</f>
        <v>3.4</v>
      </c>
      <c r="AC28" s="17">
        <f>MAX(C52:C101)</f>
        <v>5.0999999999999996</v>
      </c>
      <c r="AD28" s="18">
        <f>MAX(D52:D101)</f>
        <v>1.8</v>
      </c>
    </row>
    <row r="29" spans="1:31" x14ac:dyDescent="0.25">
      <c r="A29" s="71">
        <v>5.2</v>
      </c>
      <c r="B29" s="25">
        <v>3.5</v>
      </c>
      <c r="C29" s="25">
        <v>1.5</v>
      </c>
      <c r="D29" s="68">
        <v>0.2</v>
      </c>
      <c r="E29" s="80" t="s">
        <v>39</v>
      </c>
      <c r="F29" s="81" t="s">
        <v>5</v>
      </c>
      <c r="G29" s="81">
        <f t="shared" ca="1" si="3"/>
        <v>1.5197585621569665</v>
      </c>
      <c r="H29" s="60">
        <f t="shared" ca="1" si="4"/>
        <v>0.20196866875411618</v>
      </c>
      <c r="I29" s="78" t="s">
        <v>5</v>
      </c>
      <c r="J29" s="69" t="str">
        <f t="shared" si="0"/>
        <v>setosa</v>
      </c>
      <c r="K29" s="25" cm="1">
        <f t="array" ref="K29">$AE$7*NMultDensity(A29:D29,$AE$9:$AE$12,$AA$49:$AD$52)+$AE$20*NMultDensity(A29:D29,$AE$22:$AE$25,$AA$49:$AD$52)+$AE$33*NMultDensity(A29:D29,$AE$35:$AE$38,$AA$49:$AD$52)</f>
        <v>0.23919526232943086</v>
      </c>
      <c r="L29" s="25" cm="1">
        <f t="array" ref="L29">$AE$7*NMultDensity(A29:D29,$AE$9:$AE$12,$AA$49:$AD$52)/K29</f>
        <v>1</v>
      </c>
      <c r="M29" s="25" cm="1">
        <f t="array" ref="M29">$AE$20*NMultDensity(A29:D29,$AE$22:$AE$25,$AA$49:$AD$52)/K29</f>
        <v>4.5652875721822495E-21</v>
      </c>
      <c r="N29" s="43" cm="1">
        <f t="array" ref="N29">$AE$33*NMultDensity(A29:D29,$AE$35:$AE$38,$AA$49:$AD$52)/K29</f>
        <v>7.6687594041060887E-39</v>
      </c>
      <c r="O29" s="71" t="str">
        <f t="shared" si="1"/>
        <v>setosa</v>
      </c>
      <c r="P29" s="25" cm="1">
        <f t="array" ref="P29">$AE$7*NMultDensity(C29:D29,$AE$11:$AE$12,$AC$51:$AD$52)+$AE$20*NMultDensity(C29:D29,$AE$24:$AE$25,$AC$51:$AD$52)+$AE$33*NMultDensity(C29:D29,$AE$37:$AE$38,$AC$51:$AD$52)</f>
        <v>0.1439203548375585</v>
      </c>
      <c r="Q29" s="25" cm="1">
        <f t="array" ref="Q29">$AE$7*NMultDensity(C29:D29,$AE$11:$AE$12,$AC$51:$AD$52)/P29</f>
        <v>0.99999996824326065</v>
      </c>
      <c r="R29" s="25" cm="1">
        <f t="array" ref="R29">$AE$20*NMultDensity(C29:D29,$AE$24:$AE$25,$AC$51:$AD$52)/P29</f>
        <v>3.1756739415871158E-8</v>
      </c>
      <c r="S29" s="43" cm="1">
        <f t="array" ref="S29">$AE$33*NMultDensity(C29:D29,$AE$37:$AE$38,$AC$51:$AD$52)/P29</f>
        <v>9.9522855775976634E-19</v>
      </c>
      <c r="T29" s="71" t="str">
        <f t="shared" si="2"/>
        <v>setosa</v>
      </c>
      <c r="U29" s="25" cm="1">
        <f t="array" ref="U29">$AE$7*NMultDensity(C29:D29,$AE$11:$AE$12,$AC$51:$AD$52)*VLOOKUP($E29,$Z$62:$AD$65,2)+$AE$20*NMultDensity(C29:D29,$AE$24:$AE$25,$AC$51:$AD$52)*VLOOKUP($E29,$Z$62:$AD$65,3)+$AE$33*NMultDensity(C29:D29,$AE$37:$AE$38,$AC$51:$AD$52)*VLOOKUP($E29,$Z$62:$AD$65,4)</f>
        <v>2.5905664784848771E-2</v>
      </c>
      <c r="V29" s="25" cm="1">
        <f t="array" ref="V29">$AE$7*NMultDensity(C29:D29,$AE$11:$AE$12,$AC$51:$AD$52)/U29*VLOOKUP($E29,$Z$62:$AD$65,2)</f>
        <v>0.99999993295799694</v>
      </c>
      <c r="W29" s="25" cm="1">
        <f t="array" ref="W29">$AE$20*NMultDensity(C29:D29,$AE$24:$AE$25,$AC$51:$AD$52)/U29*VLOOKUP($E29,$Z$62:$AD$65,3)</f>
        <v>6.7042003067910863E-8</v>
      </c>
      <c r="X29" s="43" cm="1">
        <f t="array" ref="X29">$AE$33*NMultDensity(C29:D29,$AE$37:$AE$38,$AC$51:$AD$52)/U29*VLOOKUP($E29,$Z$62:$AD$65,4)</f>
        <v>2.1010379922460444E-18</v>
      </c>
    </row>
    <row r="30" spans="1:31" ht="15.75" thickBot="1" x14ac:dyDescent="0.3">
      <c r="A30" s="71">
        <v>5.2</v>
      </c>
      <c r="B30" s="25">
        <v>3.4</v>
      </c>
      <c r="C30" s="25">
        <v>1.4</v>
      </c>
      <c r="D30" s="68">
        <v>0.2</v>
      </c>
      <c r="E30" s="80" t="s">
        <v>39</v>
      </c>
      <c r="F30" s="81" t="s">
        <v>5</v>
      </c>
      <c r="G30" s="81">
        <f t="shared" ca="1" si="3"/>
        <v>1.4227109788345524</v>
      </c>
      <c r="H30" s="60">
        <f t="shared" ca="1" si="4"/>
        <v>0.19452342452764976</v>
      </c>
      <c r="I30" s="78" t="s">
        <v>5</v>
      </c>
      <c r="J30" s="69" t="str">
        <f t="shared" si="0"/>
        <v>setosa</v>
      </c>
      <c r="K30" s="25" cm="1">
        <f t="array" ref="K30">$AE$7*NMultDensity(A30:D30,$AE$9:$AE$12,$AA$49:$AD$52)+$AE$20*NMultDensity(A30:D30,$AE$22:$AE$25,$AA$49:$AD$52)+$AE$33*NMultDensity(A30:D30,$AE$35:$AE$38,$AA$49:$AD$52)</f>
        <v>0.20358732822984413</v>
      </c>
      <c r="L30" s="25" cm="1">
        <f t="array" ref="L30">$AE$7*NMultDensity(A30:D30,$AE$9:$AE$12,$AA$49:$AD$52)/K30</f>
        <v>1</v>
      </c>
      <c r="M30" s="25" cm="1">
        <f t="array" ref="M30">$AE$20*NMultDensity(A30:D30,$AE$22:$AE$25,$AA$49:$AD$52)/K30</f>
        <v>3.9487431966725759E-21</v>
      </c>
      <c r="N30" s="43" cm="1">
        <f t="array" ref="N30">$AE$33*NMultDensity(A30:D30,$AE$35:$AE$38,$AA$49:$AD$52)/K30</f>
        <v>4.7473856424233657E-39</v>
      </c>
      <c r="O30" s="71" t="str">
        <f t="shared" si="1"/>
        <v>setosa</v>
      </c>
      <c r="P30" s="25" cm="1">
        <f t="array" ref="P30">$AE$7*NMultDensity(C30:D30,$AE$11:$AE$12,$AC$51:$AD$52)+$AE$20*NMultDensity(C30:D30,$AE$24:$AE$25,$AC$51:$AD$52)+$AE$33*NMultDensity(C30:D30,$AE$37:$AE$38,$AC$51:$AD$52)</f>
        <v>0.14613092598253186</v>
      </c>
      <c r="Q30" s="25" cm="1">
        <f t="array" ref="Q30">$AE$7*NMultDensity(C30:D30,$AE$11:$AE$12,$AC$51:$AD$52)/P30</f>
        <v>0.99999998705041671</v>
      </c>
      <c r="R30" s="25" cm="1">
        <f t="array" ref="R30">$AE$20*NMultDensity(C30:D30,$AE$24:$AE$25,$AC$51:$AD$52)/P30</f>
        <v>1.2949583187380858E-8</v>
      </c>
      <c r="S30" s="43" cm="1">
        <f t="array" ref="S30">$AE$33*NMultDensity(C30:D30,$AE$37:$AE$38,$AC$51:$AD$52)/P30</f>
        <v>2.9430275134318876E-19</v>
      </c>
      <c r="T30" s="71" t="str">
        <f t="shared" si="2"/>
        <v>setosa</v>
      </c>
      <c r="U30" s="25" cm="1">
        <f t="array" ref="U30">$AE$7*NMultDensity(C30:D30,$AE$11:$AE$12,$AC$51:$AD$52)*VLOOKUP($E30,$Z$62:$AD$65,2)+$AE$20*NMultDensity(C30:D30,$AE$24:$AE$25,$AC$51:$AD$52)*VLOOKUP($E30,$Z$62:$AD$65,3)+$AE$33*NMultDensity(C30:D30,$AE$37:$AE$38,$AC$51:$AD$52)*VLOOKUP($E30,$Z$62:$AD$65,4)</f>
        <v>2.6303567055322646E-2</v>
      </c>
      <c r="V30" s="25" cm="1">
        <f t="array" ref="V30">$AE$7*NMultDensity(C30:D30,$AE$11:$AE$12,$AC$51:$AD$52)/U30*VLOOKUP($E30,$Z$62:$AD$65,2)</f>
        <v>0.99999997266199148</v>
      </c>
      <c r="W30" s="25" cm="1">
        <f t="array" ref="W30">$AE$20*NMultDensity(C30:D30,$AE$24:$AE$25,$AC$51:$AD$52)/U30*VLOOKUP($E30,$Z$62:$AD$65,3)</f>
        <v>2.7338008557786464E-8</v>
      </c>
      <c r="X30" s="43" cm="1">
        <f t="array" ref="X30">$AE$33*NMultDensity(C30:D30,$AE$37:$AE$38,$AC$51:$AD$52)/U30*VLOOKUP($E30,$Z$62:$AD$65,4)</f>
        <v>6.2130579945156402E-19</v>
      </c>
      <c r="Z30" s="19" t="s">
        <v>14</v>
      </c>
      <c r="AA30" s="19">
        <f>COUNT(C52:C101)</f>
        <v>50</v>
      </c>
    </row>
    <row r="31" spans="1:31" ht="15.75" thickTop="1" x14ac:dyDescent="0.25">
      <c r="A31" s="71">
        <v>4.7</v>
      </c>
      <c r="B31" s="25">
        <v>3.2</v>
      </c>
      <c r="C31" s="25">
        <v>1.6</v>
      </c>
      <c r="D31" s="68">
        <v>0.2</v>
      </c>
      <c r="E31" s="80" t="s">
        <v>39</v>
      </c>
      <c r="F31" s="81" t="s">
        <v>5</v>
      </c>
      <c r="G31" s="81">
        <f t="shared" ca="1" si="3"/>
        <v>1.6044801918269376</v>
      </c>
      <c r="H31" s="60">
        <f t="shared" ca="1" si="4"/>
        <v>0.21780827033843261</v>
      </c>
      <c r="I31" s="78" t="s">
        <v>5</v>
      </c>
      <c r="J31" s="69" t="str">
        <f t="shared" si="0"/>
        <v>setosa</v>
      </c>
      <c r="K31" s="25" cm="1">
        <f t="array" ref="K31">$AE$7*NMultDensity(A31:D31,$AE$9:$AE$12,$AA$49:$AD$52)+$AE$20*NMultDensity(A31:D31,$AE$22:$AE$25,$AA$49:$AD$52)+$AE$33*NMultDensity(A31:D31,$AE$35:$AE$38,$AA$49:$AD$52)</f>
        <v>9.6482617677069046E-2</v>
      </c>
      <c r="L31" s="25" cm="1">
        <f t="array" ref="L31">$AE$7*NMultDensity(A31:D31,$AE$9:$AE$12,$AA$49:$AD$52)/K31</f>
        <v>0.99999999999999711</v>
      </c>
      <c r="M31" s="25" cm="1">
        <f t="array" ref="M31">$AE$20*NMultDensity(A31:D31,$AE$22:$AE$25,$AA$49:$AD$52)/K31</f>
        <v>2.9400989166788463E-15</v>
      </c>
      <c r="N31" s="43" cm="1">
        <f t="array" ref="N31">$AE$33*NMultDensity(A31:D31,$AE$35:$AE$38,$AA$49:$AD$52)/K31</f>
        <v>2.6203838856655529E-31</v>
      </c>
      <c r="O31" s="71" t="str">
        <f t="shared" si="1"/>
        <v>setosa</v>
      </c>
      <c r="P31" s="25" cm="1">
        <f t="array" ref="P31">$AE$7*NMultDensity(C31:D31,$AE$11:$AE$12,$AC$51:$AD$52)+$AE$20*NMultDensity(C31:D31,$AE$24:$AE$25,$AC$51:$AD$52)+$AE$33*NMultDensity(C31:D31,$AE$37:$AE$38,$AC$51:$AD$52)</f>
        <v>0.13484753777565919</v>
      </c>
      <c r="Q31" s="25" cm="1">
        <f t="array" ref="Q31">$AE$7*NMultDensity(C31:D31,$AE$11:$AE$12,$AC$51:$AD$52)/P31</f>
        <v>0.99999992212178146</v>
      </c>
      <c r="R31" s="25" cm="1">
        <f t="array" ref="R31">$AE$20*NMultDensity(C31:D31,$AE$24:$AE$25,$AC$51:$AD$52)/P31</f>
        <v>7.7878218641358856E-8</v>
      </c>
      <c r="S31" s="43" cm="1">
        <f t="array" ref="S31">$AE$33*NMultDensity(C31:D31,$AE$37:$AE$38,$AC$51:$AD$52)/P31</f>
        <v>3.3655134061974587E-18</v>
      </c>
      <c r="T31" s="71" t="str">
        <f t="shared" si="2"/>
        <v>setosa</v>
      </c>
      <c r="U31" s="25" cm="1">
        <f t="array" ref="U31">$AE$7*NMultDensity(C31:D31,$AE$11:$AE$12,$AC$51:$AD$52)*VLOOKUP($E31,$Z$62:$AD$65,2)+$AE$20*NMultDensity(C31:D31,$AE$24:$AE$25,$AC$51:$AD$52)*VLOOKUP($E31,$Z$62:$AD$65,3)+$AE$33*NMultDensity(C31:D31,$AE$37:$AE$38,$AC$51:$AD$52)*VLOOKUP($E31,$Z$62:$AD$65,4)</f>
        <v>2.4272558899955863E-2</v>
      </c>
      <c r="V31" s="25" cm="1">
        <f t="array" ref="V31">$AE$7*NMultDensity(C31:D31,$AE$11:$AE$12,$AC$51:$AD$52)/U31*VLOOKUP($E31,$Z$62:$AD$65,2)</f>
        <v>0.99999983559044148</v>
      </c>
      <c r="W31" s="25" cm="1">
        <f t="array" ref="W31">$AE$20*NMultDensity(C31:D31,$AE$24:$AE$25,$AC$51:$AD$52)/U31*VLOOKUP($E31,$Z$62:$AD$65,3)</f>
        <v>1.6440955846073141E-7</v>
      </c>
      <c r="X31" s="43" cm="1">
        <f t="array" ref="X31">$AE$33*NMultDensity(C31:D31,$AE$37:$AE$38,$AC$51:$AD$52)/U31*VLOOKUP($E31,$Z$62:$AD$65,4)</f>
        <v>7.1049721316139973E-18</v>
      </c>
    </row>
    <row r="32" spans="1:31" x14ac:dyDescent="0.25">
      <c r="A32" s="71">
        <v>4.8</v>
      </c>
      <c r="B32" s="25">
        <v>3.1</v>
      </c>
      <c r="C32" s="25">
        <v>1.6</v>
      </c>
      <c r="D32" s="68">
        <v>0.2</v>
      </c>
      <c r="E32" s="80" t="s">
        <v>39</v>
      </c>
      <c r="F32" s="81" t="s">
        <v>5</v>
      </c>
      <c r="G32" s="81">
        <f t="shared" ca="1" si="3"/>
        <v>1.5965952559407828</v>
      </c>
      <c r="H32" s="60">
        <f t="shared" ca="1" si="4"/>
        <v>0.18445661122335735</v>
      </c>
      <c r="I32" s="78" t="s">
        <v>5</v>
      </c>
      <c r="J32" s="69" t="str">
        <f t="shared" si="0"/>
        <v>setosa</v>
      </c>
      <c r="K32" s="25" cm="1">
        <f t="array" ref="K32">$AE$7*NMultDensity(A32:D32,$AE$9:$AE$12,$AA$49:$AD$52)+$AE$20*NMultDensity(A32:D32,$AE$22:$AE$25,$AA$49:$AD$52)+$AE$33*NMultDensity(A32:D32,$AE$35:$AE$38,$AA$49:$AD$52)</f>
        <v>9.791293381906982E-2</v>
      </c>
      <c r="L32" s="25" cm="1">
        <f t="array" ref="L32">$AE$7*NMultDensity(A32:D32,$AE$9:$AE$12,$AA$49:$AD$52)/K32</f>
        <v>0.9999999999999919</v>
      </c>
      <c r="M32" s="25" cm="1">
        <f t="array" ref="M32">$AE$20*NMultDensity(A32:D32,$AE$22:$AE$25,$AA$49:$AD$52)/K32</f>
        <v>8.0862536984050346E-15</v>
      </c>
      <c r="N32" s="43" cm="1">
        <f t="array" ref="N32">$AE$33*NMultDensity(A32:D32,$AE$35:$AE$38,$AA$49:$AD$52)/K32</f>
        <v>7.4407900965907295E-31</v>
      </c>
      <c r="O32" s="71" t="str">
        <f t="shared" si="1"/>
        <v>setosa</v>
      </c>
      <c r="P32" s="25" cm="1">
        <f t="array" ref="P32">$AE$7*NMultDensity(C32:D32,$AE$11:$AE$12,$AC$51:$AD$52)+$AE$20*NMultDensity(C32:D32,$AE$24:$AE$25,$AC$51:$AD$52)+$AE$33*NMultDensity(C32:D32,$AE$37:$AE$38,$AC$51:$AD$52)</f>
        <v>0.13484753777565919</v>
      </c>
      <c r="Q32" s="25" cm="1">
        <f t="array" ref="Q32">$AE$7*NMultDensity(C32:D32,$AE$11:$AE$12,$AC$51:$AD$52)/P32</f>
        <v>0.99999992212178146</v>
      </c>
      <c r="R32" s="25" cm="1">
        <f t="array" ref="R32">$AE$20*NMultDensity(C32:D32,$AE$24:$AE$25,$AC$51:$AD$52)/P32</f>
        <v>7.7878218641358856E-8</v>
      </c>
      <c r="S32" s="43" cm="1">
        <f t="array" ref="S32">$AE$33*NMultDensity(C32:D32,$AE$37:$AE$38,$AC$51:$AD$52)/P32</f>
        <v>3.3655134061974587E-18</v>
      </c>
      <c r="T32" s="71" t="str">
        <f t="shared" si="2"/>
        <v>setosa</v>
      </c>
      <c r="U32" s="25" cm="1">
        <f t="array" ref="U32">$AE$7*NMultDensity(C32:D32,$AE$11:$AE$12,$AC$51:$AD$52)*VLOOKUP($E32,$Z$62:$AD$65,2)+$AE$20*NMultDensity(C32:D32,$AE$24:$AE$25,$AC$51:$AD$52)*VLOOKUP($E32,$Z$62:$AD$65,3)+$AE$33*NMultDensity(C32:D32,$AE$37:$AE$38,$AC$51:$AD$52)*VLOOKUP($E32,$Z$62:$AD$65,4)</f>
        <v>2.4272558899955863E-2</v>
      </c>
      <c r="V32" s="25" cm="1">
        <f t="array" ref="V32">$AE$7*NMultDensity(C32:D32,$AE$11:$AE$12,$AC$51:$AD$52)/U32*VLOOKUP($E32,$Z$62:$AD$65,2)</f>
        <v>0.99999983559044148</v>
      </c>
      <c r="W32" s="25" cm="1">
        <f t="array" ref="W32">$AE$20*NMultDensity(C32:D32,$AE$24:$AE$25,$AC$51:$AD$52)/U32*VLOOKUP($E32,$Z$62:$AD$65,3)</f>
        <v>1.6440955846073141E-7</v>
      </c>
      <c r="X32" s="43" cm="1">
        <f t="array" ref="X32">$AE$33*NMultDensity(C32:D32,$AE$37:$AE$38,$AC$51:$AD$52)/U32*VLOOKUP($E32,$Z$62:$AD$65,4)</f>
        <v>7.1049721316139973E-18</v>
      </c>
    </row>
    <row r="33" spans="1:31" ht="15.75" thickBot="1" x14ac:dyDescent="0.3">
      <c r="A33" s="71">
        <v>5.4</v>
      </c>
      <c r="B33" s="25">
        <v>3.4</v>
      </c>
      <c r="C33" s="25">
        <v>1.5</v>
      </c>
      <c r="D33" s="68">
        <v>0.4</v>
      </c>
      <c r="E33" s="80" t="s">
        <v>40</v>
      </c>
      <c r="F33" s="81" t="s">
        <v>5</v>
      </c>
      <c r="G33" s="81">
        <f t="shared" ca="1" si="3"/>
        <v>1.4839175494291605</v>
      </c>
      <c r="H33" s="60">
        <f t="shared" ca="1" si="4"/>
        <v>0.4076645091823749</v>
      </c>
      <c r="I33" s="78" t="s">
        <v>5</v>
      </c>
      <c r="J33" s="69" t="str">
        <f t="shared" si="0"/>
        <v>setosa</v>
      </c>
      <c r="K33" s="25" cm="1">
        <f t="array" ref="K33">$AE$7*NMultDensity(A33:D33,$AE$9:$AE$12,$AA$49:$AD$52)+$AE$20*NMultDensity(A33:D33,$AE$22:$AE$25,$AA$49:$AD$52)+$AE$33*NMultDensity(A33:D33,$AE$35:$AE$38,$AA$49:$AD$52)</f>
        <v>8.4479461805948119E-2</v>
      </c>
      <c r="L33" s="25" cm="1">
        <f t="array" ref="L33">$AE$7*NMultDensity(A33:D33,$AE$9:$AE$12,$AA$49:$AD$52)/K33</f>
        <v>1</v>
      </c>
      <c r="M33" s="25" cm="1">
        <f t="array" ref="M33">$AE$20*NMultDensity(A33:D33,$AE$22:$AE$25,$AA$49:$AD$52)/K33</f>
        <v>3.8570946861320798E-19</v>
      </c>
      <c r="N33" s="43" cm="1">
        <f t="array" ref="N33">$AE$33*NMultDensity(A33:D33,$AE$35:$AE$38,$AA$49:$AD$52)/K33</f>
        <v>4.65198099932712E-36</v>
      </c>
      <c r="O33" s="71" t="str">
        <f t="shared" si="1"/>
        <v>setosa</v>
      </c>
      <c r="P33" s="25" cm="1">
        <f t="array" ref="P33">$AE$7*NMultDensity(C33:D33,$AE$11:$AE$12,$AC$51:$AD$52)+$AE$20*NMultDensity(C33:D33,$AE$24:$AE$25,$AC$51:$AD$52)+$AE$33*NMultDensity(C33:D33,$AE$37:$AE$38,$AC$51:$AD$52)</f>
        <v>0.11772835893489199</v>
      </c>
      <c r="Q33" s="25" cm="1">
        <f t="array" ref="Q33">$AE$7*NMultDensity(C33:D33,$AE$11:$AE$12,$AC$51:$AD$52)/P33</f>
        <v>0.99999973098687966</v>
      </c>
      <c r="R33" s="25" cm="1">
        <f t="array" ref="R33">$AE$20*NMultDensity(C33:D33,$AE$24:$AE$25,$AC$51:$AD$52)/P33</f>
        <v>2.6901312029862262E-7</v>
      </c>
      <c r="S33" s="43" cm="1">
        <f t="array" ref="S33">$AE$33*NMultDensity(C33:D33,$AE$37:$AE$38,$AC$51:$AD$52)/P33</f>
        <v>5.4492981749114641E-17</v>
      </c>
      <c r="T33" s="71" t="str">
        <f t="shared" si="2"/>
        <v>setosa</v>
      </c>
      <c r="U33" s="25" cm="1">
        <f t="array" ref="U33">$AE$7*NMultDensity(C33:D33,$AE$11:$AE$12,$AC$51:$AD$52)*VLOOKUP($E33,$Z$62:$AD$65,2)+$AE$20*NMultDensity(C33:D33,$AE$24:$AE$25,$AC$51:$AD$52)*VLOOKUP($E33,$Z$62:$AD$65,3)+$AE$33*NMultDensity(C33:D33,$AE$37:$AE$38,$AC$51:$AD$52)*VLOOKUP($E33,$Z$62:$AD$65,4)</f>
        <v>2.1191104608280557E-2</v>
      </c>
      <c r="V33" s="25" cm="1">
        <f t="array" ref="V33">$AE$7*NMultDensity(C33:D33,$AE$11:$AE$12,$AC$51:$AD$52)/U33*VLOOKUP($E33,$Z$62:$AD$65,2)</f>
        <v>0.99999973098687966</v>
      </c>
      <c r="W33" s="25" cm="1">
        <f t="array" ref="W33">$AE$20*NMultDensity(C33:D33,$AE$24:$AE$25,$AC$51:$AD$52)/U33*VLOOKUP($E33,$Z$62:$AD$65,3)</f>
        <v>2.6901312029862262E-7</v>
      </c>
      <c r="X33" s="43" cm="1">
        <f t="array" ref="X33">$AE$33*NMultDensity(C33:D33,$AE$37:$AE$38,$AC$51:$AD$52)/U33*VLOOKUP($E33,$Z$62:$AD$65,4)</f>
        <v>0</v>
      </c>
      <c r="Z33" s="107" t="s">
        <v>18</v>
      </c>
      <c r="AA33" s="108"/>
      <c r="AB33" s="109"/>
      <c r="AC33" s="103" t="s">
        <v>17</v>
      </c>
      <c r="AD33" s="104"/>
      <c r="AE33" s="29">
        <f>1-AE20-AE7</f>
        <v>0.56666666666666676</v>
      </c>
    </row>
    <row r="34" spans="1:31" ht="15.75" thickBot="1" x14ac:dyDescent="0.3">
      <c r="A34" s="71">
        <v>5.2</v>
      </c>
      <c r="B34" s="25">
        <v>4.0999999999999996</v>
      </c>
      <c r="C34" s="25">
        <v>1.5</v>
      </c>
      <c r="D34" s="68">
        <v>0.1</v>
      </c>
      <c r="E34" s="80" t="s">
        <v>40</v>
      </c>
      <c r="F34" s="81" t="s">
        <v>5</v>
      </c>
      <c r="G34" s="81">
        <f t="shared" ca="1" si="3"/>
        <v>1.4991474885617866</v>
      </c>
      <c r="H34" s="60">
        <f t="shared" ca="1" si="4"/>
        <v>0.10760158324565741</v>
      </c>
      <c r="I34" s="78" t="s">
        <v>5</v>
      </c>
      <c r="J34" s="69" t="str">
        <f t="shared" ref="J34:J65" si="5">IF(L34&gt;MAX(M34:N34),$I$2,IF(M34&gt;N34,$I$52,$I$102))</f>
        <v>setosa</v>
      </c>
      <c r="K34" s="25" cm="1">
        <f t="array" ref="K34">$AE$7*NMultDensity(A34:D34,$AE$9:$AE$12,$AA$49:$AD$52)+$AE$20*NMultDensity(A34:D34,$AE$22:$AE$25,$AA$49:$AD$52)+$AE$33*NMultDensity(A34:D34,$AE$35:$AE$38,$AA$49:$AD$52)</f>
        <v>3.6417081328321654E-3</v>
      </c>
      <c r="L34" s="25" cm="1">
        <f t="array" ref="L34">$AE$7*NMultDensity(A34:D34,$AE$9:$AE$12,$AA$49:$AD$52)/K34</f>
        <v>1</v>
      </c>
      <c r="M34" s="25" cm="1">
        <f t="array" ref="M34">$AE$20*NMultDensity(A34:D34,$AE$22:$AE$25,$AA$49:$AD$52)/K34</f>
        <v>2.5060076571053052E-27</v>
      </c>
      <c r="N34" s="43" cm="1">
        <f t="array" ref="N34">$AE$33*NMultDensity(A34:D34,$AE$35:$AE$38,$AA$49:$AD$52)/K34</f>
        <v>1.04526731902877E-46</v>
      </c>
      <c r="O34" s="71" t="str">
        <f t="shared" ref="O34:O65" si="6">IF(Q34&gt;MAX(R34:S34),$I$2,IF(R34&gt;S34,$I$52,$I$102))</f>
        <v>setosa</v>
      </c>
      <c r="P34" s="25" cm="1">
        <f t="array" ref="P34">$AE$7*NMultDensity(C34:D34,$AE$11:$AE$12,$AC$51:$AD$52)+$AE$20*NMultDensity(C34:D34,$AE$24:$AE$25,$AC$51:$AD$52)+$AE$33*NMultDensity(C34:D34,$AE$37:$AE$38,$AC$51:$AD$52)</f>
        <v>0.11466203598667483</v>
      </c>
      <c r="Q34" s="25" cm="1">
        <f t="array" ref="Q34">$AE$7*NMultDensity(C34:D34,$AE$11:$AE$12,$AC$51:$AD$52)/P34</f>
        <v>0.99999998908893639</v>
      </c>
      <c r="R34" s="25" cm="1">
        <f t="array" ref="R34">$AE$20*NMultDensity(C34:D34,$AE$24:$AE$25,$AC$51:$AD$52)/P34</f>
        <v>1.0911063534794421E-8</v>
      </c>
      <c r="S34" s="43" cm="1">
        <f t="array" ref="S34">$AE$33*NMultDensity(C34:D34,$AE$37:$AE$38,$AC$51:$AD$52)/P34</f>
        <v>1.344974082403525E-19</v>
      </c>
      <c r="T34" s="71" t="str">
        <f t="shared" ref="T34:T51" si="7">IF(V34&gt;MAX(W34:X34),$I$2,IF(W34&gt;X34,$I$52,$I$102))</f>
        <v>setosa</v>
      </c>
      <c r="U34" s="25" cm="1">
        <f t="array" ref="U34">$AE$7*NMultDensity(C34:D34,$AE$11:$AE$12,$AC$51:$AD$52)*VLOOKUP($E34,$Z$62:$AD$65,2)+$AE$20*NMultDensity(C34:D34,$AE$24:$AE$25,$AC$51:$AD$52)*VLOOKUP($E34,$Z$62:$AD$65,3)+$AE$33*NMultDensity(C34:D34,$AE$37:$AE$38,$AC$51:$AD$52)*VLOOKUP($E34,$Z$62:$AD$65,4)</f>
        <v>2.0639166477601469E-2</v>
      </c>
      <c r="V34" s="25" cm="1">
        <f t="array" ref="V34">$AE$7*NMultDensity(C34:D34,$AE$11:$AE$12,$AC$51:$AD$52)/U34*VLOOKUP($E34,$Z$62:$AD$65,2)</f>
        <v>0.9999999890889365</v>
      </c>
      <c r="W34" s="25" cm="1">
        <f t="array" ref="W34">$AE$20*NMultDensity(C34:D34,$AE$24:$AE$25,$AC$51:$AD$52)/U34*VLOOKUP($E34,$Z$62:$AD$65,3)</f>
        <v>1.0911063534794421E-8</v>
      </c>
      <c r="X34" s="43" cm="1">
        <f t="array" ref="X34">$AE$33*NMultDensity(C34:D34,$AE$37:$AE$38,$AC$51:$AD$52)/U34*VLOOKUP($E34,$Z$62:$AD$65,4)</f>
        <v>0</v>
      </c>
      <c r="Z34" s="27"/>
      <c r="AA34" s="22" t="s">
        <v>15</v>
      </c>
      <c r="AB34" s="23" t="s">
        <v>16</v>
      </c>
      <c r="AC34" s="23" t="s">
        <v>9</v>
      </c>
      <c r="AD34" s="70" t="s">
        <v>10</v>
      </c>
      <c r="AE34" s="56" t="s">
        <v>11</v>
      </c>
    </row>
    <row r="35" spans="1:31" x14ac:dyDescent="0.25">
      <c r="A35" s="71">
        <v>5.5</v>
      </c>
      <c r="B35" s="25">
        <v>4.2</v>
      </c>
      <c r="C35" s="25">
        <v>1.4</v>
      </c>
      <c r="D35" s="68">
        <v>0.2</v>
      </c>
      <c r="E35" s="80" t="s">
        <v>40</v>
      </c>
      <c r="F35" s="81" t="s">
        <v>5</v>
      </c>
      <c r="G35" s="81">
        <f t="shared" ca="1" si="3"/>
        <v>1.3848187937196696</v>
      </c>
      <c r="H35" s="60">
        <f t="shared" ca="1" si="4"/>
        <v>0.21466650022390529</v>
      </c>
      <c r="I35" s="78" t="s">
        <v>5</v>
      </c>
      <c r="J35" s="69" t="str">
        <f t="shared" si="5"/>
        <v>setosa</v>
      </c>
      <c r="K35" s="25" cm="1">
        <f t="array" ref="K35">$AE$7*NMultDensity(A35:D35,$AE$9:$AE$12,$AA$49:$AD$52)+$AE$20*NMultDensity(A35:D35,$AE$22:$AE$25,$AA$49:$AD$52)+$AE$33*NMultDensity(A35:D35,$AE$35:$AE$38,$AA$49:$AD$52)</f>
        <v>2.0874237142739813E-3</v>
      </c>
      <c r="L35" s="25" cm="1">
        <f t="array" ref="L35">$AE$7*NMultDensity(A35:D35,$AE$9:$AE$12,$AA$49:$AD$52)/K35</f>
        <v>1</v>
      </c>
      <c r="M35" s="25" cm="1">
        <f t="array" ref="M35">$AE$20*NMultDensity(A35:D35,$AE$22:$AE$25,$AA$49:$AD$52)/K35</f>
        <v>1.6096603189716811E-29</v>
      </c>
      <c r="N35" s="43" cm="1">
        <f t="array" ref="N35">$AE$33*NMultDensity(A35:D35,$AE$35:$AE$38,$AA$49:$AD$52)/K35</f>
        <v>2.0563711924168975E-49</v>
      </c>
      <c r="O35" s="71" t="str">
        <f t="shared" si="6"/>
        <v>setosa</v>
      </c>
      <c r="P35" s="25" cm="1">
        <f t="array" ref="P35">$AE$7*NMultDensity(C35:D35,$AE$11:$AE$12,$AC$51:$AD$52)+$AE$20*NMultDensity(C35:D35,$AE$24:$AE$25,$AC$51:$AD$52)+$AE$33*NMultDensity(C35:D35,$AE$37:$AE$38,$AC$51:$AD$52)</f>
        <v>0.14613092598253186</v>
      </c>
      <c r="Q35" s="25" cm="1">
        <f t="array" ref="Q35">$AE$7*NMultDensity(C35:D35,$AE$11:$AE$12,$AC$51:$AD$52)/P35</f>
        <v>0.99999998705041671</v>
      </c>
      <c r="R35" s="25" cm="1">
        <f t="array" ref="R35">$AE$20*NMultDensity(C35:D35,$AE$24:$AE$25,$AC$51:$AD$52)/P35</f>
        <v>1.2949583187380858E-8</v>
      </c>
      <c r="S35" s="43" cm="1">
        <f t="array" ref="S35">$AE$33*NMultDensity(C35:D35,$AE$37:$AE$38,$AC$51:$AD$52)/P35</f>
        <v>2.9430275134318876E-19</v>
      </c>
      <c r="T35" s="71" t="str">
        <f t="shared" si="7"/>
        <v>setosa</v>
      </c>
      <c r="U35" s="25" cm="1">
        <f t="array" ref="U35">$AE$7*NMultDensity(C35:D35,$AE$11:$AE$12,$AC$51:$AD$52)*VLOOKUP($E35,$Z$62:$AD$65,2)+$AE$20*NMultDensity(C35:D35,$AE$24:$AE$25,$AC$51:$AD$52)*VLOOKUP($E35,$Z$62:$AD$65,3)+$AE$33*NMultDensity(C35:D35,$AE$37:$AE$38,$AC$51:$AD$52)*VLOOKUP($E35,$Z$62:$AD$65,4)</f>
        <v>2.6303566676855732E-2</v>
      </c>
      <c r="V35" s="25" cm="1">
        <f t="array" ref="V35">$AE$7*NMultDensity(C35:D35,$AE$11:$AE$12,$AC$51:$AD$52)/U35*VLOOKUP($E35,$Z$62:$AD$65,2)</f>
        <v>0.99999998705041682</v>
      </c>
      <c r="W35" s="25" cm="1">
        <f t="array" ref="W35">$AE$20*NMultDensity(C35:D35,$AE$24:$AE$25,$AC$51:$AD$52)/U35*VLOOKUP($E35,$Z$62:$AD$65,3)</f>
        <v>1.294958318738086E-8</v>
      </c>
      <c r="X35" s="43" cm="1">
        <f t="array" ref="X35">$AE$33*NMultDensity(C35:D35,$AE$37:$AE$38,$AC$51:$AD$52)/U35*VLOOKUP($E35,$Z$62:$AD$65,4)</f>
        <v>0</v>
      </c>
      <c r="Z35" s="30" t="s">
        <v>15</v>
      </c>
      <c r="AA35" s="27">
        <f>_xlfn.COVARIANCE.S($A$102:$A$151,A102:A151)</f>
        <v>0.40434285714285706</v>
      </c>
      <c r="AB35" s="27">
        <f>_xlfn.COVARIANCE.S($A$102:$A$151,B102:B151)</f>
        <v>9.3763265306122431E-2</v>
      </c>
      <c r="AC35" s="27">
        <f>_xlfn.COVARIANCE.S($A$102:$A$151,C102:C151)</f>
        <v>0.30328979591836741</v>
      </c>
      <c r="AD35" s="27">
        <f>_xlfn.COVARIANCE.S($A$102:$A$151,D102:D151)</f>
        <v>4.9093877551020432E-2</v>
      </c>
      <c r="AE35" s="7">
        <f>AA39</f>
        <v>6.5879999999999983</v>
      </c>
    </row>
    <row r="36" spans="1:31" x14ac:dyDescent="0.25">
      <c r="A36" s="71">
        <v>4.9000000000000004</v>
      </c>
      <c r="B36" s="25">
        <v>3.1</v>
      </c>
      <c r="C36" s="25">
        <v>1.5</v>
      </c>
      <c r="D36" s="68">
        <v>0.2</v>
      </c>
      <c r="E36" s="80" t="s">
        <v>40</v>
      </c>
      <c r="F36" s="81" t="s">
        <v>5</v>
      </c>
      <c r="G36" s="81">
        <f t="shared" ca="1" si="3"/>
        <v>1.4755904451512747</v>
      </c>
      <c r="H36" s="60">
        <f t="shared" ca="1" si="4"/>
        <v>0.22326792202386223</v>
      </c>
      <c r="I36" s="78" t="s">
        <v>5</v>
      </c>
      <c r="J36" s="69" t="str">
        <f t="shared" si="5"/>
        <v>setosa</v>
      </c>
      <c r="K36" s="25" cm="1">
        <f t="array" ref="K36">$AE$7*NMultDensity(A36:D36,$AE$9:$AE$12,$AA$49:$AD$52)+$AE$20*NMultDensity(A36:D36,$AE$22:$AE$25,$AA$49:$AD$52)+$AE$33*NMultDensity(A36:D36,$AE$35:$AE$38,$AA$49:$AD$52)</f>
        <v>0.14049242595997111</v>
      </c>
      <c r="L36" s="25" cm="1">
        <f t="array" ref="L36">$AE$7*NMultDensity(A36:D36,$AE$9:$AE$12,$AA$49:$AD$52)/K36</f>
        <v>0.99999999999999956</v>
      </c>
      <c r="M36" s="25" cm="1">
        <f t="array" ref="M36">$AE$20*NMultDensity(A36:D36,$AE$22:$AE$25,$AA$49:$AD$52)/K36</f>
        <v>3.3041083276011532E-16</v>
      </c>
      <c r="N36" s="43" cm="1">
        <f t="array" ref="N36">$AE$33*NMultDensity(A36:D36,$AE$35:$AE$38,$AA$49:$AD$52)/K36</f>
        <v>9.6633355135565025E-33</v>
      </c>
      <c r="O36" s="71" t="str">
        <f t="shared" si="6"/>
        <v>setosa</v>
      </c>
      <c r="P36" s="25" cm="1">
        <f t="array" ref="P36">$AE$7*NMultDensity(C36:D36,$AE$11:$AE$12,$AC$51:$AD$52)+$AE$20*NMultDensity(C36:D36,$AE$24:$AE$25,$AC$51:$AD$52)+$AE$33*NMultDensity(C36:D36,$AE$37:$AE$38,$AC$51:$AD$52)</f>
        <v>0.1439203548375585</v>
      </c>
      <c r="Q36" s="25" cm="1">
        <f t="array" ref="Q36">$AE$7*NMultDensity(C36:D36,$AE$11:$AE$12,$AC$51:$AD$52)/P36</f>
        <v>0.99999996824326065</v>
      </c>
      <c r="R36" s="25" cm="1">
        <f t="array" ref="R36">$AE$20*NMultDensity(C36:D36,$AE$24:$AE$25,$AC$51:$AD$52)/P36</f>
        <v>3.1756739415871158E-8</v>
      </c>
      <c r="S36" s="43" cm="1">
        <f t="array" ref="S36">$AE$33*NMultDensity(C36:D36,$AE$37:$AE$38,$AC$51:$AD$52)/P36</f>
        <v>9.9522855775976634E-19</v>
      </c>
      <c r="T36" s="71" t="str">
        <f t="shared" si="7"/>
        <v>setosa</v>
      </c>
      <c r="U36" s="25" cm="1">
        <f t="array" ref="U36">$AE$7*NMultDensity(C36:D36,$AE$11:$AE$12,$AC$51:$AD$52)*VLOOKUP($E36,$Z$62:$AD$65,2)+$AE$20*NMultDensity(C36:D36,$AE$24:$AE$25,$AC$51:$AD$52)*VLOOKUP($E36,$Z$62:$AD$65,3)+$AE$33*NMultDensity(C36:D36,$AE$37:$AE$38,$AC$51:$AD$52)*VLOOKUP($E36,$Z$62:$AD$65,4)</f>
        <v>2.5905663870760532E-2</v>
      </c>
      <c r="V36" s="25" cm="1">
        <f t="array" ref="V36">$AE$7*NMultDensity(C36:D36,$AE$11:$AE$12,$AC$51:$AD$52)/U36*VLOOKUP($E36,$Z$62:$AD$65,2)</f>
        <v>0.99999996824326043</v>
      </c>
      <c r="W36" s="25" cm="1">
        <f t="array" ref="W36">$AE$20*NMultDensity(C36:D36,$AE$24:$AE$25,$AC$51:$AD$52)/U36*VLOOKUP($E36,$Z$62:$AD$65,3)</f>
        <v>3.1756739415871152E-8</v>
      </c>
      <c r="X36" s="43" cm="1">
        <f t="array" ref="X36">$AE$33*NMultDensity(C36:D36,$AE$37:$AE$38,$AC$51:$AD$52)/U36*VLOOKUP($E36,$Z$62:$AD$65,4)</f>
        <v>0</v>
      </c>
      <c r="Z36" s="31" t="s">
        <v>16</v>
      </c>
      <c r="AA36" s="27">
        <f>_xlfn.COVARIANCE.S($B$102:$B$151,A102:A151)</f>
        <v>9.3763265306122431E-2</v>
      </c>
      <c r="AB36" s="27">
        <f>_xlfn.COVARIANCE.S($B$102:$B$151,B102:B151)</f>
        <v>0.10400408163265312</v>
      </c>
      <c r="AC36" s="27">
        <f>_xlfn.COVARIANCE.S($B$102:$B$151,C102:C151)</f>
        <v>7.1379591836734674E-2</v>
      </c>
      <c r="AD36" s="27">
        <f>_xlfn.COVARIANCE.S($B$102:$B$151,D102:D151)</f>
        <v>4.7628571428571437E-2</v>
      </c>
      <c r="AE36" s="8">
        <f>AB39</f>
        <v>2.9739999999999998</v>
      </c>
    </row>
    <row r="37" spans="1:31" x14ac:dyDescent="0.25">
      <c r="A37" s="71">
        <v>5</v>
      </c>
      <c r="B37" s="25">
        <v>3.2</v>
      </c>
      <c r="C37" s="25">
        <v>1.2</v>
      </c>
      <c r="D37" s="68">
        <v>0.2</v>
      </c>
      <c r="E37" s="80" t="s">
        <v>40</v>
      </c>
      <c r="F37" s="81" t="s">
        <v>5</v>
      </c>
      <c r="G37" s="81">
        <f t="shared" ca="1" si="3"/>
        <v>1.2006392592473241</v>
      </c>
      <c r="H37" s="60">
        <f t="shared" ca="1" si="4"/>
        <v>0.19050253575626871</v>
      </c>
      <c r="I37" s="78" t="s">
        <v>5</v>
      </c>
      <c r="J37" s="69" t="str">
        <f t="shared" si="5"/>
        <v>setosa</v>
      </c>
      <c r="K37" s="25" cm="1">
        <f t="array" ref="K37">$AE$7*NMultDensity(A37:D37,$AE$9:$AE$12,$AA$49:$AD$52)+$AE$20*NMultDensity(A37:D37,$AE$22:$AE$25,$AA$49:$AD$52)+$AE$33*NMultDensity(A37:D37,$AE$35:$AE$38,$AA$49:$AD$52)</f>
        <v>0.12894243138741721</v>
      </c>
      <c r="L37" s="25" cm="1">
        <f t="array" ref="L37">$AE$7*NMultDensity(A37:D37,$AE$9:$AE$12,$AA$49:$AD$52)/K37</f>
        <v>1</v>
      </c>
      <c r="M37" s="25" cm="1">
        <f t="array" ref="M37">$AE$20*NMultDensity(A37:D37,$AE$22:$AE$25,$AA$49:$AD$52)/K37</f>
        <v>2.2737295655568795E-20</v>
      </c>
      <c r="N37" s="43" cm="1">
        <f t="array" ref="N37">$AE$33*NMultDensity(A37:D37,$AE$35:$AE$38,$AA$49:$AD$52)/K37</f>
        <v>3.0540811432050463E-38</v>
      </c>
      <c r="O37" s="71" t="str">
        <f t="shared" si="6"/>
        <v>setosa</v>
      </c>
      <c r="P37" s="25" cm="1">
        <f t="array" ref="P37">$AE$7*NMultDensity(C37:D37,$AE$11:$AE$12,$AC$51:$AD$52)+$AE$20*NMultDensity(C37:D37,$AE$24:$AE$25,$AC$51:$AD$52)+$AE$33*NMultDensity(C37:D37,$AE$37:$AE$38,$AC$51:$AD$52)</f>
        <v>0.12971914806484716</v>
      </c>
      <c r="Q37" s="25" cm="1">
        <f t="array" ref="Q37">$AE$7*NMultDensity(C37:D37,$AE$11:$AE$12,$AC$51:$AD$52)/P37</f>
        <v>0.99999999784674454</v>
      </c>
      <c r="R37" s="25" cm="1">
        <f t="array" ref="R37">$AE$20*NMultDensity(C37:D37,$AE$24:$AE$25,$AC$51:$AD$52)/P37</f>
        <v>2.1532554104967998E-9</v>
      </c>
      <c r="S37" s="43" cm="1">
        <f t="array" ref="S37">$AE$33*NMultDensity(C37:D37,$AE$37:$AE$38,$AC$51:$AD$52)/P37</f>
        <v>2.57357776676957E-20</v>
      </c>
      <c r="T37" s="71" t="str">
        <f t="shared" si="7"/>
        <v>setosa</v>
      </c>
      <c r="U37" s="25" cm="1">
        <f t="array" ref="U37">$AE$7*NMultDensity(C37:D37,$AE$11:$AE$12,$AC$51:$AD$52)*VLOOKUP($E37,$Z$62:$AD$65,2)+$AE$20*NMultDensity(C37:D37,$AE$24:$AE$25,$AC$51:$AD$52)*VLOOKUP($E37,$Z$62:$AD$65,3)+$AE$33*NMultDensity(C37:D37,$AE$37:$AE$38,$AC$51:$AD$52)*VLOOKUP($E37,$Z$62:$AD$65,4)</f>
        <v>2.334944665167249E-2</v>
      </c>
      <c r="V37" s="25" cm="1">
        <f t="array" ref="V37">$AE$7*NMultDensity(C37:D37,$AE$11:$AE$12,$AC$51:$AD$52)/U37*VLOOKUP($E37,$Z$62:$AD$65,2)</f>
        <v>0.99999999784674465</v>
      </c>
      <c r="W37" s="25" cm="1">
        <f t="array" ref="W37">$AE$20*NMultDensity(C37:D37,$AE$24:$AE$25,$AC$51:$AD$52)/U37*VLOOKUP($E37,$Z$62:$AD$65,3)</f>
        <v>2.1532554104967994E-9</v>
      </c>
      <c r="X37" s="43" cm="1">
        <f t="array" ref="X37">$AE$33*NMultDensity(C37:D37,$AE$37:$AE$38,$AC$51:$AD$52)/U37*VLOOKUP($E37,$Z$62:$AD$65,4)</f>
        <v>0</v>
      </c>
      <c r="Z37" s="31" t="s">
        <v>9</v>
      </c>
      <c r="AA37" s="27">
        <f>_xlfn.COVARIANCE.S($C$102:$C$151,A102:A151)</f>
        <v>0.30328979591836741</v>
      </c>
      <c r="AB37" s="27">
        <f>_xlfn.COVARIANCE.S($C$102:$C$151,B102:B151)</f>
        <v>7.1379591836734674E-2</v>
      </c>
      <c r="AC37" s="28">
        <f>_xlfn.COVARIANCE.S($C$102:$C$151,C102:C151)</f>
        <v>0.304587755102041</v>
      </c>
      <c r="AD37" s="34">
        <f>_xlfn.COVARIANCE.S($C$102:$C$151,D102:D151)</f>
        <v>4.8824489795918372E-2</v>
      </c>
      <c r="AE37" s="8">
        <f>AC39</f>
        <v>5.5519999999999996</v>
      </c>
    </row>
    <row r="38" spans="1:31" ht="15.75" thickBot="1" x14ac:dyDescent="0.3">
      <c r="A38" s="71">
        <v>5.5</v>
      </c>
      <c r="B38" s="25">
        <v>3.5</v>
      </c>
      <c r="C38" s="25">
        <v>1.3</v>
      </c>
      <c r="D38" s="68">
        <v>0.2</v>
      </c>
      <c r="E38" s="80" t="s">
        <v>40</v>
      </c>
      <c r="F38" s="81" t="s">
        <v>5</v>
      </c>
      <c r="G38" s="81">
        <f t="shared" ca="1" si="3"/>
        <v>1.3221696279007737</v>
      </c>
      <c r="H38" s="60">
        <f t="shared" ca="1" si="4"/>
        <v>0.1816648461782967</v>
      </c>
      <c r="I38" s="78" t="s">
        <v>5</v>
      </c>
      <c r="J38" s="69" t="str">
        <f t="shared" si="5"/>
        <v>setosa</v>
      </c>
      <c r="K38" s="25" cm="1">
        <f t="array" ref="K38">$AE$7*NMultDensity(A38:D38,$AE$9:$AE$12,$AA$49:$AD$52)+$AE$20*NMultDensity(A38:D38,$AE$22:$AE$25,$AA$49:$AD$52)+$AE$33*NMultDensity(A38:D38,$AE$35:$AE$38,$AA$49:$AD$52)</f>
        <v>3.9575856550370214E-2</v>
      </c>
      <c r="L38" s="25" cm="1">
        <f t="array" ref="L38">$AE$7*NMultDensity(A38:D38,$AE$9:$AE$12,$AA$49:$AD$52)/K38</f>
        <v>1</v>
      </c>
      <c r="M38" s="25" cm="1">
        <f t="array" ref="M38">$AE$20*NMultDensity(A38:D38,$AE$22:$AE$25,$AA$49:$AD$52)/K38</f>
        <v>2.7474687475048971E-24</v>
      </c>
      <c r="N38" s="43" cm="1">
        <f t="array" ref="N38">$AE$33*NMultDensity(A38:D38,$AE$35:$AE$38,$AA$49:$AD$52)/K38</f>
        <v>3.1568757774806719E-43</v>
      </c>
      <c r="O38" s="71" t="str">
        <f t="shared" si="6"/>
        <v>setosa</v>
      </c>
      <c r="P38" s="25" cm="1">
        <f t="array" ref="P38">$AE$7*NMultDensity(C38:D38,$AE$11:$AE$12,$AC$51:$AD$52)+$AE$20*NMultDensity(C38:D38,$AE$24:$AE$25,$AC$51:$AD$52)+$AE$33*NMultDensity(C38:D38,$AE$37:$AE$38,$AC$51:$AD$52)</f>
        <v>0.14115711041154599</v>
      </c>
      <c r="Q38" s="25" cm="1">
        <f t="array" ref="Q38">$AE$7*NMultDensity(C38:D38,$AE$11:$AE$12,$AC$51:$AD$52)/P38</f>
        <v>0.9999999947194923</v>
      </c>
      <c r="R38" s="25" cm="1">
        <f t="array" ref="R38">$AE$20*NMultDensity(C38:D38,$AE$24:$AE$25,$AC$51:$AD$52)/P38</f>
        <v>5.2805075692161505E-9</v>
      </c>
      <c r="S38" s="43" cm="1">
        <f t="array" ref="S38">$AE$33*NMultDensity(C38:D38,$AE$37:$AE$38,$AC$51:$AD$52)/P38</f>
        <v>8.7029364067305012E-20</v>
      </c>
      <c r="T38" s="71" t="str">
        <f t="shared" si="7"/>
        <v>setosa</v>
      </c>
      <c r="U38" s="25" cm="1">
        <f t="array" ref="U38">$AE$7*NMultDensity(C38:D38,$AE$11:$AE$12,$AC$51:$AD$52)*VLOOKUP($E38,$Z$62:$AD$65,2)+$AE$20*NMultDensity(C38:D38,$AE$24:$AE$25,$AC$51:$AD$52)*VLOOKUP($E38,$Z$62:$AD$65,3)+$AE$33*NMultDensity(C38:D38,$AE$37:$AE$38,$AC$51:$AD$52)*VLOOKUP($E38,$Z$62:$AD$65,4)</f>
        <v>2.5408279874078274E-2</v>
      </c>
      <c r="V38" s="25" cm="1">
        <f t="array" ref="V38">$AE$7*NMultDensity(C38:D38,$AE$11:$AE$12,$AC$51:$AD$52)/U38*VLOOKUP($E38,$Z$62:$AD$65,2)</f>
        <v>0.99999999471949252</v>
      </c>
      <c r="W38" s="25" cm="1">
        <f t="array" ref="W38">$AE$20*NMultDensity(C38:D38,$AE$24:$AE$25,$AC$51:$AD$52)/U38*VLOOKUP($E38,$Z$62:$AD$65,3)</f>
        <v>5.2805075692161514E-9</v>
      </c>
      <c r="X38" s="43" cm="1">
        <f t="array" ref="X38">$AE$33*NMultDensity(C38:D38,$AE$37:$AE$38,$AC$51:$AD$52)/U38*VLOOKUP($E38,$Z$62:$AD$65,4)</f>
        <v>0</v>
      </c>
      <c r="Z38" s="54" t="s">
        <v>10</v>
      </c>
      <c r="AA38" s="27">
        <f>_xlfn.COVARIANCE.S($D$102:$D$151,A102:A151)</f>
        <v>4.9093877551020432E-2</v>
      </c>
      <c r="AB38" s="27">
        <f>_xlfn.COVARIANCE.S($D$102:$D$151,B102:B151)</f>
        <v>4.7628571428571437E-2</v>
      </c>
      <c r="AC38" s="35">
        <f>_xlfn.COVARIANCE.S($D$102:$D$151,C102:C151)</f>
        <v>4.8824489795918372E-2</v>
      </c>
      <c r="AD38" s="36">
        <f>_xlfn.COVARIANCE.S($D$102:$D$151,D102:D151)</f>
        <v>7.5432653061224472E-2</v>
      </c>
      <c r="AE38" s="9">
        <f>AD39</f>
        <v>2.0259999999999998</v>
      </c>
    </row>
    <row r="39" spans="1:31" ht="15.75" thickBot="1" x14ac:dyDescent="0.3">
      <c r="A39" s="71">
        <v>4.9000000000000004</v>
      </c>
      <c r="B39" s="25">
        <v>3.6</v>
      </c>
      <c r="C39" s="25">
        <v>1.4</v>
      </c>
      <c r="D39" s="68">
        <v>0.1</v>
      </c>
      <c r="E39" s="80" t="s">
        <v>40</v>
      </c>
      <c r="F39" s="81" t="s">
        <v>5</v>
      </c>
      <c r="G39" s="81">
        <f t="shared" ca="1" si="3"/>
        <v>1.4073602529123996</v>
      </c>
      <c r="H39" s="60">
        <f t="shared" ca="1" si="4"/>
        <v>7.5744867787323589E-2</v>
      </c>
      <c r="I39" s="78" t="s">
        <v>5</v>
      </c>
      <c r="J39" s="69" t="str">
        <f t="shared" si="5"/>
        <v>setosa</v>
      </c>
      <c r="K39" s="25" cm="1">
        <f t="array" ref="K39">$AE$7*NMultDensity(A39:D39,$AE$9:$AE$12,$AA$49:$AD$52)+$AE$20*NMultDensity(A39:D39,$AE$22:$AE$25,$AA$49:$AD$52)+$AE$33*NMultDensity(A39:D39,$AE$35:$AE$38,$AA$49:$AD$52)</f>
        <v>0.12321113148693524</v>
      </c>
      <c r="L39" s="25" cm="1">
        <f t="array" ref="L39">$AE$7*NMultDensity(A39:D39,$AE$9:$AE$12,$AA$49:$AD$52)/K39</f>
        <v>1</v>
      </c>
      <c r="M39" s="25" cm="1">
        <f t="array" ref="M39">$AE$20*NMultDensity(A39:D39,$AE$22:$AE$25,$AA$49:$AD$52)/K39</f>
        <v>1.5687700269516865E-22</v>
      </c>
      <c r="N39" s="43" cm="1">
        <f t="array" ref="N39">$AE$33*NMultDensity(A39:D39,$AE$35:$AE$38,$AA$49:$AD$52)/K39</f>
        <v>8.1537748939407372E-41</v>
      </c>
      <c r="O39" s="71" t="str">
        <f t="shared" si="6"/>
        <v>setosa</v>
      </c>
      <c r="P39" s="25" cm="1">
        <f t="array" ref="P39">$AE$7*NMultDensity(C39:D39,$AE$11:$AE$12,$AC$51:$AD$52)+$AE$20*NMultDensity(C39:D39,$AE$24:$AE$25,$AC$51:$AD$52)+$AE$33*NMultDensity(C39:D39,$AE$37:$AE$38,$AC$51:$AD$52)</f>
        <v>0.12192168569853455</v>
      </c>
      <c r="Q39" s="25" cm="1">
        <f t="array" ref="Q39">$AE$7*NMultDensity(C39:D39,$AE$11:$AE$12,$AC$51:$AD$52)/P39</f>
        <v>0.99999999555074837</v>
      </c>
      <c r="R39" s="25" cm="1">
        <f t="array" ref="R39">$AE$20*NMultDensity(C39:D39,$AE$24:$AE$25,$AC$51:$AD$52)/P39</f>
        <v>4.4492515844269583E-9</v>
      </c>
      <c r="S39" s="43" cm="1">
        <f t="array" ref="S39">$AE$33*NMultDensity(C39:D39,$AE$37:$AE$38,$AC$51:$AD$52)/P39</f>
        <v>3.9772730089355984E-20</v>
      </c>
      <c r="T39" s="71" t="str">
        <f t="shared" si="7"/>
        <v>setosa</v>
      </c>
      <c r="U39" s="25" cm="1">
        <f t="array" ref="U39">$AE$7*NMultDensity(C39:D39,$AE$11:$AE$12,$AC$51:$AD$52)*VLOOKUP($E39,$Z$62:$AD$65,2)+$AE$20*NMultDensity(C39:D39,$AE$24:$AE$25,$AC$51:$AD$52)*VLOOKUP($E39,$Z$62:$AD$65,3)+$AE$33*NMultDensity(C39:D39,$AE$37:$AE$38,$AC$51:$AD$52)*VLOOKUP($E39,$Z$62:$AD$65,4)</f>
        <v>2.1945903425736216E-2</v>
      </c>
      <c r="V39" s="25" cm="1">
        <f t="array" ref="V39">$AE$7*NMultDensity(C39:D39,$AE$11:$AE$12,$AC$51:$AD$52)/U39*VLOOKUP($E39,$Z$62:$AD$65,2)</f>
        <v>0.99999999555074837</v>
      </c>
      <c r="W39" s="25" cm="1">
        <f t="array" ref="W39">$AE$20*NMultDensity(C39:D39,$AE$24:$AE$25,$AC$51:$AD$52)/U39*VLOOKUP($E39,$Z$62:$AD$65,3)</f>
        <v>4.4492515844269591E-9</v>
      </c>
      <c r="X39" s="43" cm="1">
        <f t="array" ref="X39">$AE$33*NMultDensity(C39:D39,$AE$37:$AE$38,$AC$51:$AD$52)/U39*VLOOKUP($E39,$Z$62:$AD$65,4)</f>
        <v>0</v>
      </c>
      <c r="Z39" s="53" t="s">
        <v>11</v>
      </c>
      <c r="AA39" s="10">
        <f>AVERAGE(A$102:A$151)</f>
        <v>6.5879999999999983</v>
      </c>
      <c r="AB39" s="11">
        <f>AVERAGE(B$102:B$151)</f>
        <v>2.9739999999999998</v>
      </c>
      <c r="AC39" s="11">
        <f>AVERAGE(C$102:C$151)</f>
        <v>5.5519999999999996</v>
      </c>
      <c r="AD39" s="12">
        <f>AVERAGE(D$102:D$151)</f>
        <v>2.0259999999999998</v>
      </c>
      <c r="AE39" s="27"/>
    </row>
    <row r="40" spans="1:31" x14ac:dyDescent="0.25">
      <c r="A40" s="71">
        <v>4.4000000000000004</v>
      </c>
      <c r="B40" s="25">
        <v>3</v>
      </c>
      <c r="C40" s="25">
        <v>1.3</v>
      </c>
      <c r="D40" s="68">
        <v>0.2</v>
      </c>
      <c r="E40" s="80" t="s">
        <v>40</v>
      </c>
      <c r="F40" s="81" t="s">
        <v>5</v>
      </c>
      <c r="G40" s="81">
        <f t="shared" ca="1" si="3"/>
        <v>1.3034860629735332</v>
      </c>
      <c r="H40" s="60">
        <f t="shared" ca="1" si="4"/>
        <v>0.1969741739472837</v>
      </c>
      <c r="I40" s="78" t="s">
        <v>5</v>
      </c>
      <c r="J40" s="69" t="str">
        <f t="shared" si="5"/>
        <v>setosa</v>
      </c>
      <c r="K40" s="25" cm="1">
        <f t="array" ref="K40">$AE$7*NMultDensity(A40:D40,$AE$9:$AE$12,$AA$49:$AD$52)+$AE$20*NMultDensity(A40:D40,$AE$22:$AE$25,$AA$49:$AD$52)+$AE$33*NMultDensity(A40:D40,$AE$35:$AE$38,$AA$49:$AD$52)</f>
        <v>6.1311354535358895E-2</v>
      </c>
      <c r="L40" s="25" cm="1">
        <f t="array" ref="L40">$AE$7*NMultDensity(A40:D40,$AE$9:$AE$12,$AA$49:$AD$52)/K40</f>
        <v>0.99999999999999467</v>
      </c>
      <c r="M40" s="25" cm="1">
        <f t="array" ref="M40">$AE$20*NMultDensity(A40:D40,$AE$22:$AE$25,$AA$49:$AD$52)/K40</f>
        <v>5.3241120989432018E-15</v>
      </c>
      <c r="N40" s="43" cm="1">
        <f t="array" ref="N40">$AE$33*NMultDensity(A40:D40,$AE$35:$AE$38,$AA$49:$AD$52)/K40</f>
        <v>3.6750753312118195E-31</v>
      </c>
      <c r="O40" s="71" t="str">
        <f t="shared" si="6"/>
        <v>setosa</v>
      </c>
      <c r="P40" s="25" cm="1">
        <f t="array" ref="P40">$AE$7*NMultDensity(C40:D40,$AE$11:$AE$12,$AC$51:$AD$52)+$AE$20*NMultDensity(C40:D40,$AE$24:$AE$25,$AC$51:$AD$52)+$AE$33*NMultDensity(C40:D40,$AE$37:$AE$38,$AC$51:$AD$52)</f>
        <v>0.14115711041154599</v>
      </c>
      <c r="Q40" s="25" cm="1">
        <f t="array" ref="Q40">$AE$7*NMultDensity(C40:D40,$AE$11:$AE$12,$AC$51:$AD$52)/P40</f>
        <v>0.9999999947194923</v>
      </c>
      <c r="R40" s="25" cm="1">
        <f t="array" ref="R40">$AE$20*NMultDensity(C40:D40,$AE$24:$AE$25,$AC$51:$AD$52)/P40</f>
        <v>5.2805075692161505E-9</v>
      </c>
      <c r="S40" s="43" cm="1">
        <f t="array" ref="S40">$AE$33*NMultDensity(C40:D40,$AE$37:$AE$38,$AC$51:$AD$52)/P40</f>
        <v>8.7029364067305012E-20</v>
      </c>
      <c r="T40" s="71" t="str">
        <f t="shared" si="7"/>
        <v>setosa</v>
      </c>
      <c r="U40" s="25" cm="1">
        <f t="array" ref="U40">$AE$7*NMultDensity(C40:D40,$AE$11:$AE$12,$AC$51:$AD$52)*VLOOKUP($E40,$Z$62:$AD$65,2)+$AE$20*NMultDensity(C40:D40,$AE$24:$AE$25,$AC$51:$AD$52)*VLOOKUP($E40,$Z$62:$AD$65,3)+$AE$33*NMultDensity(C40:D40,$AE$37:$AE$38,$AC$51:$AD$52)*VLOOKUP($E40,$Z$62:$AD$65,4)</f>
        <v>2.5408279874078274E-2</v>
      </c>
      <c r="V40" s="25" cm="1">
        <f t="array" ref="V40">$AE$7*NMultDensity(C40:D40,$AE$11:$AE$12,$AC$51:$AD$52)/U40*VLOOKUP($E40,$Z$62:$AD$65,2)</f>
        <v>0.99999999471949252</v>
      </c>
      <c r="W40" s="25" cm="1">
        <f t="array" ref="W40">$AE$20*NMultDensity(C40:D40,$AE$24:$AE$25,$AC$51:$AD$52)/U40*VLOOKUP($E40,$Z$62:$AD$65,3)</f>
        <v>5.2805075692161514E-9</v>
      </c>
      <c r="X40" s="43" cm="1">
        <f t="array" ref="X40">$AE$33*NMultDensity(C40:D40,$AE$37:$AE$38,$AC$51:$AD$52)/U40*VLOOKUP($E40,$Z$62:$AD$65,4)</f>
        <v>0</v>
      </c>
      <c r="Z40" s="32" t="s">
        <v>12</v>
      </c>
      <c r="AA40" s="2">
        <f>MIN(A102:A151)</f>
        <v>4.9000000000000004</v>
      </c>
      <c r="AB40" s="3">
        <f>MIN(B102:B151)</f>
        <v>2.2000000000000002</v>
      </c>
      <c r="AC40" s="37">
        <f>MIN(C102:C151)</f>
        <v>4.5</v>
      </c>
      <c r="AD40" s="38">
        <f>MIN(D102:D151)</f>
        <v>1.4</v>
      </c>
      <c r="AE40" s="27"/>
    </row>
    <row r="41" spans="1:31" ht="15.75" thickBot="1" x14ac:dyDescent="0.3">
      <c r="A41" s="71">
        <v>5.0999999999999996</v>
      </c>
      <c r="B41" s="25">
        <v>3.4</v>
      </c>
      <c r="C41" s="25">
        <v>1.5</v>
      </c>
      <c r="D41" s="68">
        <v>0.2</v>
      </c>
      <c r="E41" s="80" t="s">
        <v>40</v>
      </c>
      <c r="F41" s="81" t="s">
        <v>5</v>
      </c>
      <c r="G41" s="81">
        <f t="shared" ca="1" si="3"/>
        <v>1.5124231285031675</v>
      </c>
      <c r="H41" s="60">
        <f t="shared" ca="1" si="4"/>
        <v>0.18998231964412957</v>
      </c>
      <c r="I41" s="78" t="s">
        <v>5</v>
      </c>
      <c r="J41" s="69" t="str">
        <f t="shared" si="5"/>
        <v>setosa</v>
      </c>
      <c r="K41" s="25" cm="1">
        <f t="array" ref="K41">$AE$7*NMultDensity(A41:D41,$AE$9:$AE$12,$AA$49:$AD$52)+$AE$20*NMultDensity(A41:D41,$AE$22:$AE$25,$AA$49:$AD$52)+$AE$33*NMultDensity(A41:D41,$AE$35:$AE$38,$AA$49:$AD$52)</f>
        <v>0.26862565226379675</v>
      </c>
      <c r="L41" s="25" cm="1">
        <f t="array" ref="L41">$AE$7*NMultDensity(A41:D41,$AE$9:$AE$12,$AA$49:$AD$52)/K41</f>
        <v>1</v>
      </c>
      <c r="M41" s="25" cm="1">
        <f t="array" ref="M41">$AE$20*NMultDensity(A41:D41,$AE$22:$AE$25,$AA$49:$AD$52)/K41</f>
        <v>9.6638899552447553E-20</v>
      </c>
      <c r="N41" s="43" cm="1">
        <f t="array" ref="N41">$AE$33*NMultDensity(A41:D41,$AE$35:$AE$38,$AA$49:$AD$52)/K41</f>
        <v>3.6554976305317412E-37</v>
      </c>
      <c r="O41" s="71" t="str">
        <f t="shared" si="6"/>
        <v>setosa</v>
      </c>
      <c r="P41" s="25" cm="1">
        <f t="array" ref="P41">$AE$7*NMultDensity(C41:D41,$AE$11:$AE$12,$AC$51:$AD$52)+$AE$20*NMultDensity(C41:D41,$AE$24:$AE$25,$AC$51:$AD$52)+$AE$33*NMultDensity(C41:D41,$AE$37:$AE$38,$AC$51:$AD$52)</f>
        <v>0.1439203548375585</v>
      </c>
      <c r="Q41" s="25" cm="1">
        <f t="array" ref="Q41">$AE$7*NMultDensity(C41:D41,$AE$11:$AE$12,$AC$51:$AD$52)/P41</f>
        <v>0.99999996824326065</v>
      </c>
      <c r="R41" s="25" cm="1">
        <f t="array" ref="R41">$AE$20*NMultDensity(C41:D41,$AE$24:$AE$25,$AC$51:$AD$52)/P41</f>
        <v>3.1756739415871158E-8</v>
      </c>
      <c r="S41" s="43" cm="1">
        <f t="array" ref="S41">$AE$33*NMultDensity(C41:D41,$AE$37:$AE$38,$AC$51:$AD$52)/P41</f>
        <v>9.9522855775976634E-19</v>
      </c>
      <c r="T41" s="71" t="str">
        <f t="shared" si="7"/>
        <v>setosa</v>
      </c>
      <c r="U41" s="25" cm="1">
        <f t="array" ref="U41">$AE$7*NMultDensity(C41:D41,$AE$11:$AE$12,$AC$51:$AD$52)*VLOOKUP($E41,$Z$62:$AD$65,2)+$AE$20*NMultDensity(C41:D41,$AE$24:$AE$25,$AC$51:$AD$52)*VLOOKUP($E41,$Z$62:$AD$65,3)+$AE$33*NMultDensity(C41:D41,$AE$37:$AE$38,$AC$51:$AD$52)*VLOOKUP($E41,$Z$62:$AD$65,4)</f>
        <v>2.5905663870760532E-2</v>
      </c>
      <c r="V41" s="25" cm="1">
        <f t="array" ref="V41">$AE$7*NMultDensity(C41:D41,$AE$11:$AE$12,$AC$51:$AD$52)/U41*VLOOKUP($E41,$Z$62:$AD$65,2)</f>
        <v>0.99999996824326043</v>
      </c>
      <c r="W41" s="25" cm="1">
        <f t="array" ref="W41">$AE$20*NMultDensity(C41:D41,$AE$24:$AE$25,$AC$51:$AD$52)/U41*VLOOKUP($E41,$Z$62:$AD$65,3)</f>
        <v>3.1756739415871152E-8</v>
      </c>
      <c r="X41" s="43" cm="1">
        <f t="array" ref="X41">$AE$33*NMultDensity(C41:D41,$AE$37:$AE$38,$AC$51:$AD$52)/U41*VLOOKUP($E41,$Z$62:$AD$65,4)</f>
        <v>0</v>
      </c>
      <c r="Z41" s="33" t="s">
        <v>13</v>
      </c>
      <c r="AA41" s="15">
        <f>MAX(A102:A151)</f>
        <v>7.9</v>
      </c>
      <c r="AB41" s="16">
        <f>MAX(B102:B151)</f>
        <v>3.8</v>
      </c>
      <c r="AC41" s="17">
        <f>MAX(C102:C151)</f>
        <v>6.9</v>
      </c>
      <c r="AD41" s="18">
        <f>MAX(D102:D151)</f>
        <v>2.5</v>
      </c>
      <c r="AE41" s="27"/>
    </row>
    <row r="42" spans="1:31" x14ac:dyDescent="0.25">
      <c r="A42" s="71">
        <v>5</v>
      </c>
      <c r="B42" s="25">
        <v>3.5</v>
      </c>
      <c r="C42" s="25">
        <v>1.3</v>
      </c>
      <c r="D42" s="68">
        <v>0.3</v>
      </c>
      <c r="E42" s="80" t="s">
        <v>41</v>
      </c>
      <c r="F42" s="81" t="s">
        <v>5</v>
      </c>
      <c r="G42" s="81">
        <f t="shared" ca="1" si="3"/>
        <v>1.2947387213160106</v>
      </c>
      <c r="H42" s="60">
        <f t="shared" ca="1" si="4"/>
        <v>0.30152706440635041</v>
      </c>
      <c r="I42" s="78" t="s">
        <v>5</v>
      </c>
      <c r="J42" s="69" t="str">
        <f t="shared" si="5"/>
        <v>setosa</v>
      </c>
      <c r="K42" s="25" cm="1">
        <f t="array" ref="K42">$AE$7*NMultDensity(A42:D42,$AE$9:$AE$12,$AA$49:$AD$52)+$AE$20*NMultDensity(A42:D42,$AE$22:$AE$25,$AA$49:$AD$52)+$AE$33*NMultDensity(A42:D42,$AE$35:$AE$38,$AA$49:$AD$52)</f>
        <v>0.22121603703187473</v>
      </c>
      <c r="L42" s="25" cm="1">
        <f t="array" ref="L42">$AE$7*NMultDensity(A42:D42,$AE$9:$AE$12,$AA$49:$AD$52)/K42</f>
        <v>1</v>
      </c>
      <c r="M42" s="25" cm="1">
        <f t="array" ref="M42">$AE$20*NMultDensity(A42:D42,$AE$22:$AE$25,$AA$49:$AD$52)/K42</f>
        <v>4.1682789439784592E-21</v>
      </c>
      <c r="N42" s="43" cm="1">
        <f t="array" ref="N42">$AE$33*NMultDensity(A42:D42,$AE$35:$AE$38,$AA$49:$AD$52)/K42</f>
        <v>1.0783178716223803E-38</v>
      </c>
      <c r="O42" s="71" t="str">
        <f t="shared" si="6"/>
        <v>setosa</v>
      </c>
      <c r="P42" s="25" cm="1">
        <f t="array" ref="P42">$AE$7*NMultDensity(C42:D42,$AE$11:$AE$12,$AC$51:$AD$52)+$AE$20*NMultDensity(C42:D42,$AE$24:$AE$25,$AC$51:$AD$52)+$AE$33*NMultDensity(C42:D42,$AE$37:$AE$38,$AC$51:$AD$52)</f>
        <v>0.12984954397716278</v>
      </c>
      <c r="Q42" s="25" cm="1">
        <f t="array" ref="Q42">$AE$7*NMultDensity(C42:D42,$AE$11:$AE$12,$AC$51:$AD$52)/P42</f>
        <v>0.99999998463103956</v>
      </c>
      <c r="R42" s="25" cm="1">
        <f t="array" ref="R42">$AE$20*NMultDensity(C42:D42,$AE$24:$AE$25,$AC$51:$AD$52)/P42</f>
        <v>1.5368960516843822E-8</v>
      </c>
      <c r="S42" s="43" cm="1">
        <f t="array" ref="S42">$AE$33*NMultDensity(C42:D42,$AE$37:$AE$38,$AC$51:$AD$52)/P42</f>
        <v>6.4398348301550892E-19</v>
      </c>
      <c r="T42" s="71" t="str">
        <f t="shared" si="7"/>
        <v>setosa</v>
      </c>
      <c r="U42" s="25" cm="1">
        <f t="array" ref="U42">$AE$7*NMultDensity(C42:D42,$AE$11:$AE$12,$AC$51:$AD$52)*VLOOKUP($E42,$Z$62:$AD$65,2)+$AE$20*NMultDensity(C42:D42,$AE$24:$AE$25,$AC$51:$AD$52)*VLOOKUP($E42,$Z$62:$AD$65,3)+$AE$33*NMultDensity(C42:D42,$AE$37:$AE$38,$AC$51:$AD$52)*VLOOKUP($E42,$Z$62:$AD$65,4)</f>
        <v>2.5969908915171709E-2</v>
      </c>
      <c r="V42" s="25" cm="1">
        <f t="array" ref="V42">$AE$7*NMultDensity(C42:D42,$AE$11:$AE$12,$AC$51:$AD$52)/U42*VLOOKUP($E42,$Z$62:$AD$65,2)</f>
        <v>0.99999998002035151</v>
      </c>
      <c r="W42" s="25" cm="1">
        <f t="array" ref="W42">$AE$20*NMultDensity(C42:D42,$AE$24:$AE$25,$AC$51:$AD$52)/U42*VLOOKUP($E42,$Z$62:$AD$65,3)</f>
        <v>1.9979648579777037E-8</v>
      </c>
      <c r="X42" s="43" cm="1">
        <f t="array" ref="X42">$AE$33*NMultDensity(C42:D42,$AE$37:$AE$38,$AC$51:$AD$52)/U42*VLOOKUP($E42,$Z$62:$AD$65,4)</f>
        <v>6.4398348004630193E-20</v>
      </c>
    </row>
    <row r="43" spans="1:31" ht="15.75" thickBot="1" x14ac:dyDescent="0.3">
      <c r="A43" s="71">
        <v>4.5</v>
      </c>
      <c r="B43" s="25">
        <v>2.2999999999999998</v>
      </c>
      <c r="C43" s="25">
        <v>1.3</v>
      </c>
      <c r="D43" s="68">
        <v>0.3</v>
      </c>
      <c r="E43" s="80" t="s">
        <v>41</v>
      </c>
      <c r="F43" s="81" t="s">
        <v>5</v>
      </c>
      <c r="G43" s="81">
        <f t="shared" ca="1" si="3"/>
        <v>1.3187574700583284</v>
      </c>
      <c r="H43" s="60">
        <f t="shared" ca="1" si="4"/>
        <v>0.27761001624429987</v>
      </c>
      <c r="I43" s="78" t="s">
        <v>5</v>
      </c>
      <c r="J43" s="69" t="str">
        <f t="shared" si="5"/>
        <v>setosa</v>
      </c>
      <c r="K43" s="25" cm="1">
        <f t="array" ref="K43">$AE$7*NMultDensity(A43:D43,$AE$9:$AE$12,$AA$49:$AD$52)+$AE$20*NMultDensity(A43:D43,$AE$22:$AE$25,$AA$49:$AD$52)+$AE$33*NMultDensity(A43:D43,$AE$35:$AE$38,$AA$49:$AD$52)</f>
        <v>2.6901669826780419E-5</v>
      </c>
      <c r="L43" s="25" cm="1">
        <f t="array" ref="L43">$AE$7*NMultDensity(A43:D43,$AE$9:$AE$12,$AA$49:$AD$52)/K43</f>
        <v>0.99999997332414514</v>
      </c>
      <c r="M43" s="25" cm="1">
        <f t="array" ref="M43">$AE$20*NMultDensity(A43:D43,$AE$22:$AE$25,$AA$49:$AD$52)/K43</f>
        <v>2.6675854861147874E-8</v>
      </c>
      <c r="N43" s="43" cm="1">
        <f t="array" ref="N43">$AE$33*NMultDensity(A43:D43,$AE$35:$AE$38,$AA$49:$AD$52)/K43</f>
        <v>7.656285290850224E-23</v>
      </c>
      <c r="O43" s="71" t="str">
        <f t="shared" si="6"/>
        <v>setosa</v>
      </c>
      <c r="P43" s="25" cm="1">
        <f t="array" ref="P43">$AE$7*NMultDensity(C43:D43,$AE$11:$AE$12,$AC$51:$AD$52)+$AE$20*NMultDensity(C43:D43,$AE$24:$AE$25,$AC$51:$AD$52)+$AE$33*NMultDensity(C43:D43,$AE$37:$AE$38,$AC$51:$AD$52)</f>
        <v>0.12984954397716278</v>
      </c>
      <c r="Q43" s="25" cm="1">
        <f t="array" ref="Q43">$AE$7*NMultDensity(C43:D43,$AE$11:$AE$12,$AC$51:$AD$52)/P43</f>
        <v>0.99999998463103956</v>
      </c>
      <c r="R43" s="25" cm="1">
        <f t="array" ref="R43">$AE$20*NMultDensity(C43:D43,$AE$24:$AE$25,$AC$51:$AD$52)/P43</f>
        <v>1.5368960516843822E-8</v>
      </c>
      <c r="S43" s="43" cm="1">
        <f t="array" ref="S43">$AE$33*NMultDensity(C43:D43,$AE$37:$AE$38,$AC$51:$AD$52)/P43</f>
        <v>6.4398348301550892E-19</v>
      </c>
      <c r="T43" s="71" t="str">
        <f t="shared" si="7"/>
        <v>setosa</v>
      </c>
      <c r="U43" s="25" cm="1">
        <f t="array" ref="U43">$AE$7*NMultDensity(C43:D43,$AE$11:$AE$12,$AC$51:$AD$52)*VLOOKUP($E43,$Z$62:$AD$65,2)+$AE$20*NMultDensity(C43:D43,$AE$24:$AE$25,$AC$51:$AD$52)*VLOOKUP($E43,$Z$62:$AD$65,3)+$AE$33*NMultDensity(C43:D43,$AE$37:$AE$38,$AC$51:$AD$52)*VLOOKUP($E43,$Z$62:$AD$65,4)</f>
        <v>2.5969908915171709E-2</v>
      </c>
      <c r="V43" s="25" cm="1">
        <f t="array" ref="V43">$AE$7*NMultDensity(C43:D43,$AE$11:$AE$12,$AC$51:$AD$52)/U43*VLOOKUP($E43,$Z$62:$AD$65,2)</f>
        <v>0.99999998002035151</v>
      </c>
      <c r="W43" s="25" cm="1">
        <f t="array" ref="W43">$AE$20*NMultDensity(C43:D43,$AE$24:$AE$25,$AC$51:$AD$52)/U43*VLOOKUP($E43,$Z$62:$AD$65,3)</f>
        <v>1.9979648579777037E-8</v>
      </c>
      <c r="X43" s="43" cm="1">
        <f t="array" ref="X43">$AE$33*NMultDensity(C43:D43,$AE$37:$AE$38,$AC$51:$AD$52)/U43*VLOOKUP($E43,$Z$62:$AD$65,4)</f>
        <v>6.4398348004630193E-20</v>
      </c>
      <c r="Z43" s="19" t="s">
        <v>14</v>
      </c>
      <c r="AA43" s="19">
        <f>COUNT(C102:C151)</f>
        <v>50</v>
      </c>
    </row>
    <row r="44" spans="1:31" ht="15.75" thickTop="1" x14ac:dyDescent="0.25">
      <c r="A44" s="71">
        <v>4.4000000000000004</v>
      </c>
      <c r="B44" s="25">
        <v>3.2</v>
      </c>
      <c r="C44" s="25">
        <v>1.3</v>
      </c>
      <c r="D44" s="68">
        <v>0.2</v>
      </c>
      <c r="E44" s="80" t="s">
        <v>41</v>
      </c>
      <c r="F44" s="81" t="s">
        <v>5</v>
      </c>
      <c r="G44" s="81">
        <f t="shared" ca="1" si="3"/>
        <v>1.319503406019241</v>
      </c>
      <c r="H44" s="60">
        <f t="shared" ca="1" si="4"/>
        <v>0.19848163724052628</v>
      </c>
      <c r="I44" s="78" t="s">
        <v>5</v>
      </c>
      <c r="J44" s="69" t="str">
        <f t="shared" si="5"/>
        <v>setosa</v>
      </c>
      <c r="K44" s="25" cm="1">
        <f t="array" ref="K44">$AE$7*NMultDensity(A44:D44,$AE$9:$AE$12,$AA$49:$AD$52)+$AE$20*NMultDensity(A44:D44,$AE$22:$AE$25,$AA$49:$AD$52)+$AE$33*NMultDensity(A44:D44,$AE$35:$AE$38,$AA$49:$AD$52)</f>
        <v>0.10164913227913049</v>
      </c>
      <c r="L44" s="25" cm="1">
        <f t="array" ref="L44">$AE$7*NMultDensity(A44:D44,$AE$9:$AE$12,$AA$49:$AD$52)/K44</f>
        <v>0.99999999999999989</v>
      </c>
      <c r="M44" s="25" cm="1">
        <f t="array" ref="M44">$AE$20*NMultDensity(A44:D44,$AE$22:$AE$25,$AA$49:$AD$52)/K44</f>
        <v>9.1448783727420246E-17</v>
      </c>
      <c r="N44" s="43" cm="1">
        <f t="array" ref="N44">$AE$33*NMultDensity(A44:D44,$AE$35:$AE$38,$AA$49:$AD$52)/K44</f>
        <v>2.7151305616961788E-33</v>
      </c>
      <c r="O44" s="71" t="str">
        <f t="shared" si="6"/>
        <v>setosa</v>
      </c>
      <c r="P44" s="25" cm="1">
        <f t="array" ref="P44">$AE$7*NMultDensity(C44:D44,$AE$11:$AE$12,$AC$51:$AD$52)+$AE$20*NMultDensity(C44:D44,$AE$24:$AE$25,$AC$51:$AD$52)+$AE$33*NMultDensity(C44:D44,$AE$37:$AE$38,$AC$51:$AD$52)</f>
        <v>0.14115711041154599</v>
      </c>
      <c r="Q44" s="25" cm="1">
        <f t="array" ref="Q44">$AE$7*NMultDensity(C44:D44,$AE$11:$AE$12,$AC$51:$AD$52)/P44</f>
        <v>0.9999999947194923</v>
      </c>
      <c r="R44" s="25" cm="1">
        <f t="array" ref="R44">$AE$20*NMultDensity(C44:D44,$AE$24:$AE$25,$AC$51:$AD$52)/P44</f>
        <v>5.2805075692161505E-9</v>
      </c>
      <c r="S44" s="43" cm="1">
        <f t="array" ref="S44">$AE$33*NMultDensity(C44:D44,$AE$37:$AE$38,$AC$51:$AD$52)/P44</f>
        <v>8.7029364067305012E-20</v>
      </c>
      <c r="T44" s="71" t="str">
        <f t="shared" si="7"/>
        <v>setosa</v>
      </c>
      <c r="U44" s="25" cm="1">
        <f t="array" ref="U44">$AE$7*NMultDensity(C44:D44,$AE$11:$AE$12,$AC$51:$AD$52)*VLOOKUP($E44,$Z$62:$AD$65,2)+$AE$20*NMultDensity(C44:D44,$AE$24:$AE$25,$AC$51:$AD$52)*VLOOKUP($E44,$Z$62:$AD$65,3)+$AE$33*NMultDensity(C44:D44,$AE$37:$AE$38,$AC$51:$AD$52)*VLOOKUP($E44,$Z$62:$AD$65,4)</f>
        <v>2.8231422127032068E-2</v>
      </c>
      <c r="V44" s="25" cm="1">
        <f t="array" ref="V44">$AE$7*NMultDensity(C44:D44,$AE$11:$AE$12,$AC$51:$AD$52)/U44*VLOOKUP($E44,$Z$62:$AD$65,2)</f>
        <v>0.99999999313534027</v>
      </c>
      <c r="W44" s="25" cm="1">
        <f t="array" ref="W44">$AE$20*NMultDensity(C44:D44,$AE$24:$AE$25,$AC$51:$AD$52)/U44*VLOOKUP($E44,$Z$62:$AD$65,3)</f>
        <v>6.8646598291063306E-9</v>
      </c>
      <c r="X44" s="43" cm="1">
        <f t="array" ref="X44">$AE$33*NMultDensity(C44:D44,$AE$37:$AE$38,$AC$51:$AD$52)/U44*VLOOKUP($E44,$Z$62:$AD$65,4)</f>
        <v>8.702936392943726E-21</v>
      </c>
    </row>
    <row r="45" spans="1:31" x14ac:dyDescent="0.25">
      <c r="A45" s="71">
        <v>5</v>
      </c>
      <c r="B45" s="25">
        <v>3.5</v>
      </c>
      <c r="C45" s="25">
        <v>1.6</v>
      </c>
      <c r="D45" s="68">
        <v>0.6</v>
      </c>
      <c r="E45" s="80" t="s">
        <v>41</v>
      </c>
      <c r="F45" s="81" t="s">
        <v>5</v>
      </c>
      <c r="G45" s="81">
        <f t="shared" ca="1" si="3"/>
        <v>1.6130964735369366</v>
      </c>
      <c r="H45" s="60">
        <f t="shared" ca="1" si="4"/>
        <v>0.58885419599960842</v>
      </c>
      <c r="I45" s="78" t="s">
        <v>5</v>
      </c>
      <c r="J45" s="69" t="str">
        <f t="shared" si="5"/>
        <v>setosa</v>
      </c>
      <c r="K45" s="25" cm="1">
        <f t="array" ref="K45">$AE$7*NMultDensity(A45:D45,$AE$9:$AE$12,$AA$49:$AD$52)+$AE$20*NMultDensity(A45:D45,$AE$22:$AE$25,$AA$49:$AD$52)+$AE$33*NMultDensity(A45:D45,$AE$35:$AE$38,$AA$49:$AD$52)</f>
        <v>7.0832415704738722E-2</v>
      </c>
      <c r="L45" s="25" cm="1">
        <f t="array" ref="L45">$AE$7*NMultDensity(A45:D45,$AE$9:$AE$12,$AA$49:$AD$52)/K45</f>
        <v>0.99999999999999789</v>
      </c>
      <c r="M45" s="25" cm="1">
        <f t="array" ref="M45">$AE$20*NMultDensity(A45:D45,$AE$22:$AE$25,$AA$49:$AD$52)/K45</f>
        <v>2.2512427577085182E-15</v>
      </c>
      <c r="N45" s="43" cm="1">
        <f t="array" ref="N45">$AE$33*NMultDensity(A45:D45,$AE$35:$AE$38,$AA$49:$AD$52)/K45</f>
        <v>1.8534691894067905E-30</v>
      </c>
      <c r="O45" s="71" t="str">
        <f t="shared" si="6"/>
        <v>setosa</v>
      </c>
      <c r="P45" s="25" cm="1">
        <f t="array" ref="P45">$AE$7*NMultDensity(C45:D45,$AE$11:$AE$12,$AC$51:$AD$52)+$AE$20*NMultDensity(C45:D45,$AE$24:$AE$25,$AC$51:$AD$52)+$AE$33*NMultDensity(C45:D45,$AE$37:$AE$38,$AC$51:$AD$52)</f>
        <v>4.5289760357681341E-2</v>
      </c>
      <c r="Q45" s="25" cm="1">
        <f t="array" ref="Q45">$AE$7*NMultDensity(C45:D45,$AE$11:$AE$12,$AC$51:$AD$52)/P45</f>
        <v>0.99999441158131874</v>
      </c>
      <c r="R45" s="25" cm="1">
        <f t="array" ref="R45">$AE$20*NMultDensity(C45:D45,$AE$24:$AE$25,$AC$51:$AD$52)/P45</f>
        <v>5.5884186711809544E-6</v>
      </c>
      <c r="S45" s="43" cm="1">
        <f t="array" ref="S45">$AE$33*NMultDensity(C45:D45,$AE$37:$AE$38,$AC$51:$AD$52)/P45</f>
        <v>1.0089847990989498E-14</v>
      </c>
      <c r="T45" s="71" t="str">
        <f t="shared" si="7"/>
        <v>setosa</v>
      </c>
      <c r="U45" s="25" cm="1">
        <f t="array" ref="U45">$AE$7*NMultDensity(C45:D45,$AE$11:$AE$12,$AC$51:$AD$52)*VLOOKUP($E45,$Z$62:$AD$65,2)+$AE$20*NMultDensity(C45:D45,$AE$24:$AE$25,$AC$51:$AD$52)*VLOOKUP($E45,$Z$62:$AD$65,3)+$AE$33*NMultDensity(C45:D45,$AE$37:$AE$38,$AC$51:$AD$52)*VLOOKUP($E45,$Z$62:$AD$65,4)</f>
        <v>9.0579672574247292E-3</v>
      </c>
      <c r="V45" s="25" cm="1">
        <f t="array" ref="V45">$AE$7*NMultDensity(C45:D45,$AE$11:$AE$12,$AC$51:$AD$52)/U45*VLOOKUP($E45,$Z$62:$AD$65,2)</f>
        <v>0.99999273506790642</v>
      </c>
      <c r="W45" s="25" cm="1">
        <f t="array" ref="W45">$AE$20*NMultDensity(C45:D45,$AE$24:$AE$25,$AC$51:$AD$52)/U45*VLOOKUP($E45,$Z$62:$AD$65,3)</f>
        <v>7.2649320926906618E-6</v>
      </c>
      <c r="X45" s="43" cm="1">
        <f t="array" ref="X45">$AE$33*NMultDensity(C45:D45,$AE$37:$AE$38,$AC$51:$AD$52)/U45*VLOOKUP($E45,$Z$62:$AD$65,4)</f>
        <v>1.0089831075129481E-15</v>
      </c>
      <c r="Z45" s="110" t="s">
        <v>52</v>
      </c>
      <c r="AA45" s="111" t="s">
        <v>53</v>
      </c>
    </row>
    <row r="46" spans="1:31" x14ac:dyDescent="0.25">
      <c r="A46" s="71">
        <v>5.0999999999999996</v>
      </c>
      <c r="B46" s="25">
        <v>3.8</v>
      </c>
      <c r="C46" s="25">
        <v>1.9</v>
      </c>
      <c r="D46" s="68">
        <v>0.4</v>
      </c>
      <c r="E46" s="80" t="s">
        <v>41</v>
      </c>
      <c r="F46" s="81" t="s">
        <v>5</v>
      </c>
      <c r="G46" s="81">
        <f t="shared" ca="1" si="3"/>
        <v>1.9031654694648263</v>
      </c>
      <c r="H46" s="60">
        <f t="shared" ca="1" si="4"/>
        <v>0.41910249246174669</v>
      </c>
      <c r="I46" s="78" t="s">
        <v>5</v>
      </c>
      <c r="J46" s="69" t="str">
        <f t="shared" si="5"/>
        <v>setosa</v>
      </c>
      <c r="K46" s="25" cm="1">
        <f t="array" ref="K46">$AE$7*NMultDensity(A46:D46,$AE$9:$AE$12,$AA$49:$AD$52)+$AE$20*NMultDensity(A46:D46,$AE$22:$AE$25,$AA$49:$AD$52)+$AE$33*NMultDensity(A46:D46,$AE$35:$AE$38,$AA$49:$AD$52)</f>
        <v>5.9957486569107793E-2</v>
      </c>
      <c r="L46" s="25" cm="1">
        <f t="array" ref="L46">$AE$7*NMultDensity(A46:D46,$AE$9:$AE$12,$AA$49:$AD$52)/K46</f>
        <v>1</v>
      </c>
      <c r="M46" s="25" cm="1">
        <f t="array" ref="M46">$AE$20*NMultDensity(A46:D46,$AE$22:$AE$25,$AA$49:$AD$52)/K46</f>
        <v>1.4714479995507154E-17</v>
      </c>
      <c r="N46" s="43" cm="1">
        <f t="array" ref="N46">$AE$33*NMultDensity(A46:D46,$AE$35:$AE$38,$AA$49:$AD$52)/K46</f>
        <v>2.1785685302367371E-33</v>
      </c>
      <c r="O46" s="71" t="str">
        <f t="shared" si="6"/>
        <v>setosa</v>
      </c>
      <c r="P46" s="25" cm="1">
        <f t="array" ref="P46">$AE$7*NMultDensity(C46:D46,$AE$11:$AE$12,$AC$51:$AD$52)+$AE$20*NMultDensity(C46:D46,$AE$24:$AE$25,$AC$51:$AD$52)+$AE$33*NMultDensity(C46:D46,$AE$37:$AE$38,$AC$51:$AD$52)</f>
        <v>9.7306902817194355E-2</v>
      </c>
      <c r="Q46" s="25" cm="1">
        <f t="array" ref="Q46">$AE$7*NMultDensity(C46:D46,$AE$11:$AE$12,$AC$51:$AD$52)/P46</f>
        <v>0.99999027051509992</v>
      </c>
      <c r="R46" s="25" cm="1">
        <f t="array" ref="R46">$AE$20*NMultDensity(C46:D46,$AE$24:$AE$25,$AC$51:$AD$52)/P46</f>
        <v>9.729484892922294E-6</v>
      </c>
      <c r="S46" s="43" cm="1">
        <f t="array" ref="S46">$AE$33*NMultDensity(C46:D46,$AE$37:$AE$38,$AC$51:$AD$52)/P46</f>
        <v>7.1260772398115298E-15</v>
      </c>
      <c r="T46" s="71" t="str">
        <f t="shared" si="7"/>
        <v>setosa</v>
      </c>
      <c r="U46" s="25" cm="1">
        <f t="array" ref="U46">$AE$7*NMultDensity(C46:D46,$AE$11:$AE$12,$AC$51:$AD$52)*VLOOKUP($E46,$Z$62:$AD$65,2)+$AE$20*NMultDensity(C46:D46,$AE$24:$AE$25,$AC$51:$AD$52)*VLOOKUP($E46,$Z$62:$AD$65,3)+$AE$33*NMultDensity(C46:D46,$AE$37:$AE$38,$AC$51:$AD$52)*VLOOKUP($E46,$Z$62:$AD$65,4)</f>
        <v>1.9461437368201204E-2</v>
      </c>
      <c r="V46" s="25" cm="1">
        <f t="array" ref="V46">$AE$7*NMultDensity(C46:D46,$AE$11:$AE$12,$AC$51:$AD$52)/U46*VLOOKUP($E46,$Z$62:$AD$65,2)</f>
        <v>0.99998735170655684</v>
      </c>
      <c r="W46" s="25" cm="1">
        <f t="array" ref="W46">$AE$20*NMultDensity(C46:D46,$AE$24:$AE$25,$AC$51:$AD$52)/U46*VLOOKUP($E46,$Z$62:$AD$65,3)</f>
        <v>1.2648293442385072E-5</v>
      </c>
      <c r="X46" s="43" cm="1">
        <f t="array" ref="X46">$AE$33*NMultDensity(C46:D46,$AE$37:$AE$38,$AC$51:$AD$52)/U46*VLOOKUP($E46,$Z$62:$AD$65,4)</f>
        <v>7.1260564399540304E-16</v>
      </c>
    </row>
    <row r="47" spans="1:31" ht="15.75" thickBot="1" x14ac:dyDescent="0.3">
      <c r="A47" s="71">
        <v>4.8</v>
      </c>
      <c r="B47" s="25">
        <v>3</v>
      </c>
      <c r="C47" s="25">
        <v>1.4</v>
      </c>
      <c r="D47" s="68">
        <v>0.3</v>
      </c>
      <c r="E47" s="80" t="s">
        <v>41</v>
      </c>
      <c r="F47" s="81" t="s">
        <v>5</v>
      </c>
      <c r="G47" s="81">
        <f t="shared" ca="1" si="3"/>
        <v>1.396090942440452</v>
      </c>
      <c r="H47" s="60">
        <f t="shared" ca="1" si="4"/>
        <v>0.31480371902699383</v>
      </c>
      <c r="I47" s="78" t="s">
        <v>5</v>
      </c>
      <c r="J47" s="69" t="str">
        <f t="shared" si="5"/>
        <v>setosa</v>
      </c>
      <c r="K47" s="25" cm="1">
        <f t="array" ref="K47">$AE$7*NMultDensity(A47:D47,$AE$9:$AE$12,$AA$49:$AD$52)+$AE$20*NMultDensity(A47:D47,$AE$22:$AE$25,$AA$49:$AD$52)+$AE$33*NMultDensity(A47:D47,$AE$35:$AE$38,$AA$49:$AD$52)</f>
        <v>6.3702298437769464E-2</v>
      </c>
      <c r="L47" s="25" cm="1">
        <f t="array" ref="L47">$AE$7*NMultDensity(A47:D47,$AE$9:$AE$12,$AA$49:$AD$52)/K47</f>
        <v>0.99999999999999256</v>
      </c>
      <c r="M47" s="25" cm="1">
        <f t="array" ref="M47">$AE$20*NMultDensity(A47:D47,$AE$22:$AE$25,$AA$49:$AD$52)/K47</f>
        <v>7.3193448733505796E-15</v>
      </c>
      <c r="N47" s="43" cm="1">
        <f t="array" ref="N47">$AE$33*NMultDensity(A47:D47,$AE$35:$AE$38,$AA$49:$AD$52)/K47</f>
        <v>7.2512227551361869E-31</v>
      </c>
      <c r="O47" s="71" t="str">
        <f t="shared" si="6"/>
        <v>setosa</v>
      </c>
      <c r="P47" s="25" cm="1">
        <f t="array" ref="P47">$AE$7*NMultDensity(C47:D47,$AE$11:$AE$12,$AC$51:$AD$52)+$AE$20*NMultDensity(C47:D47,$AE$24:$AE$25,$AC$51:$AD$52)+$AE$33*NMultDensity(C47:D47,$AE$37:$AE$38,$AC$51:$AD$52)</f>
        <v>0.14077359482943874</v>
      </c>
      <c r="Q47" s="25" cm="1">
        <f t="array" ref="Q47">$AE$7*NMultDensity(C47:D47,$AE$11:$AE$12,$AC$51:$AD$52)/P47</f>
        <v>0.99999996231013255</v>
      </c>
      <c r="R47" s="25" cm="1">
        <f t="array" ref="R47">$AE$20*NMultDensity(C47:D47,$AE$24:$AE$25,$AC$51:$AD$52)/P47</f>
        <v>3.768986734545163E-8</v>
      </c>
      <c r="S47" s="43" cm="1">
        <f t="array" ref="S47">$AE$33*NMultDensity(C47:D47,$AE$37:$AE$38,$AC$51:$AD$52)/P47</f>
        <v>2.177725990822559E-18</v>
      </c>
      <c r="T47" s="71" t="str">
        <f t="shared" si="7"/>
        <v>setosa</v>
      </c>
      <c r="U47" s="25" cm="1">
        <f t="array" ref="U47">$AE$7*NMultDensity(C47:D47,$AE$11:$AE$12,$AC$51:$AD$52)*VLOOKUP($E47,$Z$62:$AD$65,2)+$AE$20*NMultDensity(C47:D47,$AE$24:$AE$25,$AC$51:$AD$52)*VLOOKUP($E47,$Z$62:$AD$65,3)+$AE$33*NMultDensity(C47:D47,$AE$37:$AE$38,$AC$51:$AD$52)*VLOOKUP($E47,$Z$62:$AD$65,4)</f>
        <v>2.8154719284232035E-2</v>
      </c>
      <c r="V47" s="25" cm="1">
        <f t="array" ref="V47">$AE$7*NMultDensity(C47:D47,$AE$11:$AE$12,$AC$51:$AD$52)/U47*VLOOKUP($E47,$Z$62:$AD$65,2)</f>
        <v>0.99999995100317296</v>
      </c>
      <c r="W47" s="25" cm="1">
        <f t="array" ref="W47">$AE$20*NMultDensity(C47:D47,$AE$24:$AE$25,$AC$51:$AD$52)/U47*VLOOKUP($E47,$Z$62:$AD$65,3)</f>
        <v>4.8996826995081948E-8</v>
      </c>
      <c r="X47" s="43" cm="1">
        <f t="array" ref="X47">$AE$33*NMultDensity(C47:D47,$AE$37:$AE$38,$AC$51:$AD$52)/U47*VLOOKUP($E47,$Z$62:$AD$65,4)</f>
        <v>2.1777259661990982E-19</v>
      </c>
      <c r="Z47" s="107" t="s">
        <v>30</v>
      </c>
      <c r="AA47" s="108"/>
      <c r="AB47" s="109"/>
      <c r="AC47" s="103" t="s">
        <v>17</v>
      </c>
      <c r="AD47" s="104"/>
    </row>
    <row r="48" spans="1:31" ht="15.75" thickBot="1" x14ac:dyDescent="0.3">
      <c r="A48" s="71">
        <v>5.0999999999999996</v>
      </c>
      <c r="B48" s="25">
        <v>3.8</v>
      </c>
      <c r="C48" s="25">
        <v>1.6</v>
      </c>
      <c r="D48" s="68">
        <v>0.2</v>
      </c>
      <c r="E48" s="80" t="s">
        <v>41</v>
      </c>
      <c r="F48" s="81" t="s">
        <v>5</v>
      </c>
      <c r="G48" s="81">
        <f t="shared" ca="1" si="3"/>
        <v>1.6002827333911118</v>
      </c>
      <c r="H48" s="60">
        <f t="shared" ca="1" si="4"/>
        <v>0.2153818113179731</v>
      </c>
      <c r="I48" s="78" t="s">
        <v>5</v>
      </c>
      <c r="J48" s="69" t="str">
        <f t="shared" si="5"/>
        <v>setosa</v>
      </c>
      <c r="K48" s="25" cm="1">
        <f t="array" ref="K48">$AE$7*NMultDensity(A48:D48,$AE$9:$AE$12,$AA$49:$AD$52)+$AE$20*NMultDensity(A48:D48,$AE$22:$AE$25,$AA$49:$AD$52)+$AE$33*NMultDensity(A48:D48,$AE$35:$AE$38,$AA$49:$AD$52)</f>
        <v>7.847939352995803E-2</v>
      </c>
      <c r="L48" s="25" cm="1">
        <f t="array" ref="L48">$AE$7*NMultDensity(A48:D48,$AE$9:$AE$12,$AA$49:$AD$52)/K48</f>
        <v>1</v>
      </c>
      <c r="M48" s="25" cm="1">
        <f t="array" ref="M48">$AE$20*NMultDensity(A48:D48,$AE$22:$AE$25,$AA$49:$AD$52)/K48</f>
        <v>2.5151120548230158E-22</v>
      </c>
      <c r="N48" s="43" cm="1">
        <f t="array" ref="N48">$AE$33*NMultDensity(A48:D48,$AE$35:$AE$38,$AA$49:$AD$52)/K48</f>
        <v>3.7497629724193468E-40</v>
      </c>
      <c r="O48" s="71" t="str">
        <f t="shared" si="6"/>
        <v>setosa</v>
      </c>
      <c r="P48" s="25" cm="1">
        <f t="array" ref="P48">$AE$7*NMultDensity(C48:D48,$AE$11:$AE$12,$AC$51:$AD$52)+$AE$20*NMultDensity(C48:D48,$AE$24:$AE$25,$AC$51:$AD$52)+$AE$33*NMultDensity(C48:D48,$AE$37:$AE$38,$AC$51:$AD$52)</f>
        <v>0.13484753777565919</v>
      </c>
      <c r="Q48" s="25" cm="1">
        <f t="array" ref="Q48">$AE$7*NMultDensity(C48:D48,$AE$11:$AE$12,$AC$51:$AD$52)/P48</f>
        <v>0.99999992212178146</v>
      </c>
      <c r="R48" s="25" cm="1">
        <f t="array" ref="R48">$AE$20*NMultDensity(C48:D48,$AE$24:$AE$25,$AC$51:$AD$52)/P48</f>
        <v>7.7878218641358856E-8</v>
      </c>
      <c r="S48" s="43" cm="1">
        <f t="array" ref="S48">$AE$33*NMultDensity(C48:D48,$AE$37:$AE$38,$AC$51:$AD$52)/P48</f>
        <v>3.3655134061974587E-18</v>
      </c>
      <c r="T48" s="71" t="str">
        <f t="shared" si="7"/>
        <v>setosa</v>
      </c>
      <c r="U48" s="25" cm="1">
        <f t="array" ref="U48">$AE$7*NMultDensity(C48:D48,$AE$11:$AE$12,$AC$51:$AD$52)*VLOOKUP($E48,$Z$62:$AD$65,2)+$AE$20*NMultDensity(C48:D48,$AE$24:$AE$25,$AC$51:$AD$52)*VLOOKUP($E48,$Z$62:$AD$65,3)+$AE$33*NMultDensity(C48:D48,$AE$37:$AE$38,$AC$51:$AD$52)*VLOOKUP($E48,$Z$62:$AD$65,4)</f>
        <v>2.6969508185233006E-2</v>
      </c>
      <c r="V48" s="25" cm="1">
        <f t="array" ref="V48">$AE$7*NMultDensity(C48:D48,$AE$11:$AE$12,$AC$51:$AD$52)/U48*VLOOKUP($E48,$Z$62:$AD$65,2)</f>
        <v>0.99999989875831796</v>
      </c>
      <c r="W48" s="25" cm="1">
        <f t="array" ref="W48">$AE$20*NMultDensity(C48:D48,$AE$24:$AE$25,$AC$51:$AD$52)/U48*VLOOKUP($E48,$Z$62:$AD$65,3)</f>
        <v>1.0124168186840994E-7</v>
      </c>
      <c r="X48" s="43" cm="1">
        <f t="array" ref="X48">$AE$33*NMultDensity(C48:D48,$AE$37:$AE$38,$AC$51:$AD$52)/U48*VLOOKUP($E48,$Z$62:$AD$65,4)</f>
        <v>3.3655133275674033E-19</v>
      </c>
      <c r="Z48" s="27"/>
      <c r="AA48" s="22" t="s">
        <v>15</v>
      </c>
      <c r="AB48" s="23" t="s">
        <v>16</v>
      </c>
      <c r="AC48" s="23" t="s">
        <v>9</v>
      </c>
      <c r="AD48" s="70" t="s">
        <v>10</v>
      </c>
    </row>
    <row r="49" spans="1:30" x14ac:dyDescent="0.25">
      <c r="A49" s="71">
        <v>4.5999999999999996</v>
      </c>
      <c r="B49" s="25">
        <v>3.2</v>
      </c>
      <c r="C49" s="25">
        <v>1.4</v>
      </c>
      <c r="D49" s="68">
        <v>0.2</v>
      </c>
      <c r="E49" s="80" t="s">
        <v>41</v>
      </c>
      <c r="F49" s="81" t="s">
        <v>5</v>
      </c>
      <c r="G49" s="81">
        <f t="shared" ca="1" si="3"/>
        <v>1.3993536558244981</v>
      </c>
      <c r="H49" s="60">
        <f t="shared" ca="1" si="4"/>
        <v>0.20572851560726324</v>
      </c>
      <c r="I49" s="78" t="s">
        <v>5</v>
      </c>
      <c r="J49" s="69" t="str">
        <f t="shared" si="5"/>
        <v>setosa</v>
      </c>
      <c r="K49" s="25" cm="1">
        <f t="array" ref="K49">$AE$7*NMultDensity(A49:D49,$AE$9:$AE$12,$AA$49:$AD$52)+$AE$20*NMultDensity(A49:D49,$AE$22:$AE$25,$AA$49:$AD$52)+$AE$33*NMultDensity(A49:D49,$AE$35:$AE$38,$AA$49:$AD$52)</f>
        <v>0.14644951114643065</v>
      </c>
      <c r="L49" s="25" cm="1">
        <f t="array" ref="L49">$AE$7*NMultDensity(A49:D49,$AE$9:$AE$12,$AA$49:$AD$52)/K49</f>
        <v>0.99999999999999978</v>
      </c>
      <c r="M49" s="25" cm="1">
        <f t="array" ref="M49">$AE$20*NMultDensity(A49:D49,$AE$22:$AE$25,$AA$49:$AD$52)/K49</f>
        <v>1.0481498952552531E-16</v>
      </c>
      <c r="N49" s="43" cm="1">
        <f t="array" ref="N49">$AE$33*NMultDensity(A49:D49,$AE$35:$AE$38,$AA$49:$AD$52)/K49</f>
        <v>3.0397076870479012E-33</v>
      </c>
      <c r="O49" s="71" t="str">
        <f t="shared" si="6"/>
        <v>setosa</v>
      </c>
      <c r="P49" s="25" cm="1">
        <f t="array" ref="P49">$AE$7*NMultDensity(C49:D49,$AE$11:$AE$12,$AC$51:$AD$52)+$AE$20*NMultDensity(C49:D49,$AE$24:$AE$25,$AC$51:$AD$52)+$AE$33*NMultDensity(C49:D49,$AE$37:$AE$38,$AC$51:$AD$52)</f>
        <v>0.14613092598253186</v>
      </c>
      <c r="Q49" s="25" cm="1">
        <f t="array" ref="Q49">$AE$7*NMultDensity(C49:D49,$AE$11:$AE$12,$AC$51:$AD$52)/P49</f>
        <v>0.99999998705041671</v>
      </c>
      <c r="R49" s="25" cm="1">
        <f t="array" ref="R49">$AE$20*NMultDensity(C49:D49,$AE$24:$AE$25,$AC$51:$AD$52)/P49</f>
        <v>1.2949583187380858E-8</v>
      </c>
      <c r="S49" s="43" cm="1">
        <f t="array" ref="S49">$AE$33*NMultDensity(C49:D49,$AE$37:$AE$38,$AC$51:$AD$52)/P49</f>
        <v>2.9430275134318876E-19</v>
      </c>
      <c r="T49" s="71" t="str">
        <f t="shared" si="7"/>
        <v>setosa</v>
      </c>
      <c r="U49" s="25" cm="1">
        <f t="array" ref="U49">$AE$7*NMultDensity(C49:D49,$AE$11:$AE$12,$AC$51:$AD$52)*VLOOKUP($E49,$Z$62:$AD$65,2)+$AE$20*NMultDensity(C49:D49,$AE$24:$AE$25,$AC$51:$AD$52)*VLOOKUP($E49,$Z$62:$AD$65,3)+$AE$33*NMultDensity(C49:D49,$AE$37:$AE$38,$AC$51:$AD$52)*VLOOKUP($E49,$Z$62:$AD$65,4)</f>
        <v>2.9226185310046445E-2</v>
      </c>
      <c r="V49" s="25" cm="1">
        <f t="array" ref="V49">$AE$7*NMultDensity(C49:D49,$AE$11:$AE$12,$AC$51:$AD$52)/U49*VLOOKUP($E49,$Z$62:$AD$65,2)</f>
        <v>0.99999998316554195</v>
      </c>
      <c r="W49" s="25" cm="1">
        <f t="array" ref="W49">$AE$20*NMultDensity(C49:D49,$AE$24:$AE$25,$AC$51:$AD$52)/U49*VLOOKUP($E49,$Z$62:$AD$65,3)</f>
        <v>1.6834458078195353E-8</v>
      </c>
      <c r="X49" s="43" cm="1">
        <f t="array" ref="X49">$AE$33*NMultDensity(C49:D49,$AE$37:$AE$38,$AC$51:$AD$52)/U49*VLOOKUP($E49,$Z$62:$AD$65,4)</f>
        <v>2.9430275019985933E-20</v>
      </c>
      <c r="Z49" s="30" t="s">
        <v>15</v>
      </c>
      <c r="AA49" s="2">
        <f>$AE$7*AA9+$AE$20*AA22+$AE$33*AA35</f>
        <v>0.33036340136054426</v>
      </c>
      <c r="AB49" s="3">
        <f>$AE$7*AB9+$AE$20*AB22+$AE$33*AB35</f>
        <v>9.1448707482993191E-2</v>
      </c>
      <c r="AC49" s="3">
        <f>$AE$7*AC9+$AE$20*AC22+$AE$33*AC35</f>
        <v>0.23446571428571439</v>
      </c>
      <c r="AD49" s="59">
        <f>$AE$7*AD9+$AE$20*AD22+$AE$33*AD35</f>
        <v>4.7446122448979611E-2</v>
      </c>
    </row>
    <row r="50" spans="1:30" x14ac:dyDescent="0.25">
      <c r="A50" s="71">
        <v>5.3</v>
      </c>
      <c r="B50" s="25">
        <v>3.7</v>
      </c>
      <c r="C50" s="25">
        <v>1.5</v>
      </c>
      <c r="D50" s="68">
        <v>0.2</v>
      </c>
      <c r="E50" s="80" t="s">
        <v>41</v>
      </c>
      <c r="F50" s="81" t="s">
        <v>5</v>
      </c>
      <c r="G50" s="81">
        <f t="shared" ca="1" si="3"/>
        <v>1.4756757092272914</v>
      </c>
      <c r="H50" s="60">
        <f t="shared" ca="1" si="4"/>
        <v>0.20385541910361873</v>
      </c>
      <c r="I50" s="78" t="s">
        <v>5</v>
      </c>
      <c r="J50" s="69" t="str">
        <f t="shared" si="5"/>
        <v>setosa</v>
      </c>
      <c r="K50" s="25" cm="1">
        <f t="array" ref="K50">$AE$7*NMultDensity(A50:D50,$AE$9:$AE$12,$AA$49:$AD$52)+$AE$20*NMultDensity(A50:D50,$AE$22:$AE$25,$AA$49:$AD$52)+$AE$33*NMultDensity(A50:D50,$AE$35:$AE$38,$AA$49:$AD$52)</f>
        <v>0.13468111432880711</v>
      </c>
      <c r="L50" s="25" cm="1">
        <f t="array" ref="L50">$AE$7*NMultDensity(A50:D50,$AE$9:$AE$12,$AA$49:$AD$52)/K50</f>
        <v>1</v>
      </c>
      <c r="M50" s="25" cm="1">
        <f t="array" ref="M50">$AE$20*NMultDensity(A50:D50,$AE$22:$AE$25,$AA$49:$AD$52)/K50</f>
        <v>2.8265044546793463E-23</v>
      </c>
      <c r="N50" s="43" cm="1">
        <f t="array" ref="N50">$AE$33*NMultDensity(A50:D50,$AE$35:$AE$38,$AA$49:$AD$52)/K50</f>
        <v>1.3828209636389511E-41</v>
      </c>
      <c r="O50" s="71" t="str">
        <f t="shared" si="6"/>
        <v>setosa</v>
      </c>
      <c r="P50" s="25" cm="1">
        <f t="array" ref="P50">$AE$7*NMultDensity(C50:D50,$AE$11:$AE$12,$AC$51:$AD$52)+$AE$20*NMultDensity(C50:D50,$AE$24:$AE$25,$AC$51:$AD$52)+$AE$33*NMultDensity(C50:D50,$AE$37:$AE$38,$AC$51:$AD$52)</f>
        <v>0.1439203548375585</v>
      </c>
      <c r="Q50" s="25" cm="1">
        <f t="array" ref="Q50">$AE$7*NMultDensity(C50:D50,$AE$11:$AE$12,$AC$51:$AD$52)/P50</f>
        <v>0.99999996824326065</v>
      </c>
      <c r="R50" s="25" cm="1">
        <f t="array" ref="R50">$AE$20*NMultDensity(C50:D50,$AE$24:$AE$25,$AC$51:$AD$52)/P50</f>
        <v>3.1756739415871158E-8</v>
      </c>
      <c r="S50" s="43" cm="1">
        <f t="array" ref="S50">$AE$33*NMultDensity(C50:D50,$AE$37:$AE$38,$AC$51:$AD$52)/P50</f>
        <v>9.9522855775976634E-19</v>
      </c>
      <c r="T50" s="71" t="str">
        <f t="shared" si="7"/>
        <v>setosa</v>
      </c>
      <c r="U50" s="25" cm="1">
        <f t="array" ref="U50">$AE$7*NMultDensity(C50:D50,$AE$11:$AE$12,$AC$51:$AD$52)*VLOOKUP($E50,$Z$62:$AD$65,2)+$AE$20*NMultDensity(C50:D50,$AE$24:$AE$25,$AC$51:$AD$52)*VLOOKUP($E50,$Z$62:$AD$65,3)+$AE$33*NMultDensity(C50:D50,$AE$37:$AE$38,$AC$51:$AD$52)*VLOOKUP($E50,$Z$62:$AD$65,4)</f>
        <v>2.8784071241738176E-2</v>
      </c>
      <c r="V50" s="25" cm="1">
        <f t="array" ref="V50">$AE$7*NMultDensity(C50:D50,$AE$11:$AE$12,$AC$51:$AD$52)/U50*VLOOKUP($E50,$Z$62:$AD$65,2)</f>
        <v>0.99999995871623915</v>
      </c>
      <c r="W50" s="25" cm="1">
        <f t="array" ref="W50">$AE$20*NMultDensity(C50:D50,$AE$24:$AE$25,$AC$51:$AD$52)/U50*VLOOKUP($E50,$Z$62:$AD$65,3)</f>
        <v>4.1283760847321214E-8</v>
      </c>
      <c r="X50" s="43" cm="1">
        <f t="array" ref="X50">$AE$33*NMultDensity(C50:D50,$AE$37:$AE$38,$AC$51:$AD$52)/U50*VLOOKUP($E50,$Z$62:$AD$65,4)</f>
        <v>9.9522854827820219E-20</v>
      </c>
      <c r="Z50" s="31" t="s">
        <v>16</v>
      </c>
      <c r="AA50" s="4">
        <f>$AE$7*AA10+$AE$20*AA23+$AE$33*AA36</f>
        <v>9.1448707482993191E-2</v>
      </c>
      <c r="AB50" s="5">
        <f>$AE$7*AB10+$AE$20*AB23+$AE$33*AB36</f>
        <v>0.10612775510204087</v>
      </c>
      <c r="AC50" s="5">
        <f>$AE$7*AC10+$AE$20*AC23+$AE$33*AC36</f>
        <v>6.9169251700680279E-2</v>
      </c>
      <c r="AD50" s="60">
        <f>$AE$7*AD10+$AE$20*AD23+$AE$33*AD36</f>
        <v>4.1654013605442186E-2</v>
      </c>
    </row>
    <row r="51" spans="1:30" x14ac:dyDescent="0.25">
      <c r="A51" s="71">
        <v>5</v>
      </c>
      <c r="B51" s="25">
        <v>3.3</v>
      </c>
      <c r="C51" s="25">
        <v>1.4</v>
      </c>
      <c r="D51" s="68">
        <v>0.2</v>
      </c>
      <c r="E51" s="80" t="s">
        <v>41</v>
      </c>
      <c r="F51" s="81" t="s">
        <v>5</v>
      </c>
      <c r="G51" s="81">
        <f t="shared" ca="1" si="3"/>
        <v>1.3949787861124523</v>
      </c>
      <c r="H51" s="60">
        <f t="shared" ca="1" si="4"/>
        <v>0.21757303641006001</v>
      </c>
      <c r="I51" s="78" t="s">
        <v>5</v>
      </c>
      <c r="J51" s="69" t="str">
        <f t="shared" si="5"/>
        <v>setosa</v>
      </c>
      <c r="K51" s="25" cm="1">
        <f t="array" ref="K51">$AE$7*NMultDensity(A51:D51,$AE$9:$AE$12,$AA$49:$AD$52)+$AE$20*NMultDensity(A51:D51,$AE$22:$AE$25,$AA$49:$AD$52)+$AE$33*NMultDensity(A51:D51,$AE$35:$AE$38,$AA$49:$AD$52)</f>
        <v>0.25203868469920659</v>
      </c>
      <c r="L51" s="25" cm="1">
        <f t="array" ref="L51">$AE$7*NMultDensity(A51:D51,$AE$9:$AE$12,$AA$49:$AD$52)/K51</f>
        <v>1</v>
      </c>
      <c r="M51" s="25" cm="1">
        <f t="array" ref="M51">$AE$20*NMultDensity(A51:D51,$AE$22:$AE$25,$AA$49:$AD$52)/K51</f>
        <v>2.3189529387198618E-19</v>
      </c>
      <c r="N51" s="43" cm="1">
        <f t="array" ref="N51">$AE$33*NMultDensity(A51:D51,$AE$35:$AE$38,$AA$49:$AD$52)/K51</f>
        <v>9.2717035348887332E-37</v>
      </c>
      <c r="O51" s="71" t="str">
        <f t="shared" si="6"/>
        <v>setosa</v>
      </c>
      <c r="P51" s="25" cm="1">
        <f t="array" ref="P51">$AE$7*NMultDensity(C51:D51,$AE$11:$AE$12,$AC$51:$AD$52)+$AE$20*NMultDensity(C51:D51,$AE$24:$AE$25,$AC$51:$AD$52)+$AE$33*NMultDensity(C51:D51,$AE$37:$AE$38,$AC$51:$AD$52)</f>
        <v>0.14613092598253186</v>
      </c>
      <c r="Q51" s="25" cm="1">
        <f t="array" ref="Q51">$AE$7*NMultDensity(C51:D51,$AE$11:$AE$12,$AC$51:$AD$52)/P51</f>
        <v>0.99999998705041671</v>
      </c>
      <c r="R51" s="25" cm="1">
        <f t="array" ref="R51">$AE$20*NMultDensity(C51:D51,$AE$24:$AE$25,$AC$51:$AD$52)/P51</f>
        <v>1.2949583187380858E-8</v>
      </c>
      <c r="S51" s="43" cm="1">
        <f t="array" ref="S51">$AE$33*NMultDensity(C51:D51,$AE$37:$AE$38,$AC$51:$AD$52)/P51</f>
        <v>2.9430275134318876E-19</v>
      </c>
      <c r="T51" s="71" t="str">
        <f t="shared" si="7"/>
        <v>setosa</v>
      </c>
      <c r="U51" s="25" cm="1">
        <f t="array" ref="U51">$AE$7*NMultDensity(C51:D51,$AE$11:$AE$12,$AC$51:$AD$52)*VLOOKUP($E51,$Z$62:$AD$65,2)+$AE$20*NMultDensity(C51:D51,$AE$24:$AE$25,$AC$51:$AD$52)*VLOOKUP($E51,$Z$62:$AD$65,3)+$AE$33*NMultDensity(C51:D51,$AE$37:$AE$38,$AC$51:$AD$52)*VLOOKUP($E51,$Z$62:$AD$65,4)</f>
        <v>2.9226185310046445E-2</v>
      </c>
      <c r="V51" s="25" cm="1">
        <f t="array" ref="V51">$AE$7*NMultDensity(C51:D51,$AE$11:$AE$12,$AC$51:$AD$52)/U51*VLOOKUP($E51,$Z$62:$AD$65,2)</f>
        <v>0.99999998316554195</v>
      </c>
      <c r="W51" s="25" cm="1">
        <f t="array" ref="W51">$AE$20*NMultDensity(C51:D51,$AE$24:$AE$25,$AC$51:$AD$52)/U51*VLOOKUP($E51,$Z$62:$AD$65,3)</f>
        <v>1.6834458078195353E-8</v>
      </c>
      <c r="X51" s="43" cm="1">
        <f t="array" ref="X51">$AE$33*NMultDensity(C51:D51,$AE$37:$AE$38,$AC$51:$AD$52)/U51*VLOOKUP($E51,$Z$62:$AD$65,4)</f>
        <v>2.9430275019985933E-20</v>
      </c>
      <c r="Z51" s="31" t="s">
        <v>9</v>
      </c>
      <c r="AA51" s="4">
        <f>$AE$7*AA11+$AE$20*AA24+$AE$33*AA37</f>
        <v>0.23446571428571439</v>
      </c>
      <c r="AB51" s="5">
        <f>$AE$7*AB11+$AE$20*AB24+$AE$33*AB37</f>
        <v>6.9169251700680279E-2</v>
      </c>
      <c r="AC51" s="62">
        <f>$AE$7*AC11+$AE$20*AC24+$AE$33*AC37</f>
        <v>0.24922108843537433</v>
      </c>
      <c r="AD51" s="65">
        <f>$AE$7*AD11+$AE$20*AD24+$AE$33*AD37</f>
        <v>5.2641496598639453E-2</v>
      </c>
    </row>
    <row r="52" spans="1:30" ht="15.75" thickBot="1" x14ac:dyDescent="0.3">
      <c r="A52" s="71">
        <v>7</v>
      </c>
      <c r="B52" s="25">
        <v>3.2</v>
      </c>
      <c r="C52" s="25">
        <v>4.7</v>
      </c>
      <c r="D52" s="68">
        <v>1.4</v>
      </c>
      <c r="E52" s="80" t="s">
        <v>38</v>
      </c>
      <c r="F52" s="81" t="s">
        <v>6</v>
      </c>
      <c r="G52" s="81">
        <f t="shared" ca="1" si="3"/>
        <v>4.7249520197189563</v>
      </c>
      <c r="H52" s="60">
        <f t="shared" ca="1" si="4"/>
        <v>1.3961778314310265</v>
      </c>
      <c r="I52" s="78" t="s">
        <v>6</v>
      </c>
      <c r="J52" s="39" t="str">
        <f t="shared" si="5"/>
        <v>versicolor</v>
      </c>
      <c r="K52" s="25" cm="1">
        <f t="array" ref="K52">$AE$7*NMultDensity(A52:D52,$AE$9:$AE$12,$AA$49:$AD$52)+$AE$20*NMultDensity(A52:D52,$AE$22:$AE$25,$AA$49:$AD$52)+$AE$33*NMultDensity(A52:D52,$AE$35:$AE$38,$AA$49:$AD$52)</f>
        <v>7.7240663646016366E-2</v>
      </c>
      <c r="L52" s="25" cm="1">
        <f t="array" ref="L52">$AE$7*NMultDensity(A52:D52,$AE$9:$AE$12,$AA$49:$AD$52)/K52</f>
        <v>6.7419550833413194E-17</v>
      </c>
      <c r="M52" s="25" cm="1">
        <f t="array" ref="M52">$AE$20*NMultDensity(A52:D52,$AE$22:$AE$25,$AA$49:$AD$52)/K52</f>
        <v>0.99979716613327685</v>
      </c>
      <c r="N52" s="43" cm="1">
        <f t="array" ref="N52">$AE$33*NMultDensity(A52:D52,$AE$35:$AE$38,$AA$49:$AD$52)/K52</f>
        <v>2.0283386672317928E-4</v>
      </c>
      <c r="O52" s="42" t="str">
        <f t="shared" si="6"/>
        <v>versicolor</v>
      </c>
      <c r="P52" s="25" cm="1">
        <f t="array" ref="P52">$AE$7*NMultDensity(C52:D52,$AE$11:$AE$12,$AC$51:$AD$52)+$AE$20*NMultDensity(C52:D52,$AE$24:$AE$25,$AC$51:$AD$52)+$AE$33*NMultDensity(C52:D52,$AE$37:$AE$38,$AC$51:$AD$52)</f>
        <v>0.35792109892291613</v>
      </c>
      <c r="Q52" s="25" cm="1">
        <f t="array" ref="Q52">$AE$7*NMultDensity(C52:D52,$AE$11:$AE$12,$AC$51:$AD$52)/P52</f>
        <v>2.7283961414497734E-11</v>
      </c>
      <c r="R52" s="25" cm="1">
        <f t="array" ref="R52">$AE$20*NMultDensity(C52:D52,$AE$24:$AE$25,$AC$51:$AD$52)/P52</f>
        <v>0.93741794222576624</v>
      </c>
      <c r="S52" s="43" cm="1">
        <f t="array" ref="S52">$AE$33*NMultDensity(C52:D52,$AE$37:$AE$38,$AC$51:$AD$52)/P52</f>
        <v>6.2582057746949762E-2</v>
      </c>
      <c r="T52" s="42" t="str">
        <f t="shared" ref="T52:T83" si="8">IF(V52&gt;MAX(W52:X52),$I$2,IF(W52&gt;X52,$I$52,$I$102))</f>
        <v>versicolor</v>
      </c>
      <c r="U52" s="25" cm="1">
        <f t="array" ref="U52">$AE$7*NMultDensity(C52:D52,$AE$11:$AE$12,$AC$51:$AD$52)*VLOOKUP($E52,$Z$62:$AD$65,2)+$AE$20*NMultDensity(C52:D52,$AE$24:$AE$25,$AC$51:$AD$52)*VLOOKUP($E52,$Z$62:$AD$65,3)+$AE$33*NMultDensity(C52:D52,$AE$37:$AE$38,$AC$51:$AD$52)*VLOOKUP($E52,$Z$62:$AD$65,4)</f>
        <v>7.3833562138955103E-2</v>
      </c>
      <c r="V52" s="25" cm="1">
        <f t="array" ref="V52">$AE$7*NMultDensity(C52:D52,$AE$11:$AE$12,$AC$51:$AD$52)/U52*VLOOKUP($E52,$Z$62:$AD$65,2)</f>
        <v>5.819605982155171E-11</v>
      </c>
      <c r="W52" s="25" cm="1">
        <f t="array" ref="W52">$AE$20*NMultDensity(C52:D52,$AE$24:$AE$25,$AC$51:$AD$52)/U52*VLOOKUP($E52,$Z$62:$AD$65,3)</f>
        <v>0.81797352120177136</v>
      </c>
      <c r="X52" s="43" cm="1">
        <f t="array" ref="X52">$AE$33*NMultDensity(C52:D52,$AE$37:$AE$38,$AC$51:$AD$52)/U52*VLOOKUP($E52,$Z$62:$AD$65,4)</f>
        <v>0.18202647874003269</v>
      </c>
      <c r="Z52" s="54" t="s">
        <v>10</v>
      </c>
      <c r="AA52" s="15">
        <f>$AE$7*AA12+$AE$20*AA25+$AE$33*AA38</f>
        <v>4.7446122448979611E-2</v>
      </c>
      <c r="AB52" s="16">
        <f>$AE$7*AB12+$AE$20*AB25+$AE$33*AB38</f>
        <v>4.1654013605442186E-2</v>
      </c>
      <c r="AC52" s="64">
        <f>$AE$7*AC12+$AE$20*AC25+$AE$33*AC38</f>
        <v>5.2641496598639453E-2</v>
      </c>
      <c r="AD52" s="63">
        <f>$AE$7*AD12+$AE$20*AD25+$AE$33*AD38</f>
        <v>5.6891156462585024E-2</v>
      </c>
    </row>
    <row r="53" spans="1:30" x14ac:dyDescent="0.25">
      <c r="A53" s="71">
        <v>6.4</v>
      </c>
      <c r="B53" s="25">
        <v>3.2</v>
      </c>
      <c r="C53" s="25">
        <v>4.5</v>
      </c>
      <c r="D53" s="68">
        <v>1.5</v>
      </c>
      <c r="E53" s="80" t="s">
        <v>38</v>
      </c>
      <c r="F53" s="81" t="s">
        <v>6</v>
      </c>
      <c r="G53" s="81">
        <f t="shared" ca="1" si="3"/>
        <v>4.507979320599949</v>
      </c>
      <c r="H53" s="60">
        <f t="shared" ca="1" si="4"/>
        <v>1.5001336422614204</v>
      </c>
      <c r="I53" s="78" t="s">
        <v>6</v>
      </c>
      <c r="J53" s="39" t="str">
        <f t="shared" si="5"/>
        <v>versicolor</v>
      </c>
      <c r="K53" s="25" cm="1">
        <f t="array" ref="K53">$AE$7*NMultDensity(A53:D53,$AE$9:$AE$12,$AA$49:$AD$52)+$AE$20*NMultDensity(A53:D53,$AE$22:$AE$25,$AA$49:$AD$52)+$AE$33*NMultDensity(A53:D53,$AE$35:$AE$38,$AA$49:$AD$52)</f>
        <v>0.36074175537564729</v>
      </c>
      <c r="L53" s="25" cm="1">
        <f t="array" ref="L53">$AE$7*NMultDensity(A53:D53,$AE$9:$AE$12,$AA$49:$AD$52)/K53</f>
        <v>1.2449258493233933E-18</v>
      </c>
      <c r="M53" s="25" cm="1">
        <f t="array" ref="M53">$AE$20*NMultDensity(A53:D53,$AE$22:$AE$25,$AA$49:$AD$52)/K53</f>
        <v>0.99851593025396612</v>
      </c>
      <c r="N53" s="43" cm="1">
        <f t="array" ref="N53">$AE$33*NMultDensity(A53:D53,$AE$35:$AE$38,$AA$49:$AD$52)/K53</f>
        <v>1.4840697460337809E-3</v>
      </c>
      <c r="O53" s="42" t="str">
        <f t="shared" si="6"/>
        <v>versicolor</v>
      </c>
      <c r="P53" s="25" cm="1">
        <f t="array" ref="P53">$AE$7*NMultDensity(C53:D53,$AE$11:$AE$12,$AC$51:$AD$52)+$AE$20*NMultDensity(C53:D53,$AE$24:$AE$25,$AC$51:$AD$52)+$AE$33*NMultDensity(C53:D53,$AE$37:$AE$38,$AC$51:$AD$52)</f>
        <v>0.4082440196006536</v>
      </c>
      <c r="Q53" s="25" cm="1">
        <f t="array" ref="Q53">$AE$7*NMultDensity(C53:D53,$AE$11:$AE$12,$AC$51:$AD$52)/P53</f>
        <v>5.5212038315252506E-11</v>
      </c>
      <c r="R53" s="25" cm="1">
        <f t="array" ref="R53">$AE$20*NMultDensity(C53:D53,$AE$24:$AE$25,$AC$51:$AD$52)/P53</f>
        <v>0.9180539384859322</v>
      </c>
      <c r="S53" s="43" cm="1">
        <f t="array" ref="S53">$AE$33*NMultDensity(C53:D53,$AE$37:$AE$38,$AC$51:$AD$52)/P53</f>
        <v>8.1946061458855857E-2</v>
      </c>
      <c r="T53" s="42" t="str">
        <f t="shared" si="8"/>
        <v>versicolor</v>
      </c>
      <c r="U53" s="25" cm="1">
        <f t="array" ref="U53">$AE$7*NMultDensity(C53:D53,$AE$11:$AE$12,$AC$51:$AD$52)*VLOOKUP($E53,$Z$62:$AD$65,2)+$AE$20*NMultDensity(C53:D53,$AE$24:$AE$25,$AC$51:$AD$52)*VLOOKUP($E53,$Z$62:$AD$65,3)+$AE$33*NMultDensity(C53:D53,$AE$37:$AE$38,$AC$51:$AD$52)*VLOOKUP($E53,$Z$62:$AD$65,4)</f>
        <v>8.7534599132548352E-2</v>
      </c>
      <c r="V53" s="25" cm="1">
        <f t="array" ref="V53">$AE$7*NMultDensity(C53:D53,$AE$11:$AE$12,$AC$51:$AD$52)/U53*VLOOKUP($E53,$Z$62:$AD$65,2)</f>
        <v>1.1329912123016111E-10</v>
      </c>
      <c r="W53" s="25" cm="1">
        <f t="array" ref="W53">$AE$20*NMultDensity(C53:D53,$AE$24:$AE$25,$AC$51:$AD$52)/U53*VLOOKUP($E53,$Z$62:$AD$65,3)</f>
        <v>0.77069188730999405</v>
      </c>
      <c r="X53" s="43" cm="1">
        <f t="array" ref="X53">$AE$33*NMultDensity(C53:D53,$AE$37:$AE$38,$AC$51:$AD$52)/U53*VLOOKUP($E53,$Z$62:$AD$65,4)</f>
        <v>0.22930811257670689</v>
      </c>
    </row>
    <row r="54" spans="1:30" x14ac:dyDescent="0.25">
      <c r="A54" s="71">
        <v>6.9</v>
      </c>
      <c r="B54" s="25">
        <v>3.1</v>
      </c>
      <c r="C54" s="25">
        <v>4.9000000000000004</v>
      </c>
      <c r="D54" s="68">
        <v>1.5</v>
      </c>
      <c r="E54" s="80" t="s">
        <v>38</v>
      </c>
      <c r="F54" s="81" t="s">
        <v>6</v>
      </c>
      <c r="G54" s="81">
        <f t="shared" ca="1" si="3"/>
        <v>4.9210062124052296</v>
      </c>
      <c r="H54" s="60">
        <f t="shared" ca="1" si="4"/>
        <v>1.4920667121139257</v>
      </c>
      <c r="I54" s="78" t="s">
        <v>6</v>
      </c>
      <c r="J54" s="39" t="str">
        <f t="shared" si="5"/>
        <v>versicolor</v>
      </c>
      <c r="K54" s="25" cm="1">
        <f t="array" ref="K54">$AE$7*NMultDensity(A54:D54,$AE$9:$AE$12,$AA$49:$AD$52)+$AE$20*NMultDensity(A54:D54,$AE$22:$AE$25,$AA$49:$AD$52)+$AE$33*NMultDensity(A54:D54,$AE$35:$AE$38,$AA$49:$AD$52)</f>
        <v>0.2222787650658174</v>
      </c>
      <c r="L54" s="25" cm="1">
        <f t="array" ref="L54">$AE$7*NMultDensity(A54:D54,$AE$9:$AE$12,$AA$49:$AD$52)/K54</f>
        <v>4.4050221001986151E-21</v>
      </c>
      <c r="M54" s="25" cm="1">
        <f t="array" ref="M54">$AE$20*NMultDensity(A54:D54,$AE$22:$AE$25,$AA$49:$AD$52)/K54</f>
        <v>0.9933989657246447</v>
      </c>
      <c r="N54" s="43" cm="1">
        <f t="array" ref="N54">$AE$33*NMultDensity(A54:D54,$AE$35:$AE$38,$AA$49:$AD$52)/K54</f>
        <v>6.6010342753553128E-3</v>
      </c>
      <c r="O54" s="42" t="str">
        <f t="shared" si="6"/>
        <v>versicolor</v>
      </c>
      <c r="P54" s="25" cm="1">
        <f t="array" ref="P54">$AE$7*NMultDensity(C54:D54,$AE$11:$AE$12,$AC$51:$AD$52)+$AE$20*NMultDensity(C54:D54,$AE$24:$AE$25,$AC$51:$AD$52)+$AE$33*NMultDensity(C54:D54,$AE$37:$AE$38,$AC$51:$AD$52)</f>
        <v>0.28414964696157408</v>
      </c>
      <c r="Q54" s="25" cm="1">
        <f t="array" ref="Q54">$AE$7*NMultDensity(C54:D54,$AE$11:$AE$12,$AC$51:$AD$52)/P54</f>
        <v>1.2571017762295937E-12</v>
      </c>
      <c r="R54" s="25" cm="1">
        <f t="array" ref="R54">$AE$20*NMultDensity(C54:D54,$AE$24:$AE$25,$AC$51:$AD$52)/P54</f>
        <v>0.75600619140445691</v>
      </c>
      <c r="S54" s="43" cm="1">
        <f t="array" ref="S54">$AE$33*NMultDensity(C54:D54,$AE$37:$AE$38,$AC$51:$AD$52)/P54</f>
        <v>0.24399380859428604</v>
      </c>
      <c r="T54" s="42" t="str">
        <f t="shared" si="8"/>
        <v>virginica</v>
      </c>
      <c r="U54" s="25" cm="1">
        <f t="array" ref="U54">$AE$7*NMultDensity(C54:D54,$AE$11:$AE$12,$AC$51:$AD$52)*VLOOKUP($E54,$Z$62:$AD$65,2)+$AE$20*NMultDensity(C54:D54,$AE$24:$AE$25,$AC$51:$AD$52)*VLOOKUP($E54,$Z$62:$AD$65,3)+$AE$33*NMultDensity(C54:D54,$AE$37:$AE$38,$AC$51:$AD$52)*VLOOKUP($E54,$Z$62:$AD$65,4)</f>
        <v>8.0265853373784224E-2</v>
      </c>
      <c r="V54" s="25" cm="1">
        <f t="array" ref="V54">$AE$7*NMultDensity(C54:D54,$AE$11:$AE$12,$AC$51:$AD$52)/U54*VLOOKUP($E54,$Z$62:$AD$65,2)</f>
        <v>1.9581204808060086E-12</v>
      </c>
      <c r="W54" s="25" cm="1">
        <f t="array" ref="W54">$AE$20*NMultDensity(C54:D54,$AE$24:$AE$25,$AC$51:$AD$52)/U54*VLOOKUP($E54,$Z$62:$AD$65,3)</f>
        <v>0.48174160000310345</v>
      </c>
      <c r="X54" s="43" cm="1">
        <f t="array" ref="X54">$AE$33*NMultDensity(C54:D54,$AE$37:$AE$38,$AC$51:$AD$52)/U54*VLOOKUP($E54,$Z$62:$AD$65,4)</f>
        <v>0.5182583999949385</v>
      </c>
      <c r="Z54" s="91" t="s">
        <v>45</v>
      </c>
      <c r="AA54" s="91" t="s">
        <v>44</v>
      </c>
      <c r="AB54" s="27"/>
      <c r="AC54" s="27"/>
      <c r="AD54" s="27"/>
    </row>
    <row r="55" spans="1:30" x14ac:dyDescent="0.25">
      <c r="A55" s="71">
        <v>5.5</v>
      </c>
      <c r="B55" s="25">
        <v>2.2999999999999998</v>
      </c>
      <c r="C55" s="25">
        <v>4</v>
      </c>
      <c r="D55" s="68">
        <v>1.3</v>
      </c>
      <c r="E55" s="80" t="s">
        <v>38</v>
      </c>
      <c r="F55" s="81" t="s">
        <v>6</v>
      </c>
      <c r="G55" s="81">
        <f t="shared" ca="1" si="3"/>
        <v>4.0140041933674979</v>
      </c>
      <c r="H55" s="60">
        <f t="shared" ca="1" si="4"/>
        <v>1.2799275274233546</v>
      </c>
      <c r="I55" s="78" t="s">
        <v>6</v>
      </c>
      <c r="J55" s="39" t="str">
        <f t="shared" si="5"/>
        <v>versicolor</v>
      </c>
      <c r="K55" s="25" cm="1">
        <f t="array" ref="K55">$AE$7*NMultDensity(A55:D55,$AE$9:$AE$12,$AA$49:$AD$52)+$AE$20*NMultDensity(A55:D55,$AE$22:$AE$25,$AA$49:$AD$52)+$AE$33*NMultDensity(A55:D55,$AE$35:$AE$38,$AA$49:$AD$52)</f>
        <v>0.24282833644213672</v>
      </c>
      <c r="L55" s="25" cm="1">
        <f t="array" ref="L55">$AE$7*NMultDensity(A55:D55,$AE$9:$AE$12,$AA$49:$AD$52)/K55</f>
        <v>6.6188476324533303E-24</v>
      </c>
      <c r="M55" s="25" cm="1">
        <f t="array" ref="M55">$AE$20*NMultDensity(A55:D55,$AE$22:$AE$25,$AA$49:$AD$52)/K55</f>
        <v>0.99511458322515411</v>
      </c>
      <c r="N55" s="43" cm="1">
        <f t="array" ref="N55">$AE$33*NMultDensity(A55:D55,$AE$35:$AE$38,$AA$49:$AD$52)/K55</f>
        <v>4.8854167748458343E-3</v>
      </c>
      <c r="O55" s="42" t="str">
        <f t="shared" si="6"/>
        <v>versicolor</v>
      </c>
      <c r="P55" s="25" cm="1">
        <f t="array" ref="P55">$AE$7*NMultDensity(C55:D55,$AE$11:$AE$12,$AC$51:$AD$52)+$AE$20*NMultDensity(C55:D55,$AE$24:$AE$25,$AC$51:$AD$52)+$AE$33*NMultDensity(C55:D55,$AE$37:$AE$38,$AC$51:$AD$52)</f>
        <v>0.43096330497365404</v>
      </c>
      <c r="Q55" s="25" cm="1">
        <f t="array" ref="Q55">$AE$7*NMultDensity(C55:D55,$AE$11:$AE$12,$AC$51:$AD$52)/P55</f>
        <v>4.506118667409731E-8</v>
      </c>
      <c r="R55" s="25" cm="1">
        <f t="array" ref="R55">$AE$20*NMultDensity(C55:D55,$AE$24:$AE$25,$AC$51:$AD$52)/P55</f>
        <v>0.99723787333147951</v>
      </c>
      <c r="S55" s="43" cm="1">
        <f t="array" ref="S55">$AE$33*NMultDensity(C55:D55,$AE$37:$AE$38,$AC$51:$AD$52)/P55</f>
        <v>2.7620816073338048E-3</v>
      </c>
      <c r="T55" s="42" t="str">
        <f t="shared" si="8"/>
        <v>versicolor</v>
      </c>
      <c r="U55" s="25" cm="1">
        <f t="array" ref="U55">$AE$7*NMultDensity(C55:D55,$AE$11:$AE$12,$AC$51:$AD$52)*VLOOKUP($E55,$Z$62:$AD$65,2)+$AE$20*NMultDensity(C55:D55,$AE$24:$AE$25,$AC$51:$AD$52)*VLOOKUP($E55,$Z$62:$AD$65,3)+$AE$33*NMultDensity(C55:D55,$AE$37:$AE$38,$AC$51:$AD$52)*VLOOKUP($E55,$Z$62:$AD$65,4)</f>
        <v>7.8073349387987864E-2</v>
      </c>
      <c r="V55" s="25" cm="1">
        <f t="array" ref="V55">$AE$7*NMultDensity(C55:D55,$AE$11:$AE$12,$AC$51:$AD$52)/U55*VLOOKUP($E55,$Z$62:$AD$65,2)</f>
        <v>1.0944420802267143E-7</v>
      </c>
      <c r="W55" s="25" cm="1">
        <f t="array" ref="W55">$AE$20*NMultDensity(C55:D55,$AE$24:$AE$25,$AC$51:$AD$52)/U55*VLOOKUP($E55,$Z$62:$AD$65,3)</f>
        <v>0.990851909888115</v>
      </c>
      <c r="X55" s="43" cm="1">
        <f t="array" ref="X55">$AE$33*NMultDensity(C55:D55,$AE$37:$AE$38,$AC$51:$AD$52)/U55*VLOOKUP($E55,$Z$62:$AD$65,4)</f>
        <v>9.1479806676770838E-3</v>
      </c>
      <c r="Z55" s="91" t="s">
        <v>42</v>
      </c>
      <c r="AA55" s="27" t="s">
        <v>5</v>
      </c>
      <c r="AB55" s="27" t="s">
        <v>6</v>
      </c>
      <c r="AC55" s="27" t="s">
        <v>7</v>
      </c>
      <c r="AD55" s="27" t="s">
        <v>43</v>
      </c>
    </row>
    <row r="56" spans="1:30" x14ac:dyDescent="0.25">
      <c r="A56" s="71">
        <v>6.5</v>
      </c>
      <c r="B56" s="25">
        <v>2.8</v>
      </c>
      <c r="C56" s="25">
        <v>4.5999999999999996</v>
      </c>
      <c r="D56" s="68">
        <v>1.5</v>
      </c>
      <c r="E56" s="80" t="s">
        <v>38</v>
      </c>
      <c r="F56" s="81" t="s">
        <v>6</v>
      </c>
      <c r="G56" s="81">
        <f t="shared" ca="1" si="3"/>
        <v>4.5865448575616981</v>
      </c>
      <c r="H56" s="60">
        <f t="shared" ca="1" si="4"/>
        <v>1.5082381392016124</v>
      </c>
      <c r="I56" s="78" t="s">
        <v>6</v>
      </c>
      <c r="J56" s="39" t="str">
        <f t="shared" si="5"/>
        <v>versicolor</v>
      </c>
      <c r="K56" s="25" cm="1">
        <f t="array" ref="K56">$AE$7*NMultDensity(A56:D56,$AE$9:$AE$12,$AA$49:$AD$52)+$AE$20*NMultDensity(A56:D56,$AE$22:$AE$25,$AA$49:$AD$52)+$AE$33*NMultDensity(A56:D56,$AE$35:$AE$38,$AA$49:$AD$52)</f>
        <v>0.3871669154472569</v>
      </c>
      <c r="L56" s="25" cm="1">
        <f t="array" ref="L56">$AE$7*NMultDensity(A56:D56,$AE$9:$AE$12,$AA$49:$AD$52)/K56</f>
        <v>1.1435397115126175E-22</v>
      </c>
      <c r="M56" s="25" cm="1">
        <f t="array" ref="M56">$AE$20*NMultDensity(A56:D56,$AE$22:$AE$25,$AA$49:$AD$52)/K56</f>
        <v>0.98854387175350955</v>
      </c>
      <c r="N56" s="43" cm="1">
        <f t="array" ref="N56">$AE$33*NMultDensity(A56:D56,$AE$35:$AE$38,$AA$49:$AD$52)/K56</f>
        <v>1.1456128246490465E-2</v>
      </c>
      <c r="O56" s="42" t="str">
        <f t="shared" si="6"/>
        <v>versicolor</v>
      </c>
      <c r="P56" s="25" cm="1">
        <f t="array" ref="P56">$AE$7*NMultDensity(C56:D56,$AE$11:$AE$12,$AC$51:$AD$52)+$AE$20*NMultDensity(C56:D56,$AE$24:$AE$25,$AC$51:$AD$52)+$AE$33*NMultDensity(C56:D56,$AE$37:$AE$38,$AC$51:$AD$52)</f>
        <v>0.39469448450974071</v>
      </c>
      <c r="Q56" s="25" cm="1">
        <f t="array" ref="Q56">$AE$7*NMultDensity(C56:D56,$AE$11:$AE$12,$AC$51:$AD$52)/P56</f>
        <v>2.1835969900977626E-11</v>
      </c>
      <c r="R56" s="25" cm="1">
        <f t="array" ref="R56">$AE$20*NMultDensity(C56:D56,$AE$24:$AE$25,$AC$51:$AD$52)/P56</f>
        <v>0.8904038477784163</v>
      </c>
      <c r="S56" s="43" cm="1">
        <f t="array" ref="S56">$AE$33*NMultDensity(C56:D56,$AE$37:$AE$38,$AC$51:$AD$52)/P56</f>
        <v>0.10959615219974768</v>
      </c>
      <c r="T56" s="42" t="str">
        <f t="shared" si="8"/>
        <v>versicolor</v>
      </c>
      <c r="U56" s="25" cm="1">
        <f t="array" ref="U56">$AE$7*NMultDensity(C56:D56,$AE$11:$AE$12,$AC$51:$AD$52)*VLOOKUP($E56,$Z$62:$AD$65,2)+$AE$20*NMultDensity(C56:D56,$AE$24:$AE$25,$AC$51:$AD$52)*VLOOKUP($E56,$Z$62:$AD$65,3)+$AE$33*NMultDensity(C56:D56,$AE$37:$AE$38,$AC$51:$AD$52)*VLOOKUP($E56,$Z$62:$AD$65,4)</f>
        <v>8.9212945868620955E-2</v>
      </c>
      <c r="V56" s="25" cm="1">
        <f t="array" ref="V56">$AE$7*NMultDensity(C56:D56,$AE$11:$AE$12,$AC$51:$AD$52)/U56*VLOOKUP($E56,$Z$62:$AD$65,2)</f>
        <v>4.2506793066474858E-11</v>
      </c>
      <c r="W56" s="25" cm="1">
        <f t="array" ref="W56">$AE$20*NMultDensity(C56:D56,$AE$24:$AE$25,$AC$51:$AD$52)/U56*VLOOKUP($E56,$Z$62:$AD$65,3)</f>
        <v>0.70907587649833026</v>
      </c>
      <c r="X56" s="43" cm="1">
        <f t="array" ref="X56">$AE$33*NMultDensity(C56:D56,$AE$37:$AE$38,$AC$51:$AD$52)/U56*VLOOKUP($E56,$Z$62:$AD$65,4)</f>
        <v>0.29092412345916285</v>
      </c>
      <c r="Z56" s="27" t="s">
        <v>38</v>
      </c>
      <c r="AA56" s="92">
        <v>22</v>
      </c>
      <c r="AB56" s="92">
        <v>9</v>
      </c>
      <c r="AC56" s="92">
        <v>30</v>
      </c>
      <c r="AD56" s="92">
        <v>61</v>
      </c>
    </row>
    <row r="57" spans="1:30" x14ac:dyDescent="0.25">
      <c r="A57" s="71">
        <v>5.7</v>
      </c>
      <c r="B57" s="25">
        <v>2.8</v>
      </c>
      <c r="C57" s="25">
        <v>4.5</v>
      </c>
      <c r="D57" s="68">
        <v>1.3</v>
      </c>
      <c r="E57" s="80" t="s">
        <v>38</v>
      </c>
      <c r="F57" s="81" t="s">
        <v>6</v>
      </c>
      <c r="G57" s="81">
        <f t="shared" ca="1" si="3"/>
        <v>4.4828707781577712</v>
      </c>
      <c r="H57" s="60">
        <f t="shared" ca="1" si="4"/>
        <v>1.3205032256110045</v>
      </c>
      <c r="I57" s="78" t="s">
        <v>6</v>
      </c>
      <c r="J57" s="39" t="str">
        <f t="shared" si="5"/>
        <v>versicolor</v>
      </c>
      <c r="K57" s="25" cm="1">
        <f t="array" ref="K57">$AE$7*NMultDensity(A57:D57,$AE$9:$AE$12,$AA$49:$AD$52)+$AE$20*NMultDensity(A57:D57,$AE$22:$AE$25,$AA$49:$AD$52)+$AE$33*NMultDensity(A57:D57,$AE$35:$AE$38,$AA$49:$AD$52)</f>
        <v>0.26276732044327294</v>
      </c>
      <c r="L57" s="25" cm="1">
        <f t="array" ref="L57">$AE$7*NMultDensity(A57:D57,$AE$9:$AE$12,$AA$49:$AD$52)/K57</f>
        <v>2.4489902342393587E-23</v>
      </c>
      <c r="M57" s="25" cm="1">
        <f t="array" ref="M57">$AE$20*NMultDensity(A57:D57,$AE$22:$AE$25,$AA$49:$AD$52)/K57</f>
        <v>0.98815617364955211</v>
      </c>
      <c r="N57" s="43" cm="1">
        <f t="array" ref="N57">$AE$33*NMultDensity(A57:D57,$AE$35:$AE$38,$AA$49:$AD$52)/K57</f>
        <v>1.1843826350447824E-2</v>
      </c>
      <c r="O57" s="42" t="str">
        <f t="shared" si="6"/>
        <v>versicolor</v>
      </c>
      <c r="P57" s="25" cm="1">
        <f t="array" ref="P57">$AE$7*NMultDensity(C57:D57,$AE$11:$AE$12,$AC$51:$AD$52)+$AE$20*NMultDensity(C57:D57,$AE$24:$AE$25,$AC$51:$AD$52)+$AE$33*NMultDensity(C57:D57,$AE$37:$AE$38,$AC$51:$AD$52)</f>
        <v>0.4206988066466481</v>
      </c>
      <c r="Q57" s="25" cm="1">
        <f t="array" ref="Q57">$AE$7*NMultDensity(C57:D57,$AE$11:$AE$12,$AC$51:$AD$52)/P57</f>
        <v>5.0251249116073197E-10</v>
      </c>
      <c r="R57" s="25" cm="1">
        <f t="array" ref="R57">$AE$20*NMultDensity(C57:D57,$AE$24:$AE$25,$AC$51:$AD$52)/P57</f>
        <v>0.98637855013730358</v>
      </c>
      <c r="S57" s="43" cm="1">
        <f t="array" ref="S57">$AE$33*NMultDensity(C57:D57,$AE$37:$AE$38,$AC$51:$AD$52)/P57</f>
        <v>1.3621449360183925E-2</v>
      </c>
      <c r="T57" s="42" t="str">
        <f t="shared" si="8"/>
        <v>versicolor</v>
      </c>
      <c r="U57" s="25" cm="1">
        <f t="array" ref="U57">$AE$7*NMultDensity(C57:D57,$AE$11:$AE$12,$AC$51:$AD$52)*VLOOKUP($E57,$Z$62:$AD$65,2)+$AE$20*NMultDensity(C57:D57,$AE$24:$AE$25,$AC$51:$AD$52)*VLOOKUP($E57,$Z$62:$AD$65,3)+$AE$33*NMultDensity(C57:D57,$AE$37:$AE$38,$AC$51:$AD$52)*VLOOKUP($E57,$Z$62:$AD$65,4)</f>
        <v>7.8132606797425702E-2</v>
      </c>
      <c r="V57" s="25" cm="1">
        <f t="array" ref="V57">$AE$7*NMultDensity(C57:D57,$AE$11:$AE$12,$AC$51:$AD$52)/U57*VLOOKUP($E57,$Z$62:$AD$65,2)</f>
        <v>1.1905249571150954E-9</v>
      </c>
      <c r="W57" s="25" cm="1">
        <f t="array" ref="W57">$AE$20*NMultDensity(C57:D57,$AE$24:$AE$25,$AC$51:$AD$52)/U57*VLOOKUP($E57,$Z$62:$AD$65,3)</f>
        <v>0.955993832430171</v>
      </c>
      <c r="X57" s="43" cm="1">
        <f t="array" ref="X57">$AE$33*NMultDensity(C57:D57,$AE$37:$AE$38,$AC$51:$AD$52)/U57*VLOOKUP($E57,$Z$62:$AD$65,4)</f>
        <v>4.4006166379304275E-2</v>
      </c>
      <c r="Z57" s="27" t="s">
        <v>39</v>
      </c>
      <c r="AA57" s="92">
        <v>9</v>
      </c>
      <c r="AB57" s="92">
        <v>19</v>
      </c>
      <c r="AC57" s="92">
        <v>19</v>
      </c>
      <c r="AD57" s="92">
        <v>47</v>
      </c>
    </row>
    <row r="58" spans="1:30" x14ac:dyDescent="0.25">
      <c r="A58" s="71">
        <v>6.3</v>
      </c>
      <c r="B58" s="25">
        <v>3.3</v>
      </c>
      <c r="C58" s="25">
        <v>4.7</v>
      </c>
      <c r="D58" s="68">
        <v>1.6</v>
      </c>
      <c r="E58" s="80" t="s">
        <v>38</v>
      </c>
      <c r="F58" s="81" t="s">
        <v>6</v>
      </c>
      <c r="G58" s="81">
        <f t="shared" ca="1" si="3"/>
        <v>4.6845943019281986</v>
      </c>
      <c r="H58" s="60">
        <f t="shared" ca="1" si="4"/>
        <v>1.583717333265148</v>
      </c>
      <c r="I58" s="78" t="s">
        <v>6</v>
      </c>
      <c r="J58" s="39" t="str">
        <f t="shared" si="5"/>
        <v>versicolor</v>
      </c>
      <c r="K58" s="25" cm="1">
        <f t="array" ref="K58">$AE$7*NMultDensity(A58:D58,$AE$9:$AE$12,$AA$49:$AD$52)+$AE$20*NMultDensity(A58:D58,$AE$22:$AE$25,$AA$49:$AD$52)+$AE$33*NMultDensity(A58:D58,$AE$35:$AE$38,$AA$49:$AD$52)</f>
        <v>0.21236957011864438</v>
      </c>
      <c r="L58" s="25" cm="1">
        <f t="array" ref="L58">$AE$7*NMultDensity(A58:D58,$AE$9:$AE$12,$AA$49:$AD$52)/K58</f>
        <v>4.6752888697066439E-21</v>
      </c>
      <c r="M58" s="25" cm="1">
        <f t="array" ref="M58">$AE$20*NMultDensity(A58:D58,$AE$22:$AE$25,$AA$49:$AD$52)/K58</f>
        <v>0.97949059645652359</v>
      </c>
      <c r="N58" s="43" cm="1">
        <f t="array" ref="N58">$AE$33*NMultDensity(A58:D58,$AE$35:$AE$38,$AA$49:$AD$52)/K58</f>
        <v>2.0509403543476336E-2</v>
      </c>
      <c r="O58" s="42" t="str">
        <f t="shared" si="6"/>
        <v>versicolor</v>
      </c>
      <c r="P58" s="25" cm="1">
        <f t="array" ref="P58">$AE$7*NMultDensity(C58:D58,$AE$11:$AE$12,$AC$51:$AD$52)+$AE$20*NMultDensity(C58:D58,$AE$24:$AE$25,$AC$51:$AD$52)+$AE$33*NMultDensity(C58:D58,$AE$37:$AE$38,$AC$51:$AD$52)</f>
        <v>0.33704754831680062</v>
      </c>
      <c r="Q58" s="25" cm="1">
        <f t="array" ref="Q58">$AE$7*NMultDensity(C58:D58,$AE$11:$AE$12,$AC$51:$AD$52)/P58</f>
        <v>2.400160814433383E-12</v>
      </c>
      <c r="R58" s="25" cm="1">
        <f t="array" ref="R58">$AE$20*NMultDensity(C58:D58,$AE$24:$AE$25,$AC$51:$AD$52)/P58</f>
        <v>0.69856019562551408</v>
      </c>
      <c r="S58" s="43" cm="1">
        <f t="array" ref="S58">$AE$33*NMultDensity(C58:D58,$AE$37:$AE$38,$AC$51:$AD$52)/P58</f>
        <v>0.30143980437208567</v>
      </c>
      <c r="T58" s="42" t="str">
        <f t="shared" si="8"/>
        <v>virginica</v>
      </c>
      <c r="U58" s="25" cm="1">
        <f t="array" ref="U58">$AE$7*NMultDensity(C58:D58,$AE$11:$AE$12,$AC$51:$AD$52)*VLOOKUP($E58,$Z$62:$AD$65,2)+$AE$20*NMultDensity(C58:D58,$AE$24:$AE$25,$AC$51:$AD$52)*VLOOKUP($E58,$Z$62:$AD$65,3)+$AE$33*NMultDensity(C58:D58,$AE$37:$AE$38,$AC$51:$AD$52)*VLOOKUP($E58,$Z$62:$AD$65,4)</f>
        <v>0.10334036844929156</v>
      </c>
      <c r="V58" s="25" cm="1">
        <f t="array" ref="V58">$AE$7*NMultDensity(C58:D58,$AE$11:$AE$12,$AC$51:$AD$52)/U58*VLOOKUP($E58,$Z$62:$AD$65,2)</f>
        <v>3.444404788684534E-12</v>
      </c>
      <c r="W58" s="25" cm="1">
        <f t="array" ref="W58">$AE$20*NMultDensity(C58:D58,$AE$24:$AE$25,$AC$51:$AD$52)/U58*VLOOKUP($E58,$Z$62:$AD$65,3)</f>
        <v>0.41010730721854399</v>
      </c>
      <c r="X58" s="43" cm="1">
        <f t="array" ref="X58">$AE$33*NMultDensity(C58:D58,$AE$37:$AE$38,$AC$51:$AD$52)/U58*VLOOKUP($E58,$Z$62:$AD$65,4)</f>
        <v>0.58989269277801171</v>
      </c>
      <c r="Z58" s="27" t="s">
        <v>40</v>
      </c>
      <c r="AA58" s="92">
        <v>9</v>
      </c>
      <c r="AB58" s="92">
        <v>9</v>
      </c>
      <c r="AC58" s="92"/>
      <c r="AD58" s="92">
        <v>18</v>
      </c>
    </row>
    <row r="59" spans="1:30" x14ac:dyDescent="0.25">
      <c r="A59" s="71">
        <v>4.9000000000000004</v>
      </c>
      <c r="B59" s="25">
        <v>2.4</v>
      </c>
      <c r="C59" s="25">
        <v>3.3</v>
      </c>
      <c r="D59" s="68">
        <v>1</v>
      </c>
      <c r="E59" s="80" t="s">
        <v>38</v>
      </c>
      <c r="F59" s="81" t="s">
        <v>6</v>
      </c>
      <c r="G59" s="81">
        <f t="shared" ca="1" si="3"/>
        <v>3.2932854273438212</v>
      </c>
      <c r="H59" s="60">
        <f t="shared" ca="1" si="4"/>
        <v>0.97997485828487407</v>
      </c>
      <c r="I59" s="78" t="s">
        <v>6</v>
      </c>
      <c r="J59" s="39" t="str">
        <f t="shared" si="5"/>
        <v>versicolor</v>
      </c>
      <c r="K59" s="25" cm="1">
        <f t="array" ref="K59">$AE$7*NMultDensity(A59:D59,$AE$9:$AE$12,$AA$49:$AD$52)+$AE$20*NMultDensity(A59:D59,$AE$22:$AE$25,$AA$49:$AD$52)+$AE$33*NMultDensity(A59:D59,$AE$35:$AE$38,$AA$49:$AD$52)</f>
        <v>0.11527117244195806</v>
      </c>
      <c r="L59" s="25" cm="1">
        <f t="array" ref="L59">$AE$7*NMultDensity(A59:D59,$AE$9:$AE$12,$AA$49:$AD$52)/K59</f>
        <v>3.6407220542418788E-16</v>
      </c>
      <c r="M59" s="25" cm="1">
        <f t="array" ref="M59">$AE$20*NMultDensity(A59:D59,$AE$22:$AE$25,$AA$49:$AD$52)/K59</f>
        <v>0.99999490435981742</v>
      </c>
      <c r="N59" s="43" cm="1">
        <f t="array" ref="N59">$AE$33*NMultDensity(A59:D59,$AE$35:$AE$38,$AA$49:$AD$52)/K59</f>
        <v>5.0956401822868835E-6</v>
      </c>
      <c r="O59" s="42" t="str">
        <f t="shared" si="6"/>
        <v>versicolor</v>
      </c>
      <c r="P59" s="25" cm="1">
        <f t="array" ref="P59">$AE$7*NMultDensity(C59:D59,$AE$11:$AE$12,$AC$51:$AD$52)+$AE$20*NMultDensity(C59:D59,$AE$24:$AE$25,$AC$51:$AD$52)+$AE$33*NMultDensity(C59:D59,$AE$37:$AE$38,$AC$51:$AD$52)</f>
        <v>6.6273902072141025E-2</v>
      </c>
      <c r="Q59" s="25" cm="1">
        <f t="array" ref="Q59">$AE$7*NMultDensity(C59:D59,$AE$11:$AE$12,$AC$51:$AD$52)/P59</f>
        <v>5.9388929315223177E-4</v>
      </c>
      <c r="R59" s="25" cm="1">
        <f t="array" ref="R59">$AE$20*NMultDensity(C59:D59,$AE$24:$AE$25,$AC$51:$AD$52)/P59</f>
        <v>0.99938834375193408</v>
      </c>
      <c r="S59" s="43" cm="1">
        <f t="array" ref="S59">$AE$33*NMultDensity(C59:D59,$AE$37:$AE$38,$AC$51:$AD$52)/P59</f>
        <v>1.7766954913471961E-5</v>
      </c>
      <c r="T59" s="42" t="str">
        <f t="shared" si="8"/>
        <v>versicolor</v>
      </c>
      <c r="U59" s="25" cm="1">
        <f t="array" ref="U59">$AE$7*NMultDensity(C59:D59,$AE$11:$AE$12,$AC$51:$AD$52)*VLOOKUP($E59,$Z$62:$AD$65,2)+$AE$20*NMultDensity(C59:D59,$AE$24:$AE$25,$AC$51:$AD$52)*VLOOKUP($E59,$Z$62:$AD$65,3)+$AE$33*NMultDensity(C59:D59,$AE$37:$AE$38,$AC$51:$AD$52)*VLOOKUP($E59,$Z$62:$AD$65,4)</f>
        <v>1.1940030350688581E-2</v>
      </c>
      <c r="V59" s="25" cm="1">
        <f t="array" ref="V59">$AE$7*NMultDensity(C59:D59,$AE$11:$AE$12,$AC$51:$AD$52)/U59*VLOOKUP($E59,$Z$62:$AD$65,2)</f>
        <v>1.4504250213794015E-3</v>
      </c>
      <c r="W59" s="25" cm="1">
        <f t="array" ref="W59">$AE$20*NMultDensity(C59:D59,$AE$24:$AE$25,$AC$51:$AD$52)/U59*VLOOKUP($E59,$Z$62:$AD$65,3)</f>
        <v>0.99849040500691344</v>
      </c>
      <c r="X59" s="43" cm="1">
        <f t="array" ref="X59">$AE$33*NMultDensity(C59:D59,$AE$37:$AE$38,$AC$51:$AD$52)/U59*VLOOKUP($E59,$Z$62:$AD$65,4)</f>
        <v>5.9169971707199881E-5</v>
      </c>
      <c r="Z59" s="27" t="s">
        <v>41</v>
      </c>
      <c r="AA59" s="92">
        <v>10</v>
      </c>
      <c r="AB59" s="92">
        <v>13</v>
      </c>
      <c r="AC59" s="92">
        <v>1</v>
      </c>
      <c r="AD59" s="92">
        <v>24</v>
      </c>
    </row>
    <row r="60" spans="1:30" x14ac:dyDescent="0.25">
      <c r="A60" s="71">
        <v>6.6</v>
      </c>
      <c r="B60" s="25">
        <v>2.9</v>
      </c>
      <c r="C60" s="25">
        <v>4.5999999999999996</v>
      </c>
      <c r="D60" s="68">
        <v>1.3</v>
      </c>
      <c r="E60" s="80" t="s">
        <v>38</v>
      </c>
      <c r="F60" s="81" t="s">
        <v>6</v>
      </c>
      <c r="G60" s="81">
        <f t="shared" ca="1" si="3"/>
        <v>4.6050494986796009</v>
      </c>
      <c r="H60" s="60">
        <f t="shared" ca="1" si="4"/>
        <v>1.3201098559892377</v>
      </c>
      <c r="I60" s="78" t="s">
        <v>6</v>
      </c>
      <c r="J60" s="39" t="str">
        <f t="shared" si="5"/>
        <v>versicolor</v>
      </c>
      <c r="K60" s="25" cm="1">
        <f t="array" ref="K60">$AE$7*NMultDensity(A60:D60,$AE$9:$AE$12,$AA$49:$AD$52)+$AE$20*NMultDensity(A60:D60,$AE$22:$AE$25,$AA$49:$AD$52)+$AE$33*NMultDensity(A60:D60,$AE$35:$AE$38,$AA$49:$AD$52)</f>
        <v>0.39828700926172911</v>
      </c>
      <c r="L60" s="25" cm="1">
        <f t="array" ref="L60">$AE$7*NMultDensity(A60:D60,$AE$9:$AE$12,$AA$49:$AD$52)/K60</f>
        <v>2.0858233268179365E-19</v>
      </c>
      <c r="M60" s="25" cm="1">
        <f t="array" ref="M60">$AE$20*NMultDensity(A60:D60,$AE$22:$AE$25,$AA$49:$AD$52)/K60</f>
        <v>0.99949915836435488</v>
      </c>
      <c r="N60" s="43" cm="1">
        <f t="array" ref="N60">$AE$33*NMultDensity(A60:D60,$AE$35:$AE$38,$AA$49:$AD$52)/K60</f>
        <v>5.0084163564518137E-4</v>
      </c>
      <c r="O60" s="42" t="str">
        <f t="shared" si="6"/>
        <v>versicolor</v>
      </c>
      <c r="P60" s="25" cm="1">
        <f t="array" ref="P60">$AE$7*NMultDensity(C60:D60,$AE$11:$AE$12,$AC$51:$AD$52)+$AE$20*NMultDensity(C60:D60,$AE$24:$AE$25,$AC$51:$AD$52)+$AE$33*NMultDensity(C60:D60,$AE$37:$AE$38,$AC$51:$AD$52)</f>
        <v>0.36156347504639735</v>
      </c>
      <c r="Q60" s="25" cm="1">
        <f t="array" ref="Q60">$AE$7*NMultDensity(C60:D60,$AE$11:$AE$12,$AC$51:$AD$52)/P60</f>
        <v>2.0385940121662624E-10</v>
      </c>
      <c r="R60" s="25" cm="1">
        <f t="array" ref="R60">$AE$20*NMultDensity(C60:D60,$AE$24:$AE$25,$AC$51:$AD$52)/P60</f>
        <v>0.98131316620324149</v>
      </c>
      <c r="S60" s="43" cm="1">
        <f t="array" ref="S60">$AE$33*NMultDensity(C60:D60,$AE$37:$AE$38,$AC$51:$AD$52)/P60</f>
        <v>1.8686833592899244E-2</v>
      </c>
      <c r="T60" s="42" t="str">
        <f t="shared" si="8"/>
        <v>versicolor</v>
      </c>
      <c r="U60" s="25" cm="1">
        <f t="array" ref="U60">$AE$7*NMultDensity(C60:D60,$AE$11:$AE$12,$AC$51:$AD$52)*VLOOKUP($E60,$Z$62:$AD$65,2)+$AE$20*NMultDensity(C60:D60,$AE$24:$AE$25,$AC$51:$AD$52)*VLOOKUP($E60,$Z$62:$AD$65,3)+$AE$33*NMultDensity(C60:D60,$AE$37:$AE$38,$AC$51:$AD$52)*VLOOKUP($E60,$Z$62:$AD$65,4)</f>
        <v>6.7919145653929855E-2</v>
      </c>
      <c r="V60" s="25" cm="1">
        <f t="array" ref="V60">$AE$7*NMultDensity(C60:D60,$AE$11:$AE$12,$AC$51:$AD$52)/U60*VLOOKUP($E60,$Z$62:$AD$65,2)</f>
        <v>4.7750261930773259E-10</v>
      </c>
      <c r="W60" s="25" cm="1">
        <f t="array" ref="W60">$AE$20*NMultDensity(C60:D60,$AE$24:$AE$25,$AC$51:$AD$52)/U60*VLOOKUP($E60,$Z$62:$AD$65,3)</f>
        <v>0.94031306065060238</v>
      </c>
      <c r="X60" s="43" cm="1">
        <f t="array" ref="X60">$AE$33*NMultDensity(C60:D60,$AE$37:$AE$38,$AC$51:$AD$52)/U60*VLOOKUP($E60,$Z$62:$AD$65,4)</f>
        <v>5.9686938871894989E-2</v>
      </c>
      <c r="Z60" s="27" t="s">
        <v>43</v>
      </c>
      <c r="AA60" s="92">
        <v>50</v>
      </c>
      <c r="AB60" s="92">
        <v>50</v>
      </c>
      <c r="AC60" s="92">
        <v>50</v>
      </c>
      <c r="AD60" s="92">
        <v>150</v>
      </c>
    </row>
    <row r="61" spans="1:30" ht="15.75" thickBot="1" x14ac:dyDescent="0.3">
      <c r="A61" s="71">
        <v>5.2</v>
      </c>
      <c r="B61" s="25">
        <v>2.7</v>
      </c>
      <c r="C61" s="25">
        <v>3.9</v>
      </c>
      <c r="D61" s="68">
        <v>1.4</v>
      </c>
      <c r="E61" s="80" t="s">
        <v>39</v>
      </c>
      <c r="F61" s="81" t="s">
        <v>6</v>
      </c>
      <c r="G61" s="81">
        <f t="shared" ca="1" si="3"/>
        <v>3.9117469826687987</v>
      </c>
      <c r="H61" s="60">
        <f t="shared" ca="1" si="4"/>
        <v>1.4016108609709319</v>
      </c>
      <c r="I61" s="78" t="s">
        <v>6</v>
      </c>
      <c r="J61" s="39" t="str">
        <f t="shared" si="5"/>
        <v>versicolor</v>
      </c>
      <c r="K61" s="25" cm="1">
        <f t="array" ref="K61">$AE$7*NMultDensity(A61:D61,$AE$9:$AE$12,$AA$49:$AD$52)+$AE$20*NMultDensity(A61:D61,$AE$22:$AE$25,$AA$49:$AD$52)+$AE$33*NMultDensity(A61:D61,$AE$35:$AE$38,$AA$49:$AD$52)</f>
        <v>0.28166727281158543</v>
      </c>
      <c r="L61" s="25" cm="1">
        <f t="array" ref="L61">$AE$7*NMultDensity(A61:D61,$AE$9:$AE$12,$AA$49:$AD$52)/K61</f>
        <v>1.0045208731079753E-21</v>
      </c>
      <c r="M61" s="25" cm="1">
        <f t="array" ref="M61">$AE$20*NMultDensity(A61:D61,$AE$22:$AE$25,$AA$49:$AD$52)/K61</f>
        <v>0.99561831824235503</v>
      </c>
      <c r="N61" s="43" cm="1">
        <f t="array" ref="N61">$AE$33*NMultDensity(A61:D61,$AE$35:$AE$38,$AA$49:$AD$52)/K61</f>
        <v>4.3816817576449825E-3</v>
      </c>
      <c r="O61" s="42" t="str">
        <f t="shared" si="6"/>
        <v>versicolor</v>
      </c>
      <c r="P61" s="25" cm="1">
        <f t="array" ref="P61">$AE$7*NMultDensity(C61:D61,$AE$11:$AE$12,$AC$51:$AD$52)+$AE$20*NMultDensity(C61:D61,$AE$24:$AE$25,$AC$51:$AD$52)+$AE$33*NMultDensity(C61:D61,$AE$37:$AE$38,$AC$51:$AD$52)</f>
        <v>0.30102143207920035</v>
      </c>
      <c r="Q61" s="25" cm="1">
        <f t="array" ref="Q61">$AE$7*NMultDensity(C61:D61,$AE$11:$AE$12,$AC$51:$AD$52)/P61</f>
        <v>3.787939426827351E-8</v>
      </c>
      <c r="R61" s="25" cm="1">
        <f t="array" ref="R61">$AE$20*NMultDensity(C61:D61,$AE$24:$AE$25,$AC$51:$AD$52)/P61</f>
        <v>0.99491933509070107</v>
      </c>
      <c r="S61" s="43" cm="1">
        <f t="array" ref="S61">$AE$33*NMultDensity(C61:D61,$AE$37:$AE$38,$AC$51:$AD$52)/P61</f>
        <v>5.0806270299046351E-3</v>
      </c>
      <c r="T61" s="42" t="str">
        <f t="shared" si="8"/>
        <v>versicolor</v>
      </c>
      <c r="U61" s="25" cm="1">
        <f t="array" ref="U61">$AE$7*NMultDensity(C61:D61,$AE$11:$AE$12,$AC$51:$AD$52)*VLOOKUP($E61,$Z$62:$AD$65,2)+$AE$20*NMultDensity(C61:D61,$AE$24:$AE$25,$AC$51:$AD$52)*VLOOKUP($E61,$Z$62:$AD$65,3)+$AE$33*NMultDensity(C61:D61,$AE$37:$AE$38,$AC$51:$AD$52)*VLOOKUP($E61,$Z$62:$AD$65,4)</f>
        <v>0.11438814190959423</v>
      </c>
      <c r="V61" s="25" cm="1">
        <f t="array" ref="V61">$AE$7*NMultDensity(C61:D61,$AE$11:$AE$12,$AC$51:$AD$52)/U61*VLOOKUP($E61,$Z$62:$AD$65,2)</f>
        <v>1.7942871326900659E-8</v>
      </c>
      <c r="W61" s="25" cm="1">
        <f t="array" ref="W61">$AE$20*NMultDensity(C61:D61,$AE$24:$AE$25,$AC$51:$AD$52)/U61*VLOOKUP($E61,$Z$62:$AD$65,3)</f>
        <v>0.99491935492593397</v>
      </c>
      <c r="X61" s="43" cm="1">
        <f t="array" ref="X61">$AE$33*NMultDensity(C61:D61,$AE$37:$AE$38,$AC$51:$AD$52)/U61*VLOOKUP($E61,$Z$62:$AD$65,4)</f>
        <v>5.0806271311946757E-3</v>
      </c>
    </row>
    <row r="62" spans="1:30" x14ac:dyDescent="0.25">
      <c r="A62" s="71">
        <v>5</v>
      </c>
      <c r="B62" s="25">
        <v>2</v>
      </c>
      <c r="C62" s="25">
        <v>3.5</v>
      </c>
      <c r="D62" s="68">
        <v>1</v>
      </c>
      <c r="E62" s="80" t="s">
        <v>39</v>
      </c>
      <c r="F62" s="81" t="s">
        <v>6</v>
      </c>
      <c r="G62" s="81">
        <f t="shared" ca="1" si="3"/>
        <v>3.4777553440686089</v>
      </c>
      <c r="H62" s="60">
        <f t="shared" ca="1" si="4"/>
        <v>1.012061367886999</v>
      </c>
      <c r="I62" s="78" t="s">
        <v>6</v>
      </c>
      <c r="J62" s="39" t="str">
        <f t="shared" si="5"/>
        <v>versicolor</v>
      </c>
      <c r="K62" s="25" cm="1">
        <f t="array" ref="K62">$AE$7*NMultDensity(A62:D62,$AE$9:$AE$12,$AA$49:$AD$52)+$AE$20*NMultDensity(A62:D62,$AE$22:$AE$25,$AA$49:$AD$52)+$AE$33*NMultDensity(A62:D62,$AE$35:$AE$38,$AA$49:$AD$52)</f>
        <v>4.8425084736642234E-2</v>
      </c>
      <c r="L62" s="25" cm="1">
        <f t="array" ref="L62">$AE$7*NMultDensity(A62:D62,$AE$9:$AE$12,$AA$49:$AD$52)/K62</f>
        <v>3.8289166852863376E-21</v>
      </c>
      <c r="M62" s="25" cm="1">
        <f t="array" ref="M62">$AE$20*NMultDensity(A62:D62,$AE$22:$AE$25,$AA$49:$AD$52)/K62</f>
        <v>0.99991536084896016</v>
      </c>
      <c r="N62" s="43" cm="1">
        <f t="array" ref="N62">$AE$33*NMultDensity(A62:D62,$AE$35:$AE$38,$AA$49:$AD$52)/K62</f>
        <v>8.4639151039828377E-5</v>
      </c>
      <c r="O62" s="42" t="str">
        <f t="shared" si="6"/>
        <v>versicolor</v>
      </c>
      <c r="P62" s="25" cm="1">
        <f t="array" ref="P62">$AE$7*NMultDensity(C62:D62,$AE$11:$AE$12,$AC$51:$AD$52)+$AE$20*NMultDensity(C62:D62,$AE$24:$AE$25,$AC$51:$AD$52)+$AE$33*NMultDensity(C62:D62,$AE$37:$AE$38,$AC$51:$AD$52)</f>
        <v>0.11561241187687193</v>
      </c>
      <c r="Q62" s="25" cm="1">
        <f t="array" ref="Q62">$AE$7*NMultDensity(C62:D62,$AE$11:$AE$12,$AC$51:$AD$52)/P62</f>
        <v>9.8799188525331333E-5</v>
      </c>
      <c r="R62" s="25" cm="1">
        <f t="array" ref="R62">$AE$20*NMultDensity(C62:D62,$AE$24:$AE$25,$AC$51:$AD$52)/P62</f>
        <v>0.99986740071709423</v>
      </c>
      <c r="S62" s="43" cm="1">
        <f t="array" ref="S62">$AE$33*NMultDensity(C62:D62,$AE$37:$AE$38,$AC$51:$AD$52)/P62</f>
        <v>3.3800094380412714E-5</v>
      </c>
      <c r="T62" s="42" t="str">
        <f t="shared" si="8"/>
        <v>versicolor</v>
      </c>
      <c r="U62" s="25" cm="1">
        <f t="array" ref="U62">$AE$7*NMultDensity(C62:D62,$AE$11:$AE$12,$AC$51:$AD$52)*VLOOKUP($E62,$Z$62:$AD$65,2)+$AE$20*NMultDensity(C62:D62,$AE$24:$AE$25,$AC$51:$AD$52)*VLOOKUP($E62,$Z$62:$AD$65,3)+$AE$33*NMultDensity(C62:D62,$AE$37:$AE$38,$AC$51:$AD$52)*VLOOKUP($E62,$Z$62:$AD$65,4)</f>
        <v>4.3930432030715956E-2</v>
      </c>
      <c r="V62" s="25" cm="1">
        <f t="array" ref="V62">$AE$7*NMultDensity(C62:D62,$AE$11:$AE$12,$AC$51:$AD$52)/U62*VLOOKUP($E62,$Z$62:$AD$65,2)</f>
        <v>4.6802049303837228E-5</v>
      </c>
      <c r="W62" s="25" cm="1">
        <f t="array" ref="W62">$AE$20*NMultDensity(C62:D62,$AE$24:$AE$25,$AC$51:$AD$52)/U62*VLOOKUP($E62,$Z$62:$AD$65,3)</f>
        <v>0.99991939609863378</v>
      </c>
      <c r="X62" s="43" cm="1">
        <f t="array" ref="X62">$AE$33*NMultDensity(C62:D62,$AE$37:$AE$38,$AC$51:$AD$52)/U62*VLOOKUP($E62,$Z$62:$AD$65,4)</f>
        <v>3.3801852062283452E-5</v>
      </c>
      <c r="Z62" s="94" t="str">
        <f>Z56</f>
        <v>blue</v>
      </c>
      <c r="AA62" s="89">
        <f>AA56/$AA$60</f>
        <v>0.44</v>
      </c>
      <c r="AB62" s="90">
        <f>AB56/$AB$60</f>
        <v>0.18</v>
      </c>
      <c r="AC62" s="90">
        <f>AC56/$AC$60</f>
        <v>0.6</v>
      </c>
      <c r="AD62" s="90">
        <f>AA62*$AE$7+AB62*$AE$20+AC62*$AE$33</f>
        <v>0.44400000000000006</v>
      </c>
    </row>
    <row r="63" spans="1:30" x14ac:dyDescent="0.25">
      <c r="A63" s="71">
        <v>5.9</v>
      </c>
      <c r="B63" s="25">
        <v>3</v>
      </c>
      <c r="C63" s="25">
        <v>4.2</v>
      </c>
      <c r="D63" s="68">
        <v>1.5</v>
      </c>
      <c r="E63" s="80" t="s">
        <v>39</v>
      </c>
      <c r="F63" s="81" t="s">
        <v>6</v>
      </c>
      <c r="G63" s="81">
        <f t="shared" ca="1" si="3"/>
        <v>4.2047327908606826</v>
      </c>
      <c r="H63" s="60">
        <f t="shared" ca="1" si="4"/>
        <v>1.4769602500180217</v>
      </c>
      <c r="I63" s="78" t="s">
        <v>6</v>
      </c>
      <c r="J63" s="39" t="str">
        <f t="shared" si="5"/>
        <v>versicolor</v>
      </c>
      <c r="K63" s="25" cm="1">
        <f t="array" ref="K63">$AE$7*NMultDensity(A63:D63,$AE$9:$AE$12,$AA$49:$AD$52)+$AE$20*NMultDensity(A63:D63,$AE$22:$AE$25,$AA$49:$AD$52)+$AE$33*NMultDensity(A63:D63,$AE$35:$AE$38,$AA$49:$AD$52)</f>
        <v>0.56130100259411841</v>
      </c>
      <c r="L63" s="25" cm="1">
        <f t="array" ref="L63">$AE$7*NMultDensity(A63:D63,$AE$9:$AE$12,$AA$49:$AD$52)/K63</f>
        <v>8.9231014743386924E-20</v>
      </c>
      <c r="M63" s="25" cm="1">
        <f t="array" ref="M63">$AE$20*NMultDensity(A63:D63,$AE$22:$AE$25,$AA$49:$AD$52)/K63</f>
        <v>0.99749564872591567</v>
      </c>
      <c r="N63" s="43" cm="1">
        <f t="array" ref="N63">$AE$33*NMultDensity(A63:D63,$AE$35:$AE$38,$AA$49:$AD$52)/K63</f>
        <v>2.5043512740844033E-3</v>
      </c>
      <c r="O63" s="42" t="str">
        <f t="shared" si="6"/>
        <v>versicolor</v>
      </c>
      <c r="P63" s="25" cm="1">
        <f t="array" ref="P63">$AE$7*NMultDensity(C63:D63,$AE$11:$AE$12,$AC$51:$AD$52)+$AE$20*NMultDensity(C63:D63,$AE$24:$AE$25,$AC$51:$AD$52)+$AE$33*NMultDensity(C63:D63,$AE$37:$AE$38,$AC$51:$AD$52)</f>
        <v>0.34848994166572322</v>
      </c>
      <c r="Q63" s="25" cm="1">
        <f t="array" ref="Q63">$AE$7*NMultDensity(C63:D63,$AE$11:$AE$12,$AC$51:$AD$52)/P63</f>
        <v>8.5776394260175353E-10</v>
      </c>
      <c r="R63" s="25" cm="1">
        <f t="array" ref="R63">$AE$20*NMultDensity(C63:D63,$AE$24:$AE$25,$AC$51:$AD$52)/P63</f>
        <v>0.96707873190428706</v>
      </c>
      <c r="S63" s="43" cm="1">
        <f t="array" ref="S63">$AE$33*NMultDensity(C63:D63,$AE$37:$AE$38,$AC$51:$AD$52)/P63</f>
        <v>3.2921267237949046E-2</v>
      </c>
      <c r="T63" s="42" t="str">
        <f t="shared" si="8"/>
        <v>versicolor</v>
      </c>
      <c r="U63" s="25" cm="1">
        <f t="array" ref="U63">$AE$7*NMultDensity(C63:D63,$AE$11:$AE$12,$AC$51:$AD$52)*VLOOKUP($E63,$Z$62:$AD$65,2)+$AE$20*NMultDensity(C63:D63,$AE$24:$AE$25,$AC$51:$AD$52)*VLOOKUP($E63,$Z$62:$AD$65,3)+$AE$33*NMultDensity(C63:D63,$AE$37:$AE$38,$AC$51:$AD$52)*VLOOKUP($E63,$Z$62:$AD$65,4)</f>
        <v>0.13242617777319043</v>
      </c>
      <c r="V63" s="25" cm="1">
        <f t="array" ref="V63">$AE$7*NMultDensity(C63:D63,$AE$11:$AE$12,$AC$51:$AD$52)/U63*VLOOKUP($E63,$Z$62:$AD$65,2)</f>
        <v>4.0630923615268184E-10</v>
      </c>
      <c r="W63" s="25" cm="1">
        <f t="array" ref="W63">$AE$20*NMultDensity(C63:D63,$AE$24:$AE$25,$AC$51:$AD$52)/U63*VLOOKUP($E63,$Z$62:$AD$65,3)</f>
        <v>0.96707873234087904</v>
      </c>
      <c r="X63" s="43" cm="1">
        <f t="array" ref="X63">$AE$33*NMultDensity(C63:D63,$AE$37:$AE$38,$AC$51:$AD$52)/U63*VLOOKUP($E63,$Z$62:$AD$65,4)</f>
        <v>3.2921267252811505E-2</v>
      </c>
      <c r="Z63" s="93" t="str">
        <f t="shared" ref="Z63:Z65" si="9">Z57</f>
        <v>violet</v>
      </c>
      <c r="AA63" s="89">
        <f>AA57/$AA$60</f>
        <v>0.18</v>
      </c>
      <c r="AB63" s="90">
        <f>AB57/$AB$60</f>
        <v>0.38</v>
      </c>
      <c r="AC63" s="90">
        <f>AC57/$AC$60</f>
        <v>0.38</v>
      </c>
      <c r="AD63" s="90">
        <f>AA63*$AE$7+AB63*$AE$20+AC63*$AE$33</f>
        <v>0.36</v>
      </c>
    </row>
    <row r="64" spans="1:30" x14ac:dyDescent="0.25">
      <c r="A64" s="71">
        <v>6</v>
      </c>
      <c r="B64" s="25">
        <v>2.2000000000000002</v>
      </c>
      <c r="C64" s="25">
        <v>4</v>
      </c>
      <c r="D64" s="68">
        <v>1</v>
      </c>
      <c r="E64" s="80" t="s">
        <v>39</v>
      </c>
      <c r="F64" s="81" t="s">
        <v>6</v>
      </c>
      <c r="G64" s="81">
        <f t="shared" ca="1" si="3"/>
        <v>4.0174029268051834</v>
      </c>
      <c r="H64" s="60">
        <f t="shared" ca="1" si="4"/>
        <v>0.98619266154836238</v>
      </c>
      <c r="I64" s="78" t="s">
        <v>6</v>
      </c>
      <c r="J64" s="39" t="str">
        <f t="shared" si="5"/>
        <v>versicolor</v>
      </c>
      <c r="K64" s="25" cm="1">
        <f t="array" ref="K64">$AE$7*NMultDensity(A64:D64,$AE$9:$AE$12,$AA$49:$AD$52)+$AE$20*NMultDensity(A64:D64,$AE$22:$AE$25,$AA$49:$AD$52)+$AE$33*NMultDensity(A64:D64,$AE$35:$AE$38,$AA$49:$AD$52)</f>
        <v>6.5597491773096261E-2</v>
      </c>
      <c r="L64" s="25" cm="1">
        <f t="array" ref="L64">$AE$7*NMultDensity(A64:D64,$AE$9:$AE$12,$AA$49:$AD$52)/K64</f>
        <v>1.1270432095962766E-19</v>
      </c>
      <c r="M64" s="25" cm="1">
        <f t="array" ref="M64">$AE$20*NMultDensity(A64:D64,$AE$22:$AE$25,$AA$49:$AD$52)/K64</f>
        <v>0.99996762826778585</v>
      </c>
      <c r="N64" s="43" cm="1">
        <f t="array" ref="N64">$AE$33*NMultDensity(A64:D64,$AE$35:$AE$38,$AA$49:$AD$52)/K64</f>
        <v>3.2371732214171299E-5</v>
      </c>
      <c r="O64" s="42" t="str">
        <f t="shared" si="6"/>
        <v>versicolor</v>
      </c>
      <c r="P64" s="25" cm="1">
        <f t="array" ref="P64">$AE$7*NMultDensity(C64:D64,$AE$11:$AE$12,$AC$51:$AD$52)+$AE$20*NMultDensity(C64:D64,$AE$24:$AE$25,$AC$51:$AD$52)+$AE$33*NMultDensity(C64:D64,$AE$37:$AE$38,$AC$51:$AD$52)</f>
        <v>0.19438286289053269</v>
      </c>
      <c r="Q64" s="25" cm="1">
        <f t="array" ref="Q64">$AE$7*NMultDensity(C64:D64,$AE$11:$AE$12,$AC$51:$AD$52)/P64</f>
        <v>1.1138755574207687E-6</v>
      </c>
      <c r="R64" s="25" cm="1">
        <f t="array" ref="R64">$AE$20*NMultDensity(C64:D64,$AE$24:$AE$25,$AC$51:$AD$52)/P64</f>
        <v>0.99983036909825085</v>
      </c>
      <c r="S64" s="43" cm="1">
        <f t="array" ref="S64">$AE$33*NMultDensity(C64:D64,$AE$37:$AE$38,$AC$51:$AD$52)/P64</f>
        <v>1.6851702619186842E-4</v>
      </c>
      <c r="T64" s="42" t="str">
        <f t="shared" si="8"/>
        <v>versicolor</v>
      </c>
      <c r="U64" s="25" cm="1">
        <f t="array" ref="U64">$AE$7*NMultDensity(C64:D64,$AE$11:$AE$12,$AC$51:$AD$52)*VLOOKUP($E64,$Z$62:$AD$65,2)+$AE$20*NMultDensity(C64:D64,$AE$24:$AE$25,$AC$51:$AD$52)*VLOOKUP($E64,$Z$62:$AD$65,3)+$AE$33*NMultDensity(C64:D64,$AE$37:$AE$38,$AC$51:$AD$52)*VLOOKUP($E64,$Z$62:$AD$65,4)</f>
        <v>7.3865444594738497E-2</v>
      </c>
      <c r="V64" s="25" cm="1">
        <f t="array" ref="V64">$AE$7*NMultDensity(C64:D64,$AE$11:$AE$12,$AC$51:$AD$52)/U64*VLOOKUP($E64,$Z$62:$AD$65,2)</f>
        <v>5.2762557336206376E-7</v>
      </c>
      <c r="W64" s="25" cm="1">
        <f t="array" ref="W64">$AE$20*NMultDensity(C64:D64,$AE$24:$AE$25,$AC$51:$AD$52)/U64*VLOOKUP($E64,$Z$62:$AD$65,3)</f>
        <v>0.99983095524944132</v>
      </c>
      <c r="X64" s="43" cm="1">
        <f t="array" ref="X64">$AE$33*NMultDensity(C64:D64,$AE$37:$AE$38,$AC$51:$AD$52)/U64*VLOOKUP($E64,$Z$62:$AD$65,4)</f>
        <v>1.6851712498508234E-4</v>
      </c>
      <c r="Z64" s="88" t="str">
        <f t="shared" si="9"/>
        <v>white</v>
      </c>
      <c r="AA64" s="89">
        <f>AA58/$AA$60</f>
        <v>0.18</v>
      </c>
      <c r="AB64" s="90">
        <f>AB58/$AB$60</f>
        <v>0.18</v>
      </c>
      <c r="AC64" s="90">
        <f>AC58/$AC$60</f>
        <v>0</v>
      </c>
      <c r="AD64" s="90">
        <f>AA64*$AE$7+AB64*$AE$20+AC64*$AE$33</f>
        <v>7.8E-2</v>
      </c>
    </row>
    <row r="65" spans="1:30" ht="15.75" thickBot="1" x14ac:dyDescent="0.3">
      <c r="A65" s="71">
        <v>6.1</v>
      </c>
      <c r="B65" s="25">
        <v>2.9</v>
      </c>
      <c r="C65" s="25">
        <v>4.7</v>
      </c>
      <c r="D65" s="68">
        <v>1.4</v>
      </c>
      <c r="E65" s="80" t="s">
        <v>39</v>
      </c>
      <c r="F65" s="81" t="s">
        <v>6</v>
      </c>
      <c r="G65" s="81">
        <f t="shared" ca="1" si="3"/>
        <v>4.7055622889072755</v>
      </c>
      <c r="H65" s="60">
        <f t="shared" ca="1" si="4"/>
        <v>1.376399968629328</v>
      </c>
      <c r="I65" s="78" t="s">
        <v>6</v>
      </c>
      <c r="J65" s="39" t="str">
        <f t="shared" si="5"/>
        <v>versicolor</v>
      </c>
      <c r="K65" s="25" cm="1">
        <f t="array" ref="K65">$AE$7*NMultDensity(A65:D65,$AE$9:$AE$12,$AA$49:$AD$52)+$AE$20*NMultDensity(A65:D65,$AE$22:$AE$25,$AA$49:$AD$52)+$AE$33*NMultDensity(A65:D65,$AE$35:$AE$38,$AA$49:$AD$52)</f>
        <v>0.46475062719574867</v>
      </c>
      <c r="L65" s="25" cm="1">
        <f t="array" ref="L65">$AE$7*NMultDensity(A65:D65,$AE$9:$AE$12,$AA$49:$AD$52)/K65</f>
        <v>1.5226928567107112E-23</v>
      </c>
      <c r="M65" s="25" cm="1">
        <f t="array" ref="M65">$AE$20*NMultDensity(A65:D65,$AE$22:$AE$25,$AA$49:$AD$52)/K65</f>
        <v>0.97652892992407125</v>
      </c>
      <c r="N65" s="43" cm="1">
        <f t="array" ref="N65">$AE$33*NMultDensity(A65:D65,$AE$35:$AE$38,$AA$49:$AD$52)/K65</f>
        <v>2.3471070075928697E-2</v>
      </c>
      <c r="O65" s="42" t="str">
        <f t="shared" si="6"/>
        <v>versicolor</v>
      </c>
      <c r="P65" s="25" cm="1">
        <f t="array" ref="P65">$AE$7*NMultDensity(C65:D65,$AE$11:$AE$12,$AC$51:$AD$52)+$AE$20*NMultDensity(C65:D65,$AE$24:$AE$25,$AC$51:$AD$52)+$AE$33*NMultDensity(C65:D65,$AE$37:$AE$38,$AC$51:$AD$52)</f>
        <v>0.35792109892291613</v>
      </c>
      <c r="Q65" s="25" cm="1">
        <f t="array" ref="Q65">$AE$7*NMultDensity(C65:D65,$AE$11:$AE$12,$AC$51:$AD$52)/P65</f>
        <v>2.7283961414497734E-11</v>
      </c>
      <c r="R65" s="25" cm="1">
        <f t="array" ref="R65">$AE$20*NMultDensity(C65:D65,$AE$24:$AE$25,$AC$51:$AD$52)/P65</f>
        <v>0.93741794222576624</v>
      </c>
      <c r="S65" s="43" cm="1">
        <f t="array" ref="S65">$AE$33*NMultDensity(C65:D65,$AE$37:$AE$38,$AC$51:$AD$52)/P65</f>
        <v>6.2582057746949762E-2</v>
      </c>
      <c r="T65" s="42" t="str">
        <f t="shared" si="8"/>
        <v>versicolor</v>
      </c>
      <c r="U65" s="25" cm="1">
        <f t="array" ref="U65">$AE$7*NMultDensity(C65:D65,$AE$11:$AE$12,$AC$51:$AD$52)*VLOOKUP($E65,$Z$62:$AD$65,2)+$AE$20*NMultDensity(C65:D65,$AE$24:$AE$25,$AC$51:$AD$52)*VLOOKUP($E65,$Z$62:$AD$65,3)+$AE$33*NMultDensity(C65:D65,$AE$37:$AE$38,$AC$51:$AD$52)*VLOOKUP($E65,$Z$62:$AD$65,4)</f>
        <v>0.13601001758875503</v>
      </c>
      <c r="V65" s="25" cm="1">
        <f t="array" ref="V65">$AE$7*NMultDensity(C65:D65,$AE$11:$AE$12,$AC$51:$AD$52)/U65*VLOOKUP($E65,$Z$62:$AD$65,2)</f>
        <v>1.2923981722842409E-11</v>
      </c>
      <c r="W65" s="25" cm="1">
        <f t="array" ref="W65">$AE$20*NMultDensity(C65:D65,$AE$24:$AE$25,$AC$51:$AD$52)/U65*VLOOKUP($E65,$Z$62:$AD$65,3)</f>
        <v>0.93741794223922759</v>
      </c>
      <c r="X65" s="43" cm="1">
        <f t="array" ref="X65">$AE$33*NMultDensity(C65:D65,$AE$37:$AE$38,$AC$51:$AD$52)/U65*VLOOKUP($E65,$Z$62:$AD$65,4)</f>
        <v>6.2582057747848446E-2</v>
      </c>
      <c r="Z65" s="95" t="str">
        <f t="shared" si="9"/>
        <v>yellow</v>
      </c>
      <c r="AA65" s="89">
        <f>AA59/$AA$60</f>
        <v>0.2</v>
      </c>
      <c r="AB65" s="90">
        <f>AB59/$AB$60</f>
        <v>0.26</v>
      </c>
      <c r="AC65" s="90">
        <f>AC59/$AC$60</f>
        <v>0.02</v>
      </c>
      <c r="AD65" s="90">
        <f>AA65*$AE$7+AB65*$AE$20+AC65*$AE$33</f>
        <v>0.11800000000000001</v>
      </c>
    </row>
    <row r="66" spans="1:30" x14ac:dyDescent="0.25">
      <c r="A66" s="71">
        <v>5.6</v>
      </c>
      <c r="B66" s="25">
        <v>2.9</v>
      </c>
      <c r="C66" s="25">
        <v>3.6</v>
      </c>
      <c r="D66" s="68">
        <v>1.3</v>
      </c>
      <c r="E66" s="80" t="s">
        <v>39</v>
      </c>
      <c r="F66" s="81" t="s">
        <v>6</v>
      </c>
      <c r="G66" s="81">
        <f t="shared" ca="1" si="3"/>
        <v>3.5901516245840539</v>
      </c>
      <c r="H66" s="60">
        <f t="shared" ca="1" si="4"/>
        <v>1.2898973688699165</v>
      </c>
      <c r="I66" s="78" t="s">
        <v>6</v>
      </c>
      <c r="J66" s="39" t="str">
        <f t="shared" ref="J66:J97" si="10">IF(L66&gt;MAX(M66:N66),$I$2,IF(M66&gt;N66,$I$52,$I$102))</f>
        <v>versicolor</v>
      </c>
      <c r="K66" s="25" cm="1">
        <f t="array" ref="K66">$AE$7*NMultDensity(A66:D66,$AE$9:$AE$12,$AA$49:$AD$52)+$AE$20*NMultDensity(A66:D66,$AE$22:$AE$25,$AA$49:$AD$52)+$AE$33*NMultDensity(A66:D66,$AE$35:$AE$38,$AA$49:$AD$52)</f>
        <v>0.18444711500976979</v>
      </c>
      <c r="L66" s="25" cm="1">
        <f t="array" ref="L66">$AE$7*NMultDensity(A66:D66,$AE$9:$AE$12,$AA$49:$AD$52)/K66</f>
        <v>2.2051401911750059E-14</v>
      </c>
      <c r="M66" s="25" cm="1">
        <f t="array" ref="M66">$AE$20*NMultDensity(A66:D66,$AE$22:$AE$25,$AA$49:$AD$52)/K66</f>
        <v>0.99998715861782383</v>
      </c>
      <c r="N66" s="43" cm="1">
        <f t="array" ref="N66">$AE$33*NMultDensity(A66:D66,$AE$35:$AE$38,$AA$49:$AD$52)/K66</f>
        <v>1.2841382154039355E-5</v>
      </c>
      <c r="O66" s="42" t="str">
        <f t="shared" ref="O66:O97" si="11">IF(Q66&gt;MAX(R66:S66),$I$2,IF(R66&gt;S66,$I$52,$I$102))</f>
        <v>versicolor</v>
      </c>
      <c r="P66" s="25" cm="1">
        <f t="array" ref="P66">$AE$7*NMultDensity(C66:D66,$AE$11:$AE$12,$AC$51:$AD$52)+$AE$20*NMultDensity(C66:D66,$AE$24:$AE$25,$AC$51:$AD$52)+$AE$33*NMultDensity(C66:D66,$AE$37:$AE$38,$AC$51:$AD$52)</f>
        <v>0.18025374767478991</v>
      </c>
      <c r="Q66" s="25" cm="1">
        <f t="array" ref="Q66">$AE$7*NMultDensity(C66:D66,$AE$11:$AE$12,$AC$51:$AD$52)/P66</f>
        <v>1.6330184529970074E-6</v>
      </c>
      <c r="R66" s="25" cm="1">
        <f t="array" ref="R66">$AE$20*NMultDensity(C66:D66,$AE$24:$AE$25,$AC$51:$AD$52)/P66</f>
        <v>0.99923292740762681</v>
      </c>
      <c r="S66" s="43" cm="1">
        <f t="array" ref="S66">$AE$33*NMultDensity(C66:D66,$AE$37:$AE$38,$AC$51:$AD$52)/P66</f>
        <v>7.6543957392022919E-4</v>
      </c>
      <c r="T66" s="42" t="str">
        <f t="shared" si="8"/>
        <v>versicolor</v>
      </c>
      <c r="U66" s="25" cm="1">
        <f t="array" ref="U66">$AE$7*NMultDensity(C66:D66,$AE$11:$AE$12,$AC$51:$AD$52)*VLOOKUP($E66,$Z$62:$AD$65,2)+$AE$20*NMultDensity(C66:D66,$AE$24:$AE$25,$AC$51:$AD$52)*VLOOKUP($E66,$Z$62:$AD$65,3)+$AE$33*NMultDensity(C66:D66,$AE$37:$AE$38,$AC$51:$AD$52)*VLOOKUP($E66,$Z$62:$AD$65,4)</f>
        <v>6.8496365244880938E-2</v>
      </c>
      <c r="V66" s="25" cm="1">
        <f t="array" ref="V66">$AE$7*NMultDensity(C66:D66,$AE$11:$AE$12,$AC$51:$AD$52)/U66*VLOOKUP($E66,$Z$62:$AD$65,2)</f>
        <v>7.7353572152390191E-7</v>
      </c>
      <c r="W66" s="25" cm="1">
        <f t="array" ref="W66">$AE$20*NMultDensity(C66:D66,$AE$24:$AE$25,$AC$51:$AD$52)/U66*VLOOKUP($E66,$Z$62:$AD$65,3)</f>
        <v>0.99923378623247494</v>
      </c>
      <c r="X66" s="43" cm="1">
        <f t="array" ref="X66">$AE$33*NMultDensity(C66:D66,$AE$37:$AE$38,$AC$51:$AD$52)/U66*VLOOKUP($E66,$Z$62:$AD$65,4)</f>
        <v>7.6544023180339922E-4</v>
      </c>
    </row>
    <row r="67" spans="1:30" x14ac:dyDescent="0.25">
      <c r="A67" s="71">
        <v>6.7</v>
      </c>
      <c r="B67" s="25">
        <v>3.1</v>
      </c>
      <c r="C67" s="25">
        <v>4.4000000000000004</v>
      </c>
      <c r="D67" s="68">
        <v>1.4</v>
      </c>
      <c r="E67" s="80" t="s">
        <v>39</v>
      </c>
      <c r="F67" s="81" t="s">
        <v>6</v>
      </c>
      <c r="G67" s="81">
        <f t="shared" ref="G67:G130" ca="1" si="12">C67+0.05*RAND()-0.025</f>
        <v>4.3988525319749652</v>
      </c>
      <c r="H67" s="60">
        <f t="shared" ref="H67:H130" ca="1" si="13">D67+0.05*RAND()-0.025</f>
        <v>1.4153679136137118</v>
      </c>
      <c r="I67" s="78" t="s">
        <v>6</v>
      </c>
      <c r="J67" s="39" t="str">
        <f t="shared" si="10"/>
        <v>versicolor</v>
      </c>
      <c r="K67" s="25" cm="1">
        <f t="array" ref="K67">$AE$7*NMultDensity(A67:D67,$AE$9:$AE$12,$AA$49:$AD$52)+$AE$20*NMultDensity(A67:D67,$AE$22:$AE$25,$AA$49:$AD$52)+$AE$33*NMultDensity(A67:D67,$AE$35:$AE$38,$AA$49:$AD$52)</f>
        <v>0.13008192055248749</v>
      </c>
      <c r="L67" s="25" cm="1">
        <f t="array" ref="L67">$AE$7*NMultDensity(A67:D67,$AE$9:$AE$12,$AA$49:$AD$52)/K67</f>
        <v>2.8410480704211229E-16</v>
      </c>
      <c r="M67" s="25" cm="1">
        <f t="array" ref="M67">$AE$20*NMultDensity(A67:D67,$AE$22:$AE$25,$AA$49:$AD$52)/K67</f>
        <v>0.99989696215689194</v>
      </c>
      <c r="N67" s="43" cm="1">
        <f t="array" ref="N67">$AE$33*NMultDensity(A67:D67,$AE$35:$AE$38,$AA$49:$AD$52)/K67</f>
        <v>1.0303784310775895E-4</v>
      </c>
      <c r="O67" s="42" t="str">
        <f t="shared" si="11"/>
        <v>versicolor</v>
      </c>
      <c r="P67" s="25" cm="1">
        <f t="array" ref="P67">$AE$7*NMultDensity(C67:D67,$AE$11:$AE$12,$AC$51:$AD$52)+$AE$20*NMultDensity(C67:D67,$AE$24:$AE$25,$AC$51:$AD$52)+$AE$33*NMultDensity(C67:D67,$AE$37:$AE$38,$AC$51:$AD$52)</f>
        <v>0.4792737114197172</v>
      </c>
      <c r="Q67" s="25" cm="1">
        <f t="array" ref="Q67">$AE$7*NMultDensity(C67:D67,$AE$11:$AE$12,$AC$51:$AD$52)/P67</f>
        <v>4.1859639952289119E-10</v>
      </c>
      <c r="R67" s="25" cm="1">
        <f t="array" ref="R67">$AE$20*NMultDensity(C67:D67,$AE$24:$AE$25,$AC$51:$AD$52)/P67</f>
        <v>0.97517139256811836</v>
      </c>
      <c r="S67" s="43" cm="1">
        <f t="array" ref="S67">$AE$33*NMultDensity(C67:D67,$AE$37:$AE$38,$AC$51:$AD$52)/P67</f>
        <v>2.4828607013285292E-2</v>
      </c>
      <c r="T67" s="42" t="str">
        <f t="shared" si="8"/>
        <v>versicolor</v>
      </c>
      <c r="U67" s="25" cm="1">
        <f t="array" ref="U67">$AE$7*NMultDensity(C67:D67,$AE$11:$AE$12,$AC$51:$AD$52)*VLOOKUP($E67,$Z$62:$AD$65,2)+$AE$20*NMultDensity(C67:D67,$AE$24:$AE$25,$AC$51:$AD$52)*VLOOKUP($E67,$Z$62:$AD$65,3)+$AE$33*NMultDensity(C67:D67,$AE$37:$AE$38,$AC$51:$AD$52)*VLOOKUP($E67,$Z$62:$AD$65,4)</f>
        <v>0.18212401029936812</v>
      </c>
      <c r="V67" s="25" cm="1">
        <f t="array" ref="V67">$AE$7*NMultDensity(C67:D67,$AE$11:$AE$12,$AC$51:$AD$52)/U67*VLOOKUP($E67,$Z$62:$AD$65,2)</f>
        <v>1.9828250508084334E-10</v>
      </c>
      <c r="W67" s="25" cm="1">
        <f t="array" ref="W67">$AE$20*NMultDensity(C67:D67,$AE$24:$AE$25,$AC$51:$AD$52)/U67*VLOOKUP($E67,$Z$62:$AD$65,3)</f>
        <v>0.97517139278296194</v>
      </c>
      <c r="X67" s="43" cm="1">
        <f t="array" ref="X67">$AE$33*NMultDensity(C67:D67,$AE$37:$AE$38,$AC$51:$AD$52)/U67*VLOOKUP($E67,$Z$62:$AD$65,4)</f>
        <v>2.4828607018755375E-2</v>
      </c>
    </row>
    <row r="68" spans="1:30" x14ac:dyDescent="0.25">
      <c r="A68" s="71">
        <v>5.6</v>
      </c>
      <c r="B68" s="25">
        <v>3</v>
      </c>
      <c r="C68" s="25">
        <v>4.5</v>
      </c>
      <c r="D68" s="68">
        <v>1.5</v>
      </c>
      <c r="E68" s="80" t="s">
        <v>39</v>
      </c>
      <c r="F68" s="81" t="s">
        <v>6</v>
      </c>
      <c r="G68" s="81">
        <f t="shared" ca="1" si="12"/>
        <v>4.513979163998898</v>
      </c>
      <c r="H68" s="60">
        <f t="shared" ca="1" si="13"/>
        <v>1.4941436847965039</v>
      </c>
      <c r="I68" s="78" t="s">
        <v>6</v>
      </c>
      <c r="J68" s="39" t="str">
        <f t="shared" si="10"/>
        <v>versicolor</v>
      </c>
      <c r="K68" s="25" cm="1">
        <f t="array" ref="K68">$AE$7*NMultDensity(A68:D68,$AE$9:$AE$12,$AA$49:$AD$52)+$AE$20*NMultDensity(A68:D68,$AE$22:$AE$25,$AA$49:$AD$52)+$AE$33*NMultDensity(A68:D68,$AE$35:$AE$38,$AA$49:$AD$52)</f>
        <v>0.12371931203002325</v>
      </c>
      <c r="L68" s="25" cm="1">
        <f t="array" ref="L68">$AE$7*NMultDensity(A68:D68,$AE$9:$AE$12,$AA$49:$AD$52)/K68</f>
        <v>5.6601521966359862E-24</v>
      </c>
      <c r="M68" s="25" cm="1">
        <f t="array" ref="M68">$AE$20*NMultDensity(A68:D68,$AE$22:$AE$25,$AA$49:$AD$52)/K68</f>
        <v>0.92747570649855782</v>
      </c>
      <c r="N68" s="43" cm="1">
        <f t="array" ref="N68">$AE$33*NMultDensity(A68:D68,$AE$35:$AE$38,$AA$49:$AD$52)/K68</f>
        <v>7.2524293501442183E-2</v>
      </c>
      <c r="O68" s="42" t="str">
        <f t="shared" si="11"/>
        <v>versicolor</v>
      </c>
      <c r="P68" s="25" cm="1">
        <f t="array" ref="P68">$AE$7*NMultDensity(C68:D68,$AE$11:$AE$12,$AC$51:$AD$52)+$AE$20*NMultDensity(C68:D68,$AE$24:$AE$25,$AC$51:$AD$52)+$AE$33*NMultDensity(C68:D68,$AE$37:$AE$38,$AC$51:$AD$52)</f>
        <v>0.4082440196006536</v>
      </c>
      <c r="Q68" s="25" cm="1">
        <f t="array" ref="Q68">$AE$7*NMultDensity(C68:D68,$AE$11:$AE$12,$AC$51:$AD$52)/P68</f>
        <v>5.5212038315252506E-11</v>
      </c>
      <c r="R68" s="25" cm="1">
        <f t="array" ref="R68">$AE$20*NMultDensity(C68:D68,$AE$24:$AE$25,$AC$51:$AD$52)/P68</f>
        <v>0.9180539384859322</v>
      </c>
      <c r="S68" s="43" cm="1">
        <f t="array" ref="S68">$AE$33*NMultDensity(C68:D68,$AE$37:$AE$38,$AC$51:$AD$52)/P68</f>
        <v>8.1946061458855857E-2</v>
      </c>
      <c r="T68" s="42" t="str">
        <f t="shared" si="8"/>
        <v>versicolor</v>
      </c>
      <c r="U68" s="25" cm="1">
        <f t="array" ref="U68">$AE$7*NMultDensity(C68:D68,$AE$11:$AE$12,$AC$51:$AD$52)*VLOOKUP($E68,$Z$62:$AD$65,2)+$AE$20*NMultDensity(C68:D68,$AE$24:$AE$25,$AC$51:$AD$52)*VLOOKUP($E68,$Z$62:$AD$65,3)+$AE$33*NMultDensity(C68:D68,$AE$37:$AE$38,$AC$51:$AD$52)*VLOOKUP($E68,$Z$62:$AD$65,4)</f>
        <v>0.15513272744374038</v>
      </c>
      <c r="V68" s="25" cm="1">
        <f t="array" ref="V68">$AE$7*NMultDensity(C68:D68,$AE$11:$AE$12,$AC$51:$AD$52)/U68*VLOOKUP($E68,$Z$62:$AD$65,2)</f>
        <v>2.6153070781669061E-11</v>
      </c>
      <c r="W68" s="25" cm="1">
        <f t="array" ref="W68">$AE$20*NMultDensity(C68:D68,$AE$24:$AE$25,$AC$51:$AD$52)/U68*VLOOKUP($E68,$Z$62:$AD$65,3)</f>
        <v>0.91805393851260986</v>
      </c>
      <c r="X68" s="43" cm="1">
        <f t="array" ref="X68">$AE$33*NMultDensity(C68:D68,$AE$37:$AE$38,$AC$51:$AD$52)/U68*VLOOKUP($E68,$Z$62:$AD$65,4)</f>
        <v>8.1946061461237119E-2</v>
      </c>
    </row>
    <row r="69" spans="1:30" x14ac:dyDescent="0.25">
      <c r="A69" s="71">
        <v>5.8</v>
      </c>
      <c r="B69" s="25">
        <v>2.7</v>
      </c>
      <c r="C69" s="25">
        <v>4.0999999999999996</v>
      </c>
      <c r="D69" s="68">
        <v>1</v>
      </c>
      <c r="E69" s="80" t="s">
        <v>39</v>
      </c>
      <c r="F69" s="81" t="s">
        <v>6</v>
      </c>
      <c r="G69" s="81">
        <f t="shared" ca="1" si="12"/>
        <v>4.1045232269475012</v>
      </c>
      <c r="H69" s="60">
        <f t="shared" ca="1" si="13"/>
        <v>0.98033553023095343</v>
      </c>
      <c r="I69" s="78" t="s">
        <v>6</v>
      </c>
      <c r="J69" s="39" t="str">
        <f t="shared" si="10"/>
        <v>versicolor</v>
      </c>
      <c r="K69" s="25" cm="1">
        <f t="array" ref="K69">$AE$7*NMultDensity(A69:D69,$AE$9:$AE$12,$AA$49:$AD$52)+$AE$20*NMultDensity(A69:D69,$AE$22:$AE$25,$AA$49:$AD$52)+$AE$33*NMultDensity(A69:D69,$AE$35:$AE$38,$AA$49:$AD$52)</f>
        <v>0.29807712625902399</v>
      </c>
      <c r="L69" s="25" cm="1">
        <f t="array" ref="L69">$AE$7*NMultDensity(A69:D69,$AE$9:$AE$12,$AA$49:$AD$52)/K69</f>
        <v>4.2931646957592715E-17</v>
      </c>
      <c r="M69" s="25" cm="1">
        <f t="array" ref="M69">$AE$20*NMultDensity(A69:D69,$AE$22:$AE$25,$AA$49:$AD$52)/K69</f>
        <v>0.99998174887126734</v>
      </c>
      <c r="N69" s="43" cm="1">
        <f t="array" ref="N69">$AE$33*NMultDensity(A69:D69,$AE$35:$AE$38,$AA$49:$AD$52)/K69</f>
        <v>1.8251128732680476E-5</v>
      </c>
      <c r="O69" s="42" t="str">
        <f t="shared" si="11"/>
        <v>versicolor</v>
      </c>
      <c r="P69" s="25" cm="1">
        <f t="array" ref="P69">$AE$7*NMultDensity(C69:D69,$AE$11:$AE$12,$AC$51:$AD$52)+$AE$20*NMultDensity(C69:D69,$AE$24:$AE$25,$AC$51:$AD$52)+$AE$33*NMultDensity(C69:D69,$AE$37:$AE$38,$AC$51:$AD$52)</f>
        <v>0.18570988268207236</v>
      </c>
      <c r="Q69" s="25" cm="1">
        <f t="array" ref="Q69">$AE$7*NMultDensity(C69:D69,$AE$11:$AE$12,$AC$51:$AD$52)/P69</f>
        <v>4.5418114815542889E-7</v>
      </c>
      <c r="R69" s="25" cm="1">
        <f t="array" ref="R69">$AE$20*NMultDensity(C69:D69,$AE$24:$AE$25,$AC$51:$AD$52)/P69</f>
        <v>0.99976718401899223</v>
      </c>
      <c r="S69" s="43" cm="1">
        <f t="array" ref="S69">$AE$33*NMultDensity(C69:D69,$AE$37:$AE$38,$AC$51:$AD$52)/P69</f>
        <v>2.3236179985956632E-4</v>
      </c>
      <c r="T69" s="42" t="str">
        <f t="shared" si="8"/>
        <v>versicolor</v>
      </c>
      <c r="U69" s="25" cm="1">
        <f t="array" ref="U69">$AE$7*NMultDensity(C69:D69,$AE$11:$AE$12,$AC$51:$AD$52)*VLOOKUP($E69,$Z$62:$AD$65,2)+$AE$20*NMultDensity(C69:D69,$AE$24:$AE$25,$AC$51:$AD$52)*VLOOKUP($E69,$Z$62:$AD$65,3)+$AE$33*NMultDensity(C69:D69,$AE$37:$AE$38,$AC$51:$AD$52)*VLOOKUP($E69,$Z$62:$AD$65,4)</f>
        <v>7.0569738550001954E-2</v>
      </c>
      <c r="V69" s="25" cm="1">
        <f t="array" ref="V69">$AE$7*NMultDensity(C69:D69,$AE$11:$AE$12,$AC$51:$AD$52)/U69*VLOOKUP($E69,$Z$62:$AD$65,2)</f>
        <v>2.1513849002722756E-7</v>
      </c>
      <c r="W69" s="25" cm="1">
        <f t="array" ref="W69">$AE$20*NMultDensity(C69:D69,$AE$24:$AE$25,$AC$51:$AD$52)/U69*VLOOKUP($E69,$Z$62:$AD$65,3)</f>
        <v>0.99976742300610599</v>
      </c>
      <c r="X69" s="43" cm="1">
        <f t="array" ref="X69">$AE$33*NMultDensity(C69:D69,$AE$37:$AE$38,$AC$51:$AD$52)/U69*VLOOKUP($E69,$Z$62:$AD$65,4)</f>
        <v>2.3236185540397386E-4</v>
      </c>
    </row>
    <row r="70" spans="1:30" x14ac:dyDescent="0.25">
      <c r="A70" s="71">
        <v>6.2</v>
      </c>
      <c r="B70" s="25">
        <v>2.2000000000000002</v>
      </c>
      <c r="C70" s="25">
        <v>4.5</v>
      </c>
      <c r="D70" s="68">
        <v>1.5</v>
      </c>
      <c r="E70" s="80" t="s">
        <v>39</v>
      </c>
      <c r="F70" s="81" t="s">
        <v>6</v>
      </c>
      <c r="G70" s="81">
        <f t="shared" ca="1" si="12"/>
        <v>4.5105139083816752</v>
      </c>
      <c r="H70" s="60">
        <f t="shared" ca="1" si="13"/>
        <v>1.5065830807801277</v>
      </c>
      <c r="I70" s="78" t="s">
        <v>6</v>
      </c>
      <c r="J70" s="39" t="str">
        <f t="shared" si="10"/>
        <v>versicolor</v>
      </c>
      <c r="K70" s="25" cm="1">
        <f t="array" ref="K70">$AE$7*NMultDensity(A70:D70,$AE$9:$AE$12,$AA$49:$AD$52)+$AE$20*NMultDensity(A70:D70,$AE$22:$AE$25,$AA$49:$AD$52)+$AE$33*NMultDensity(A70:D70,$AE$35:$AE$38,$AA$49:$AD$52)</f>
        <v>1.4925335858652843E-2</v>
      </c>
      <c r="L70" s="25" cm="1">
        <f t="array" ref="L70">$AE$7*NMultDensity(A70:D70,$AE$9:$AE$12,$AA$49:$AD$52)/K70</f>
        <v>1.9847964620100796E-28</v>
      </c>
      <c r="M70" s="25" cm="1">
        <f t="array" ref="M70">$AE$20*NMultDensity(A70:D70,$AE$22:$AE$25,$AA$49:$AD$52)/K70</f>
        <v>0.81954384397832647</v>
      </c>
      <c r="N70" s="43" cm="1">
        <f t="array" ref="N70">$AE$33*NMultDensity(A70:D70,$AE$35:$AE$38,$AA$49:$AD$52)/K70</f>
        <v>0.18045615602167353</v>
      </c>
      <c r="O70" s="42" t="str">
        <f t="shared" si="11"/>
        <v>versicolor</v>
      </c>
      <c r="P70" s="25" cm="1">
        <f t="array" ref="P70">$AE$7*NMultDensity(C70:D70,$AE$11:$AE$12,$AC$51:$AD$52)+$AE$20*NMultDensity(C70:D70,$AE$24:$AE$25,$AC$51:$AD$52)+$AE$33*NMultDensity(C70:D70,$AE$37:$AE$38,$AC$51:$AD$52)</f>
        <v>0.4082440196006536</v>
      </c>
      <c r="Q70" s="25" cm="1">
        <f t="array" ref="Q70">$AE$7*NMultDensity(C70:D70,$AE$11:$AE$12,$AC$51:$AD$52)/P70</f>
        <v>5.5212038315252506E-11</v>
      </c>
      <c r="R70" s="25" cm="1">
        <f t="array" ref="R70">$AE$20*NMultDensity(C70:D70,$AE$24:$AE$25,$AC$51:$AD$52)/P70</f>
        <v>0.9180539384859322</v>
      </c>
      <c r="S70" s="43" cm="1">
        <f t="array" ref="S70">$AE$33*NMultDensity(C70:D70,$AE$37:$AE$38,$AC$51:$AD$52)/P70</f>
        <v>8.1946061458855857E-2</v>
      </c>
      <c r="T70" s="42" t="str">
        <f t="shared" si="8"/>
        <v>versicolor</v>
      </c>
      <c r="U70" s="25" cm="1">
        <f t="array" ref="U70">$AE$7*NMultDensity(C70:D70,$AE$11:$AE$12,$AC$51:$AD$52)*VLOOKUP($E70,$Z$62:$AD$65,2)+$AE$20*NMultDensity(C70:D70,$AE$24:$AE$25,$AC$51:$AD$52)*VLOOKUP($E70,$Z$62:$AD$65,3)+$AE$33*NMultDensity(C70:D70,$AE$37:$AE$38,$AC$51:$AD$52)*VLOOKUP($E70,$Z$62:$AD$65,4)</f>
        <v>0.15513272744374038</v>
      </c>
      <c r="V70" s="25" cm="1">
        <f t="array" ref="V70">$AE$7*NMultDensity(C70:D70,$AE$11:$AE$12,$AC$51:$AD$52)/U70*VLOOKUP($E70,$Z$62:$AD$65,2)</f>
        <v>2.6153070781669061E-11</v>
      </c>
      <c r="W70" s="25" cm="1">
        <f t="array" ref="W70">$AE$20*NMultDensity(C70:D70,$AE$24:$AE$25,$AC$51:$AD$52)/U70*VLOOKUP($E70,$Z$62:$AD$65,3)</f>
        <v>0.91805393851260986</v>
      </c>
      <c r="X70" s="43" cm="1">
        <f t="array" ref="X70">$AE$33*NMultDensity(C70:D70,$AE$37:$AE$38,$AC$51:$AD$52)/U70*VLOOKUP($E70,$Z$62:$AD$65,4)</f>
        <v>8.1946061461237119E-2</v>
      </c>
    </row>
    <row r="71" spans="1:30" x14ac:dyDescent="0.25">
      <c r="A71" s="71">
        <v>5.6</v>
      </c>
      <c r="B71" s="25">
        <v>2.5</v>
      </c>
      <c r="C71" s="25">
        <v>3.9</v>
      </c>
      <c r="D71" s="68">
        <v>1.1000000000000001</v>
      </c>
      <c r="E71" s="80" t="s">
        <v>39</v>
      </c>
      <c r="F71" s="81" t="s">
        <v>6</v>
      </c>
      <c r="G71" s="81">
        <f t="shared" ca="1" si="12"/>
        <v>3.9067090578848673</v>
      </c>
      <c r="H71" s="60">
        <f t="shared" ca="1" si="13"/>
        <v>1.1239971637295323</v>
      </c>
      <c r="I71" s="78" t="s">
        <v>6</v>
      </c>
      <c r="J71" s="39" t="str">
        <f t="shared" si="10"/>
        <v>versicolor</v>
      </c>
      <c r="K71" s="25" cm="1">
        <f t="array" ref="K71">$AE$7*NMultDensity(A71:D71,$AE$9:$AE$12,$AA$49:$AD$52)+$AE$20*NMultDensity(A71:D71,$AE$22:$AE$25,$AA$49:$AD$52)+$AE$33*NMultDensity(A71:D71,$AE$35:$AE$38,$AA$49:$AD$52)</f>
        <v>0.54097616516704583</v>
      </c>
      <c r="L71" s="25" cm="1">
        <f t="array" ref="L71">$AE$7*NMultDensity(A71:D71,$AE$9:$AE$12,$AA$49:$AD$52)/K71</f>
        <v>8.0760538062740322E-19</v>
      </c>
      <c r="M71" s="25" cm="1">
        <f t="array" ref="M71">$AE$20*NMultDensity(A71:D71,$AE$22:$AE$25,$AA$49:$AD$52)/K71</f>
        <v>0.99993465556598782</v>
      </c>
      <c r="N71" s="43" cm="1">
        <f t="array" ref="N71">$AE$33*NMultDensity(A71:D71,$AE$35:$AE$38,$AA$49:$AD$52)/K71</f>
        <v>6.5344434012085294E-5</v>
      </c>
      <c r="O71" s="42" t="str">
        <f t="shared" si="11"/>
        <v>versicolor</v>
      </c>
      <c r="P71" s="25" cm="1">
        <f t="array" ref="P71">$AE$7*NMultDensity(C71:D71,$AE$11:$AE$12,$AC$51:$AD$52)+$AE$20*NMultDensity(C71:D71,$AE$24:$AE$25,$AC$51:$AD$52)+$AE$33*NMultDensity(C71:D71,$AE$37:$AE$38,$AC$51:$AD$52)</f>
        <v>0.29966526096695695</v>
      </c>
      <c r="Q71" s="25" cm="1">
        <f t="array" ref="Q71">$AE$7*NMultDensity(C71:D71,$AE$11:$AE$12,$AC$51:$AD$52)/P71</f>
        <v>9.3839633077116348E-7</v>
      </c>
      <c r="R71" s="25" cm="1">
        <f t="array" ref="R71">$AE$20*NMultDensity(C71:D71,$AE$24:$AE$25,$AC$51:$AD$52)/P71</f>
        <v>0.99968840984183183</v>
      </c>
      <c r="S71" s="43" cm="1">
        <f t="array" ref="S71">$AE$33*NMultDensity(C71:D71,$AE$37:$AE$38,$AC$51:$AD$52)/P71</f>
        <v>3.1065176183742323E-4</v>
      </c>
      <c r="T71" s="42" t="str">
        <f t="shared" si="8"/>
        <v>versicolor</v>
      </c>
      <c r="U71" s="25" cm="1">
        <f t="array" ref="U71">$AE$7*NMultDensity(C71:D71,$AE$11:$AE$12,$AC$51:$AD$52)*VLOOKUP($E71,$Z$62:$AD$65,2)+$AE$20*NMultDensity(C71:D71,$AE$24:$AE$25,$AC$51:$AD$52)*VLOOKUP($E71,$Z$62:$AD$65,3)+$AE$33*NMultDensity(C71:D71,$AE$37:$AE$38,$AC$51:$AD$52)*VLOOKUP($E71,$Z$62:$AD$65,4)</f>
        <v>0.11387274292648739</v>
      </c>
      <c r="V71" s="25" cm="1">
        <f t="array" ref="V71">$AE$7*NMultDensity(C71:D71,$AE$11:$AE$12,$AC$51:$AD$52)/U71*VLOOKUP($E71,$Z$62:$AD$65,2)</f>
        <v>4.4450374463933154E-7</v>
      </c>
      <c r="W71" s="25" cm="1">
        <f t="array" ref="W71">$AE$20*NMultDensity(C71:D71,$AE$24:$AE$25,$AC$51:$AD$52)/U71*VLOOKUP($E71,$Z$62:$AD$65,3)</f>
        <v>0.99968890358098905</v>
      </c>
      <c r="X71" s="43" cm="1">
        <f t="array" ref="X71">$AE$33*NMultDensity(C71:D71,$AE$37:$AE$38,$AC$51:$AD$52)/U71*VLOOKUP($E71,$Z$62:$AD$65,4)</f>
        <v>3.1065191526616923E-4</v>
      </c>
    </row>
    <row r="72" spans="1:30" x14ac:dyDescent="0.25">
      <c r="A72" s="71">
        <v>5.9</v>
      </c>
      <c r="B72" s="25">
        <v>3.2</v>
      </c>
      <c r="C72" s="25">
        <v>4.8</v>
      </c>
      <c r="D72" s="68">
        <v>1.8</v>
      </c>
      <c r="E72" s="80" t="s">
        <v>39</v>
      </c>
      <c r="F72" s="81" t="s">
        <v>6</v>
      </c>
      <c r="G72" s="81">
        <f t="shared" ca="1" si="12"/>
        <v>4.7921745617777027</v>
      </c>
      <c r="H72" s="60">
        <f t="shared" ca="1" si="13"/>
        <v>1.7839453746600187</v>
      </c>
      <c r="I72" s="78" t="s">
        <v>6</v>
      </c>
      <c r="J72" s="39" t="str">
        <f t="shared" si="10"/>
        <v>virginica</v>
      </c>
      <c r="K72" s="25" cm="1">
        <f t="array" ref="K72">$AE$7*NMultDensity(A72:D72,$AE$9:$AE$12,$AA$49:$AD$52)+$AE$20*NMultDensity(A72:D72,$AE$22:$AE$25,$AA$49:$AD$52)+$AE$33*NMultDensity(A72:D72,$AE$35:$AE$38,$AA$49:$AD$52)</f>
        <v>0.11337888586547279</v>
      </c>
      <c r="L72" s="25" cm="1">
        <f t="array" ref="L72">$AE$7*NMultDensity(A72:D72,$AE$9:$AE$12,$AA$49:$AD$52)/K72</f>
        <v>3.249232735337583E-27</v>
      </c>
      <c r="M72" s="25" cm="1">
        <f t="array" ref="M72">$AE$20*NMultDensity(A72:D72,$AE$22:$AE$25,$AA$49:$AD$52)/K72</f>
        <v>0.23131506965483892</v>
      </c>
      <c r="N72" s="43" cm="1">
        <f t="array" ref="N72">$AE$33*NMultDensity(A72:D72,$AE$35:$AE$38,$AA$49:$AD$52)/K72</f>
        <v>0.76868493034516105</v>
      </c>
      <c r="O72" s="42" t="str">
        <f t="shared" si="11"/>
        <v>virginica</v>
      </c>
      <c r="P72" s="25" cm="1">
        <f t="array" ref="P72">$AE$7*NMultDensity(C72:D72,$AE$11:$AE$12,$AC$51:$AD$52)+$AE$20*NMultDensity(C72:D72,$AE$24:$AE$25,$AC$51:$AD$52)+$AE$33*NMultDensity(C72:D72,$AE$37:$AE$38,$AC$51:$AD$52)</f>
        <v>0.32568875289431209</v>
      </c>
      <c r="Q72" s="25" cm="1">
        <f t="array" ref="Q72">$AE$7*NMultDensity(C72:D72,$AE$11:$AE$12,$AC$51:$AD$52)/P72</f>
        <v>3.4128921542418758E-14</v>
      </c>
      <c r="R72" s="25" cm="1">
        <f t="array" ref="R72">$AE$20*NMultDensity(C72:D72,$AE$24:$AE$25,$AC$51:$AD$52)/P72</f>
        <v>0.2063497004813184</v>
      </c>
      <c r="S72" s="43" cm="1">
        <f t="array" ref="S72">$AE$33*NMultDensity(C72:D72,$AE$37:$AE$38,$AC$51:$AD$52)/P72</f>
        <v>0.79365029951864752</v>
      </c>
      <c r="T72" s="42" t="str">
        <f t="shared" si="8"/>
        <v>virginica</v>
      </c>
      <c r="U72" s="25" cm="1">
        <f t="array" ref="U72">$AE$7*NMultDensity(C72:D72,$AE$11:$AE$12,$AC$51:$AD$52)*VLOOKUP($E72,$Z$62:$AD$65,2)+$AE$20*NMultDensity(C72:D72,$AE$24:$AE$25,$AC$51:$AD$52)*VLOOKUP($E72,$Z$62:$AD$65,3)+$AE$33*NMultDensity(C72:D72,$AE$37:$AE$38,$AC$51:$AD$52)*VLOOKUP($E72,$Z$62:$AD$65,4)</f>
        <v>0.12376172609983638</v>
      </c>
      <c r="V72" s="25" cm="1">
        <f t="array" ref="V72">$AE$7*NMultDensity(C72:D72,$AE$11:$AE$12,$AC$51:$AD$52)/U72*VLOOKUP($E72,$Z$62:$AD$65,2)</f>
        <v>1.6166331256935493E-14</v>
      </c>
      <c r="W72" s="25" cm="1">
        <f t="array" ref="W72">$AE$20*NMultDensity(C72:D72,$AE$24:$AE$25,$AC$51:$AD$52)/U72*VLOOKUP($E72,$Z$62:$AD$65,3)</f>
        <v>0.20634970048132212</v>
      </c>
      <c r="X72" s="43" cm="1">
        <f t="array" ref="X72">$AE$33*NMultDensity(C72:D72,$AE$37:$AE$38,$AC$51:$AD$52)/U72*VLOOKUP($E72,$Z$62:$AD$65,4)</f>
        <v>0.79365029951866173</v>
      </c>
    </row>
    <row r="73" spans="1:30" x14ac:dyDescent="0.25">
      <c r="A73" s="71">
        <v>6.1</v>
      </c>
      <c r="B73" s="25">
        <v>2.8</v>
      </c>
      <c r="C73" s="25">
        <v>4</v>
      </c>
      <c r="D73" s="68">
        <v>1.3</v>
      </c>
      <c r="E73" s="80" t="s">
        <v>39</v>
      </c>
      <c r="F73" s="81" t="s">
        <v>6</v>
      </c>
      <c r="G73" s="81">
        <f t="shared" ca="1" si="12"/>
        <v>3.9984213850412691</v>
      </c>
      <c r="H73" s="60">
        <f t="shared" ca="1" si="13"/>
        <v>1.2924255952596244</v>
      </c>
      <c r="I73" s="78" t="s">
        <v>6</v>
      </c>
      <c r="J73" s="39" t="str">
        <f t="shared" si="10"/>
        <v>versicolor</v>
      </c>
      <c r="K73" s="25" cm="1">
        <f t="array" ref="K73">$AE$7*NMultDensity(A73:D73,$AE$9:$AE$12,$AA$49:$AD$52)+$AE$20*NMultDensity(A73:D73,$AE$22:$AE$25,$AA$49:$AD$52)+$AE$33*NMultDensity(A73:D73,$AE$35:$AE$38,$AA$49:$AD$52)</f>
        <v>0.37855522033942612</v>
      </c>
      <c r="L73" s="25" cm="1">
        <f t="array" ref="L73">$AE$7*NMultDensity(A73:D73,$AE$9:$AE$12,$AA$49:$AD$52)/K73</f>
        <v>7.842467905879076E-17</v>
      </c>
      <c r="M73" s="25" cm="1">
        <f t="array" ref="M73">$AE$20*NMultDensity(A73:D73,$AE$22:$AE$25,$AA$49:$AD$52)/K73</f>
        <v>0.99994259081455417</v>
      </c>
      <c r="N73" s="43" cm="1">
        <f t="array" ref="N73">$AE$33*NMultDensity(A73:D73,$AE$35:$AE$38,$AA$49:$AD$52)/K73</f>
        <v>5.7409185445722606E-5</v>
      </c>
      <c r="O73" s="42" t="str">
        <f t="shared" si="11"/>
        <v>versicolor</v>
      </c>
      <c r="P73" s="25" cm="1">
        <f t="array" ref="P73">$AE$7*NMultDensity(C73:D73,$AE$11:$AE$12,$AC$51:$AD$52)+$AE$20*NMultDensity(C73:D73,$AE$24:$AE$25,$AC$51:$AD$52)+$AE$33*NMultDensity(C73:D73,$AE$37:$AE$38,$AC$51:$AD$52)</f>
        <v>0.43096330497365404</v>
      </c>
      <c r="Q73" s="25" cm="1">
        <f t="array" ref="Q73">$AE$7*NMultDensity(C73:D73,$AE$11:$AE$12,$AC$51:$AD$52)/P73</f>
        <v>4.506118667409731E-8</v>
      </c>
      <c r="R73" s="25" cm="1">
        <f t="array" ref="R73">$AE$20*NMultDensity(C73:D73,$AE$24:$AE$25,$AC$51:$AD$52)/P73</f>
        <v>0.99723787333147951</v>
      </c>
      <c r="S73" s="43" cm="1">
        <f t="array" ref="S73">$AE$33*NMultDensity(C73:D73,$AE$37:$AE$38,$AC$51:$AD$52)/P73</f>
        <v>2.7620816073338048E-3</v>
      </c>
      <c r="T73" s="42" t="str">
        <f t="shared" si="8"/>
        <v>versicolor</v>
      </c>
      <c r="U73" s="25" cm="1">
        <f t="array" ref="U73">$AE$7*NMultDensity(C73:D73,$AE$11:$AE$12,$AC$51:$AD$52)*VLOOKUP($E73,$Z$62:$AD$65,2)+$AE$20*NMultDensity(C73:D73,$AE$24:$AE$25,$AC$51:$AD$52)*VLOOKUP($E73,$Z$62:$AD$65,3)+$AE$33*NMultDensity(C73:D73,$AE$37:$AE$38,$AC$51:$AD$52)*VLOOKUP($E73,$Z$62:$AD$65,4)</f>
        <v>0.16376605200604497</v>
      </c>
      <c r="V73" s="25" cm="1">
        <f t="array" ref="V73">$AE$7*NMultDensity(C73:D73,$AE$11:$AE$12,$AC$51:$AD$52)/U73*VLOOKUP($E73,$Z$62:$AD$65,2)</f>
        <v>2.1344773141320202E-8</v>
      </c>
      <c r="W73" s="25" cm="1">
        <f t="array" ref="W73">$AE$20*NMultDensity(C73:D73,$AE$24:$AE$25,$AC$51:$AD$52)/U73*VLOOKUP($E73,$Z$62:$AD$65,3)</f>
        <v>0.99723789698238618</v>
      </c>
      <c r="X73" s="43" cm="1">
        <f t="array" ref="X73">$AE$33*NMultDensity(C73:D73,$AE$37:$AE$38,$AC$51:$AD$52)/U73*VLOOKUP($E73,$Z$62:$AD$65,4)</f>
        <v>2.7620816728404773E-3</v>
      </c>
    </row>
    <row r="74" spans="1:30" x14ac:dyDescent="0.25">
      <c r="A74" s="71">
        <v>6.3</v>
      </c>
      <c r="B74" s="25">
        <v>2.5</v>
      </c>
      <c r="C74" s="25">
        <v>4.9000000000000004</v>
      </c>
      <c r="D74" s="68">
        <v>1.5</v>
      </c>
      <c r="E74" s="80" t="s">
        <v>39</v>
      </c>
      <c r="F74" s="81" t="s">
        <v>6</v>
      </c>
      <c r="G74" s="81">
        <f t="shared" ca="1" si="12"/>
        <v>4.882024549899489</v>
      </c>
      <c r="H74" s="60">
        <f t="shared" ca="1" si="13"/>
        <v>1.5081947608122677</v>
      </c>
      <c r="I74" s="78" t="s">
        <v>6</v>
      </c>
      <c r="J74" s="39" t="str">
        <f t="shared" si="10"/>
        <v>versicolor</v>
      </c>
      <c r="K74" s="25" cm="1">
        <f t="array" ref="K74">$AE$7*NMultDensity(A74:D74,$AE$9:$AE$12,$AA$49:$AD$52)+$AE$20*NMultDensity(A74:D74,$AE$22:$AE$25,$AA$49:$AD$52)+$AE$33*NMultDensity(A74:D74,$AE$35:$AE$38,$AA$49:$AD$52)</f>
        <v>0.15769098986264707</v>
      </c>
      <c r="L74" s="25" cm="1">
        <f t="array" ref="L74">$AE$7*NMultDensity(A74:D74,$AE$9:$AE$12,$AA$49:$AD$52)/K74</f>
        <v>2.6406988596081071E-29</v>
      </c>
      <c r="M74" s="25" cm="1">
        <f t="array" ref="M74">$AE$20*NMultDensity(A74:D74,$AE$22:$AE$25,$AA$49:$AD$52)/K74</f>
        <v>0.53579358412573286</v>
      </c>
      <c r="N74" s="43" cm="1">
        <f t="array" ref="N74">$AE$33*NMultDensity(A74:D74,$AE$35:$AE$38,$AA$49:$AD$52)/K74</f>
        <v>0.4642064158742672</v>
      </c>
      <c r="O74" s="42" t="str">
        <f t="shared" si="11"/>
        <v>versicolor</v>
      </c>
      <c r="P74" s="25" cm="1">
        <f t="array" ref="P74">$AE$7*NMultDensity(C74:D74,$AE$11:$AE$12,$AC$51:$AD$52)+$AE$20*NMultDensity(C74:D74,$AE$24:$AE$25,$AC$51:$AD$52)+$AE$33*NMultDensity(C74:D74,$AE$37:$AE$38,$AC$51:$AD$52)</f>
        <v>0.28414964696157408</v>
      </c>
      <c r="Q74" s="25" cm="1">
        <f t="array" ref="Q74">$AE$7*NMultDensity(C74:D74,$AE$11:$AE$12,$AC$51:$AD$52)/P74</f>
        <v>1.2571017762295937E-12</v>
      </c>
      <c r="R74" s="25" cm="1">
        <f t="array" ref="R74">$AE$20*NMultDensity(C74:D74,$AE$24:$AE$25,$AC$51:$AD$52)/P74</f>
        <v>0.75600619140445691</v>
      </c>
      <c r="S74" s="43" cm="1">
        <f t="array" ref="S74">$AE$33*NMultDensity(C74:D74,$AE$37:$AE$38,$AC$51:$AD$52)/P74</f>
        <v>0.24399380859428604</v>
      </c>
      <c r="T74" s="42" t="str">
        <f t="shared" si="8"/>
        <v>versicolor</v>
      </c>
      <c r="U74" s="25" cm="1">
        <f t="array" ref="U74">$AE$7*NMultDensity(C74:D74,$AE$11:$AE$12,$AC$51:$AD$52)*VLOOKUP($E74,$Z$62:$AD$65,2)+$AE$20*NMultDensity(C74:D74,$AE$24:$AE$25,$AC$51:$AD$52)*VLOOKUP($E74,$Z$62:$AD$65,3)+$AE$33*NMultDensity(C74:D74,$AE$37:$AE$38,$AC$51:$AD$52)*VLOOKUP($E74,$Z$62:$AD$65,4)</f>
        <v>0.1079768658453267</v>
      </c>
      <c r="V74" s="25" cm="1">
        <f t="array" ref="V74">$AE$7*NMultDensity(C74:D74,$AE$11:$AE$12,$AC$51:$AD$52)/U74*VLOOKUP($E74,$Z$62:$AD$65,2)</f>
        <v>5.9546926242493837E-13</v>
      </c>
      <c r="W74" s="25" cm="1">
        <f t="array" ref="W74">$AE$20*NMultDensity(C74:D74,$AE$24:$AE$25,$AC$51:$AD$52)/U74*VLOOKUP($E74,$Z$62:$AD$65,3)</f>
        <v>0.75600619140495706</v>
      </c>
      <c r="X74" s="43" cm="1">
        <f t="array" ref="X74">$AE$33*NMultDensity(C74:D74,$AE$37:$AE$38,$AC$51:$AD$52)/U74*VLOOKUP($E74,$Z$62:$AD$65,4)</f>
        <v>0.2439938085944475</v>
      </c>
    </row>
    <row r="75" spans="1:30" x14ac:dyDescent="0.25">
      <c r="A75" s="71">
        <v>6.1</v>
      </c>
      <c r="B75" s="25">
        <v>2.8</v>
      </c>
      <c r="C75" s="25">
        <v>4.7</v>
      </c>
      <c r="D75" s="68">
        <v>1.2</v>
      </c>
      <c r="E75" s="80" t="s">
        <v>39</v>
      </c>
      <c r="F75" s="81" t="s">
        <v>6</v>
      </c>
      <c r="G75" s="81">
        <f t="shared" ca="1" si="12"/>
        <v>4.7083476915287603</v>
      </c>
      <c r="H75" s="60">
        <f t="shared" ca="1" si="13"/>
        <v>1.1887915441786003</v>
      </c>
      <c r="I75" s="78" t="s">
        <v>6</v>
      </c>
      <c r="J75" s="39" t="str">
        <f t="shared" si="10"/>
        <v>versicolor</v>
      </c>
      <c r="K75" s="25" cm="1">
        <f t="array" ref="K75">$AE$7*NMultDensity(A75:D75,$AE$9:$AE$12,$AA$49:$AD$52)+$AE$20*NMultDensity(A75:D75,$AE$22:$AE$25,$AA$49:$AD$52)+$AE$33*NMultDensity(A75:D75,$AE$35:$AE$38,$AA$49:$AD$52)</f>
        <v>0.25747823080864635</v>
      </c>
      <c r="L75" s="25" cm="1">
        <f t="array" ref="L75">$AE$7*NMultDensity(A75:D75,$AE$9:$AE$12,$AA$49:$AD$52)/K75</f>
        <v>1.7354078992451866E-22</v>
      </c>
      <c r="M75" s="25" cm="1">
        <f t="array" ref="M75">$AE$20*NMultDensity(A75:D75,$AE$22:$AE$25,$AA$49:$AD$52)/K75</f>
        <v>0.99644436152724991</v>
      </c>
      <c r="N75" s="43" cm="1">
        <f t="array" ref="N75">$AE$33*NMultDensity(A75:D75,$AE$35:$AE$38,$AA$49:$AD$52)/K75</f>
        <v>3.5556384727500959E-3</v>
      </c>
      <c r="O75" s="42" t="str">
        <f t="shared" si="11"/>
        <v>versicolor</v>
      </c>
      <c r="P75" s="25" cm="1">
        <f t="array" ref="P75">$AE$7*NMultDensity(C75:D75,$AE$11:$AE$12,$AC$51:$AD$52)+$AE$20*NMultDensity(C75:D75,$AE$24:$AE$25,$AC$51:$AD$52)+$AE$33*NMultDensity(C75:D75,$AE$37:$AE$38,$AC$51:$AD$52)</f>
        <v>0.20159522028544771</v>
      </c>
      <c r="Q75" s="25" cm="1">
        <f t="array" ref="Q75">$AE$7*NMultDensity(C75:D75,$AE$11:$AE$12,$AC$51:$AD$52)/P75</f>
        <v>2.4403337666237513E-10</v>
      </c>
      <c r="R75" s="25" cm="1">
        <f t="array" ref="R75">$AE$20*NMultDensity(C75:D75,$AE$24:$AE$25,$AC$51:$AD$52)/P75</f>
        <v>0.98977710721494561</v>
      </c>
      <c r="S75" s="43" cm="1">
        <f t="array" ref="S75">$AE$33*NMultDensity(C75:D75,$AE$37:$AE$38,$AC$51:$AD$52)/P75</f>
        <v>1.0222892541021114E-2</v>
      </c>
      <c r="T75" s="42" t="str">
        <f t="shared" si="8"/>
        <v>versicolor</v>
      </c>
      <c r="U75" s="25" cm="1">
        <f t="array" ref="U75">$AE$7*NMultDensity(C75:D75,$AE$11:$AE$12,$AC$51:$AD$52)*VLOOKUP($E75,$Z$62:$AD$65,2)+$AE$20*NMultDensity(C75:D75,$AE$24:$AE$25,$AC$51:$AD$52)*VLOOKUP($E75,$Z$62:$AD$65,3)+$AE$33*NMultDensity(C75:D75,$AE$37:$AE$38,$AC$51:$AD$52)*VLOOKUP($E75,$Z$62:$AD$65,4)</f>
        <v>7.6606183698630953E-2</v>
      </c>
      <c r="V75" s="25" cm="1">
        <f t="array" ref="V75">$AE$7*NMultDensity(C75:D75,$AE$11:$AE$12,$AC$51:$AD$52)/U75*VLOOKUP($E75,$Z$62:$AD$65,2)</f>
        <v>1.1559475738123502E-10</v>
      </c>
      <c r="W75" s="25" cm="1">
        <f t="array" ref="W75">$AE$20*NMultDensity(C75:D75,$AE$24:$AE$25,$AC$51:$AD$52)/U75*VLOOKUP($E75,$Z$62:$AD$65,3)</f>
        <v>0.98977710734207103</v>
      </c>
      <c r="X75" s="43" cm="1">
        <f t="array" ref="X75">$AE$33*NMultDensity(C75:D75,$AE$37:$AE$38,$AC$51:$AD$52)/U75*VLOOKUP($E75,$Z$62:$AD$65,4)</f>
        <v>1.0222892542334128E-2</v>
      </c>
    </row>
    <row r="76" spans="1:30" x14ac:dyDescent="0.25">
      <c r="A76" s="71">
        <v>6.4</v>
      </c>
      <c r="B76" s="25">
        <v>2.9</v>
      </c>
      <c r="C76" s="25">
        <v>4.3</v>
      </c>
      <c r="D76" s="68">
        <v>1.3</v>
      </c>
      <c r="E76" s="80" t="s">
        <v>39</v>
      </c>
      <c r="F76" s="81" t="s">
        <v>6</v>
      </c>
      <c r="G76" s="81">
        <f t="shared" ca="1" si="12"/>
        <v>4.2866005271857972</v>
      </c>
      <c r="H76" s="60">
        <f t="shared" ca="1" si="13"/>
        <v>1.2866186835406355</v>
      </c>
      <c r="I76" s="78" t="s">
        <v>6</v>
      </c>
      <c r="J76" s="39" t="str">
        <f t="shared" si="10"/>
        <v>versicolor</v>
      </c>
      <c r="K76" s="25" cm="1">
        <f t="array" ref="K76">$AE$7*NMultDensity(A76:D76,$AE$9:$AE$12,$AA$49:$AD$52)+$AE$20*NMultDensity(A76:D76,$AE$22:$AE$25,$AA$49:$AD$52)+$AE$33*NMultDensity(A76:D76,$AE$35:$AE$38,$AA$49:$AD$52)</f>
        <v>0.40453856413887301</v>
      </c>
      <c r="L76" s="25" cm="1">
        <f t="array" ref="L76">$AE$7*NMultDensity(A76:D76,$AE$9:$AE$12,$AA$49:$AD$52)/K76</f>
        <v>1.8611407495626923E-17</v>
      </c>
      <c r="M76" s="25" cm="1">
        <f t="array" ref="M76">$AE$20*NMultDensity(A76:D76,$AE$22:$AE$25,$AA$49:$AD$52)/K76</f>
        <v>0.99988698286569933</v>
      </c>
      <c r="N76" s="43" cm="1">
        <f t="array" ref="N76">$AE$33*NMultDensity(A76:D76,$AE$35:$AE$38,$AA$49:$AD$52)/K76</f>
        <v>1.130171343006546E-4</v>
      </c>
      <c r="O76" s="42" t="str">
        <f t="shared" si="11"/>
        <v>versicolor</v>
      </c>
      <c r="P76" s="25" cm="1">
        <f t="array" ref="P76">$AE$7*NMultDensity(C76:D76,$AE$11:$AE$12,$AC$51:$AD$52)+$AE$20*NMultDensity(C76:D76,$AE$24:$AE$25,$AC$51:$AD$52)+$AE$33*NMultDensity(C76:D76,$AE$37:$AE$38,$AC$51:$AD$52)</f>
        <v>0.49229462803200891</v>
      </c>
      <c r="Q76" s="25" cm="1">
        <f t="array" ref="Q76">$AE$7*NMultDensity(C76:D76,$AE$11:$AE$12,$AC$51:$AD$52)/P76</f>
        <v>3.0417312938946858E-9</v>
      </c>
      <c r="R76" s="25" cm="1">
        <f t="array" ref="R76">$AE$20*NMultDensity(C76:D76,$AE$24:$AE$25,$AC$51:$AD$52)/P76</f>
        <v>0.99278991380299852</v>
      </c>
      <c r="S76" s="43" cm="1">
        <f t="array" ref="S76">$AE$33*NMultDensity(C76:D76,$AE$37:$AE$38,$AC$51:$AD$52)/P76</f>
        <v>7.2100831552702202E-3</v>
      </c>
      <c r="T76" s="42" t="str">
        <f t="shared" si="8"/>
        <v>versicolor</v>
      </c>
      <c r="U76" s="25" cm="1">
        <f t="array" ref="U76">$AE$7*NMultDensity(C76:D76,$AE$11:$AE$12,$AC$51:$AD$52)*VLOOKUP($E76,$Z$62:$AD$65,2)+$AE$20*NMultDensity(C76:D76,$AE$24:$AE$25,$AC$51:$AD$52)*VLOOKUP($E76,$Z$62:$AD$65,3)+$AE$33*NMultDensity(C76:D76,$AE$37:$AE$38,$AC$51:$AD$52)*VLOOKUP($E76,$Z$62:$AD$65,4)</f>
        <v>0.18707195835267779</v>
      </c>
      <c r="V76" s="25" cm="1">
        <f t="array" ref="V76">$AE$7*NMultDensity(C76:D76,$AE$11:$AE$12,$AC$51:$AD$52)/U76*VLOOKUP($E76,$Z$62:$AD$65,2)</f>
        <v>1.4408200888883182E-9</v>
      </c>
      <c r="W76" s="25" cm="1">
        <f t="array" ref="W76">$AE$20*NMultDensity(C76:D76,$AE$24:$AE$25,$AC$51:$AD$52)/U76*VLOOKUP($E76,$Z$62:$AD$65,3)</f>
        <v>0.99278991539236716</v>
      </c>
      <c r="X76" s="43" cm="1">
        <f t="array" ref="X76">$AE$33*NMultDensity(C76:D76,$AE$37:$AE$38,$AC$51:$AD$52)/U76*VLOOKUP($E76,$Z$62:$AD$65,4)</f>
        <v>7.2100831668129237E-3</v>
      </c>
    </row>
    <row r="77" spans="1:30" x14ac:dyDescent="0.25">
      <c r="A77" s="71">
        <v>6.6</v>
      </c>
      <c r="B77" s="25">
        <v>3</v>
      </c>
      <c r="C77" s="25">
        <v>4.4000000000000004</v>
      </c>
      <c r="D77" s="68">
        <v>1.4</v>
      </c>
      <c r="E77" s="80" t="s">
        <v>39</v>
      </c>
      <c r="F77" s="81" t="s">
        <v>6</v>
      </c>
      <c r="G77" s="81">
        <f t="shared" ca="1" si="12"/>
        <v>4.3775695323217443</v>
      </c>
      <c r="H77" s="60">
        <f t="shared" ca="1" si="13"/>
        <v>1.408763658376917</v>
      </c>
      <c r="I77" s="78" t="s">
        <v>6</v>
      </c>
      <c r="J77" s="39" t="str">
        <f t="shared" si="10"/>
        <v>versicolor</v>
      </c>
      <c r="K77" s="25" cm="1">
        <f t="array" ref="K77">$AE$7*NMultDensity(A77:D77,$AE$9:$AE$12,$AA$49:$AD$52)+$AE$20*NMultDensity(A77:D77,$AE$22:$AE$25,$AA$49:$AD$52)+$AE$33*NMultDensity(A77:D77,$AE$35:$AE$38,$AA$49:$AD$52)</f>
        <v>0.23992727562188262</v>
      </c>
      <c r="L77" s="25" cm="1">
        <f t="array" ref="L77">$AE$7*NMultDensity(A77:D77,$AE$9:$AE$12,$AA$49:$AD$52)/K77</f>
        <v>1.3419574040580322E-17</v>
      </c>
      <c r="M77" s="25" cm="1">
        <f t="array" ref="M77">$AE$20*NMultDensity(A77:D77,$AE$22:$AE$25,$AA$49:$AD$52)/K77</f>
        <v>0.99976800517258813</v>
      </c>
      <c r="N77" s="43" cm="1">
        <f t="array" ref="N77">$AE$33*NMultDensity(A77:D77,$AE$35:$AE$38,$AA$49:$AD$52)/K77</f>
        <v>2.319948274118708E-4</v>
      </c>
      <c r="O77" s="42" t="str">
        <f t="shared" si="11"/>
        <v>versicolor</v>
      </c>
      <c r="P77" s="25" cm="1">
        <f t="array" ref="P77">$AE$7*NMultDensity(C77:D77,$AE$11:$AE$12,$AC$51:$AD$52)+$AE$20*NMultDensity(C77:D77,$AE$24:$AE$25,$AC$51:$AD$52)+$AE$33*NMultDensity(C77:D77,$AE$37:$AE$38,$AC$51:$AD$52)</f>
        <v>0.4792737114197172</v>
      </c>
      <c r="Q77" s="25" cm="1">
        <f t="array" ref="Q77">$AE$7*NMultDensity(C77:D77,$AE$11:$AE$12,$AC$51:$AD$52)/P77</f>
        <v>4.1859639952289119E-10</v>
      </c>
      <c r="R77" s="25" cm="1">
        <f t="array" ref="R77">$AE$20*NMultDensity(C77:D77,$AE$24:$AE$25,$AC$51:$AD$52)/P77</f>
        <v>0.97517139256811836</v>
      </c>
      <c r="S77" s="43" cm="1">
        <f t="array" ref="S77">$AE$33*NMultDensity(C77:D77,$AE$37:$AE$38,$AC$51:$AD$52)/P77</f>
        <v>2.4828607013285292E-2</v>
      </c>
      <c r="T77" s="42" t="str">
        <f t="shared" si="8"/>
        <v>versicolor</v>
      </c>
      <c r="U77" s="25" cm="1">
        <f t="array" ref="U77">$AE$7*NMultDensity(C77:D77,$AE$11:$AE$12,$AC$51:$AD$52)*VLOOKUP($E77,$Z$62:$AD$65,2)+$AE$20*NMultDensity(C77:D77,$AE$24:$AE$25,$AC$51:$AD$52)*VLOOKUP($E77,$Z$62:$AD$65,3)+$AE$33*NMultDensity(C77:D77,$AE$37:$AE$38,$AC$51:$AD$52)*VLOOKUP($E77,$Z$62:$AD$65,4)</f>
        <v>0.18212401029936812</v>
      </c>
      <c r="V77" s="25" cm="1">
        <f t="array" ref="V77">$AE$7*NMultDensity(C77:D77,$AE$11:$AE$12,$AC$51:$AD$52)/U77*VLOOKUP($E77,$Z$62:$AD$65,2)</f>
        <v>1.9828250508084334E-10</v>
      </c>
      <c r="W77" s="25" cm="1">
        <f t="array" ref="W77">$AE$20*NMultDensity(C77:D77,$AE$24:$AE$25,$AC$51:$AD$52)/U77*VLOOKUP($E77,$Z$62:$AD$65,3)</f>
        <v>0.97517139278296194</v>
      </c>
      <c r="X77" s="43" cm="1">
        <f t="array" ref="X77">$AE$33*NMultDensity(C77:D77,$AE$37:$AE$38,$AC$51:$AD$52)/U77*VLOOKUP($E77,$Z$62:$AD$65,4)</f>
        <v>2.4828607018755375E-2</v>
      </c>
    </row>
    <row r="78" spans="1:30" x14ac:dyDescent="0.25">
      <c r="A78" s="71">
        <v>6.8</v>
      </c>
      <c r="B78" s="25">
        <v>2.8</v>
      </c>
      <c r="C78" s="25">
        <v>4.8</v>
      </c>
      <c r="D78" s="68">
        <v>1.4</v>
      </c>
      <c r="E78" s="80" t="s">
        <v>39</v>
      </c>
      <c r="F78" s="81" t="s">
        <v>6</v>
      </c>
      <c r="G78" s="81">
        <f t="shared" ca="1" si="12"/>
        <v>4.789141248177363</v>
      </c>
      <c r="H78" s="60">
        <f t="shared" ca="1" si="13"/>
        <v>1.3955138174328456</v>
      </c>
      <c r="I78" s="78" t="s">
        <v>6</v>
      </c>
      <c r="J78" s="39" t="str">
        <f t="shared" si="10"/>
        <v>versicolor</v>
      </c>
      <c r="K78" s="25" cm="1">
        <f t="array" ref="K78">$AE$7*NMultDensity(A78:D78,$AE$9:$AE$12,$AA$49:$AD$52)+$AE$20*NMultDensity(A78:D78,$AE$22:$AE$25,$AA$49:$AD$52)+$AE$33*NMultDensity(A78:D78,$AE$35:$AE$38,$AA$49:$AD$52)</f>
        <v>0.22409710186379081</v>
      </c>
      <c r="L78" s="25" cm="1">
        <f t="array" ref="L78">$AE$7*NMultDensity(A78:D78,$AE$9:$AE$12,$AA$49:$AD$52)/K78</f>
        <v>2.9153176361377725E-22</v>
      </c>
      <c r="M78" s="25" cm="1">
        <f t="array" ref="M78">$AE$20*NMultDensity(A78:D78,$AE$22:$AE$25,$AA$49:$AD$52)/K78</f>
        <v>0.99493047609950647</v>
      </c>
      <c r="N78" s="43" cm="1">
        <f t="array" ref="N78">$AE$33*NMultDensity(A78:D78,$AE$35:$AE$38,$AA$49:$AD$52)/K78</f>
        <v>5.0695239004934839E-3</v>
      </c>
      <c r="O78" s="42" t="str">
        <f t="shared" si="11"/>
        <v>versicolor</v>
      </c>
      <c r="P78" s="25" cm="1">
        <f t="array" ref="P78">$AE$7*NMultDensity(C78:D78,$AE$11:$AE$12,$AC$51:$AD$52)+$AE$20*NMultDensity(C78:D78,$AE$24:$AE$25,$AC$51:$AD$52)+$AE$33*NMultDensity(C78:D78,$AE$37:$AE$38,$AC$51:$AD$52)</f>
        <v>0.29693858138323798</v>
      </c>
      <c r="Q78" s="25" cm="1">
        <f t="array" ref="Q78">$AE$7*NMultDensity(C78:D78,$AE$11:$AE$12,$AC$51:$AD$52)/P78</f>
        <v>1.0867960396608883E-11</v>
      </c>
      <c r="R78" s="25" cm="1">
        <f t="array" ref="R78">$AE$20*NMultDensity(C78:D78,$AE$24:$AE$25,$AC$51:$AD$52)/P78</f>
        <v>0.91570166924635477</v>
      </c>
      <c r="S78" s="43" cm="1">
        <f t="array" ref="S78">$AE$33*NMultDensity(C78:D78,$AE$37:$AE$38,$AC$51:$AD$52)/P78</f>
        <v>8.4298330742777289E-2</v>
      </c>
      <c r="T78" s="42" t="str">
        <f t="shared" si="8"/>
        <v>versicolor</v>
      </c>
      <c r="U78" s="25" cm="1">
        <f t="array" ref="U78">$AE$7*NMultDensity(C78:D78,$AE$11:$AE$12,$AC$51:$AD$52)*VLOOKUP($E78,$Z$62:$AD$65,2)+$AE$20*NMultDensity(C78:D78,$AE$24:$AE$25,$AC$51:$AD$52)*VLOOKUP($E78,$Z$62:$AD$65,3)+$AE$33*NMultDensity(C78:D78,$AE$37:$AE$38,$AC$51:$AD$52)*VLOOKUP($E78,$Z$62:$AD$65,4)</f>
        <v>0.11283666092498501</v>
      </c>
      <c r="V78" s="25" cm="1">
        <f t="array" ref="V78">$AE$7*NMultDensity(C78:D78,$AE$11:$AE$12,$AC$51:$AD$52)/U78*VLOOKUP($E78,$Z$62:$AD$65,2)</f>
        <v>5.1479812405283902E-12</v>
      </c>
      <c r="W78" s="25" cm="1">
        <f t="array" ref="W78">$AE$20*NMultDensity(C78:D78,$AE$24:$AE$25,$AC$51:$AD$52)/U78*VLOOKUP($E78,$Z$62:$AD$65,3)</f>
        <v>0.91570166925159258</v>
      </c>
      <c r="X78" s="43" cm="1">
        <f t="array" ref="X78">$AE$33*NMultDensity(C78:D78,$AE$37:$AE$38,$AC$51:$AD$52)/U78*VLOOKUP($E78,$Z$62:$AD$65,4)</f>
        <v>8.4298330743259473E-2</v>
      </c>
    </row>
    <row r="79" spans="1:30" x14ac:dyDescent="0.25">
      <c r="A79" s="71">
        <v>6.7</v>
      </c>
      <c r="B79" s="25">
        <v>3</v>
      </c>
      <c r="C79" s="25">
        <v>5</v>
      </c>
      <c r="D79" s="68">
        <v>1.7</v>
      </c>
      <c r="E79" s="80" t="s">
        <v>39</v>
      </c>
      <c r="F79" s="81" t="s">
        <v>6</v>
      </c>
      <c r="G79" s="81">
        <f t="shared" ca="1" si="12"/>
        <v>4.9872893217518692</v>
      </c>
      <c r="H79" s="60">
        <f t="shared" ca="1" si="13"/>
        <v>1.6828427410535796</v>
      </c>
      <c r="I79" s="78" t="s">
        <v>6</v>
      </c>
      <c r="J79" s="39" t="str">
        <f t="shared" si="10"/>
        <v>versicolor</v>
      </c>
      <c r="K79" s="25" cm="1">
        <f t="array" ref="K79">$AE$7*NMultDensity(A79:D79,$AE$9:$AE$12,$AA$49:$AD$52)+$AE$20*NMultDensity(A79:D79,$AE$22:$AE$25,$AA$49:$AD$52)+$AE$33*NMultDensity(A79:D79,$AE$35:$AE$38,$AA$49:$AD$52)</f>
        <v>0.24007108225655971</v>
      </c>
      <c r="L79" s="25" cm="1">
        <f t="array" ref="L79">$AE$7*NMultDensity(A79:D79,$AE$9:$AE$12,$AA$49:$AD$52)/K79</f>
        <v>6.7701641016188937E-26</v>
      </c>
      <c r="M79" s="25" cm="1">
        <f t="array" ref="M79">$AE$20*NMultDensity(A79:D79,$AE$22:$AE$25,$AA$49:$AD$52)/K79</f>
        <v>0.67407415715541663</v>
      </c>
      <c r="N79" s="43" cm="1">
        <f t="array" ref="N79">$AE$33*NMultDensity(A79:D79,$AE$35:$AE$38,$AA$49:$AD$52)/K79</f>
        <v>0.32592584284458337</v>
      </c>
      <c r="O79" s="42" t="str">
        <f t="shared" si="11"/>
        <v>virginica</v>
      </c>
      <c r="P79" s="25" cm="1">
        <f t="array" ref="P79">$AE$7*NMultDensity(C79:D79,$AE$11:$AE$12,$AC$51:$AD$52)+$AE$20*NMultDensity(C79:D79,$AE$24:$AE$25,$AC$51:$AD$52)+$AE$33*NMultDensity(C79:D79,$AE$37:$AE$38,$AC$51:$AD$52)</f>
        <v>0.38247827360682896</v>
      </c>
      <c r="Q79" s="25" cm="1">
        <f t="array" ref="Q79">$AE$7*NMultDensity(C79:D79,$AE$11:$AE$12,$AC$51:$AD$52)/P79</f>
        <v>2.0647830033498598E-14</v>
      </c>
      <c r="R79" s="25" cm="1">
        <f t="array" ref="R79">$AE$20*NMultDensity(C79:D79,$AE$24:$AE$25,$AC$51:$AD$52)/P79</f>
        <v>0.25795687794749256</v>
      </c>
      <c r="S79" s="43" cm="1">
        <f t="array" ref="S79">$AE$33*NMultDensity(C79:D79,$AE$37:$AE$38,$AC$51:$AD$52)/P79</f>
        <v>0.74204312205248679</v>
      </c>
      <c r="T79" s="42" t="str">
        <f t="shared" si="8"/>
        <v>virginica</v>
      </c>
      <c r="U79" s="25" cm="1">
        <f t="array" ref="U79">$AE$7*NMultDensity(C79:D79,$AE$11:$AE$12,$AC$51:$AD$52)*VLOOKUP($E79,$Z$62:$AD$65,2)+$AE$20*NMultDensity(C79:D79,$AE$24:$AE$25,$AC$51:$AD$52)*VLOOKUP($E79,$Z$62:$AD$65,3)+$AE$33*NMultDensity(C79:D79,$AE$37:$AE$38,$AC$51:$AD$52)*VLOOKUP($E79,$Z$62:$AD$65,4)</f>
        <v>0.14534174397059343</v>
      </c>
      <c r="V79" s="25" cm="1">
        <f t="array" ref="V79">$AE$7*NMultDensity(C79:D79,$AE$11:$AE$12,$AC$51:$AD$52)/U79*VLOOKUP($E79,$Z$62:$AD$65,2)</f>
        <v>9.7805510684994419E-15</v>
      </c>
      <c r="W79" s="25" cm="1">
        <f t="array" ref="W79">$AE$20*NMultDensity(C79:D79,$AE$24:$AE$25,$AC$51:$AD$52)/U79*VLOOKUP($E79,$Z$62:$AD$65,3)</f>
        <v>0.25795687794749533</v>
      </c>
      <c r="X79" s="43" cm="1">
        <f t="array" ref="X79">$AE$33*NMultDensity(C79:D79,$AE$37:$AE$38,$AC$51:$AD$52)/U79*VLOOKUP($E79,$Z$62:$AD$65,4)</f>
        <v>0.74204312205249479</v>
      </c>
    </row>
    <row r="80" spans="1:30" x14ac:dyDescent="0.25">
      <c r="A80" s="71">
        <v>6</v>
      </c>
      <c r="B80" s="25">
        <v>2.9</v>
      </c>
      <c r="C80" s="25">
        <v>4.5</v>
      </c>
      <c r="D80" s="68">
        <v>1.5</v>
      </c>
      <c r="E80" s="80" t="s">
        <v>40</v>
      </c>
      <c r="F80" s="81" t="s">
        <v>6</v>
      </c>
      <c r="G80" s="81">
        <f t="shared" ca="1" si="12"/>
        <v>4.4839179451882512</v>
      </c>
      <c r="H80" s="60">
        <f t="shared" ca="1" si="13"/>
        <v>1.5144580352273467</v>
      </c>
      <c r="I80" s="78" t="s">
        <v>6</v>
      </c>
      <c r="J80" s="39" t="str">
        <f t="shared" si="10"/>
        <v>versicolor</v>
      </c>
      <c r="K80" s="25" cm="1">
        <f t="array" ref="K80">$AE$7*NMultDensity(A80:D80,$AE$9:$AE$12,$AA$49:$AD$52)+$AE$20*NMultDensity(A80:D80,$AE$22:$AE$25,$AA$49:$AD$52)+$AE$33*NMultDensity(A80:D80,$AE$35:$AE$38,$AA$49:$AD$52)</f>
        <v>0.64842324195673751</v>
      </c>
      <c r="L80" s="25" cm="1">
        <f t="array" ref="L80">$AE$7*NMultDensity(A80:D80,$AE$9:$AE$12,$AA$49:$AD$52)/K80</f>
        <v>4.6220738997311426E-23</v>
      </c>
      <c r="M80" s="25" cm="1">
        <f t="array" ref="M80">$AE$20*NMultDensity(A80:D80,$AE$22:$AE$25,$AA$49:$AD$52)/K80</f>
        <v>0.97554906198569602</v>
      </c>
      <c r="N80" s="43" cm="1">
        <f t="array" ref="N80">$AE$33*NMultDensity(A80:D80,$AE$35:$AE$38,$AA$49:$AD$52)/K80</f>
        <v>2.4450938014303918E-2</v>
      </c>
      <c r="O80" s="42" t="str">
        <f t="shared" si="11"/>
        <v>versicolor</v>
      </c>
      <c r="P80" s="25" cm="1">
        <f t="array" ref="P80">$AE$7*NMultDensity(C80:D80,$AE$11:$AE$12,$AC$51:$AD$52)+$AE$20*NMultDensity(C80:D80,$AE$24:$AE$25,$AC$51:$AD$52)+$AE$33*NMultDensity(C80:D80,$AE$37:$AE$38,$AC$51:$AD$52)</f>
        <v>0.4082440196006536</v>
      </c>
      <c r="Q80" s="25" cm="1">
        <f t="array" ref="Q80">$AE$7*NMultDensity(C80:D80,$AE$11:$AE$12,$AC$51:$AD$52)/P80</f>
        <v>5.5212038315252506E-11</v>
      </c>
      <c r="R80" s="25" cm="1">
        <f t="array" ref="R80">$AE$20*NMultDensity(C80:D80,$AE$24:$AE$25,$AC$51:$AD$52)/P80</f>
        <v>0.9180539384859322</v>
      </c>
      <c r="S80" s="43" cm="1">
        <f t="array" ref="S80">$AE$33*NMultDensity(C80:D80,$AE$37:$AE$38,$AC$51:$AD$52)/P80</f>
        <v>8.1946061458855857E-2</v>
      </c>
      <c r="T80" s="42" t="str">
        <f t="shared" si="8"/>
        <v>versicolor</v>
      </c>
      <c r="U80" s="25" cm="1">
        <f t="array" ref="U80">$AE$7*NMultDensity(C80:D80,$AE$11:$AE$12,$AC$51:$AD$52)*VLOOKUP($E80,$Z$62:$AD$65,2)+$AE$20*NMultDensity(C80:D80,$AE$24:$AE$25,$AC$51:$AD$52)*VLOOKUP($E80,$Z$62:$AD$65,3)+$AE$33*NMultDensity(C80:D80,$AE$37:$AE$38,$AC$51:$AD$52)*VLOOKUP($E80,$Z$62:$AD$65,4)</f>
        <v>6.7462205414444656E-2</v>
      </c>
      <c r="V80" s="25" cm="1">
        <f t="array" ref="V80">$AE$7*NMultDensity(C80:D80,$AE$11:$AE$12,$AC$51:$AD$52)/U80*VLOOKUP($E80,$Z$62:$AD$65,2)</f>
        <v>6.0140298949088465E-11</v>
      </c>
      <c r="W80" s="25" cm="1">
        <f t="array" ref="W80">$AE$20*NMultDensity(C80:D80,$AE$24:$AE$25,$AC$51:$AD$52)/U80*VLOOKUP($E80,$Z$62:$AD$65,3)</f>
        <v>0.99999999993985966</v>
      </c>
      <c r="X80" s="43" cm="1">
        <f t="array" ref="X80">$AE$33*NMultDensity(C80:D80,$AE$37:$AE$38,$AC$51:$AD$52)/U80*VLOOKUP($E80,$Z$62:$AD$65,4)</f>
        <v>0</v>
      </c>
    </row>
    <row r="81" spans="1:24" x14ac:dyDescent="0.25">
      <c r="A81" s="71">
        <v>5.7</v>
      </c>
      <c r="B81" s="25">
        <v>2.6</v>
      </c>
      <c r="C81" s="25">
        <v>3.5</v>
      </c>
      <c r="D81" s="68">
        <v>1</v>
      </c>
      <c r="E81" s="80" t="s">
        <v>40</v>
      </c>
      <c r="F81" s="81" t="s">
        <v>6</v>
      </c>
      <c r="G81" s="81">
        <f t="shared" ca="1" si="12"/>
        <v>3.4999821831627393</v>
      </c>
      <c r="H81" s="60">
        <f t="shared" ca="1" si="13"/>
        <v>1.0052519250501879</v>
      </c>
      <c r="I81" s="78" t="s">
        <v>6</v>
      </c>
      <c r="J81" s="39" t="str">
        <f t="shared" si="10"/>
        <v>versicolor</v>
      </c>
      <c r="K81" s="25" cm="1">
        <f t="array" ref="K81">$AE$7*NMultDensity(A81:D81,$AE$9:$AE$12,$AA$49:$AD$52)+$AE$20*NMultDensity(A81:D81,$AE$22:$AE$25,$AA$49:$AD$52)+$AE$33*NMultDensity(A81:D81,$AE$35:$AE$38,$AA$49:$AD$52)</f>
        <v>7.9455388778113353E-2</v>
      </c>
      <c r="L81" s="25" cm="1">
        <f t="array" ref="L81">$AE$7*NMultDensity(A81:D81,$AE$9:$AE$12,$AA$49:$AD$52)/K81</f>
        <v>9.5579490784408782E-13</v>
      </c>
      <c r="M81" s="25" cm="1">
        <f t="array" ref="M81">$AE$20*NMultDensity(A81:D81,$AE$22:$AE$25,$AA$49:$AD$52)/K81</f>
        <v>0.99999956040874538</v>
      </c>
      <c r="N81" s="43" cm="1">
        <f t="array" ref="N81">$AE$33*NMultDensity(A81:D81,$AE$35:$AE$38,$AA$49:$AD$52)/K81</f>
        <v>4.3959029884146657E-7</v>
      </c>
      <c r="O81" s="42" t="str">
        <f t="shared" si="11"/>
        <v>versicolor</v>
      </c>
      <c r="P81" s="25" cm="1">
        <f t="array" ref="P81">$AE$7*NMultDensity(C81:D81,$AE$11:$AE$12,$AC$51:$AD$52)+$AE$20*NMultDensity(C81:D81,$AE$24:$AE$25,$AC$51:$AD$52)+$AE$33*NMultDensity(C81:D81,$AE$37:$AE$38,$AC$51:$AD$52)</f>
        <v>0.11561241187687193</v>
      </c>
      <c r="Q81" s="25" cm="1">
        <f t="array" ref="Q81">$AE$7*NMultDensity(C81:D81,$AE$11:$AE$12,$AC$51:$AD$52)/P81</f>
        <v>9.8799188525331333E-5</v>
      </c>
      <c r="R81" s="25" cm="1">
        <f t="array" ref="R81">$AE$20*NMultDensity(C81:D81,$AE$24:$AE$25,$AC$51:$AD$52)/P81</f>
        <v>0.99986740071709423</v>
      </c>
      <c r="S81" s="43" cm="1">
        <f t="array" ref="S81">$AE$33*NMultDensity(C81:D81,$AE$37:$AE$38,$AC$51:$AD$52)/P81</f>
        <v>3.3800094380412714E-5</v>
      </c>
      <c r="T81" s="42" t="str">
        <f t="shared" si="8"/>
        <v>versicolor</v>
      </c>
      <c r="U81" s="25" cm="1">
        <f t="array" ref="U81">$AE$7*NMultDensity(C81:D81,$AE$11:$AE$12,$AC$51:$AD$52)*VLOOKUP($E81,$Z$62:$AD$65,2)+$AE$20*NMultDensity(C81:D81,$AE$24:$AE$25,$AC$51:$AD$52)*VLOOKUP($E81,$Z$62:$AD$65,3)+$AE$33*NMultDensity(C81:D81,$AE$37:$AE$38,$AC$51:$AD$52)*VLOOKUP($E81,$Z$62:$AD$65,4)</f>
        <v>2.0809530749959008E-2</v>
      </c>
      <c r="V81" s="25" cm="1">
        <f t="array" ref="V81">$AE$7*NMultDensity(C81:D81,$AE$11:$AE$12,$AC$51:$AD$52)/U81*VLOOKUP($E81,$Z$62:$AD$65,2)</f>
        <v>9.8802528060104792E-5</v>
      </c>
      <c r="W81" s="25" cm="1">
        <f t="array" ref="W81">$AE$20*NMultDensity(C81:D81,$AE$24:$AE$25,$AC$51:$AD$52)/U81*VLOOKUP($E81,$Z$62:$AD$65,3)</f>
        <v>0.99990119747193995</v>
      </c>
      <c r="X81" s="43" cm="1">
        <f t="array" ref="X81">$AE$33*NMultDensity(C81:D81,$AE$37:$AE$38,$AC$51:$AD$52)/U81*VLOOKUP($E81,$Z$62:$AD$65,4)</f>
        <v>0</v>
      </c>
    </row>
    <row r="82" spans="1:24" x14ac:dyDescent="0.25">
      <c r="A82" s="71">
        <v>5.5</v>
      </c>
      <c r="B82" s="25">
        <v>2.4</v>
      </c>
      <c r="C82" s="25">
        <v>3.8</v>
      </c>
      <c r="D82" s="68">
        <v>1.1000000000000001</v>
      </c>
      <c r="E82" s="80" t="s">
        <v>40</v>
      </c>
      <c r="F82" s="81" t="s">
        <v>6</v>
      </c>
      <c r="G82" s="81">
        <f t="shared" ca="1" si="12"/>
        <v>3.8022435249315167</v>
      </c>
      <c r="H82" s="60">
        <f t="shared" ca="1" si="13"/>
        <v>1.0786762354090669</v>
      </c>
      <c r="I82" s="78" t="s">
        <v>6</v>
      </c>
      <c r="J82" s="39" t="str">
        <f t="shared" si="10"/>
        <v>versicolor</v>
      </c>
      <c r="K82" s="25" cm="1">
        <f t="array" ref="K82">$AE$7*NMultDensity(A82:D82,$AE$9:$AE$12,$AA$49:$AD$52)+$AE$20*NMultDensity(A82:D82,$AE$22:$AE$25,$AA$49:$AD$52)+$AE$33*NMultDensity(A82:D82,$AE$35:$AE$38,$AA$49:$AD$52)</f>
        <v>0.41718963826578592</v>
      </c>
      <c r="L82" s="25" cm="1">
        <f t="array" ref="L82">$AE$7*NMultDensity(A82:D82,$AE$9:$AE$12,$AA$49:$AD$52)/K82</f>
        <v>3.3655622451477006E-19</v>
      </c>
      <c r="M82" s="25" cm="1">
        <f t="array" ref="M82">$AE$20*NMultDensity(A82:D82,$AE$22:$AE$25,$AA$49:$AD$52)/K82</f>
        <v>0.99993093149531098</v>
      </c>
      <c r="N82" s="43" cm="1">
        <f t="array" ref="N82">$AE$33*NMultDensity(A82:D82,$AE$35:$AE$38,$AA$49:$AD$52)/K82</f>
        <v>6.9068504689014887E-5</v>
      </c>
      <c r="O82" s="42" t="str">
        <f t="shared" si="11"/>
        <v>versicolor</v>
      </c>
      <c r="P82" s="25" cm="1">
        <f t="array" ref="P82">$AE$7*NMultDensity(C82:D82,$AE$11:$AE$12,$AC$51:$AD$52)+$AE$20*NMultDensity(C82:D82,$AE$24:$AE$25,$AC$51:$AD$52)+$AE$33*NMultDensity(C82:D82,$AE$37:$AE$38,$AC$51:$AD$52)</f>
        <v>0.27107554307934312</v>
      </c>
      <c r="Q82" s="25" cm="1">
        <f t="array" ref="Q82">$AE$7*NMultDensity(C82:D82,$AE$11:$AE$12,$AC$51:$AD$52)/P82</f>
        <v>2.3014572392672049E-6</v>
      </c>
      <c r="R82" s="25" cm="1">
        <f t="array" ref="R82">$AE$20*NMultDensity(C82:D82,$AE$24:$AE$25,$AC$51:$AD$52)/P82</f>
        <v>0.9997723981676504</v>
      </c>
      <c r="S82" s="43" cm="1">
        <f t="array" ref="S82">$AE$33*NMultDensity(C82:D82,$AE$37:$AE$38,$AC$51:$AD$52)/P82</f>
        <v>2.2530037511029962E-4</v>
      </c>
      <c r="T82" s="42" t="str">
        <f t="shared" si="8"/>
        <v>versicolor</v>
      </c>
      <c r="U82" s="25" cm="1">
        <f t="array" ref="U82">$AE$7*NMultDensity(C82:D82,$AE$11:$AE$12,$AC$51:$AD$52)*VLOOKUP($E82,$Z$62:$AD$65,2)+$AE$20*NMultDensity(C82:D82,$AE$24:$AE$25,$AC$51:$AD$52)*VLOOKUP($E82,$Z$62:$AD$65,3)+$AE$33*NMultDensity(C82:D82,$AE$37:$AE$38,$AC$51:$AD$52)*VLOOKUP($E82,$Z$62:$AD$65,4)</f>
        <v>4.8782604538404731E-2</v>
      </c>
      <c r="V82" s="25" cm="1">
        <f t="array" ref="V82">$AE$7*NMultDensity(C82:D82,$AE$11:$AE$12,$AC$51:$AD$52)/U82*VLOOKUP($E82,$Z$62:$AD$65,2)</f>
        <v>2.3019758752954044E-6</v>
      </c>
      <c r="W82" s="25" cm="1">
        <f t="array" ref="W82">$AE$20*NMultDensity(C82:D82,$AE$24:$AE$25,$AC$51:$AD$52)/U82*VLOOKUP($E82,$Z$62:$AD$65,3)</f>
        <v>0.99999769802412486</v>
      </c>
      <c r="X82" s="43" cm="1">
        <f t="array" ref="X82">$AE$33*NMultDensity(C82:D82,$AE$37:$AE$38,$AC$51:$AD$52)/U82*VLOOKUP($E82,$Z$62:$AD$65,4)</f>
        <v>0</v>
      </c>
    </row>
    <row r="83" spans="1:24" x14ac:dyDescent="0.25">
      <c r="A83" s="71">
        <v>5.5</v>
      </c>
      <c r="B83" s="25">
        <v>2.4</v>
      </c>
      <c r="C83" s="25">
        <v>3.7</v>
      </c>
      <c r="D83" s="68">
        <v>1</v>
      </c>
      <c r="E83" s="80" t="s">
        <v>40</v>
      </c>
      <c r="F83" s="81" t="s">
        <v>6</v>
      </c>
      <c r="G83" s="81">
        <f t="shared" ca="1" si="12"/>
        <v>3.7091377299960602</v>
      </c>
      <c r="H83" s="60">
        <f t="shared" ca="1" si="13"/>
        <v>0.99742051720034641</v>
      </c>
      <c r="I83" s="78" t="s">
        <v>6</v>
      </c>
      <c r="J83" s="39" t="str">
        <f t="shared" si="10"/>
        <v>versicolor</v>
      </c>
      <c r="K83" s="25" cm="1">
        <f t="array" ref="K83">$AE$7*NMultDensity(A83:D83,$AE$9:$AE$12,$AA$49:$AD$52)+$AE$20*NMultDensity(A83:D83,$AE$22:$AE$25,$AA$49:$AD$52)+$AE$33*NMultDensity(A83:D83,$AE$35:$AE$38,$AA$49:$AD$52)</f>
        <v>0.27598495522095606</v>
      </c>
      <c r="L83" s="25" cm="1">
        <f t="array" ref="L83">$AE$7*NMultDensity(A83:D83,$AE$9:$AE$12,$AA$49:$AD$52)/K83</f>
        <v>2.7409750470131003E-17</v>
      </c>
      <c r="M83" s="25" cm="1">
        <f t="array" ref="M83">$AE$20*NMultDensity(A83:D83,$AE$22:$AE$25,$AA$49:$AD$52)/K83</f>
        <v>0.99998988308768577</v>
      </c>
      <c r="N83" s="43" cm="1">
        <f t="array" ref="N83">$AE$33*NMultDensity(A83:D83,$AE$35:$AE$38,$AA$49:$AD$52)/K83</f>
        <v>1.0116912314122325E-5</v>
      </c>
      <c r="O83" s="42" t="str">
        <f t="shared" si="11"/>
        <v>versicolor</v>
      </c>
      <c r="P83" s="25" cm="1">
        <f t="array" ref="P83">$AE$7*NMultDensity(C83:D83,$AE$11:$AE$12,$AC$51:$AD$52)+$AE$20*NMultDensity(C83:D83,$AE$24:$AE$25,$AC$51:$AD$52)+$AE$33*NMultDensity(C83:D83,$AE$37:$AE$38,$AC$51:$AD$52)</f>
        <v>0.16527789863851497</v>
      </c>
      <c r="Q83" s="25" cm="1">
        <f t="array" ref="Q83">$AE$7*NMultDensity(C83:D83,$AE$11:$AE$12,$AC$51:$AD$52)/P83</f>
        <v>1.6429171784627662E-5</v>
      </c>
      <c r="R83" s="25" cm="1">
        <f t="array" ref="R83">$AE$20*NMultDensity(C83:D83,$AE$24:$AE$25,$AC$51:$AD$52)/P83</f>
        <v>0.99991929654576994</v>
      </c>
      <c r="S83" s="43" cm="1">
        <f t="array" ref="S83">$AE$33*NMultDensity(C83:D83,$AE$37:$AE$38,$AC$51:$AD$52)/P83</f>
        <v>6.4274282445364638E-5</v>
      </c>
      <c r="T83" s="42" t="str">
        <f t="shared" si="8"/>
        <v>versicolor</v>
      </c>
      <c r="U83" s="25" cm="1">
        <f t="array" ref="U83">$AE$7*NMultDensity(C83:D83,$AE$11:$AE$12,$AC$51:$AD$52)*VLOOKUP($E83,$Z$62:$AD$65,2)+$AE$20*NMultDensity(C83:D83,$AE$24:$AE$25,$AC$51:$AD$52)*VLOOKUP($E83,$Z$62:$AD$65,3)+$AE$33*NMultDensity(C83:D83,$AE$37:$AE$38,$AC$51:$AD$52)*VLOOKUP($E83,$Z$62:$AD$65,4)</f>
        <v>2.9748109593631659E-2</v>
      </c>
      <c r="V83" s="25" cm="1">
        <f t="array" ref="V83">$AE$7*NMultDensity(C83:D83,$AE$11:$AE$12,$AC$51:$AD$52)/U83*VLOOKUP($E83,$Z$62:$AD$65,2)</f>
        <v>1.6430227825731574E-5</v>
      </c>
      <c r="W83" s="25" cm="1">
        <f t="array" ref="W83">$AE$20*NMultDensity(C83:D83,$AE$24:$AE$25,$AC$51:$AD$52)/U83*VLOOKUP($E83,$Z$62:$AD$65,3)</f>
        <v>0.99998356977217429</v>
      </c>
      <c r="X83" s="43" cm="1">
        <f t="array" ref="X83">$AE$33*NMultDensity(C83:D83,$AE$37:$AE$38,$AC$51:$AD$52)/U83*VLOOKUP($E83,$Z$62:$AD$65,4)</f>
        <v>0</v>
      </c>
    </row>
    <row r="84" spans="1:24" x14ac:dyDescent="0.25">
      <c r="A84" s="71">
        <v>5.8</v>
      </c>
      <c r="B84" s="25">
        <v>2.7</v>
      </c>
      <c r="C84" s="25">
        <v>3.9</v>
      </c>
      <c r="D84" s="68">
        <v>1.2</v>
      </c>
      <c r="E84" s="80" t="s">
        <v>40</v>
      </c>
      <c r="F84" s="81" t="s">
        <v>6</v>
      </c>
      <c r="G84" s="81">
        <f t="shared" ca="1" si="12"/>
        <v>3.9125716700962987</v>
      </c>
      <c r="H84" s="60">
        <f t="shared" ca="1" si="13"/>
        <v>1.1756459337657601</v>
      </c>
      <c r="I84" s="78" t="s">
        <v>6</v>
      </c>
      <c r="J84" s="39" t="str">
        <f t="shared" si="10"/>
        <v>versicolor</v>
      </c>
      <c r="K84" s="25" cm="1">
        <f t="array" ref="K84">$AE$7*NMultDensity(A84:D84,$AE$9:$AE$12,$AA$49:$AD$52)+$AE$20*NMultDensity(A84:D84,$AE$22:$AE$25,$AA$49:$AD$52)+$AE$33*NMultDensity(A84:D84,$AE$35:$AE$38,$AA$49:$AD$52)</f>
        <v>0.58912264062269382</v>
      </c>
      <c r="L84" s="25" cm="1">
        <f t="array" ref="L84">$AE$7*NMultDensity(A84:D84,$AE$9:$AE$12,$AA$49:$AD$52)/K84</f>
        <v>3.9201198613196045E-17</v>
      </c>
      <c r="M84" s="25" cm="1">
        <f t="array" ref="M84">$AE$20*NMultDensity(A84:D84,$AE$22:$AE$25,$AA$49:$AD$52)/K84</f>
        <v>0.99995870123038633</v>
      </c>
      <c r="N84" s="43" cm="1">
        <f t="array" ref="N84">$AE$33*NMultDensity(A84:D84,$AE$35:$AE$38,$AA$49:$AD$52)/K84</f>
        <v>4.1298769613650766E-5</v>
      </c>
      <c r="O84" s="42" t="str">
        <f t="shared" si="11"/>
        <v>versicolor</v>
      </c>
      <c r="P84" s="25" cm="1">
        <f t="array" ref="P84">$AE$7*NMultDensity(C84:D84,$AE$11:$AE$12,$AC$51:$AD$52)+$AE$20*NMultDensity(C84:D84,$AE$24:$AE$25,$AC$51:$AD$52)+$AE$33*NMultDensity(C84:D84,$AE$37:$AE$38,$AC$51:$AD$52)</f>
        <v>0.37298185279864904</v>
      </c>
      <c r="Q84" s="25" cm="1">
        <f t="array" ref="Q84">$AE$7*NMultDensity(C84:D84,$AE$11:$AE$12,$AC$51:$AD$52)/P84</f>
        <v>3.2226244630922288E-7</v>
      </c>
      <c r="R84" s="25" cm="1">
        <f t="array" ref="R84">$AE$20*NMultDensity(C84:D84,$AE$24:$AE$25,$AC$51:$AD$52)/P84</f>
        <v>0.99921026134127033</v>
      </c>
      <c r="S84" s="43" cm="1">
        <f t="array" ref="S84">$AE$33*NMultDensity(C84:D84,$AE$37:$AE$38,$AC$51:$AD$52)/P84</f>
        <v>7.8941639628334547E-4</v>
      </c>
      <c r="T84" s="42" t="str">
        <f t="shared" ref="T84:T115" si="14">IF(V84&gt;MAX(W84:X84),$I$2,IF(W84&gt;X84,$I$52,$I$102))</f>
        <v>versicolor</v>
      </c>
      <c r="U84" s="25" cm="1">
        <f t="array" ref="U84">$AE$7*NMultDensity(C84:D84,$AE$11:$AE$12,$AC$51:$AD$52)*VLOOKUP($E84,$Z$62:$AD$65,2)+$AE$20*NMultDensity(C84:D84,$AE$24:$AE$25,$AC$51:$AD$52)*VLOOKUP($E84,$Z$62:$AD$65,3)+$AE$33*NMultDensity(C84:D84,$AE$37:$AE$38,$AC$51:$AD$52)*VLOOKUP($E84,$Z$62:$AD$65,4)</f>
        <v>6.7083734665536063E-2</v>
      </c>
      <c r="V84" s="25" cm="1">
        <f t="array" ref="V84">$AE$7*NMultDensity(C84:D84,$AE$11:$AE$12,$AC$51:$AD$52)/U84*VLOOKUP($E84,$Z$62:$AD$65,2)</f>
        <v>3.2251704655385333E-7</v>
      </c>
      <c r="W84" s="25" cm="1">
        <f t="array" ref="W84">$AE$20*NMultDensity(C84:D84,$AE$24:$AE$25,$AC$51:$AD$52)/U84*VLOOKUP($E84,$Z$62:$AD$65,3)</f>
        <v>0.99999967748295326</v>
      </c>
      <c r="X84" s="43" cm="1">
        <f t="array" ref="X84">$AE$33*NMultDensity(C84:D84,$AE$37:$AE$38,$AC$51:$AD$52)/U84*VLOOKUP($E84,$Z$62:$AD$65,4)</f>
        <v>0</v>
      </c>
    </row>
    <row r="85" spans="1:24" x14ac:dyDescent="0.25">
      <c r="A85" s="71">
        <v>6</v>
      </c>
      <c r="B85" s="25">
        <v>2.7</v>
      </c>
      <c r="C85" s="25">
        <v>5.0999999999999996</v>
      </c>
      <c r="D85" s="68">
        <v>1.6</v>
      </c>
      <c r="E85" s="80" t="s">
        <v>40</v>
      </c>
      <c r="F85" s="81" t="s">
        <v>6</v>
      </c>
      <c r="G85" s="81">
        <f t="shared" ca="1" si="12"/>
        <v>5.0941718873532293</v>
      </c>
      <c r="H85" s="60">
        <f t="shared" ca="1" si="13"/>
        <v>1.5908670035319001</v>
      </c>
      <c r="I85" s="78" t="s">
        <v>6</v>
      </c>
      <c r="J85" s="39" t="str">
        <f t="shared" si="10"/>
        <v>virginica</v>
      </c>
      <c r="K85" s="25" cm="1">
        <f t="array" ref="K85">$AE$7*NMultDensity(A85:D85,$AE$9:$AE$12,$AA$49:$AD$52)+$AE$20*NMultDensity(A85:D85,$AE$22:$AE$25,$AA$49:$AD$52)+$AE$33*NMultDensity(A85:D85,$AE$35:$AE$38,$AA$49:$AD$52)</f>
        <v>0.27677968145765319</v>
      </c>
      <c r="L85" s="25" cm="1">
        <f t="array" ref="L85">$AE$7*NMultDensity(A85:D85,$AE$9:$AE$12,$AA$49:$AD$52)/K85</f>
        <v>1.0133428574588866E-32</v>
      </c>
      <c r="M85" s="25" cm="1">
        <f t="array" ref="M85">$AE$20*NMultDensity(A85:D85,$AE$22:$AE$25,$AA$49:$AD$52)/K85</f>
        <v>5.417253225547191E-2</v>
      </c>
      <c r="N85" s="43" cm="1">
        <f t="array" ref="N85">$AE$33*NMultDensity(A85:D85,$AE$35:$AE$38,$AA$49:$AD$52)/K85</f>
        <v>0.94582746774452808</v>
      </c>
      <c r="O85" s="42" t="str">
        <f t="shared" si="11"/>
        <v>virginica</v>
      </c>
      <c r="P85" s="25" cm="1">
        <f t="array" ref="P85">$AE$7*NMultDensity(C85:D85,$AE$11:$AE$12,$AC$51:$AD$52)+$AE$20*NMultDensity(C85:D85,$AE$24:$AE$25,$AC$51:$AD$52)+$AE$33*NMultDensity(C85:D85,$AE$37:$AE$38,$AC$51:$AD$52)</f>
        <v>0.27883716283857035</v>
      </c>
      <c r="Q85" s="25" cm="1">
        <f t="array" ref="Q85">$AE$7*NMultDensity(C85:D85,$AE$11:$AE$12,$AC$51:$AD$52)/P85</f>
        <v>3.7105303530691059E-14</v>
      </c>
      <c r="R85" s="25" cm="1">
        <f t="array" ref="R85">$AE$20*NMultDensity(C85:D85,$AE$24:$AE$25,$AC$51:$AD$52)/P85</f>
        <v>0.39058897274120641</v>
      </c>
      <c r="S85" s="43" cm="1">
        <f t="array" ref="S85">$AE$33*NMultDensity(C85:D85,$AE$37:$AE$38,$AC$51:$AD$52)/P85</f>
        <v>0.6094110272587564</v>
      </c>
      <c r="T85" s="42" t="str">
        <f t="shared" si="14"/>
        <v>versicolor</v>
      </c>
      <c r="U85" s="25" cm="1">
        <f t="array" ref="U85">$AE$7*NMultDensity(C85:D85,$AE$11:$AE$12,$AC$51:$AD$52)*VLOOKUP($E85,$Z$62:$AD$65,2)+$AE$20*NMultDensity(C85:D85,$AE$24:$AE$25,$AC$51:$AD$52)*VLOOKUP($E85,$Z$62:$AD$65,3)+$AE$33*NMultDensity(C85:D85,$AE$37:$AE$38,$AC$51:$AD$52)*VLOOKUP($E85,$Z$62:$AD$65,4)</f>
        <v>1.9603929779136005E-2</v>
      </c>
      <c r="V85" s="25" cm="1">
        <f t="array" ref="V85">$AE$7*NMultDensity(C85:D85,$AE$11:$AE$12,$AC$51:$AD$52)/U85*VLOOKUP($E85,$Z$62:$AD$65,2)</f>
        <v>9.4998338714678693E-14</v>
      </c>
      <c r="W85" s="25" cm="1">
        <f t="array" ref="W85">$AE$20*NMultDensity(C85:D85,$AE$24:$AE$25,$AC$51:$AD$52)/U85*VLOOKUP($E85,$Z$62:$AD$65,3)</f>
        <v>0.99999999999990496</v>
      </c>
      <c r="X85" s="43" cm="1">
        <f t="array" ref="X85">$AE$33*NMultDensity(C85:D85,$AE$37:$AE$38,$AC$51:$AD$52)/U85*VLOOKUP($E85,$Z$62:$AD$65,4)</f>
        <v>0</v>
      </c>
    </row>
    <row r="86" spans="1:24" x14ac:dyDescent="0.25">
      <c r="A86" s="71">
        <v>5.4</v>
      </c>
      <c r="B86" s="25">
        <v>3</v>
      </c>
      <c r="C86" s="25">
        <v>4.5</v>
      </c>
      <c r="D86" s="68">
        <v>1.5</v>
      </c>
      <c r="E86" s="80" t="s">
        <v>40</v>
      </c>
      <c r="F86" s="81" t="s">
        <v>6</v>
      </c>
      <c r="G86" s="81">
        <f t="shared" ca="1" si="12"/>
        <v>4.4901891015609845</v>
      </c>
      <c r="H86" s="60">
        <f t="shared" ca="1" si="13"/>
        <v>1.5129640476463329</v>
      </c>
      <c r="I86" s="78" t="s">
        <v>6</v>
      </c>
      <c r="J86" s="39" t="str">
        <f t="shared" si="10"/>
        <v>versicolor</v>
      </c>
      <c r="K86" s="25" cm="1">
        <f t="array" ref="K86">$AE$7*NMultDensity(A86:D86,$AE$9:$AE$12,$AA$49:$AD$52)+$AE$20*NMultDensity(A86:D86,$AE$22:$AE$25,$AA$49:$AD$52)+$AE$33*NMultDensity(A86:D86,$AE$35:$AE$38,$AA$49:$AD$52)</f>
        <v>3.3203398182748117E-2</v>
      </c>
      <c r="L86" s="25" cm="1">
        <f t="array" ref="L86">$AE$7*NMultDensity(A86:D86,$AE$9:$AE$12,$AA$49:$AD$52)/K86</f>
        <v>6.7738793971671286E-25</v>
      </c>
      <c r="M86" s="25" cm="1">
        <f t="array" ref="M86">$AE$20*NMultDensity(A86:D86,$AE$22:$AE$25,$AA$49:$AD$52)/K86</f>
        <v>0.85429980984202258</v>
      </c>
      <c r="N86" s="43" cm="1">
        <f t="array" ref="N86">$AE$33*NMultDensity(A86:D86,$AE$35:$AE$38,$AA$49:$AD$52)/K86</f>
        <v>0.14570019015797731</v>
      </c>
      <c r="O86" s="42" t="str">
        <f t="shared" si="11"/>
        <v>versicolor</v>
      </c>
      <c r="P86" s="25" cm="1">
        <f t="array" ref="P86">$AE$7*NMultDensity(C86:D86,$AE$11:$AE$12,$AC$51:$AD$52)+$AE$20*NMultDensity(C86:D86,$AE$24:$AE$25,$AC$51:$AD$52)+$AE$33*NMultDensity(C86:D86,$AE$37:$AE$38,$AC$51:$AD$52)</f>
        <v>0.4082440196006536</v>
      </c>
      <c r="Q86" s="25" cm="1">
        <f t="array" ref="Q86">$AE$7*NMultDensity(C86:D86,$AE$11:$AE$12,$AC$51:$AD$52)/P86</f>
        <v>5.5212038315252506E-11</v>
      </c>
      <c r="R86" s="25" cm="1">
        <f t="array" ref="R86">$AE$20*NMultDensity(C86:D86,$AE$24:$AE$25,$AC$51:$AD$52)/P86</f>
        <v>0.9180539384859322</v>
      </c>
      <c r="S86" s="43" cm="1">
        <f t="array" ref="S86">$AE$33*NMultDensity(C86:D86,$AE$37:$AE$38,$AC$51:$AD$52)/P86</f>
        <v>8.1946061458855857E-2</v>
      </c>
      <c r="T86" s="42" t="str">
        <f t="shared" si="14"/>
        <v>versicolor</v>
      </c>
      <c r="U86" s="25" cm="1">
        <f t="array" ref="U86">$AE$7*NMultDensity(C86:D86,$AE$11:$AE$12,$AC$51:$AD$52)*VLOOKUP($E86,$Z$62:$AD$65,2)+$AE$20*NMultDensity(C86:D86,$AE$24:$AE$25,$AC$51:$AD$52)*VLOOKUP($E86,$Z$62:$AD$65,3)+$AE$33*NMultDensity(C86:D86,$AE$37:$AE$38,$AC$51:$AD$52)*VLOOKUP($E86,$Z$62:$AD$65,4)</f>
        <v>6.7462205414444656E-2</v>
      </c>
      <c r="V86" s="25" cm="1">
        <f t="array" ref="V86">$AE$7*NMultDensity(C86:D86,$AE$11:$AE$12,$AC$51:$AD$52)/U86*VLOOKUP($E86,$Z$62:$AD$65,2)</f>
        <v>6.0140298949088465E-11</v>
      </c>
      <c r="W86" s="25" cm="1">
        <f t="array" ref="W86">$AE$20*NMultDensity(C86:D86,$AE$24:$AE$25,$AC$51:$AD$52)/U86*VLOOKUP($E86,$Z$62:$AD$65,3)</f>
        <v>0.99999999993985966</v>
      </c>
      <c r="X86" s="43" cm="1">
        <f t="array" ref="X86">$AE$33*NMultDensity(C86:D86,$AE$37:$AE$38,$AC$51:$AD$52)/U86*VLOOKUP($E86,$Z$62:$AD$65,4)</f>
        <v>0</v>
      </c>
    </row>
    <row r="87" spans="1:24" x14ac:dyDescent="0.25">
      <c r="A87" s="71">
        <v>6</v>
      </c>
      <c r="B87" s="25">
        <v>3.4</v>
      </c>
      <c r="C87" s="25">
        <v>4.5</v>
      </c>
      <c r="D87" s="68">
        <v>1.6</v>
      </c>
      <c r="E87" s="80" t="s">
        <v>40</v>
      </c>
      <c r="F87" s="81" t="s">
        <v>6</v>
      </c>
      <c r="G87" s="81">
        <f t="shared" ca="1" si="12"/>
        <v>4.4996830695470935</v>
      </c>
      <c r="H87" s="60">
        <f t="shared" ca="1" si="13"/>
        <v>1.614363620992977</v>
      </c>
      <c r="I87" s="78" t="s">
        <v>6</v>
      </c>
      <c r="J87" s="39" t="str">
        <f t="shared" si="10"/>
        <v>versicolor</v>
      </c>
      <c r="K87" s="25" cm="1">
        <f t="array" ref="K87">$AE$7*NMultDensity(A87:D87,$AE$9:$AE$12,$AA$49:$AD$52)+$AE$20*NMultDensity(A87:D87,$AE$22:$AE$25,$AA$49:$AD$52)+$AE$33*NMultDensity(A87:D87,$AE$35:$AE$38,$AA$49:$AD$52)</f>
        <v>7.9152440688801881E-2</v>
      </c>
      <c r="L87" s="25" cm="1">
        <f t="array" ref="L87">$AE$7*NMultDensity(A87:D87,$AE$9:$AE$12,$AA$49:$AD$52)/K87</f>
        <v>1.3145309652238885E-19</v>
      </c>
      <c r="M87" s="25" cm="1">
        <f t="array" ref="M87">$AE$20*NMultDensity(A87:D87,$AE$22:$AE$25,$AA$49:$AD$52)/K87</f>
        <v>0.99034812251841153</v>
      </c>
      <c r="N87" s="43" cm="1">
        <f t="array" ref="N87">$AE$33*NMultDensity(A87:D87,$AE$35:$AE$38,$AA$49:$AD$52)/K87</f>
        <v>9.6518774815884164E-3</v>
      </c>
      <c r="O87" s="42" t="str">
        <f t="shared" si="11"/>
        <v>versicolor</v>
      </c>
      <c r="P87" s="25" cm="1">
        <f t="array" ref="P87">$AE$7*NMultDensity(C87:D87,$AE$11:$AE$12,$AC$51:$AD$52)+$AE$20*NMultDensity(C87:D87,$AE$24:$AE$25,$AC$51:$AD$52)+$AE$33*NMultDensity(C87:D87,$AE$37:$AE$38,$AC$51:$AD$52)</f>
        <v>0.31490002291746005</v>
      </c>
      <c r="Q87" s="25" cm="1">
        <f t="array" ref="Q87">$AE$7*NMultDensity(C87:D87,$AE$11:$AE$12,$AC$51:$AD$52)/P87</f>
        <v>1.6841294685316476E-11</v>
      </c>
      <c r="R87" s="25" cm="1">
        <f t="array" ref="R87">$AE$20*NMultDensity(C87:D87,$AE$24:$AE$25,$AC$51:$AD$52)/P87</f>
        <v>0.81503962277752728</v>
      </c>
      <c r="S87" s="43" cm="1">
        <f t="array" ref="S87">$AE$33*NMultDensity(C87:D87,$AE$37:$AE$38,$AC$51:$AD$52)/P87</f>
        <v>0.18496037720563138</v>
      </c>
      <c r="T87" s="42" t="str">
        <f t="shared" si="14"/>
        <v>versicolor</v>
      </c>
      <c r="U87" s="25" cm="1">
        <f t="array" ref="U87">$AE$7*NMultDensity(C87:D87,$AE$11:$AE$12,$AC$51:$AD$52)*VLOOKUP($E87,$Z$62:$AD$65,2)+$AE$20*NMultDensity(C87:D87,$AE$24:$AE$25,$AC$51:$AD$52)*VLOOKUP($E87,$Z$62:$AD$65,3)+$AE$33*NMultDensity(C87:D87,$AE$37:$AE$38,$AC$51:$AD$52)*VLOOKUP($E87,$Z$62:$AD$65,4)</f>
        <v>4.6198079261385236E-2</v>
      </c>
      <c r="V87" s="25" cm="1">
        <f t="array" ref="V87">$AE$7*NMultDensity(C87:D87,$AE$11:$AE$12,$AC$51:$AD$52)/U87*VLOOKUP($E87,$Z$62:$AD$65,2)</f>
        <v>2.0663160678711533E-11</v>
      </c>
      <c r="W87" s="25" cm="1">
        <f t="array" ref="W87">$AE$20*NMultDensity(C87:D87,$AE$24:$AE$25,$AC$51:$AD$52)/U87*VLOOKUP($E87,$Z$62:$AD$65,3)</f>
        <v>0.99999999997933697</v>
      </c>
      <c r="X87" s="43" cm="1">
        <f t="array" ref="X87">$AE$33*NMultDensity(C87:D87,$AE$37:$AE$38,$AC$51:$AD$52)/U87*VLOOKUP($E87,$Z$62:$AD$65,4)</f>
        <v>0</v>
      </c>
    </row>
    <row r="88" spans="1:24" x14ac:dyDescent="0.25">
      <c r="A88" s="71">
        <v>6.7</v>
      </c>
      <c r="B88" s="25">
        <v>3.1</v>
      </c>
      <c r="C88" s="25">
        <v>4.7</v>
      </c>
      <c r="D88" s="68">
        <v>1.5</v>
      </c>
      <c r="E88" s="80" t="s">
        <v>40</v>
      </c>
      <c r="F88" s="81" t="s">
        <v>6</v>
      </c>
      <c r="G88" s="81">
        <f t="shared" ca="1" si="12"/>
        <v>4.7246602797305846</v>
      </c>
      <c r="H88" s="60">
        <f t="shared" ca="1" si="13"/>
        <v>1.4905467253774678</v>
      </c>
      <c r="I88" s="78" t="s">
        <v>6</v>
      </c>
      <c r="J88" s="39" t="str">
        <f t="shared" si="10"/>
        <v>versicolor</v>
      </c>
      <c r="K88" s="25" cm="1">
        <f t="array" ref="K88">$AE$7*NMultDensity(A88:D88,$AE$9:$AE$12,$AA$49:$AD$52)+$AE$20*NMultDensity(A88:D88,$AE$22:$AE$25,$AA$49:$AD$52)+$AE$33*NMultDensity(A88:D88,$AE$35:$AE$38,$AA$49:$AD$52)</f>
        <v>0.32468863412807236</v>
      </c>
      <c r="L88" s="25" cm="1">
        <f t="array" ref="L88">$AE$7*NMultDensity(A88:D88,$AE$9:$AE$12,$AA$49:$AD$52)/K88</f>
        <v>4.4691933189164533E-20</v>
      </c>
      <c r="M88" s="25" cm="1">
        <f t="array" ref="M88">$AE$20*NMultDensity(A88:D88,$AE$22:$AE$25,$AA$49:$AD$52)/K88</f>
        <v>0.99681694920481123</v>
      </c>
      <c r="N88" s="43" cm="1">
        <f t="array" ref="N88">$AE$33*NMultDensity(A88:D88,$AE$35:$AE$38,$AA$49:$AD$52)/K88</f>
        <v>3.183050795188833E-3</v>
      </c>
      <c r="O88" s="42" t="str">
        <f t="shared" si="11"/>
        <v>versicolor</v>
      </c>
      <c r="P88" s="25" cm="1">
        <f t="array" ref="P88">$AE$7*NMultDensity(C88:D88,$AE$11:$AE$12,$AC$51:$AD$52)+$AE$20*NMultDensity(C88:D88,$AE$24:$AE$25,$AC$51:$AD$52)+$AE$33*NMultDensity(C88:D88,$AE$37:$AE$38,$AC$51:$AD$52)</f>
        <v>0.36671965867063666</v>
      </c>
      <c r="Q88" s="25" cm="1">
        <f t="array" ref="Q88">$AE$7*NMultDensity(C88:D88,$AE$11:$AE$12,$AC$51:$AD$52)/P88</f>
        <v>8.5490919551952288E-12</v>
      </c>
      <c r="R88" s="25" cm="1">
        <f t="array" ref="R88">$AE$20*NMultDensity(C88:D88,$AE$24:$AE$25,$AC$51:$AD$52)/P88</f>
        <v>0.85489869321709944</v>
      </c>
      <c r="S88" s="43" cm="1">
        <f t="array" ref="S88">$AE$33*NMultDensity(C88:D88,$AE$37:$AE$38,$AC$51:$AD$52)/P88</f>
        <v>0.14510130677435151</v>
      </c>
      <c r="T88" s="42" t="str">
        <f t="shared" si="14"/>
        <v>versicolor</v>
      </c>
      <c r="U88" s="25" cm="1">
        <f t="array" ref="U88">$AE$7*NMultDensity(C88:D88,$AE$11:$AE$12,$AC$51:$AD$52)*VLOOKUP($E88,$Z$62:$AD$65,2)+$AE$20*NMultDensity(C88:D88,$AE$24:$AE$25,$AC$51:$AD$52)*VLOOKUP($E88,$Z$62:$AD$65,3)+$AE$33*NMultDensity(C88:D88,$AE$37:$AE$38,$AC$51:$AD$52)*VLOOKUP($E88,$Z$62:$AD$65,4)</f>
        <v>5.6431468255982963E-2</v>
      </c>
      <c r="V88" s="25" cm="1">
        <f t="array" ref="V88">$AE$7*NMultDensity(C88:D88,$AE$11:$AE$12,$AC$51:$AD$52)/U88*VLOOKUP($E88,$Z$62:$AD$65,2)</f>
        <v>1.0000122848402479E-11</v>
      </c>
      <c r="W88" s="25" cm="1">
        <f t="array" ref="W88">$AE$20*NMultDensity(C88:D88,$AE$24:$AE$25,$AC$51:$AD$52)/U88*VLOOKUP($E88,$Z$62:$AD$65,3)</f>
        <v>0.99999999998999989</v>
      </c>
      <c r="X88" s="43" cm="1">
        <f t="array" ref="X88">$AE$33*NMultDensity(C88:D88,$AE$37:$AE$38,$AC$51:$AD$52)/U88*VLOOKUP($E88,$Z$62:$AD$65,4)</f>
        <v>0</v>
      </c>
    </row>
    <row r="89" spans="1:24" x14ac:dyDescent="0.25">
      <c r="A89" s="71">
        <v>6.3</v>
      </c>
      <c r="B89" s="25">
        <v>2.2999999999999998</v>
      </c>
      <c r="C89" s="25">
        <v>4.4000000000000004</v>
      </c>
      <c r="D89" s="68">
        <v>1.3</v>
      </c>
      <c r="E89" s="80" t="s">
        <v>41</v>
      </c>
      <c r="F89" s="81" t="s">
        <v>6</v>
      </c>
      <c r="G89" s="81">
        <f t="shared" ca="1" si="12"/>
        <v>4.3985889362896291</v>
      </c>
      <c r="H89" s="60">
        <f t="shared" ca="1" si="13"/>
        <v>1.2830587131723474</v>
      </c>
      <c r="I89" s="78" t="s">
        <v>6</v>
      </c>
      <c r="J89" s="39" t="str">
        <f t="shared" si="10"/>
        <v>versicolor</v>
      </c>
      <c r="K89" s="25" cm="1">
        <f t="array" ref="K89">$AE$7*NMultDensity(A89:D89,$AE$9:$AE$12,$AA$49:$AD$52)+$AE$20*NMultDensity(A89:D89,$AE$22:$AE$25,$AA$49:$AD$52)+$AE$33*NMultDensity(A89:D89,$AE$35:$AE$38,$AA$49:$AD$52)</f>
        <v>7.4743633997443562E-2</v>
      </c>
      <c r="L89" s="25" cm="1">
        <f t="array" ref="L89">$AE$7*NMultDensity(A89:D89,$AE$9:$AE$12,$AA$49:$AD$52)/K89</f>
        <v>3.8369921021268522E-24</v>
      </c>
      <c r="M89" s="25" cm="1">
        <f t="array" ref="M89">$AE$20*NMultDensity(A89:D89,$AE$22:$AE$25,$AA$49:$AD$52)/K89</f>
        <v>0.99555087553779054</v>
      </c>
      <c r="N89" s="43" cm="1">
        <f t="array" ref="N89">$AE$33*NMultDensity(A89:D89,$AE$35:$AE$38,$AA$49:$AD$52)/K89</f>
        <v>4.4491244622094969E-3</v>
      </c>
      <c r="O89" s="42" t="str">
        <f t="shared" si="11"/>
        <v>versicolor</v>
      </c>
      <c r="P89" s="25" cm="1">
        <f t="array" ref="P89">$AE$7*NMultDensity(C89:D89,$AE$11:$AE$12,$AC$51:$AD$52)+$AE$20*NMultDensity(C89:D89,$AE$24:$AE$25,$AC$51:$AD$52)+$AE$33*NMultDensity(C89:D89,$AE$37:$AE$38,$AC$51:$AD$52)</f>
        <v>0.46634352823952668</v>
      </c>
      <c r="Q89" s="25" cm="1">
        <f t="array" ref="Q89">$AE$7*NMultDensity(C89:D89,$AE$11:$AE$12,$AC$51:$AD$52)/P89</f>
        <v>1.2369602294118597E-9</v>
      </c>
      <c r="R89" s="25" cm="1">
        <f t="array" ref="R89">$AE$20*NMultDensity(C89:D89,$AE$24:$AE$25,$AC$51:$AD$52)/P89</f>
        <v>0.99008474851849793</v>
      </c>
      <c r="S89" s="43" cm="1">
        <f t="array" ref="S89">$AE$33*NMultDensity(C89:D89,$AE$37:$AE$38,$AC$51:$AD$52)/P89</f>
        <v>9.9152502445418889E-3</v>
      </c>
      <c r="T89" s="42" t="str">
        <f t="shared" si="14"/>
        <v>versicolor</v>
      </c>
      <c r="U89" s="25" cm="1">
        <f t="array" ref="U89">$AE$7*NMultDensity(C89:D89,$AE$11:$AE$12,$AC$51:$AD$52)*VLOOKUP($E89,$Z$62:$AD$65,2)+$AE$20*NMultDensity(C89:D89,$AE$24:$AE$25,$AC$51:$AD$52)*VLOOKUP($E89,$Z$62:$AD$65,3)+$AE$33*NMultDensity(C89:D89,$AE$37:$AE$38,$AC$51:$AD$52)*VLOOKUP($E89,$Z$62:$AD$65,4)</f>
        <v>0.12013957823988586</v>
      </c>
      <c r="V89" s="25" cm="1">
        <f t="array" ref="V89">$AE$7*NMultDensity(C89:D89,$AE$11:$AE$12,$AC$51:$AD$52)/U89*VLOOKUP($E89,$Z$62:$AD$65,2)</f>
        <v>9.6029702472251499E-10</v>
      </c>
      <c r="W89" s="25" cm="1">
        <f t="array" ref="W89">$AE$20*NMultDensity(C89:D89,$AE$24:$AE$25,$AC$51:$AD$52)/U89*VLOOKUP($E89,$Z$62:$AD$65,3)</f>
        <v>0.99923024225344459</v>
      </c>
      <c r="X89" s="43" cm="1">
        <f t="array" ref="X89">$AE$33*NMultDensity(C89:D89,$AE$37:$AE$38,$AC$51:$AD$52)/U89*VLOOKUP($E89,$Z$62:$AD$65,4)</f>
        <v>7.6975678625819822E-4</v>
      </c>
    </row>
    <row r="90" spans="1:24" x14ac:dyDescent="0.25">
      <c r="A90" s="71">
        <v>5.6</v>
      </c>
      <c r="B90" s="25">
        <v>3</v>
      </c>
      <c r="C90" s="25">
        <v>4.0999999999999996</v>
      </c>
      <c r="D90" s="68">
        <v>1.3</v>
      </c>
      <c r="E90" s="80" t="s">
        <v>41</v>
      </c>
      <c r="F90" s="81" t="s">
        <v>6</v>
      </c>
      <c r="G90" s="81">
        <f t="shared" ca="1" si="12"/>
        <v>4.1001633825617887</v>
      </c>
      <c r="H90" s="60">
        <f t="shared" ca="1" si="13"/>
        <v>1.282828025810903</v>
      </c>
      <c r="I90" s="78" t="s">
        <v>6</v>
      </c>
      <c r="J90" s="39" t="str">
        <f t="shared" si="10"/>
        <v>versicolor</v>
      </c>
      <c r="K90" s="25" cm="1">
        <f t="array" ref="K90">$AE$7*NMultDensity(A90:D90,$AE$9:$AE$12,$AA$49:$AD$52)+$AE$20*NMultDensity(A90:D90,$AE$22:$AE$25,$AA$49:$AD$52)+$AE$33*NMultDensity(A90:D90,$AE$35:$AE$38,$AA$49:$AD$52)</f>
        <v>0.35064110165614759</v>
      </c>
      <c r="L90" s="25" cm="1">
        <f t="array" ref="L90">$AE$7*NMultDensity(A90:D90,$AE$9:$AE$12,$AA$49:$AD$52)/K90</f>
        <v>3.1484480836413912E-18</v>
      </c>
      <c r="M90" s="25" cm="1">
        <f t="array" ref="M90">$AE$20*NMultDensity(A90:D90,$AE$22:$AE$25,$AA$49:$AD$52)/K90</f>
        <v>0.99963053256964407</v>
      </c>
      <c r="N90" s="43" cm="1">
        <f t="array" ref="N90">$AE$33*NMultDensity(A90:D90,$AE$35:$AE$38,$AA$49:$AD$52)/K90</f>
        <v>3.694674303559997E-4</v>
      </c>
      <c r="O90" s="42" t="str">
        <f t="shared" si="11"/>
        <v>versicolor</v>
      </c>
      <c r="P90" s="25" cm="1">
        <f t="array" ref="P90">$AE$7*NMultDensity(C90:D90,$AE$11:$AE$12,$AC$51:$AD$52)+$AE$20*NMultDensity(C90:D90,$AE$24:$AE$25,$AC$51:$AD$52)+$AE$33*NMultDensity(C90:D90,$AE$37:$AE$38,$AC$51:$AD$52)</f>
        <v>0.47333473697204531</v>
      </c>
      <c r="Q90" s="25" cm="1">
        <f t="array" ref="Q90">$AE$7*NMultDensity(C90:D90,$AE$11:$AE$12,$AC$51:$AD$52)/P90</f>
        <v>1.8355582819346032E-8</v>
      </c>
      <c r="R90" s="25" cm="1">
        <f t="array" ref="R90">$AE$20*NMultDensity(C90:D90,$AE$24:$AE$25,$AC$51:$AD$52)/P90</f>
        <v>0.99619519266158518</v>
      </c>
      <c r="S90" s="43" cm="1">
        <f t="array" ref="S90">$AE$33*NMultDensity(C90:D90,$AE$37:$AE$38,$AC$51:$AD$52)/P90</f>
        <v>3.8047889828319737E-3</v>
      </c>
      <c r="T90" s="42" t="str">
        <f t="shared" si="14"/>
        <v>versicolor</v>
      </c>
      <c r="U90" s="25" cm="1">
        <f t="array" ref="U90">$AE$7*NMultDensity(C90:D90,$AE$11:$AE$12,$AC$51:$AD$52)*VLOOKUP($E90,$Z$62:$AD$65,2)+$AE$20*NMultDensity(C90:D90,$AE$24:$AE$25,$AC$51:$AD$52)*VLOOKUP($E90,$Z$62:$AD$65,3)+$AE$33*NMultDensity(C90:D90,$AE$37:$AE$38,$AC$51:$AD$52)*VLOOKUP($E90,$Z$62:$AD$65,4)</f>
        <v>0.12263480578125019</v>
      </c>
      <c r="V90" s="25" cm="1">
        <f t="array" ref="V90">$AE$7*NMultDensity(C90:D90,$AE$11:$AE$12,$AC$51:$AD$52)/U90*VLOOKUP($E90,$Z$62:$AD$65,2)</f>
        <v>1.4169443838418212E-8</v>
      </c>
      <c r="W90" s="25" cm="1">
        <f t="array" ref="W90">$AE$20*NMultDensity(C90:D90,$AE$24:$AE$25,$AC$51:$AD$52)/U90*VLOOKUP($E90,$Z$62:$AD$65,3)</f>
        <v>0.9997062782194176</v>
      </c>
      <c r="X90" s="43" cm="1">
        <f t="array" ref="X90">$AE$33*NMultDensity(C90:D90,$AE$37:$AE$38,$AC$51:$AD$52)/U90*VLOOKUP($E90,$Z$62:$AD$65,4)</f>
        <v>2.9370761113860813E-4</v>
      </c>
    </row>
    <row r="91" spans="1:24" x14ac:dyDescent="0.25">
      <c r="A91" s="71">
        <v>5.5</v>
      </c>
      <c r="B91" s="25">
        <v>2.5</v>
      </c>
      <c r="C91" s="25">
        <v>4</v>
      </c>
      <c r="D91" s="68">
        <v>1.3</v>
      </c>
      <c r="E91" s="80" t="s">
        <v>41</v>
      </c>
      <c r="F91" s="81" t="s">
        <v>6</v>
      </c>
      <c r="G91" s="81">
        <f t="shared" ca="1" si="12"/>
        <v>3.9832493932699333</v>
      </c>
      <c r="H91" s="60">
        <f t="shared" ca="1" si="13"/>
        <v>1.2977162548543053</v>
      </c>
      <c r="I91" s="78" t="s">
        <v>6</v>
      </c>
      <c r="J91" s="39" t="str">
        <f t="shared" si="10"/>
        <v>versicolor</v>
      </c>
      <c r="K91" s="25" cm="1">
        <f t="array" ref="K91">$AE$7*NMultDensity(A91:D91,$AE$9:$AE$12,$AA$49:$AD$52)+$AE$20*NMultDensity(A91:D91,$AE$22:$AE$25,$AA$49:$AD$52)+$AE$33*NMultDensity(A91:D91,$AE$35:$AE$38,$AA$49:$AD$52)</f>
        <v>0.55788476367425144</v>
      </c>
      <c r="L91" s="25" cm="1">
        <f t="array" ref="L91">$AE$7*NMultDensity(A91:D91,$AE$9:$AE$12,$AA$49:$AD$52)/K91</f>
        <v>3.8642252889373204E-22</v>
      </c>
      <c r="M91" s="25" cm="1">
        <f t="array" ref="M91">$AE$20*NMultDensity(A91:D91,$AE$22:$AE$25,$AA$49:$AD$52)/K91</f>
        <v>0.99789279811254716</v>
      </c>
      <c r="N91" s="43" cm="1">
        <f t="array" ref="N91">$AE$33*NMultDensity(A91:D91,$AE$35:$AE$38,$AA$49:$AD$52)/K91</f>
        <v>2.1072018874527701E-3</v>
      </c>
      <c r="O91" s="42" t="str">
        <f t="shared" si="11"/>
        <v>versicolor</v>
      </c>
      <c r="P91" s="25" cm="1">
        <f t="array" ref="P91">$AE$7*NMultDensity(C91:D91,$AE$11:$AE$12,$AC$51:$AD$52)+$AE$20*NMultDensity(C91:D91,$AE$24:$AE$25,$AC$51:$AD$52)+$AE$33*NMultDensity(C91:D91,$AE$37:$AE$38,$AC$51:$AD$52)</f>
        <v>0.43096330497365404</v>
      </c>
      <c r="Q91" s="25" cm="1">
        <f t="array" ref="Q91">$AE$7*NMultDensity(C91:D91,$AE$11:$AE$12,$AC$51:$AD$52)/P91</f>
        <v>4.506118667409731E-8</v>
      </c>
      <c r="R91" s="25" cm="1">
        <f t="array" ref="R91">$AE$20*NMultDensity(C91:D91,$AE$24:$AE$25,$AC$51:$AD$52)/P91</f>
        <v>0.99723787333147951</v>
      </c>
      <c r="S91" s="43" cm="1">
        <f t="array" ref="S91">$AE$33*NMultDensity(C91:D91,$AE$37:$AE$38,$AC$51:$AD$52)/P91</f>
        <v>2.7620816073338048E-3</v>
      </c>
      <c r="T91" s="42" t="str">
        <f t="shared" si="14"/>
        <v>versicolor</v>
      </c>
      <c r="U91" s="25" cm="1">
        <f t="array" ref="U91">$AE$7*NMultDensity(C91:D91,$AE$11:$AE$12,$AC$51:$AD$52)*VLOOKUP($E91,$Z$62:$AD$65,2)+$AE$20*NMultDensity(C91:D91,$AE$24:$AE$25,$AC$51:$AD$52)*VLOOKUP($E91,$Z$62:$AD$65,3)+$AE$33*NMultDensity(C91:D91,$AE$37:$AE$38,$AC$51:$AD$52)*VLOOKUP($E91,$Z$62:$AD$65,4)</f>
        <v>0.11176477273162214</v>
      </c>
      <c r="V91" s="25" cm="1">
        <f t="array" ref="V91">$AE$7*NMultDensity(C91:D91,$AE$11:$AE$12,$AC$51:$AD$52)/U91*VLOOKUP($E91,$Z$62:$AD$65,2)</f>
        <v>3.4751053414184134E-8</v>
      </c>
      <c r="W91" s="25" cm="1">
        <f t="array" ref="W91">$AE$20*NMultDensity(C91:D91,$AE$24:$AE$25,$AC$51:$AD$52)/U91*VLOOKUP($E91,$Z$62:$AD$65,3)</f>
        <v>0.99978695433521936</v>
      </c>
      <c r="X91" s="43" cm="1">
        <f t="array" ref="X91">$AE$33*NMultDensity(C91:D91,$AE$37:$AE$38,$AC$51:$AD$52)/U91*VLOOKUP($E91,$Z$62:$AD$65,4)</f>
        <v>2.1301091372715264E-4</v>
      </c>
    </row>
    <row r="92" spans="1:24" x14ac:dyDescent="0.25">
      <c r="A92" s="71">
        <v>5.5</v>
      </c>
      <c r="B92" s="25">
        <v>2.6</v>
      </c>
      <c r="C92" s="25">
        <v>4.4000000000000004</v>
      </c>
      <c r="D92" s="68">
        <v>1.2</v>
      </c>
      <c r="E92" s="80" t="s">
        <v>41</v>
      </c>
      <c r="F92" s="81" t="s">
        <v>6</v>
      </c>
      <c r="G92" s="81">
        <f t="shared" ca="1" si="12"/>
        <v>4.4196690222603481</v>
      </c>
      <c r="H92" s="60">
        <f t="shared" ca="1" si="13"/>
        <v>1.194641962792345</v>
      </c>
      <c r="I92" s="78" t="s">
        <v>6</v>
      </c>
      <c r="J92" s="39" t="str">
        <f t="shared" si="10"/>
        <v>versicolor</v>
      </c>
      <c r="K92" s="25" cm="1">
        <f t="array" ref="K92">$AE$7*NMultDensity(A92:D92,$AE$9:$AE$12,$AA$49:$AD$52)+$AE$20*NMultDensity(A92:D92,$AE$22:$AE$25,$AA$49:$AD$52)+$AE$33*NMultDensity(A92:D92,$AE$35:$AE$38,$AA$49:$AD$52)</f>
        <v>0.15490016207872223</v>
      </c>
      <c r="L92" s="25" cm="1">
        <f t="array" ref="L92">$AE$7*NMultDensity(A92:D92,$AE$9:$AE$12,$AA$49:$AD$52)/K92</f>
        <v>4.464436941272707E-24</v>
      </c>
      <c r="M92" s="25" cm="1">
        <f t="array" ref="M92">$AE$20*NMultDensity(A92:D92,$AE$22:$AE$25,$AA$49:$AD$52)/K92</f>
        <v>0.99117662095395209</v>
      </c>
      <c r="N92" s="43" cm="1">
        <f t="array" ref="N92">$AE$33*NMultDensity(A92:D92,$AE$35:$AE$38,$AA$49:$AD$52)/K92</f>
        <v>8.823379046047913E-3</v>
      </c>
      <c r="O92" s="42" t="str">
        <f t="shared" si="11"/>
        <v>versicolor</v>
      </c>
      <c r="P92" s="25" cm="1">
        <f t="array" ref="P92">$AE$7*NMultDensity(C92:D92,$AE$11:$AE$12,$AC$51:$AD$52)+$AE$20*NMultDensity(C92:D92,$AE$24:$AE$25,$AC$51:$AD$52)+$AE$33*NMultDensity(C92:D92,$AE$37:$AE$38,$AC$51:$AD$52)</f>
        <v>0.36805889384741031</v>
      </c>
      <c r="Q92" s="25" cm="1">
        <f t="array" ref="Q92">$AE$7*NMultDensity(C92:D92,$AE$11:$AE$12,$AC$51:$AD$52)/P92</f>
        <v>3.6219699927388271E-9</v>
      </c>
      <c r="R92" s="25" cm="1">
        <f t="array" ref="R92">$AE$20*NMultDensity(C92:D92,$AE$24:$AE$25,$AC$51:$AD$52)/P92</f>
        <v>0.99607640412739651</v>
      </c>
      <c r="S92" s="43" cm="1">
        <f t="array" ref="S92">$AE$33*NMultDensity(C92:D92,$AE$37:$AE$38,$AC$51:$AD$52)/P92</f>
        <v>3.9235922506336025E-3</v>
      </c>
      <c r="T92" s="42" t="str">
        <f t="shared" si="14"/>
        <v>versicolor</v>
      </c>
      <c r="U92" s="25" cm="1">
        <f t="array" ref="U92">$AE$7*NMultDensity(C92:D92,$AE$11:$AE$12,$AC$51:$AD$52)*VLOOKUP($E92,$Z$62:$AD$65,2)+$AE$20*NMultDensity(C92:D92,$AE$24:$AE$25,$AC$51:$AD$52)*VLOOKUP($E92,$Z$62:$AD$65,3)+$AE$33*NMultDensity(C92:D92,$AE$37:$AE$38,$AC$51:$AD$52)*VLOOKUP($E92,$Z$62:$AD$65,4)</f>
        <v>9.5348725194658437E-2</v>
      </c>
      <c r="V92" s="25" cm="1">
        <f t="array" ref="V92">$AE$7*NMultDensity(C92:D92,$AE$11:$AE$12,$AC$51:$AD$52)/U92*VLOOKUP($E92,$Z$62:$AD$65,2)</f>
        <v>2.7962581908764678E-9</v>
      </c>
      <c r="W92" s="25" cm="1">
        <f t="array" ref="W92">$AE$20*NMultDensity(C92:D92,$AE$24:$AE$25,$AC$51:$AD$52)/U92*VLOOKUP($E92,$Z$62:$AD$65,3)</f>
        <v>0.99969708533560131</v>
      </c>
      <c r="X92" s="43" cm="1">
        <f t="array" ref="X92">$AE$33*NMultDensity(C92:D92,$AE$37:$AE$38,$AC$51:$AD$52)/U92*VLOOKUP($E92,$Z$62:$AD$65,4)</f>
        <v>3.0291186814050366E-4</v>
      </c>
    </row>
    <row r="93" spans="1:24" x14ac:dyDescent="0.25">
      <c r="A93" s="71">
        <v>6.1</v>
      </c>
      <c r="B93" s="25">
        <v>3</v>
      </c>
      <c r="C93" s="25">
        <v>4.5999999999999996</v>
      </c>
      <c r="D93" s="68">
        <v>1.4</v>
      </c>
      <c r="E93" s="80" t="s">
        <v>41</v>
      </c>
      <c r="F93" s="81" t="s">
        <v>6</v>
      </c>
      <c r="G93" s="81">
        <f t="shared" ca="1" si="12"/>
        <v>4.610609229767709</v>
      </c>
      <c r="H93" s="60">
        <f t="shared" ca="1" si="13"/>
        <v>1.4073355850332729</v>
      </c>
      <c r="I93" s="78" t="s">
        <v>6</v>
      </c>
      <c r="J93" s="39" t="str">
        <f t="shared" si="10"/>
        <v>versicolor</v>
      </c>
      <c r="K93" s="25" cm="1">
        <f t="array" ref="K93">$AE$7*NMultDensity(A93:D93,$AE$9:$AE$12,$AA$49:$AD$52)+$AE$20*NMultDensity(A93:D93,$AE$22:$AE$25,$AA$49:$AD$52)+$AE$33*NMultDensity(A93:D93,$AE$35:$AE$38,$AA$49:$AD$52)</f>
        <v>0.53331394819442157</v>
      </c>
      <c r="L93" s="25" cm="1">
        <f t="array" ref="L93">$AE$7*NMultDensity(A93:D93,$AE$9:$AE$12,$AA$49:$AD$52)/K93</f>
        <v>1.0418474537659015E-21</v>
      </c>
      <c r="M93" s="25" cm="1">
        <f t="array" ref="M93">$AE$20*NMultDensity(A93:D93,$AE$22:$AE$25,$AA$49:$AD$52)/K93</f>
        <v>0.99265522347432067</v>
      </c>
      <c r="N93" s="43" cm="1">
        <f t="array" ref="N93">$AE$33*NMultDensity(A93:D93,$AE$35:$AE$38,$AA$49:$AD$52)/K93</f>
        <v>7.344776525679368E-3</v>
      </c>
      <c r="O93" s="42" t="str">
        <f t="shared" si="11"/>
        <v>versicolor</v>
      </c>
      <c r="P93" s="25" cm="1">
        <f t="array" ref="P93">$AE$7*NMultDensity(C93:D93,$AE$11:$AE$12,$AC$51:$AD$52)+$AE$20*NMultDensity(C93:D93,$AE$24:$AE$25,$AC$51:$AD$52)+$AE$33*NMultDensity(C93:D93,$AE$37:$AE$38,$AC$51:$AD$52)</f>
        <v>0.4129465812012626</v>
      </c>
      <c r="Q93" s="25" cm="1">
        <f t="array" ref="Q93">$AE$7*NMultDensity(C93:D93,$AE$11:$AE$12,$AC$51:$AD$52)/P93</f>
        <v>6.8080322661115346E-11</v>
      </c>
      <c r="R93" s="25" cm="1">
        <f t="array" ref="R93">$AE$20*NMultDensity(C93:D93,$AE$24:$AE$25,$AC$51:$AD$52)/P93</f>
        <v>0.95382195922258928</v>
      </c>
      <c r="S93" s="43" cm="1">
        <f t="array" ref="S93">$AE$33*NMultDensity(C93:D93,$AE$37:$AE$38,$AC$51:$AD$52)/P93</f>
        <v>4.6178040709330466E-2</v>
      </c>
      <c r="T93" s="42" t="str">
        <f t="shared" si="14"/>
        <v>versicolor</v>
      </c>
      <c r="U93" s="25" cm="1">
        <f t="array" ref="U93">$AE$7*NMultDensity(C93:D93,$AE$11:$AE$12,$AC$51:$AD$52)*VLOOKUP($E93,$Z$62:$AD$65,2)+$AE$20*NMultDensity(C93:D93,$AE$24:$AE$25,$AC$51:$AD$52)*VLOOKUP($E93,$Z$62:$AD$65,3)+$AE$33*NMultDensity(C93:D93,$AE$37:$AE$38,$AC$51:$AD$52)*VLOOKUP($E93,$Z$62:$AD$65,4)</f>
        <v>0.10278953574164369</v>
      </c>
      <c r="V93" s="25" cm="1">
        <f t="array" ref="V93">$AE$7*NMultDensity(C93:D93,$AE$11:$AE$12,$AC$51:$AD$52)/U93*VLOOKUP($E93,$Z$62:$AD$65,2)</f>
        <v>5.4701164446638578E-11</v>
      </c>
      <c r="W93" s="25" cm="1">
        <f t="array" ref="W93">$AE$20*NMultDensity(C93:D93,$AE$24:$AE$25,$AC$51:$AD$52)/U93*VLOOKUP($E93,$Z$62:$AD$65,3)</f>
        <v>0.99628968762607217</v>
      </c>
      <c r="X93" s="43" cm="1">
        <f t="array" ref="X93">$AE$33*NMultDensity(C93:D93,$AE$37:$AE$38,$AC$51:$AD$52)/U93*VLOOKUP($E93,$Z$62:$AD$65,4)</f>
        <v>3.7103123192267109E-3</v>
      </c>
    </row>
    <row r="94" spans="1:24" x14ac:dyDescent="0.25">
      <c r="A94" s="71">
        <v>5.8</v>
      </c>
      <c r="B94" s="25">
        <v>2.6</v>
      </c>
      <c r="C94" s="25">
        <v>4</v>
      </c>
      <c r="D94" s="68">
        <v>1.2</v>
      </c>
      <c r="E94" s="80" t="s">
        <v>41</v>
      </c>
      <c r="F94" s="81" t="s">
        <v>6</v>
      </c>
      <c r="G94" s="81">
        <f t="shared" ca="1" si="12"/>
        <v>3.9897751149633423</v>
      </c>
      <c r="H94" s="60">
        <f t="shared" ca="1" si="13"/>
        <v>1.2197762805186267</v>
      </c>
      <c r="I94" s="78" t="s">
        <v>6</v>
      </c>
      <c r="J94" s="39" t="str">
        <f t="shared" si="10"/>
        <v>versicolor</v>
      </c>
      <c r="K94" s="25" cm="1">
        <f t="array" ref="K94">$AE$7*NMultDensity(A94:D94,$AE$9:$AE$12,$AA$49:$AD$52)+$AE$20*NMultDensity(A94:D94,$AE$22:$AE$25,$AA$49:$AD$52)+$AE$33*NMultDensity(A94:D94,$AE$35:$AE$38,$AA$49:$AD$52)</f>
        <v>0.7029671502181265</v>
      </c>
      <c r="L94" s="25" cm="1">
        <f t="array" ref="L94">$AE$7*NMultDensity(A94:D94,$AE$9:$AE$12,$AA$49:$AD$52)/K94</f>
        <v>5.8234522051087698E-19</v>
      </c>
      <c r="M94" s="25" cm="1">
        <f t="array" ref="M94">$AE$20*NMultDensity(A94:D94,$AE$22:$AE$25,$AA$49:$AD$52)/K94</f>
        <v>0.99986585811326811</v>
      </c>
      <c r="N94" s="43" cm="1">
        <f t="array" ref="N94">$AE$33*NMultDensity(A94:D94,$AE$35:$AE$38,$AA$49:$AD$52)/K94</f>
        <v>1.3414188673186217E-4</v>
      </c>
      <c r="O94" s="42" t="str">
        <f t="shared" si="11"/>
        <v>versicolor</v>
      </c>
      <c r="P94" s="25" cm="1">
        <f t="array" ref="P94">$AE$7*NMultDensity(C94:D94,$AE$11:$AE$12,$AC$51:$AD$52)+$AE$20*NMultDensity(C94:D94,$AE$24:$AE$25,$AC$51:$AD$52)+$AE$33*NMultDensity(C94:D94,$AE$37:$AE$38,$AC$51:$AD$52)</f>
        <v>0.41087449987552493</v>
      </c>
      <c r="Q94" s="25" cm="1">
        <f t="array" ref="Q94">$AE$7*NMultDensity(C94:D94,$AE$11:$AE$12,$AC$51:$AD$52)/P94</f>
        <v>1.3137107669767857E-7</v>
      </c>
      <c r="R94" s="25" cm="1">
        <f t="array" ref="R94">$AE$20*NMultDensity(C94:D94,$AE$24:$AE$25,$AC$51:$AD$52)/P94</f>
        <v>0.99891162854696913</v>
      </c>
      <c r="S94" s="43" cm="1">
        <f t="array" ref="S94">$AE$33*NMultDensity(C94:D94,$AE$37:$AE$38,$AC$51:$AD$52)/P94</f>
        <v>1.0882400819540161E-3</v>
      </c>
      <c r="T94" s="42" t="str">
        <f t="shared" si="14"/>
        <v>versicolor</v>
      </c>
      <c r="U94" s="25" cm="1">
        <f t="array" ref="U94">$AE$7*NMultDensity(C94:D94,$AE$11:$AE$12,$AC$51:$AD$52)*VLOOKUP($E94,$Z$62:$AD$65,2)+$AE$20*NMultDensity(C94:D94,$AE$24:$AE$25,$AC$51:$AD$52)*VLOOKUP($E94,$Z$62:$AD$65,3)+$AE$33*NMultDensity(C94:D94,$AE$37:$AE$38,$AC$51:$AD$52)*VLOOKUP($E94,$Z$62:$AD$65,4)</f>
        <v>0.10672005550515477</v>
      </c>
      <c r="V94" s="25" cm="1">
        <f t="array" ref="V94">$AE$7*NMultDensity(C94:D94,$AE$11:$AE$12,$AC$51:$AD$52)/U94*VLOOKUP($E94,$Z$62:$AD$65,2)</f>
        <v>1.0115629190927608E-7</v>
      </c>
      <c r="W94" s="25" cm="1">
        <f t="array" ref="W94">$AE$20*NMultDensity(C94:D94,$AE$24:$AE$25,$AC$51:$AD$52)/U94*VLOOKUP($E94,$Z$62:$AD$65,3)</f>
        <v>0.99991610389114727</v>
      </c>
      <c r="X94" s="43" cm="1">
        <f t="array" ref="X94">$AE$33*NMultDensity(C94:D94,$AE$37:$AE$38,$AC$51:$AD$52)/U94*VLOOKUP($E94,$Z$62:$AD$65,4)</f>
        <v>8.3794952560863214E-5</v>
      </c>
    </row>
    <row r="95" spans="1:24" x14ac:dyDescent="0.25">
      <c r="A95" s="71">
        <v>5</v>
      </c>
      <c r="B95" s="25">
        <v>2.2999999999999998</v>
      </c>
      <c r="C95" s="25">
        <v>3.3</v>
      </c>
      <c r="D95" s="68">
        <v>1</v>
      </c>
      <c r="E95" s="80" t="s">
        <v>41</v>
      </c>
      <c r="F95" s="81" t="s">
        <v>6</v>
      </c>
      <c r="G95" s="81">
        <f t="shared" ca="1" si="12"/>
        <v>3.2972250568768739</v>
      </c>
      <c r="H95" s="60">
        <f t="shared" ca="1" si="13"/>
        <v>1.0242405739983083</v>
      </c>
      <c r="I95" s="78" t="s">
        <v>6</v>
      </c>
      <c r="J95" s="39" t="str">
        <f t="shared" si="10"/>
        <v>versicolor</v>
      </c>
      <c r="K95" s="25" cm="1">
        <f t="array" ref="K95">$AE$7*NMultDensity(A95:D95,$AE$9:$AE$12,$AA$49:$AD$52)+$AE$20*NMultDensity(A95:D95,$AE$22:$AE$25,$AA$49:$AD$52)+$AE$33*NMultDensity(A95:D95,$AE$35:$AE$38,$AA$49:$AD$52)</f>
        <v>0.11144319297317715</v>
      </c>
      <c r="L95" s="25" cm="1">
        <f t="array" ref="L95">$AE$7*NMultDensity(A95:D95,$AE$9:$AE$12,$AA$49:$AD$52)/K95</f>
        <v>1.3237379875677269E-16</v>
      </c>
      <c r="M95" s="25" cm="1">
        <f t="array" ref="M95">$AE$20*NMultDensity(A95:D95,$AE$22:$AE$25,$AA$49:$AD$52)/K95</f>
        <v>0.99999473901099178</v>
      </c>
      <c r="N95" s="43" cm="1">
        <f t="array" ref="N95">$AE$33*NMultDensity(A95:D95,$AE$35:$AE$38,$AA$49:$AD$52)/K95</f>
        <v>5.2609890080663448E-6</v>
      </c>
      <c r="O95" s="42" t="str">
        <f t="shared" si="11"/>
        <v>versicolor</v>
      </c>
      <c r="P95" s="25" cm="1">
        <f t="array" ref="P95">$AE$7*NMultDensity(C95:D95,$AE$11:$AE$12,$AC$51:$AD$52)+$AE$20*NMultDensity(C95:D95,$AE$24:$AE$25,$AC$51:$AD$52)+$AE$33*NMultDensity(C95:D95,$AE$37:$AE$38,$AC$51:$AD$52)</f>
        <v>6.6273902072141025E-2</v>
      </c>
      <c r="Q95" s="25" cm="1">
        <f t="array" ref="Q95">$AE$7*NMultDensity(C95:D95,$AE$11:$AE$12,$AC$51:$AD$52)/P95</f>
        <v>5.9388929315223177E-4</v>
      </c>
      <c r="R95" s="25" cm="1">
        <f t="array" ref="R95">$AE$20*NMultDensity(C95:D95,$AE$24:$AE$25,$AC$51:$AD$52)/P95</f>
        <v>0.99938834375193408</v>
      </c>
      <c r="S95" s="43" cm="1">
        <f t="array" ref="S95">$AE$33*NMultDensity(C95:D95,$AE$37:$AE$38,$AC$51:$AD$52)/P95</f>
        <v>1.7766954913471961E-5</v>
      </c>
      <c r="T95" s="42" t="str">
        <f t="shared" si="14"/>
        <v>versicolor</v>
      </c>
      <c r="U95" s="25" cm="1">
        <f t="array" ref="U95">$AE$7*NMultDensity(C95:D95,$AE$11:$AE$12,$AC$51:$AD$52)*VLOOKUP($E95,$Z$62:$AD$65,2)+$AE$20*NMultDensity(C95:D95,$AE$24:$AE$25,$AC$51:$AD$52)*VLOOKUP($E95,$Z$62:$AD$65,3)+$AE$33*NMultDensity(C95:D95,$AE$37:$AE$38,$AC$51:$AD$52)*VLOOKUP($E95,$Z$62:$AD$65,4)</f>
        <v>1.7228570380602087E-2</v>
      </c>
      <c r="V95" s="25" cm="1">
        <f t="array" ref="V95">$AE$7*NMultDensity(C95:D95,$AE$11:$AE$12,$AC$51:$AD$52)/U95*VLOOKUP($E95,$Z$62:$AD$65,2)</f>
        <v>4.5690803109675756E-4</v>
      </c>
      <c r="W95" s="25" cm="1">
        <f t="array" ref="W95">$AE$20*NMultDensity(C95:D95,$AE$24:$AE$25,$AC$51:$AD$52)/U95*VLOOKUP($E95,$Z$62:$AD$65,3)</f>
        <v>0.99954172507031092</v>
      </c>
      <c r="X95" s="43" cm="1">
        <f t="array" ref="X95">$AE$33*NMultDensity(C95:D95,$AE$37:$AE$38,$AC$51:$AD$52)/U95*VLOOKUP($E95,$Z$62:$AD$65,4)</f>
        <v>1.3668985923304868E-6</v>
      </c>
    </row>
    <row r="96" spans="1:24" x14ac:dyDescent="0.25">
      <c r="A96" s="71">
        <v>5.6</v>
      </c>
      <c r="B96" s="25">
        <v>2.7</v>
      </c>
      <c r="C96" s="25">
        <v>4.2</v>
      </c>
      <c r="D96" s="68">
        <v>1.3</v>
      </c>
      <c r="E96" s="80" t="s">
        <v>41</v>
      </c>
      <c r="F96" s="81" t="s">
        <v>6</v>
      </c>
      <c r="G96" s="81">
        <f t="shared" ca="1" si="12"/>
        <v>4.2069861683923344</v>
      </c>
      <c r="H96" s="60">
        <f t="shared" ca="1" si="13"/>
        <v>1.3225841488373926</v>
      </c>
      <c r="I96" s="78" t="s">
        <v>6</v>
      </c>
      <c r="J96" s="39" t="str">
        <f t="shared" si="10"/>
        <v>versicolor</v>
      </c>
      <c r="K96" s="25" cm="1">
        <f t="array" ref="K96">$AE$7*NMultDensity(A96:D96,$AE$9:$AE$12,$AA$49:$AD$52)+$AE$20*NMultDensity(A96:D96,$AE$22:$AE$25,$AA$49:$AD$52)+$AE$33*NMultDensity(A96:D96,$AE$35:$AE$38,$AA$49:$AD$52)</f>
        <v>0.65232539535635659</v>
      </c>
      <c r="L96" s="25" cm="1">
        <f t="array" ref="L96">$AE$7*NMultDensity(A96:D96,$AE$9:$AE$12,$AA$49:$AD$52)/K96</f>
        <v>8.0149107726109399E-22</v>
      </c>
      <c r="M96" s="25" cm="1">
        <f t="array" ref="M96">$AE$20*NMultDensity(A96:D96,$AE$22:$AE$25,$AA$49:$AD$52)/K96</f>
        <v>0.99721644394846987</v>
      </c>
      <c r="N96" s="43" cm="1">
        <f t="array" ref="N96">$AE$33*NMultDensity(A96:D96,$AE$35:$AE$38,$AA$49:$AD$52)/K96</f>
        <v>2.7835560515300181E-3</v>
      </c>
      <c r="O96" s="42" t="str">
        <f t="shared" si="11"/>
        <v>versicolor</v>
      </c>
      <c r="P96" s="25" cm="1">
        <f t="array" ref="P96">$AE$7*NMultDensity(C96:D96,$AE$11:$AE$12,$AC$51:$AD$52)+$AE$20*NMultDensity(C96:D96,$AE$24:$AE$25,$AC$51:$AD$52)+$AE$33*NMultDensity(C96:D96,$AE$37:$AE$38,$AC$51:$AD$52)</f>
        <v>0.49477592919359392</v>
      </c>
      <c r="Q96" s="25" cm="1">
        <f t="array" ref="Q96">$AE$7*NMultDensity(C96:D96,$AE$11:$AE$12,$AC$51:$AD$52)/P96</f>
        <v>7.4741590385289867E-9</v>
      </c>
      <c r="R96" s="25" cm="1">
        <f t="array" ref="R96">$AE$20*NMultDensity(C96:D96,$AE$24:$AE$25,$AC$51:$AD$52)/P96</f>
        <v>0.99476093403692523</v>
      </c>
      <c r="S96" s="43" cm="1">
        <f t="array" ref="S96">$AE$33*NMultDensity(C96:D96,$AE$37:$AE$38,$AC$51:$AD$52)/P96</f>
        <v>5.2390584889156792E-3</v>
      </c>
      <c r="T96" s="42" t="str">
        <f t="shared" si="14"/>
        <v>versicolor</v>
      </c>
      <c r="U96" s="25" cm="1">
        <f t="array" ref="U96">$AE$7*NMultDensity(C96:D96,$AE$11:$AE$12,$AC$51:$AD$52)*VLOOKUP($E96,$Z$62:$AD$65,2)+$AE$20*NMultDensity(C96:D96,$AE$24:$AE$25,$AC$51:$AD$52)*VLOOKUP($E96,$Z$62:$AD$65,3)+$AE$33*NMultDensity(C96:D96,$AE$37:$AE$38,$AC$51:$AD$52)*VLOOKUP($E96,$Z$62:$AD$65,4)</f>
        <v>0.1280196229607837</v>
      </c>
      <c r="V96" s="25" cm="1">
        <f t="array" ref="V96">$AE$7*NMultDensity(C96:D96,$AE$11:$AE$12,$AC$51:$AD$52)/U96*VLOOKUP($E96,$Z$62:$AD$65,2)</f>
        <v>5.7772924145569444E-9</v>
      </c>
      <c r="W96" s="25" cm="1">
        <f t="array" ref="W96">$AE$20*NMultDensity(C96:D96,$AE$24:$AE$25,$AC$51:$AD$52)/U96*VLOOKUP($E96,$Z$62:$AD$65,3)</f>
        <v>0.99959503130030514</v>
      </c>
      <c r="X96" s="43" cm="1">
        <f t="array" ref="X96">$AE$33*NMultDensity(C96:D96,$AE$37:$AE$38,$AC$51:$AD$52)/U96*VLOOKUP($E96,$Z$62:$AD$65,4)</f>
        <v>4.0496292240243495E-4</v>
      </c>
    </row>
    <row r="97" spans="1:24" x14ac:dyDescent="0.25">
      <c r="A97" s="71">
        <v>5.7</v>
      </c>
      <c r="B97" s="25">
        <v>3</v>
      </c>
      <c r="C97" s="25">
        <v>4.2</v>
      </c>
      <c r="D97" s="68">
        <v>1.2</v>
      </c>
      <c r="E97" s="80" t="s">
        <v>41</v>
      </c>
      <c r="F97" s="81" t="s">
        <v>6</v>
      </c>
      <c r="G97" s="81">
        <f t="shared" ca="1" si="12"/>
        <v>4.1973298766730442</v>
      </c>
      <c r="H97" s="60">
        <f t="shared" ca="1" si="13"/>
        <v>1.1892127691765171</v>
      </c>
      <c r="I97" s="78" t="s">
        <v>6</v>
      </c>
      <c r="J97" s="39" t="str">
        <f t="shared" si="10"/>
        <v>versicolor</v>
      </c>
      <c r="K97" s="25" cm="1">
        <f t="array" ref="K97">$AE$7*NMultDensity(A97:D97,$AE$9:$AE$12,$AA$49:$AD$52)+$AE$20*NMultDensity(A97:D97,$AE$22:$AE$25,$AA$49:$AD$52)+$AE$33*NMultDensity(A97:D97,$AE$35:$AE$38,$AA$49:$AD$52)</f>
        <v>0.25310985792810609</v>
      </c>
      <c r="L97" s="25" cm="1">
        <f t="array" ref="L97">$AE$7*NMultDensity(A97:D97,$AE$9:$AE$12,$AA$49:$AD$52)/K97</f>
        <v>9.142565511720239E-18</v>
      </c>
      <c r="M97" s="25" cm="1">
        <f t="array" ref="M97">$AE$20*NMultDensity(A97:D97,$AE$22:$AE$25,$AA$49:$AD$52)/K97</f>
        <v>0.99983365824459536</v>
      </c>
      <c r="N97" s="43" cm="1">
        <f t="array" ref="N97">$AE$33*NMultDensity(A97:D97,$AE$35:$AE$38,$AA$49:$AD$52)/K97</f>
        <v>1.6634175540466436E-4</v>
      </c>
      <c r="O97" s="42" t="str">
        <f t="shared" si="11"/>
        <v>versicolor</v>
      </c>
      <c r="P97" s="25" cm="1">
        <f t="array" ref="P97">$AE$7*NMultDensity(C97:D97,$AE$11:$AE$12,$AC$51:$AD$52)+$AE$20*NMultDensity(C97:D97,$AE$24:$AE$25,$AC$51:$AD$52)+$AE$33*NMultDensity(C97:D97,$AE$37:$AE$38,$AC$51:$AD$52)</f>
        <v>0.42947752964991232</v>
      </c>
      <c r="Q97" s="25" cm="1">
        <f t="array" ref="Q97">$AE$7*NMultDensity(C97:D97,$AE$11:$AE$12,$AC$51:$AD$52)/P97</f>
        <v>2.1822962352789643E-8</v>
      </c>
      <c r="R97" s="25" cm="1">
        <f t="array" ref="R97">$AE$20*NMultDensity(C97:D97,$AE$24:$AE$25,$AC$51:$AD$52)/P97</f>
        <v>0.99793271536238404</v>
      </c>
      <c r="S97" s="43" cm="1">
        <f t="array" ref="S97">$AE$33*NMultDensity(C97:D97,$AE$37:$AE$38,$AC$51:$AD$52)/P97</f>
        <v>2.0672628146536295E-3</v>
      </c>
      <c r="T97" s="42" t="str">
        <f t="shared" si="14"/>
        <v>versicolor</v>
      </c>
      <c r="U97" s="25" cm="1">
        <f t="array" ref="U97">$AE$7*NMultDensity(C97:D97,$AE$11:$AE$12,$AC$51:$AD$52)*VLOOKUP($E97,$Z$62:$AD$65,2)+$AE$20*NMultDensity(C97:D97,$AE$24:$AE$25,$AC$51:$AD$52)*VLOOKUP($E97,$Z$62:$AD$65,3)+$AE$33*NMultDensity(C97:D97,$AE$37:$AE$38,$AC$51:$AD$52)*VLOOKUP($E97,$Z$62:$AD$65,4)</f>
        <v>0.11145107484420298</v>
      </c>
      <c r="V97" s="25" cm="1">
        <f t="array" ref="V97">$AE$7*NMultDensity(C97:D97,$AE$11:$AE$12,$AC$51:$AD$52)/U97*VLOOKUP($E97,$Z$62:$AD$65,2)</f>
        <v>1.6818988913334173E-8</v>
      </c>
      <c r="W97" s="25" cm="1">
        <f t="array" ref="W97">$AE$20*NMultDensity(C97:D97,$AE$24:$AE$25,$AC$51:$AD$52)/U97*VLOOKUP($E97,$Z$62:$AD$65,3)</f>
        <v>0.99984065893438268</v>
      </c>
      <c r="X97" s="43" cm="1">
        <f t="array" ref="X97">$AE$33*NMultDensity(C97:D97,$AE$37:$AE$38,$AC$51:$AD$52)/U97*VLOOKUP($E97,$Z$62:$AD$65,4)</f>
        <v>1.5932424662851884E-4</v>
      </c>
    </row>
    <row r="98" spans="1:24" x14ac:dyDescent="0.25">
      <c r="A98" s="71">
        <v>5.7</v>
      </c>
      <c r="B98" s="25">
        <v>2.9</v>
      </c>
      <c r="C98" s="25">
        <v>4.2</v>
      </c>
      <c r="D98" s="68">
        <v>1.3</v>
      </c>
      <c r="E98" s="80" t="s">
        <v>41</v>
      </c>
      <c r="F98" s="81" t="s">
        <v>6</v>
      </c>
      <c r="G98" s="81">
        <f t="shared" ca="1" si="12"/>
        <v>4.1832800727982304</v>
      </c>
      <c r="H98" s="60">
        <f t="shared" ca="1" si="13"/>
        <v>1.3090462081680807</v>
      </c>
      <c r="I98" s="78" t="s">
        <v>6</v>
      </c>
      <c r="J98" s="39" t="str">
        <f t="shared" ref="J98:J129" si="15">IF(L98&gt;MAX(M98:N98),$I$2,IF(M98&gt;N98,$I$52,$I$102))</f>
        <v>versicolor</v>
      </c>
      <c r="K98" s="25" cm="1">
        <f t="array" ref="K98">$AE$7*NMultDensity(A98:D98,$AE$9:$AE$12,$AA$49:$AD$52)+$AE$20*NMultDensity(A98:D98,$AE$22:$AE$25,$AA$49:$AD$52)+$AE$33*NMultDensity(A98:D98,$AE$35:$AE$38,$AA$49:$AD$52)</f>
        <v>0.59066519894330816</v>
      </c>
      <c r="L98" s="25" cm="1">
        <f t="array" ref="L98">$AE$7*NMultDensity(A98:D98,$AE$9:$AE$12,$AA$49:$AD$52)/K98</f>
        <v>1.2971040175806964E-19</v>
      </c>
      <c r="M98" s="25" cm="1">
        <f t="array" ref="M98">$AE$20*NMultDensity(A98:D98,$AE$22:$AE$25,$AA$49:$AD$52)/K98</f>
        <v>0.99918769911608685</v>
      </c>
      <c r="N98" s="43" cm="1">
        <f t="array" ref="N98">$AE$33*NMultDensity(A98:D98,$AE$35:$AE$38,$AA$49:$AD$52)/K98</f>
        <v>8.1230088391311313E-4</v>
      </c>
      <c r="O98" s="42" t="str">
        <f t="shared" ref="O98:O129" si="16">IF(Q98&gt;MAX(R98:S98),$I$2,IF(R98&gt;S98,$I$52,$I$102))</f>
        <v>versicolor</v>
      </c>
      <c r="P98" s="25" cm="1">
        <f t="array" ref="P98">$AE$7*NMultDensity(C98:D98,$AE$11:$AE$12,$AC$51:$AD$52)+$AE$20*NMultDensity(C98:D98,$AE$24:$AE$25,$AC$51:$AD$52)+$AE$33*NMultDensity(C98:D98,$AE$37:$AE$38,$AC$51:$AD$52)</f>
        <v>0.49477592919359392</v>
      </c>
      <c r="Q98" s="25" cm="1">
        <f t="array" ref="Q98">$AE$7*NMultDensity(C98:D98,$AE$11:$AE$12,$AC$51:$AD$52)/P98</f>
        <v>7.4741590385289867E-9</v>
      </c>
      <c r="R98" s="25" cm="1">
        <f t="array" ref="R98">$AE$20*NMultDensity(C98:D98,$AE$24:$AE$25,$AC$51:$AD$52)/P98</f>
        <v>0.99476093403692523</v>
      </c>
      <c r="S98" s="43" cm="1">
        <f t="array" ref="S98">$AE$33*NMultDensity(C98:D98,$AE$37:$AE$38,$AC$51:$AD$52)/P98</f>
        <v>5.2390584889156792E-3</v>
      </c>
      <c r="T98" s="42" t="str">
        <f t="shared" si="14"/>
        <v>versicolor</v>
      </c>
      <c r="U98" s="25" cm="1">
        <f t="array" ref="U98">$AE$7*NMultDensity(C98:D98,$AE$11:$AE$12,$AC$51:$AD$52)*VLOOKUP($E98,$Z$62:$AD$65,2)+$AE$20*NMultDensity(C98:D98,$AE$24:$AE$25,$AC$51:$AD$52)*VLOOKUP($E98,$Z$62:$AD$65,3)+$AE$33*NMultDensity(C98:D98,$AE$37:$AE$38,$AC$51:$AD$52)*VLOOKUP($E98,$Z$62:$AD$65,4)</f>
        <v>0.1280196229607837</v>
      </c>
      <c r="V98" s="25" cm="1">
        <f t="array" ref="V98">$AE$7*NMultDensity(C98:D98,$AE$11:$AE$12,$AC$51:$AD$52)/U98*VLOOKUP($E98,$Z$62:$AD$65,2)</f>
        <v>5.7772924145569444E-9</v>
      </c>
      <c r="W98" s="25" cm="1">
        <f t="array" ref="W98">$AE$20*NMultDensity(C98:D98,$AE$24:$AE$25,$AC$51:$AD$52)/U98*VLOOKUP($E98,$Z$62:$AD$65,3)</f>
        <v>0.99959503130030514</v>
      </c>
      <c r="X98" s="43" cm="1">
        <f t="array" ref="X98">$AE$33*NMultDensity(C98:D98,$AE$37:$AE$38,$AC$51:$AD$52)/U98*VLOOKUP($E98,$Z$62:$AD$65,4)</f>
        <v>4.0496292240243495E-4</v>
      </c>
    </row>
    <row r="99" spans="1:24" x14ac:dyDescent="0.25">
      <c r="A99" s="71">
        <v>6.2</v>
      </c>
      <c r="B99" s="25">
        <v>2.9</v>
      </c>
      <c r="C99" s="25">
        <v>4.3</v>
      </c>
      <c r="D99" s="68">
        <v>1.3</v>
      </c>
      <c r="E99" s="80" t="s">
        <v>41</v>
      </c>
      <c r="F99" s="81" t="s">
        <v>6</v>
      </c>
      <c r="G99" s="81">
        <f t="shared" ca="1" si="12"/>
        <v>4.3046706215149246</v>
      </c>
      <c r="H99" s="60">
        <f t="shared" ca="1" si="13"/>
        <v>1.3052066723683453</v>
      </c>
      <c r="I99" s="78" t="s">
        <v>6</v>
      </c>
      <c r="J99" s="39" t="str">
        <f t="shared" si="15"/>
        <v>versicolor</v>
      </c>
      <c r="K99" s="25" cm="1">
        <f t="array" ref="K99">$AE$7*NMultDensity(A99:D99,$AE$9:$AE$12,$AA$49:$AD$52)+$AE$20*NMultDensity(A99:D99,$AE$22:$AE$25,$AA$49:$AD$52)+$AE$33*NMultDensity(A99:D99,$AE$35:$AE$38,$AA$49:$AD$52)</f>
        <v>0.69917604603249461</v>
      </c>
      <c r="L99" s="25" cm="1">
        <f t="array" ref="L99">$AE$7*NMultDensity(A99:D99,$AE$9:$AE$12,$AA$49:$AD$52)/K99</f>
        <v>2.4178137118727433E-18</v>
      </c>
      <c r="M99" s="25" cm="1">
        <f t="array" ref="M99">$AE$20*NMultDensity(A99:D99,$AE$22:$AE$25,$AA$49:$AD$52)/K99</f>
        <v>0.99975353504812103</v>
      </c>
      <c r="N99" s="43" cm="1">
        <f t="array" ref="N99">$AE$33*NMultDensity(A99:D99,$AE$35:$AE$38,$AA$49:$AD$52)/K99</f>
        <v>2.4646495187897777E-4</v>
      </c>
      <c r="O99" s="42" t="str">
        <f t="shared" si="16"/>
        <v>versicolor</v>
      </c>
      <c r="P99" s="25" cm="1">
        <f t="array" ref="P99">$AE$7*NMultDensity(C99:D99,$AE$11:$AE$12,$AC$51:$AD$52)+$AE$20*NMultDensity(C99:D99,$AE$24:$AE$25,$AC$51:$AD$52)+$AE$33*NMultDensity(C99:D99,$AE$37:$AE$38,$AC$51:$AD$52)</f>
        <v>0.49229462803200891</v>
      </c>
      <c r="Q99" s="25" cm="1">
        <f t="array" ref="Q99">$AE$7*NMultDensity(C99:D99,$AE$11:$AE$12,$AC$51:$AD$52)/P99</f>
        <v>3.0417312938946858E-9</v>
      </c>
      <c r="R99" s="25" cm="1">
        <f t="array" ref="R99">$AE$20*NMultDensity(C99:D99,$AE$24:$AE$25,$AC$51:$AD$52)/P99</f>
        <v>0.99278991380299852</v>
      </c>
      <c r="S99" s="43" cm="1">
        <f t="array" ref="S99">$AE$33*NMultDensity(C99:D99,$AE$37:$AE$38,$AC$51:$AD$52)/P99</f>
        <v>7.2100831552702202E-3</v>
      </c>
      <c r="T99" s="42" t="str">
        <f t="shared" si="14"/>
        <v>versicolor</v>
      </c>
      <c r="U99" s="25" cm="1">
        <f t="array" ref="U99">$AE$7*NMultDensity(C99:D99,$AE$11:$AE$12,$AC$51:$AD$52)*VLOOKUP($E99,$Z$62:$AD$65,2)+$AE$20*NMultDensity(C99:D99,$AE$24:$AE$25,$AC$51:$AD$52)*VLOOKUP($E99,$Z$62:$AD$65,3)+$AE$33*NMultDensity(C99:D99,$AE$37:$AE$38,$AC$51:$AD$52)*VLOOKUP($E99,$Z$62:$AD$65,4)</f>
        <v>0.12714472674927579</v>
      </c>
      <c r="V99" s="25" cm="1">
        <f t="array" ref="V99">$AE$7*NMultDensity(C99:D99,$AE$11:$AE$12,$AC$51:$AD$52)/U99*VLOOKUP($E99,$Z$62:$AD$65,2)</f>
        <v>2.3554700445486386E-9</v>
      </c>
      <c r="W99" s="25" cm="1">
        <f t="array" ref="W99">$AE$20*NMultDensity(C99:D99,$AE$24:$AE$25,$AC$51:$AD$52)/U99*VLOOKUP($E99,$Z$62:$AD$65,3)</f>
        <v>0.99944165986745426</v>
      </c>
      <c r="X99" s="43" cm="1">
        <f t="array" ref="X99">$AE$33*NMultDensity(C99:D99,$AE$37:$AE$38,$AC$51:$AD$52)/U99*VLOOKUP($E99,$Z$62:$AD$65,4)</f>
        <v>5.5833777707557566E-4</v>
      </c>
    </row>
    <row r="100" spans="1:24" x14ac:dyDescent="0.25">
      <c r="A100" s="71">
        <v>5.0999999999999996</v>
      </c>
      <c r="B100" s="25">
        <v>2.5</v>
      </c>
      <c r="C100" s="25">
        <v>3</v>
      </c>
      <c r="D100" s="68">
        <v>1.1000000000000001</v>
      </c>
      <c r="E100" s="80" t="s">
        <v>41</v>
      </c>
      <c r="F100" s="81" t="s">
        <v>6</v>
      </c>
      <c r="G100" s="81">
        <f t="shared" ca="1" si="12"/>
        <v>2.9981824374846728</v>
      </c>
      <c r="H100" s="60">
        <f t="shared" ca="1" si="13"/>
        <v>1.111695854741602</v>
      </c>
      <c r="I100" s="78" t="s">
        <v>6</v>
      </c>
      <c r="J100" s="39" t="str">
        <f t="shared" si="15"/>
        <v>versicolor</v>
      </c>
      <c r="K100" s="25" cm="1">
        <f t="array" ref="K100">$AE$7*NMultDensity(A100:D100,$AE$9:$AE$12,$AA$49:$AD$52)+$AE$20*NMultDensity(A100:D100,$AE$22:$AE$25,$AA$49:$AD$52)+$AE$33*NMultDensity(A100:D100,$AE$35:$AE$38,$AA$49:$AD$52)</f>
        <v>2.1679048143719157E-2</v>
      </c>
      <c r="L100" s="25" cm="1">
        <f t="array" ref="L100">$AE$7*NMultDensity(A100:D100,$AE$9:$AE$12,$AA$49:$AD$52)/K100</f>
        <v>1.5899234668348359E-12</v>
      </c>
      <c r="M100" s="25" cm="1">
        <f t="array" ref="M100">$AE$20*NMultDensity(A100:D100,$AE$22:$AE$25,$AA$49:$AD$52)/K100</f>
        <v>0.99999949215655748</v>
      </c>
      <c r="N100" s="43" cm="1">
        <f t="array" ref="N100">$AE$33*NMultDensity(A100:D100,$AE$35:$AE$38,$AA$49:$AD$52)/K100</f>
        <v>5.0784185257241197E-7</v>
      </c>
      <c r="O100" s="42" t="str">
        <f t="shared" si="16"/>
        <v>versicolor</v>
      </c>
      <c r="P100" s="25" cm="1">
        <f t="array" ref="P100">$AE$7*NMultDensity(C100:D100,$AE$11:$AE$12,$AC$51:$AD$52)+$AE$20*NMultDensity(C100:D100,$AE$24:$AE$25,$AC$51:$AD$52)+$AE$33*NMultDensity(C100:D100,$AE$37:$AE$38,$AC$51:$AD$52)</f>
        <v>2.0253189505061265E-2</v>
      </c>
      <c r="Q100" s="25" cm="1">
        <f t="array" ref="Q100">$AE$7*NMultDensity(C100:D100,$AE$11:$AE$12,$AC$51:$AD$52)/P100</f>
        <v>3.0021300501603741E-3</v>
      </c>
      <c r="R100" s="25" cm="1">
        <f t="array" ref="R100">$AE$20*NMultDensity(C100:D100,$AE$24:$AE$25,$AC$51:$AD$52)/P100</f>
        <v>0.99698068452064559</v>
      </c>
      <c r="S100" s="43" cm="1">
        <f t="array" ref="S100">$AE$33*NMultDensity(C100:D100,$AE$37:$AE$38,$AC$51:$AD$52)/P100</f>
        <v>1.7185429193954718E-5</v>
      </c>
      <c r="T100" s="42" t="str">
        <f t="shared" si="14"/>
        <v>versicolor</v>
      </c>
      <c r="U100" s="25" cm="1">
        <f t="array" ref="U100">$AE$7*NMultDensity(C100:D100,$AE$11:$AE$12,$AC$51:$AD$52)*VLOOKUP($E100,$Z$62:$AD$65,2)+$AE$20*NMultDensity(C100:D100,$AE$24:$AE$25,$AC$51:$AD$52)*VLOOKUP($E100,$Z$62:$AD$65,3)+$AE$33*NMultDensity(C100:D100,$AE$37:$AE$38,$AC$51:$AD$52)*VLOOKUP($E100,$Z$62:$AD$65,4)</f>
        <v>5.2620975744454394E-3</v>
      </c>
      <c r="V100" s="25" cm="1">
        <f t="array" ref="V100">$AE$7*NMultDensity(C100:D100,$AE$11:$AE$12,$AC$51:$AD$52)/U100*VLOOKUP($E100,$Z$62:$AD$65,2)</f>
        <v>2.31096850503176E-3</v>
      </c>
      <c r="W100" s="25" cm="1">
        <f t="array" ref="W100">$AE$20*NMultDensity(C100:D100,$AE$24:$AE$25,$AC$51:$AD$52)/U100*VLOOKUP($E100,$Z$62:$AD$65,3)</f>
        <v>0.99768770860139089</v>
      </c>
      <c r="X100" s="43" cm="1">
        <f t="array" ref="X100">$AE$33*NMultDensity(C100:D100,$AE$37:$AE$38,$AC$51:$AD$52)/U100*VLOOKUP($E100,$Z$62:$AD$65,4)</f>
        <v>1.3228935771973343E-6</v>
      </c>
    </row>
    <row r="101" spans="1:24" x14ac:dyDescent="0.25">
      <c r="A101" s="71">
        <v>5.7</v>
      </c>
      <c r="B101" s="25">
        <v>2.8</v>
      </c>
      <c r="C101" s="25">
        <v>4.0999999999999996</v>
      </c>
      <c r="D101" s="68">
        <v>1.3</v>
      </c>
      <c r="E101" s="80" t="s">
        <v>41</v>
      </c>
      <c r="F101" s="81" t="s">
        <v>6</v>
      </c>
      <c r="G101" s="81">
        <f t="shared" ca="1" si="12"/>
        <v>4.0885833667521636</v>
      </c>
      <c r="H101" s="60">
        <f t="shared" ca="1" si="13"/>
        <v>1.2801636639757628</v>
      </c>
      <c r="I101" s="78" t="s">
        <v>6</v>
      </c>
      <c r="J101" s="39" t="str">
        <f t="shared" si="15"/>
        <v>versicolor</v>
      </c>
      <c r="K101" s="25" cm="1">
        <f t="array" ref="K101">$AE$7*NMultDensity(A101:D101,$AE$9:$AE$12,$AA$49:$AD$52)+$AE$20*NMultDensity(A101:D101,$AE$22:$AE$25,$AA$49:$AD$52)+$AE$33*NMultDensity(A101:D101,$AE$35:$AE$38,$AA$49:$AD$52)</f>
        <v>0.81250935159604076</v>
      </c>
      <c r="L101" s="25" cm="1">
        <f t="array" ref="L101">$AE$7*NMultDensity(A101:D101,$AE$9:$AE$12,$AA$49:$AD$52)/K101</f>
        <v>1.499976154749516E-19</v>
      </c>
      <c r="M101" s="25" cm="1">
        <f t="array" ref="M101">$AE$20*NMultDensity(A101:D101,$AE$22:$AE$25,$AA$49:$AD$52)/K101</f>
        <v>0.99941849175637543</v>
      </c>
      <c r="N101" s="43" cm="1">
        <f t="array" ref="N101">$AE$33*NMultDensity(A101:D101,$AE$35:$AE$38,$AA$49:$AD$52)/K101</f>
        <v>5.8150824362465528E-4</v>
      </c>
      <c r="O101" s="42" t="str">
        <f t="shared" si="16"/>
        <v>versicolor</v>
      </c>
      <c r="P101" s="25" cm="1">
        <f t="array" ref="P101">$AE$7*NMultDensity(C101:D101,$AE$11:$AE$12,$AC$51:$AD$52)+$AE$20*NMultDensity(C101:D101,$AE$24:$AE$25,$AC$51:$AD$52)+$AE$33*NMultDensity(C101:D101,$AE$37:$AE$38,$AC$51:$AD$52)</f>
        <v>0.47333473697204531</v>
      </c>
      <c r="Q101" s="25" cm="1">
        <f t="array" ref="Q101">$AE$7*NMultDensity(C101:D101,$AE$11:$AE$12,$AC$51:$AD$52)/P101</f>
        <v>1.8355582819346032E-8</v>
      </c>
      <c r="R101" s="25" cm="1">
        <f t="array" ref="R101">$AE$20*NMultDensity(C101:D101,$AE$24:$AE$25,$AC$51:$AD$52)/P101</f>
        <v>0.99619519266158518</v>
      </c>
      <c r="S101" s="43" cm="1">
        <f t="array" ref="S101">$AE$33*NMultDensity(C101:D101,$AE$37:$AE$38,$AC$51:$AD$52)/P101</f>
        <v>3.8047889828319737E-3</v>
      </c>
      <c r="T101" s="42" t="str">
        <f t="shared" si="14"/>
        <v>versicolor</v>
      </c>
      <c r="U101" s="25" cm="1">
        <f t="array" ref="U101">$AE$7*NMultDensity(C101:D101,$AE$11:$AE$12,$AC$51:$AD$52)*VLOOKUP($E101,$Z$62:$AD$65,2)+$AE$20*NMultDensity(C101:D101,$AE$24:$AE$25,$AC$51:$AD$52)*VLOOKUP($E101,$Z$62:$AD$65,3)+$AE$33*NMultDensity(C101:D101,$AE$37:$AE$38,$AC$51:$AD$52)*VLOOKUP($E101,$Z$62:$AD$65,4)</f>
        <v>0.12263480578125019</v>
      </c>
      <c r="V101" s="25" cm="1">
        <f t="array" ref="V101">$AE$7*NMultDensity(C101:D101,$AE$11:$AE$12,$AC$51:$AD$52)/U101*VLOOKUP($E101,$Z$62:$AD$65,2)</f>
        <v>1.4169443838418212E-8</v>
      </c>
      <c r="W101" s="25" cm="1">
        <f t="array" ref="W101">$AE$20*NMultDensity(C101:D101,$AE$24:$AE$25,$AC$51:$AD$52)/U101*VLOOKUP($E101,$Z$62:$AD$65,3)</f>
        <v>0.9997062782194176</v>
      </c>
      <c r="X101" s="43" cm="1">
        <f t="array" ref="X101">$AE$33*NMultDensity(C101:D101,$AE$37:$AE$38,$AC$51:$AD$52)/U101*VLOOKUP($E101,$Z$62:$AD$65,4)</f>
        <v>2.9370761113860813E-4</v>
      </c>
    </row>
    <row r="102" spans="1:24" x14ac:dyDescent="0.25">
      <c r="A102" s="71">
        <v>6.3</v>
      </c>
      <c r="B102" s="25">
        <v>3.3</v>
      </c>
      <c r="C102" s="25">
        <v>6</v>
      </c>
      <c r="D102" s="68">
        <v>2.5</v>
      </c>
      <c r="E102" s="80" t="s">
        <v>38</v>
      </c>
      <c r="F102" s="81" t="s">
        <v>7</v>
      </c>
      <c r="G102" s="81">
        <f t="shared" ca="1" si="12"/>
        <v>6.0123768850217933</v>
      </c>
      <c r="H102" s="60">
        <f t="shared" ca="1" si="13"/>
        <v>2.4835397159495027</v>
      </c>
      <c r="I102" s="78" t="s">
        <v>7</v>
      </c>
      <c r="J102" s="39" t="str">
        <f t="shared" si="15"/>
        <v>virginica</v>
      </c>
      <c r="K102" s="25" cm="1">
        <f t="array" ref="K102">$AE$7*NMultDensity(A102:D102,$AE$9:$AE$12,$AA$49:$AD$52)+$AE$20*NMultDensity(A102:D102,$AE$22:$AE$25,$AA$49:$AD$52)+$AE$33*NMultDensity(A102:D102,$AE$35:$AE$38,$AA$49:$AD$52)</f>
        <v>2.092842251070403E-2</v>
      </c>
      <c r="L102" s="25" cm="1">
        <f t="array" ref="L102">$AE$7*NMultDensity(A102:D102,$AE$9:$AE$12,$AA$49:$AD$52)/K102</f>
        <v>3.5983733924045907E-49</v>
      </c>
      <c r="M102" s="25" cm="1">
        <f t="array" ref="M102">$AE$20*NMultDensity(A102:D102,$AE$22:$AE$25,$AA$49:$AD$52)/K102</f>
        <v>7.1923401753672672E-8</v>
      </c>
      <c r="N102" s="43" cm="1">
        <f t="array" ref="N102">$AE$33*NMultDensity(A102:D102,$AE$35:$AE$38,$AA$49:$AD$52)/K102</f>
        <v>0.99999992807659832</v>
      </c>
      <c r="O102" s="42" t="str">
        <f t="shared" si="16"/>
        <v>virginica</v>
      </c>
      <c r="P102" s="25" cm="1">
        <f t="array" ref="P102">$AE$7*NMultDensity(C102:D102,$AE$11:$AE$12,$AC$51:$AD$52)+$AE$20*NMultDensity(C102:D102,$AE$24:$AE$25,$AC$51:$AD$52)+$AE$33*NMultDensity(C102:D102,$AE$37:$AE$38,$AC$51:$AD$52)</f>
        <v>0.11719246456559926</v>
      </c>
      <c r="Q102" s="25" cm="1">
        <f t="array" ref="Q102">$AE$7*NMultDensity(C102:D102,$AE$11:$AE$12,$AC$51:$AD$52)/P102</f>
        <v>1.5830158214564101E-26</v>
      </c>
      <c r="R102" s="25" cm="1">
        <f t="array" ref="R102">$AE$20*NMultDensity(C102:D102,$AE$24:$AE$25,$AC$51:$AD$52)/P102</f>
        <v>8.0114260112821404E-6</v>
      </c>
      <c r="S102" s="43" cm="1">
        <f t="array" ref="S102">$AE$33*NMultDensity(C102:D102,$AE$37:$AE$38,$AC$51:$AD$52)/P102</f>
        <v>0.99999198857398874</v>
      </c>
      <c r="T102" s="42" t="str">
        <f t="shared" si="14"/>
        <v>virginica</v>
      </c>
      <c r="U102" s="25" cm="1">
        <f t="array" ref="U102">$AE$7*NMultDensity(C102:D102,$AE$11:$AE$12,$AC$51:$AD$52)*VLOOKUP($E102,$Z$62:$AD$65,2)+$AE$20*NMultDensity(C102:D102,$AE$24:$AE$25,$AC$51:$AD$52)*VLOOKUP($E102,$Z$62:$AD$65,3)+$AE$33*NMultDensity(C102:D102,$AE$37:$AE$38,$AC$51:$AD$52)*VLOOKUP($E102,$Z$62:$AD$65,4)</f>
        <v>7.0315084410280795E-2</v>
      </c>
      <c r="V102" s="25" cm="1">
        <f t="array" ref="V102">$AE$7*NMultDensity(C102:D102,$AE$11:$AE$12,$AC$51:$AD$52)/U102*VLOOKUP($E102,$Z$62:$AD$65,2)</f>
        <v>1.1608847793077961E-26</v>
      </c>
      <c r="W102" s="25" cm="1">
        <f t="array" ref="W102">$AE$20*NMultDensity(C102:D102,$AE$24:$AE$25,$AC$51:$AD$52)/U102*VLOOKUP($E102,$Z$62:$AD$65,3)</f>
        <v>2.4034412818790439E-6</v>
      </c>
      <c r="X102" s="43" cm="1">
        <f t="array" ref="X102">$AE$33*NMultDensity(C102:D102,$AE$37:$AE$38,$AC$51:$AD$52)/U102*VLOOKUP($E102,$Z$62:$AD$65,4)</f>
        <v>0.99999759655871812</v>
      </c>
    </row>
    <row r="103" spans="1:24" x14ac:dyDescent="0.25">
      <c r="A103" s="71">
        <v>5.8</v>
      </c>
      <c r="B103" s="25">
        <v>2.7</v>
      </c>
      <c r="C103" s="25">
        <v>5.0999999999999996</v>
      </c>
      <c r="D103" s="68">
        <v>1.9</v>
      </c>
      <c r="E103" s="80" t="s">
        <v>38</v>
      </c>
      <c r="F103" s="81" t="s">
        <v>7</v>
      </c>
      <c r="G103" s="81">
        <f t="shared" ca="1" si="12"/>
        <v>5.1084578288966114</v>
      </c>
      <c r="H103" s="60">
        <f t="shared" ca="1" si="13"/>
        <v>1.9168656392406815</v>
      </c>
      <c r="I103" s="78" t="s">
        <v>7</v>
      </c>
      <c r="J103" s="39" t="str">
        <f t="shared" si="15"/>
        <v>virginica</v>
      </c>
      <c r="K103" s="25" cm="1">
        <f t="array" ref="K103">$AE$7*NMultDensity(A103:D103,$AE$9:$AE$12,$AA$49:$AD$52)+$AE$20*NMultDensity(A103:D103,$AE$22:$AE$25,$AA$49:$AD$52)+$AE$33*NMultDensity(A103:D103,$AE$35:$AE$38,$AA$49:$AD$52)</f>
        <v>0.56945734812675763</v>
      </c>
      <c r="L103" s="25" cm="1">
        <f t="array" ref="L103">$AE$7*NMultDensity(A103:D103,$AE$9:$AE$12,$AA$49:$AD$52)/K103</f>
        <v>2.4627333467148457E-38</v>
      </c>
      <c r="M103" s="25" cm="1">
        <f t="array" ref="M103">$AE$20*NMultDensity(A103:D103,$AE$22:$AE$25,$AA$49:$AD$52)/K103</f>
        <v>7.9720948106347324E-4</v>
      </c>
      <c r="N103" s="43" cm="1">
        <f t="array" ref="N103">$AE$33*NMultDensity(A103:D103,$AE$35:$AE$38,$AA$49:$AD$52)/K103</f>
        <v>0.99920279051893657</v>
      </c>
      <c r="O103" s="42" t="str">
        <f t="shared" si="16"/>
        <v>virginica</v>
      </c>
      <c r="P103" s="25" cm="1">
        <f t="array" ref="P103">$AE$7*NMultDensity(C103:D103,$AE$11:$AE$12,$AC$51:$AD$52)+$AE$20*NMultDensity(C103:D103,$AE$24:$AE$25,$AC$51:$AD$52)+$AE$33*NMultDensity(C103:D103,$AE$37:$AE$38,$AC$51:$AD$52)</f>
        <v>0.5764214840401285</v>
      </c>
      <c r="Q103" s="25" cm="1">
        <f t="array" ref="Q103">$AE$7*NMultDensity(C103:D103,$AE$11:$AE$12,$AC$51:$AD$52)/P103</f>
        <v>1.4463800850169613E-16</v>
      </c>
      <c r="R103" s="25" cm="1">
        <f t="array" ref="R103">$AE$20*NMultDensity(C103:D103,$AE$24:$AE$25,$AC$51:$AD$52)/P103</f>
        <v>3.7538154042187792E-2</v>
      </c>
      <c r="S103" s="43" cm="1">
        <f t="array" ref="S103">$AE$33*NMultDensity(C103:D103,$AE$37:$AE$38,$AC$51:$AD$52)/P103</f>
        <v>0.96246184595781215</v>
      </c>
      <c r="T103" s="42" t="str">
        <f t="shared" si="14"/>
        <v>virginica</v>
      </c>
      <c r="U103" s="25" cm="1">
        <f t="array" ref="U103">$AE$7*NMultDensity(C103:D103,$AE$11:$AE$12,$AC$51:$AD$52)*VLOOKUP($E103,$Z$62:$AD$65,2)+$AE$20*NMultDensity(C103:D103,$AE$24:$AE$25,$AC$51:$AD$52)*VLOOKUP($E103,$Z$62:$AD$65,3)+$AE$33*NMultDensity(C103:D103,$AE$37:$AE$38,$AC$51:$AD$52)*VLOOKUP($E103,$Z$62:$AD$65,4)</f>
        <v>0.33676501507040463</v>
      </c>
      <c r="V103" s="25" cm="1">
        <f t="array" ref="V103">$AE$7*NMultDensity(C103:D103,$AE$11:$AE$12,$AC$51:$AD$52)/U103*VLOOKUP($E103,$Z$62:$AD$65,2)</f>
        <v>1.0893019993884943E-16</v>
      </c>
      <c r="W103" s="25" cm="1">
        <f t="array" ref="W103">$AE$20*NMultDensity(C103:D103,$AE$24:$AE$25,$AC$51:$AD$52)/U103*VLOOKUP($E103,$Z$62:$AD$65,3)</f>
        <v>1.1565345415075898E-2</v>
      </c>
      <c r="X103" s="43" cm="1">
        <f t="array" ref="X103">$AE$33*NMultDensity(C103:D103,$AE$37:$AE$38,$AC$51:$AD$52)/U103*VLOOKUP($E103,$Z$62:$AD$65,4)</f>
        <v>0.98843465458492408</v>
      </c>
    </row>
    <row r="104" spans="1:24" x14ac:dyDescent="0.25">
      <c r="A104" s="71">
        <v>7.1</v>
      </c>
      <c r="B104" s="25">
        <v>3</v>
      </c>
      <c r="C104" s="25">
        <v>5.9</v>
      </c>
      <c r="D104" s="68">
        <v>2.1</v>
      </c>
      <c r="E104" s="80" t="s">
        <v>38</v>
      </c>
      <c r="F104" s="81" t="s">
        <v>7</v>
      </c>
      <c r="G104" s="81">
        <f t="shared" ca="1" si="12"/>
        <v>5.9089029943207088</v>
      </c>
      <c r="H104" s="60">
        <f t="shared" ca="1" si="13"/>
        <v>2.096771077933222</v>
      </c>
      <c r="I104" s="78" t="s">
        <v>7</v>
      </c>
      <c r="J104" s="39" t="str">
        <f t="shared" si="15"/>
        <v>virginica</v>
      </c>
      <c r="K104" s="25" cm="1">
        <f t="array" ref="K104">$AE$7*NMultDensity(A104:D104,$AE$9:$AE$12,$AA$49:$AD$52)+$AE$20*NMultDensity(A104:D104,$AE$22:$AE$25,$AA$49:$AD$52)+$AE$33*NMultDensity(A104:D104,$AE$35:$AE$38,$AA$49:$AD$52)</f>
        <v>0.96721876129491313</v>
      </c>
      <c r="L104" s="25" cm="1">
        <f t="array" ref="L104">$AE$7*NMultDensity(A104:D104,$AE$9:$AE$12,$AA$49:$AD$52)/K104</f>
        <v>2.6122227159066331E-40</v>
      </c>
      <c r="M104" s="25" cm="1">
        <f t="array" ref="M104">$AE$20*NMultDensity(A104:D104,$AE$22:$AE$25,$AA$49:$AD$52)/K104</f>
        <v>1.0316411196856127E-4</v>
      </c>
      <c r="N104" s="43" cm="1">
        <f t="array" ref="N104">$AE$33*NMultDensity(A104:D104,$AE$35:$AE$38,$AA$49:$AD$52)/K104</f>
        <v>0.99989683588803147</v>
      </c>
      <c r="O104" s="42" t="str">
        <f t="shared" si="16"/>
        <v>virginica</v>
      </c>
      <c r="P104" s="25" cm="1">
        <f t="array" ref="P104">$AE$7*NMultDensity(C104:D104,$AE$11:$AE$12,$AC$51:$AD$52)+$AE$20*NMultDensity(C104:D104,$AE$24:$AE$25,$AC$51:$AD$52)+$AE$33*NMultDensity(C104:D104,$AE$37:$AE$38,$AC$51:$AD$52)</f>
        <v>0.66257695800586736</v>
      </c>
      <c r="Q104" s="25" cm="1">
        <f t="array" ref="Q104">$AE$7*NMultDensity(C104:D104,$AE$11:$AE$12,$AC$51:$AD$52)/P104</f>
        <v>1.6041779335030145E-22</v>
      </c>
      <c r="R104" s="25" cm="1">
        <f t="array" ref="R104">$AE$20*NMultDensity(C104:D104,$AE$24:$AE$25,$AC$51:$AD$52)/P104</f>
        <v>4.6134058919469154E-4</v>
      </c>
      <c r="S104" s="43" cm="1">
        <f t="array" ref="S104">$AE$33*NMultDensity(C104:D104,$AE$37:$AE$38,$AC$51:$AD$52)/P104</f>
        <v>0.99953865941080533</v>
      </c>
      <c r="T104" s="42" t="str">
        <f t="shared" si="14"/>
        <v>virginica</v>
      </c>
      <c r="U104" s="25" cm="1">
        <f t="array" ref="U104">$AE$7*NMultDensity(C104:D104,$AE$11:$AE$12,$AC$51:$AD$52)*VLOOKUP($E104,$Z$62:$AD$65,2)+$AE$20*NMultDensity(C104:D104,$AE$24:$AE$25,$AC$51:$AD$52)*VLOOKUP($E104,$Z$62:$AD$65,3)+$AE$33*NMultDensity(C104:D104,$AE$37:$AE$38,$AC$51:$AD$52)*VLOOKUP($E104,$Z$62:$AD$65,4)</f>
        <v>0.39741779187295928</v>
      </c>
      <c r="V104" s="25" cm="1">
        <f t="array" ref="V104">$AE$7*NMultDensity(C104:D104,$AE$11:$AE$12,$AC$51:$AD$52)/U104*VLOOKUP($E104,$Z$62:$AD$65,2)</f>
        <v>1.1767771777891303E-22</v>
      </c>
      <c r="W104" s="25" cm="1">
        <f t="array" ref="W104">$AE$20*NMultDensity(C104:D104,$AE$24:$AE$25,$AC$51:$AD$52)/U104*VLOOKUP($E104,$Z$62:$AD$65,3)</f>
        <v>1.3844688657616507E-4</v>
      </c>
      <c r="X104" s="43" cm="1">
        <f t="array" ref="X104">$AE$33*NMultDensity(C104:D104,$AE$37:$AE$38,$AC$51:$AD$52)/U104*VLOOKUP($E104,$Z$62:$AD$65,4)</f>
        <v>0.99986155311342373</v>
      </c>
    </row>
    <row r="105" spans="1:24" x14ac:dyDescent="0.25">
      <c r="A105" s="71">
        <v>6.3</v>
      </c>
      <c r="B105" s="25">
        <v>2.9</v>
      </c>
      <c r="C105" s="25">
        <v>5.6</v>
      </c>
      <c r="D105" s="68">
        <v>1.8</v>
      </c>
      <c r="E105" s="80" t="s">
        <v>38</v>
      </c>
      <c r="F105" s="81" t="s">
        <v>7</v>
      </c>
      <c r="G105" s="81">
        <f t="shared" ca="1" si="12"/>
        <v>5.6058989788300337</v>
      </c>
      <c r="H105" s="60">
        <f t="shared" ca="1" si="13"/>
        <v>1.7829963612169621</v>
      </c>
      <c r="I105" s="78" t="s">
        <v>7</v>
      </c>
      <c r="J105" s="39" t="str">
        <f t="shared" si="15"/>
        <v>virginica</v>
      </c>
      <c r="K105" s="25" cm="1">
        <f t="array" ref="K105">$AE$7*NMultDensity(A105:D105,$AE$9:$AE$12,$AA$49:$AD$52)+$AE$20*NMultDensity(A105:D105,$AE$22:$AE$25,$AA$49:$AD$52)+$AE$33*NMultDensity(A105:D105,$AE$35:$AE$38,$AA$49:$AD$52)</f>
        <v>0.43615955616380186</v>
      </c>
      <c r="L105" s="25" cm="1">
        <f t="array" ref="L105">$AE$7*NMultDensity(A105:D105,$AE$9:$AE$12,$AA$49:$AD$52)/K105</f>
        <v>4.855944091083319E-38</v>
      </c>
      <c r="M105" s="25" cm="1">
        <f t="array" ref="M105">$AE$20*NMultDensity(A105:D105,$AE$22:$AE$25,$AA$49:$AD$52)/K105</f>
        <v>9.5072487675589034E-4</v>
      </c>
      <c r="N105" s="43" cm="1">
        <f t="array" ref="N105">$AE$33*NMultDensity(A105:D105,$AE$35:$AE$38,$AA$49:$AD$52)/K105</f>
        <v>0.99904927512324404</v>
      </c>
      <c r="O105" s="42" t="str">
        <f t="shared" si="16"/>
        <v>virginica</v>
      </c>
      <c r="P105" s="25" cm="1">
        <f t="array" ref="P105">$AE$7*NMultDensity(C105:D105,$AE$11:$AE$12,$AC$51:$AD$52)+$AE$20*NMultDensity(C105:D105,$AE$24:$AE$25,$AC$51:$AD$52)+$AE$33*NMultDensity(C105:D105,$AE$37:$AE$38,$AC$51:$AD$52)</f>
        <v>0.4661888073511215</v>
      </c>
      <c r="Q105" s="25" cm="1">
        <f t="array" ref="Q105">$AE$7*NMultDensity(C105:D105,$AE$11:$AE$12,$AC$51:$AD$52)/P105</f>
        <v>2.4655444981720451E-18</v>
      </c>
      <c r="R105" s="25" cm="1">
        <f t="array" ref="R105">$AE$20*NMultDensity(C105:D105,$AE$24:$AE$25,$AC$51:$AD$52)/P105</f>
        <v>1.9500022502968131E-2</v>
      </c>
      <c r="S105" s="43" cm="1">
        <f t="array" ref="S105">$AE$33*NMultDensity(C105:D105,$AE$37:$AE$38,$AC$51:$AD$52)/P105</f>
        <v>0.98049997749703188</v>
      </c>
      <c r="T105" s="42" t="str">
        <f t="shared" si="14"/>
        <v>virginica</v>
      </c>
      <c r="U105" s="25" cm="1">
        <f t="array" ref="U105">$AE$7*NMultDensity(C105:D105,$AE$11:$AE$12,$AC$51:$AD$52)*VLOOKUP($E105,$Z$62:$AD$65,2)+$AE$20*NMultDensity(C105:D105,$AE$24:$AE$25,$AC$51:$AD$52)*VLOOKUP($E105,$Z$62:$AD$65,3)+$AE$33*NMultDensity(C105:D105,$AE$37:$AE$38,$AC$51:$AD$52)*VLOOKUP($E105,$Z$62:$AD$65,4)</f>
        <v>0.27589519367240178</v>
      </c>
      <c r="V105" s="25" cm="1">
        <f t="array" ref="V105">$AE$7*NMultDensity(C105:D105,$AE$11:$AE$12,$AC$51:$AD$52)/U105*VLOOKUP($E105,$Z$62:$AD$65,2)</f>
        <v>1.8330876404938464E-18</v>
      </c>
      <c r="W105" s="25" cm="1">
        <f t="array" ref="W105">$AE$20*NMultDensity(C105:D105,$AE$24:$AE$25,$AC$51:$AD$52)/U105*VLOOKUP($E105,$Z$62:$AD$65,3)</f>
        <v>5.9309645098752509E-3</v>
      </c>
      <c r="X105" s="43" cm="1">
        <f t="array" ref="X105">$AE$33*NMultDensity(C105:D105,$AE$37:$AE$38,$AC$51:$AD$52)/U105*VLOOKUP($E105,$Z$62:$AD$65,4)</f>
        <v>0.99406903549012493</v>
      </c>
    </row>
    <row r="106" spans="1:24" x14ac:dyDescent="0.25">
      <c r="A106" s="71">
        <v>6.5</v>
      </c>
      <c r="B106" s="25">
        <v>3</v>
      </c>
      <c r="C106" s="25">
        <v>5.8</v>
      </c>
      <c r="D106" s="68">
        <v>2.2000000000000002</v>
      </c>
      <c r="E106" s="80" t="s">
        <v>38</v>
      </c>
      <c r="F106" s="81" t="s">
        <v>7</v>
      </c>
      <c r="G106" s="81">
        <f t="shared" ca="1" si="12"/>
        <v>5.8064461994965928</v>
      </c>
      <c r="H106" s="60">
        <f t="shared" ca="1" si="13"/>
        <v>2.2032348758236648</v>
      </c>
      <c r="I106" s="78" t="s">
        <v>7</v>
      </c>
      <c r="J106" s="39" t="str">
        <f t="shared" si="15"/>
        <v>virginica</v>
      </c>
      <c r="K106" s="25" cm="1">
        <f t="array" ref="K106">$AE$7*NMultDensity(A106:D106,$AE$9:$AE$12,$AA$49:$AD$52)+$AE$20*NMultDensity(A106:D106,$AE$22:$AE$25,$AA$49:$AD$52)+$AE$33*NMultDensity(A106:D106,$AE$35:$AE$38,$AA$49:$AD$52)</f>
        <v>0.75823154715831875</v>
      </c>
      <c r="L106" s="25" cm="1">
        <f t="array" ref="L106">$AE$7*NMultDensity(A106:D106,$AE$9:$AE$12,$AA$49:$AD$52)/K106</f>
        <v>3.5082259802614476E-44</v>
      </c>
      <c r="M106" s="25" cm="1">
        <f t="array" ref="M106">$AE$20*NMultDensity(A106:D106,$AE$22:$AE$25,$AA$49:$AD$52)/K106</f>
        <v>6.6105157890146503E-6</v>
      </c>
      <c r="N106" s="43" cm="1">
        <f t="array" ref="N106">$AE$33*NMultDensity(A106:D106,$AE$35:$AE$38,$AA$49:$AD$52)/K106</f>
        <v>0.99999338948421101</v>
      </c>
      <c r="O106" s="42" t="str">
        <f t="shared" si="16"/>
        <v>virginica</v>
      </c>
      <c r="P106" s="25" cm="1">
        <f t="array" ref="P106">$AE$7*NMultDensity(C106:D106,$AE$11:$AE$12,$AC$51:$AD$52)+$AE$20*NMultDensity(C106:D106,$AE$24:$AE$25,$AC$51:$AD$52)+$AE$33*NMultDensity(C106:D106,$AE$37:$AE$38,$AC$51:$AD$52)</f>
        <v>0.63519566457419374</v>
      </c>
      <c r="Q106" s="25" cm="1">
        <f t="array" ref="Q106">$AE$7*NMultDensity(C106:D106,$AE$11:$AE$12,$AC$51:$AD$52)/P106</f>
        <v>7.3326984721302894E-23</v>
      </c>
      <c r="R106" s="25" cm="1">
        <f t="array" ref="R106">$AE$20*NMultDensity(C106:D106,$AE$24:$AE$25,$AC$51:$AD$52)/P106</f>
        <v>2.5027741500770103E-4</v>
      </c>
      <c r="S106" s="43" cm="1">
        <f t="array" ref="S106">$AE$33*NMultDensity(C106:D106,$AE$37:$AE$38,$AC$51:$AD$52)/P106</f>
        <v>0.9997497225849924</v>
      </c>
      <c r="T106" s="42" t="str">
        <f t="shared" si="14"/>
        <v>virginica</v>
      </c>
      <c r="U106" s="25" cm="1">
        <f t="array" ref="U106">$AE$7*NMultDensity(C106:D106,$AE$11:$AE$12,$AC$51:$AD$52)*VLOOKUP($E106,$Z$62:$AD$65,2)+$AE$20*NMultDensity(C106:D106,$AE$24:$AE$25,$AC$51:$AD$52)*VLOOKUP($E106,$Z$62:$AD$65,3)+$AE$33*NMultDensity(C106:D106,$AE$37:$AE$38,$AC$51:$AD$52)*VLOOKUP($E106,$Z$62:$AD$65,4)</f>
        <v>0.38105062919035565</v>
      </c>
      <c r="V106" s="25" cm="1">
        <f t="array" ref="V106">$AE$7*NMultDensity(C106:D106,$AE$11:$AE$12,$AC$51:$AD$52)/U106*VLOOKUP($E106,$Z$62:$AD$65,2)</f>
        <v>5.3782544518305654E-23</v>
      </c>
      <c r="W106" s="25" cm="1">
        <f t="array" ref="W106">$AE$20*NMultDensity(C106:D106,$AE$24:$AE$25,$AC$51:$AD$52)/U106*VLOOKUP($E106,$Z$62:$AD$65,3)</f>
        <v>7.5096380951981075E-5</v>
      </c>
      <c r="X106" s="43" cm="1">
        <f t="array" ref="X106">$AE$33*NMultDensity(C106:D106,$AE$37:$AE$38,$AC$51:$AD$52)/U106*VLOOKUP($E106,$Z$62:$AD$65,4)</f>
        <v>0.99992490361904818</v>
      </c>
    </row>
    <row r="107" spans="1:24" x14ac:dyDescent="0.25">
      <c r="A107" s="71">
        <v>7.6</v>
      </c>
      <c r="B107" s="25">
        <v>3</v>
      </c>
      <c r="C107" s="25">
        <v>6.6</v>
      </c>
      <c r="D107" s="68">
        <v>2.1</v>
      </c>
      <c r="E107" s="80" t="s">
        <v>38</v>
      </c>
      <c r="F107" s="81" t="s">
        <v>7</v>
      </c>
      <c r="G107" s="81">
        <f t="shared" ca="1" si="12"/>
        <v>6.5774943355545741</v>
      </c>
      <c r="H107" s="60">
        <f t="shared" ca="1" si="13"/>
        <v>2.115064841530153</v>
      </c>
      <c r="I107" s="78" t="s">
        <v>7</v>
      </c>
      <c r="J107" s="39" t="str">
        <f t="shared" si="15"/>
        <v>virginica</v>
      </c>
      <c r="K107" s="25" cm="1">
        <f t="array" ref="K107">$AE$7*NMultDensity(A107:D107,$AE$9:$AE$12,$AA$49:$AD$52)+$AE$20*NMultDensity(A107:D107,$AE$22:$AE$25,$AA$49:$AD$52)+$AE$33*NMultDensity(A107:D107,$AE$35:$AE$38,$AA$49:$AD$52)</f>
        <v>0.10746613874539997</v>
      </c>
      <c r="L107" s="25" cm="1">
        <f t="array" ref="L107">$AE$7*NMultDensity(A107:D107,$AE$9:$AE$12,$AA$49:$AD$52)/K107</f>
        <v>3.6426129640121644E-46</v>
      </c>
      <c r="M107" s="25" cm="1">
        <f t="array" ref="M107">$AE$20*NMultDensity(A107:D107,$AE$22:$AE$25,$AA$49:$AD$52)/K107</f>
        <v>3.639088129412752E-6</v>
      </c>
      <c r="N107" s="43" cm="1">
        <f t="array" ref="N107">$AE$33*NMultDensity(A107:D107,$AE$35:$AE$38,$AA$49:$AD$52)/K107</f>
        <v>0.9999963609118705</v>
      </c>
      <c r="O107" s="42" t="str">
        <f t="shared" si="16"/>
        <v>virginica</v>
      </c>
      <c r="P107" s="25" cm="1">
        <f t="array" ref="P107">$AE$7*NMultDensity(C107:D107,$AE$11:$AE$12,$AC$51:$AD$52)+$AE$20*NMultDensity(C107:D107,$AE$24:$AE$25,$AC$51:$AD$52)+$AE$33*NMultDensity(C107:D107,$AE$37:$AE$38,$AC$51:$AD$52)</f>
        <v>7.3552632155803058E-2</v>
      </c>
      <c r="Q107" s="25" cm="1">
        <f t="array" ref="Q107">$AE$7*NMultDensity(C107:D107,$AE$11:$AE$12,$AC$51:$AD$52)/P107</f>
        <v>3.1734538823427583E-26</v>
      </c>
      <c r="R107" s="25" cm="1">
        <f t="array" ref="R107">$AE$20*NMultDensity(C107:D107,$AE$24:$AE$25,$AC$51:$AD$52)/P107</f>
        <v>4.8681302012484042E-5</v>
      </c>
      <c r="S107" s="43" cm="1">
        <f t="array" ref="S107">$AE$33*NMultDensity(C107:D107,$AE$37:$AE$38,$AC$51:$AD$52)/P107</f>
        <v>0.99995131869798748</v>
      </c>
      <c r="T107" s="42" t="str">
        <f t="shared" si="14"/>
        <v>virginica</v>
      </c>
      <c r="U107" s="25" cm="1">
        <f t="array" ref="U107">$AE$7*NMultDensity(C107:D107,$AE$11:$AE$12,$AC$51:$AD$52)*VLOOKUP($E107,$Z$62:$AD$65,2)+$AE$20*NMultDensity(C107:D107,$AE$24:$AE$25,$AC$51:$AD$52)*VLOOKUP($E107,$Z$62:$AD$65,3)+$AE$33*NMultDensity(C107:D107,$AE$37:$AE$38,$AC$51:$AD$52)*VLOOKUP($E107,$Z$62:$AD$65,4)</f>
        <v>4.4130075425563922E-2</v>
      </c>
      <c r="V107" s="25" cm="1">
        <f t="array" ref="V107">$AE$7*NMultDensity(C107:D107,$AE$11:$AE$12,$AC$51:$AD$52)/U107*VLOOKUP($E107,$Z$62:$AD$65,2)</f>
        <v>2.3272788201922021E-26</v>
      </c>
      <c r="W107" s="25" cm="1">
        <f t="array" ref="W107">$AE$20*NMultDensity(C107:D107,$AE$24:$AE$25,$AC$51:$AD$52)/U107*VLOOKUP($E107,$Z$62:$AD$65,3)</f>
        <v>1.4604888293229717E-5</v>
      </c>
      <c r="X107" s="43" cm="1">
        <f t="array" ref="X107">$AE$33*NMultDensity(C107:D107,$AE$37:$AE$38,$AC$51:$AD$52)/U107*VLOOKUP($E107,$Z$62:$AD$65,4)</f>
        <v>0.9999853951117067</v>
      </c>
    </row>
    <row r="108" spans="1:24" x14ac:dyDescent="0.25">
      <c r="A108" s="71">
        <v>4.9000000000000004</v>
      </c>
      <c r="B108" s="25">
        <v>2.5</v>
      </c>
      <c r="C108" s="25">
        <v>4.5</v>
      </c>
      <c r="D108" s="68">
        <v>1.7</v>
      </c>
      <c r="E108" s="80" t="s">
        <v>38</v>
      </c>
      <c r="F108" s="81" t="s">
        <v>7</v>
      </c>
      <c r="G108" s="81">
        <f t="shared" ca="1" si="12"/>
        <v>4.5007572565201714</v>
      </c>
      <c r="H108" s="60">
        <f t="shared" ca="1" si="13"/>
        <v>1.6872186972413787</v>
      </c>
      <c r="I108" s="78" t="s">
        <v>7</v>
      </c>
      <c r="J108" s="39" t="str">
        <f t="shared" si="15"/>
        <v>virginica</v>
      </c>
      <c r="K108" s="25" cm="1">
        <f t="array" ref="K108">$AE$7*NMultDensity(A108:D108,$AE$9:$AE$12,$AA$49:$AD$52)+$AE$20*NMultDensity(A108:D108,$AE$22:$AE$25,$AA$49:$AD$52)+$AE$33*NMultDensity(A108:D108,$AE$35:$AE$38,$AA$49:$AD$52)</f>
        <v>1.6030761822706411E-2</v>
      </c>
      <c r="L108" s="25" cm="1">
        <f t="array" ref="L108">$AE$7*NMultDensity(A108:D108,$AE$9:$AE$12,$AA$49:$AD$52)/K108</f>
        <v>2.1373069238957037E-35</v>
      </c>
      <c r="M108" s="25" cm="1">
        <f t="array" ref="M108">$AE$20*NMultDensity(A108:D108,$AE$22:$AE$25,$AA$49:$AD$52)/K108</f>
        <v>9.7637100283841718E-3</v>
      </c>
      <c r="N108" s="43" cm="1">
        <f t="array" ref="N108">$AE$33*NMultDensity(A108:D108,$AE$35:$AE$38,$AA$49:$AD$52)/K108</f>
        <v>0.99023628997161584</v>
      </c>
      <c r="O108" s="42" t="str">
        <f t="shared" si="16"/>
        <v>versicolor</v>
      </c>
      <c r="P108" s="25" cm="1">
        <f t="array" ref="P108">$AE$7*NMultDensity(C108:D108,$AE$11:$AE$12,$AC$51:$AD$52)+$AE$20*NMultDensity(C108:D108,$AE$24:$AE$25,$AC$51:$AD$52)+$AE$33*NMultDensity(C108:D108,$AE$37:$AE$38,$AC$51:$AD$52)</f>
        <v>0.22276722584901662</v>
      </c>
      <c r="Q108" s="25" cm="1">
        <f t="array" ref="Q108">$AE$7*NMultDensity(C108:D108,$AE$11:$AE$12,$AC$51:$AD$52)/P108</f>
        <v>4.5020395512579061E-12</v>
      </c>
      <c r="R108" s="25" cm="1">
        <f t="array" ref="R108">$AE$20*NMultDensity(C108:D108,$AE$24:$AE$25,$AC$51:$AD$52)/P108</f>
        <v>0.63413450208144473</v>
      </c>
      <c r="S108" s="43" cm="1">
        <f t="array" ref="S108">$AE$33*NMultDensity(C108:D108,$AE$37:$AE$38,$AC$51:$AD$52)/P108</f>
        <v>0.36586549791405321</v>
      </c>
      <c r="T108" s="42" t="str">
        <f t="shared" si="14"/>
        <v>virginica</v>
      </c>
      <c r="U108" s="25" cm="1">
        <f t="array" ref="U108">$AE$7*NMultDensity(C108:D108,$AE$11:$AE$12,$AC$51:$AD$52)*VLOOKUP($E108,$Z$62:$AD$65,2)+$AE$20*NMultDensity(C108:D108,$AE$24:$AE$25,$AC$51:$AD$52)*VLOOKUP($E108,$Z$62:$AD$65,3)+$AE$33*NMultDensity(C108:D108,$AE$37:$AE$38,$AC$51:$AD$52)*VLOOKUP($E108,$Z$62:$AD$65,4)</f>
        <v>7.4329294294840531E-2</v>
      </c>
      <c r="V108" s="25" cm="1">
        <f t="array" ref="V108">$AE$7*NMultDensity(C108:D108,$AE$11:$AE$12,$AC$51:$AD$52)/U108*VLOOKUP($E108,$Z$62:$AD$65,2)</f>
        <v>5.9368116332162184E-12</v>
      </c>
      <c r="W108" s="25" cm="1">
        <f t="array" ref="W108">$AE$20*NMultDensity(C108:D108,$AE$24:$AE$25,$AC$51:$AD$52)/U108*VLOOKUP($E108,$Z$62:$AD$65,3)</f>
        <v>0.34209377787210582</v>
      </c>
      <c r="X108" s="43" cm="1">
        <f t="array" ref="X108">$AE$33*NMultDensity(C108:D108,$AE$37:$AE$38,$AC$51:$AD$52)/U108*VLOOKUP($E108,$Z$62:$AD$65,4)</f>
        <v>0.65790622212195726</v>
      </c>
    </row>
    <row r="109" spans="1:24" x14ac:dyDescent="0.25">
      <c r="A109" s="71">
        <v>7.3</v>
      </c>
      <c r="B109" s="25">
        <v>2.9</v>
      </c>
      <c r="C109" s="25">
        <v>6.3</v>
      </c>
      <c r="D109" s="68">
        <v>1.8</v>
      </c>
      <c r="E109" s="80" t="s">
        <v>38</v>
      </c>
      <c r="F109" s="81" t="s">
        <v>7</v>
      </c>
      <c r="G109" s="81">
        <f t="shared" ca="1" si="12"/>
        <v>6.3017808441488565</v>
      </c>
      <c r="H109" s="60">
        <f t="shared" ca="1" si="13"/>
        <v>1.799585036936739</v>
      </c>
      <c r="I109" s="78" t="s">
        <v>7</v>
      </c>
      <c r="J109" s="39" t="str">
        <f t="shared" si="15"/>
        <v>virginica</v>
      </c>
      <c r="K109" s="25" cm="1">
        <f t="array" ref="K109">$AE$7*NMultDensity(A109:D109,$AE$9:$AE$12,$AA$49:$AD$52)+$AE$20*NMultDensity(A109:D109,$AE$22:$AE$25,$AA$49:$AD$52)+$AE$33*NMultDensity(A109:D109,$AE$35:$AE$38,$AA$49:$AD$52)</f>
        <v>0.10204196487565342</v>
      </c>
      <c r="L109" s="25" cm="1">
        <f t="array" ref="L109">$AE$7*NMultDensity(A109:D109,$AE$9:$AE$12,$AA$49:$AD$52)/K109</f>
        <v>7.822798140755688E-41</v>
      </c>
      <c r="M109" s="25" cm="1">
        <f t="array" ref="M109">$AE$20*NMultDensity(A109:D109,$AE$22:$AE$25,$AA$49:$AD$52)/K109</f>
        <v>2.3575361797135934E-4</v>
      </c>
      <c r="N109" s="43" cm="1">
        <f t="array" ref="N109">$AE$33*NMultDensity(A109:D109,$AE$35:$AE$38,$AA$49:$AD$52)/K109</f>
        <v>0.99976424638202865</v>
      </c>
      <c r="O109" s="42" t="str">
        <f t="shared" si="16"/>
        <v>virginica</v>
      </c>
      <c r="P109" s="25" cm="1">
        <f t="array" ref="P109">$AE$7*NMultDensity(C109:D109,$AE$11:$AE$12,$AC$51:$AD$52)+$AE$20*NMultDensity(C109:D109,$AE$24:$AE$25,$AC$51:$AD$52)+$AE$33*NMultDensity(C109:D109,$AE$37:$AE$38,$AC$51:$AD$52)</f>
        <v>5.5009376456011068E-2</v>
      </c>
      <c r="Q109" s="25" cm="1">
        <f t="array" ref="Q109">$AE$7*NMultDensity(C109:D109,$AE$11:$AE$12,$AC$51:$AD$52)/P109</f>
        <v>4.9619864315517524E-22</v>
      </c>
      <c r="R109" s="25" cm="1">
        <f t="array" ref="R109">$AE$20*NMultDensity(C109:D109,$AE$24:$AE$25,$AC$51:$AD$52)/P109</f>
        <v>2.0933348599125987E-3</v>
      </c>
      <c r="S109" s="43" cm="1">
        <f t="array" ref="S109">$AE$33*NMultDensity(C109:D109,$AE$37:$AE$38,$AC$51:$AD$52)/P109</f>
        <v>0.9979066651400873</v>
      </c>
      <c r="T109" s="42" t="str">
        <f t="shared" si="14"/>
        <v>virginica</v>
      </c>
      <c r="U109" s="25" cm="1">
        <f t="array" ref="U109">$AE$7*NMultDensity(C109:D109,$AE$11:$AE$12,$AC$51:$AD$52)*VLOOKUP($E109,$Z$62:$AD$65,2)+$AE$20*NMultDensity(C109:D109,$AE$24:$AE$25,$AC$51:$AD$52)*VLOOKUP($E109,$Z$62:$AD$65,3)+$AE$33*NMultDensity(C109:D109,$AE$37:$AE$38,$AC$51:$AD$52)*VLOOKUP($E109,$Z$62:$AD$65,4)</f>
        <v>3.2957261594556524E-2</v>
      </c>
      <c r="V109" s="25" cm="1">
        <f t="array" ref="V109">$AE$7*NMultDensity(C109:D109,$AE$11:$AE$12,$AC$51:$AD$52)/U109*VLOOKUP($E109,$Z$62:$AD$65,2)</f>
        <v>3.6441299187396818E-22</v>
      </c>
      <c r="W109" s="25" cm="1">
        <f t="array" ref="W109">$AE$20*NMultDensity(C109:D109,$AE$24:$AE$25,$AC$51:$AD$52)/U109*VLOOKUP($E109,$Z$62:$AD$65,3)</f>
        <v>6.2892203907377196E-4</v>
      </c>
      <c r="X109" s="43" cm="1">
        <f t="array" ref="X109">$AE$33*NMultDensity(C109:D109,$AE$37:$AE$38,$AC$51:$AD$52)/U109*VLOOKUP($E109,$Z$62:$AD$65,4)</f>
        <v>0.99937107796092617</v>
      </c>
    </row>
    <row r="110" spans="1:24" x14ac:dyDescent="0.25">
      <c r="A110" s="71">
        <v>6.7</v>
      </c>
      <c r="B110" s="25">
        <v>2.5</v>
      </c>
      <c r="C110" s="25">
        <v>5.8</v>
      </c>
      <c r="D110" s="68">
        <v>1.8</v>
      </c>
      <c r="E110" s="80" t="s">
        <v>38</v>
      </c>
      <c r="F110" s="81" t="s">
        <v>7</v>
      </c>
      <c r="G110" s="81">
        <f t="shared" ca="1" si="12"/>
        <v>5.816520304103129</v>
      </c>
      <c r="H110" s="60">
        <f t="shared" ca="1" si="13"/>
        <v>1.7768396766720269</v>
      </c>
      <c r="I110" s="78" t="s">
        <v>7</v>
      </c>
      <c r="J110" s="39" t="str">
        <f t="shared" si="15"/>
        <v>virginica</v>
      </c>
      <c r="K110" s="25" cm="1">
        <f t="array" ref="K110">$AE$7*NMultDensity(A110:D110,$AE$9:$AE$12,$AA$49:$AD$52)+$AE$20*NMultDensity(A110:D110,$AE$22:$AE$25,$AA$49:$AD$52)+$AE$33*NMultDensity(A110:D110,$AE$35:$AE$38,$AA$49:$AD$52)</f>
        <v>0.22158363957880148</v>
      </c>
      <c r="L110" s="25" cm="1">
        <f t="array" ref="L110">$AE$7*NMultDensity(A110:D110,$AE$9:$AE$12,$AA$49:$AD$52)/K110</f>
        <v>2.1162812028157174E-42</v>
      </c>
      <c r="M110" s="25" cm="1">
        <f t="array" ref="M110">$AE$20*NMultDensity(A110:D110,$AE$22:$AE$25,$AA$49:$AD$52)/K110</f>
        <v>1.8449474137864118E-4</v>
      </c>
      <c r="N110" s="43" cm="1">
        <f t="array" ref="N110">$AE$33*NMultDensity(A110:D110,$AE$35:$AE$38,$AA$49:$AD$52)/K110</f>
        <v>0.9998155052586214</v>
      </c>
      <c r="O110" s="42" t="str">
        <f t="shared" si="16"/>
        <v>virginica</v>
      </c>
      <c r="P110" s="25" cm="1">
        <f t="array" ref="P110">$AE$7*NMultDensity(C110:D110,$AE$11:$AE$12,$AC$51:$AD$52)+$AE$20*NMultDensity(C110:D110,$AE$24:$AE$25,$AC$51:$AD$52)+$AE$33*NMultDensity(C110:D110,$AE$37:$AE$38,$AC$51:$AD$52)</f>
        <v>0.3234666685393216</v>
      </c>
      <c r="Q110" s="25" cm="1">
        <f t="array" ref="Q110">$AE$7*NMultDensity(C110:D110,$AE$11:$AE$12,$AC$51:$AD$52)/P110</f>
        <v>2.1761534884531722E-19</v>
      </c>
      <c r="R110" s="25" cm="1">
        <f t="array" ref="R110">$AE$20*NMultDensity(C110:D110,$AE$24:$AE$25,$AC$51:$AD$52)/P110</f>
        <v>1.0350755227840645E-2</v>
      </c>
      <c r="S110" s="43" cm="1">
        <f t="array" ref="S110">$AE$33*NMultDensity(C110:D110,$AE$37:$AE$38,$AC$51:$AD$52)/P110</f>
        <v>0.98964924477215932</v>
      </c>
      <c r="T110" s="42" t="str">
        <f t="shared" si="14"/>
        <v>virginica</v>
      </c>
      <c r="U110" s="25" cm="1">
        <f t="array" ref="U110">$AE$7*NMultDensity(C110:D110,$AE$11:$AE$12,$AC$51:$AD$52)*VLOOKUP($E110,$Z$62:$AD$65,2)+$AE$20*NMultDensity(C110:D110,$AE$24:$AE$25,$AC$51:$AD$52)*VLOOKUP($E110,$Z$62:$AD$65,3)+$AE$33*NMultDensity(C110:D110,$AE$37:$AE$38,$AC$51:$AD$52)*VLOOKUP($E110,$Z$62:$AD$65,4)</f>
        <v>0.1926737889132184</v>
      </c>
      <c r="V110" s="25" cm="1">
        <f t="array" ref="V110">$AE$7*NMultDensity(C110:D110,$AE$11:$AE$12,$AC$51:$AD$52)/U110*VLOOKUP($E110,$Z$62:$AD$65,2)</f>
        <v>1.6074930283390852E-19</v>
      </c>
      <c r="W110" s="25" cm="1">
        <f t="array" ref="W110">$AE$20*NMultDensity(C110:D110,$AE$24:$AE$25,$AC$51:$AD$52)/U110*VLOOKUP($E110,$Z$62:$AD$65,3)</f>
        <v>3.1278897834216969E-3</v>
      </c>
      <c r="X110" s="43" cm="1">
        <f t="array" ref="X110">$AE$33*NMultDensity(C110:D110,$AE$37:$AE$38,$AC$51:$AD$52)/U110*VLOOKUP($E110,$Z$62:$AD$65,4)</f>
        <v>0.99687211021657829</v>
      </c>
    </row>
    <row r="111" spans="1:24" x14ac:dyDescent="0.25">
      <c r="A111" s="71">
        <v>7.2</v>
      </c>
      <c r="B111" s="25">
        <v>3.6</v>
      </c>
      <c r="C111" s="25">
        <v>6.1</v>
      </c>
      <c r="D111" s="68">
        <v>2.5</v>
      </c>
      <c r="E111" s="80" t="s">
        <v>38</v>
      </c>
      <c r="F111" s="81" t="s">
        <v>7</v>
      </c>
      <c r="G111" s="81">
        <f t="shared" ca="1" si="12"/>
        <v>6.077522541276454</v>
      </c>
      <c r="H111" s="60">
        <f t="shared" ca="1" si="13"/>
        <v>2.5131192821038333</v>
      </c>
      <c r="I111" s="78" t="s">
        <v>7</v>
      </c>
      <c r="J111" s="39" t="str">
        <f t="shared" si="15"/>
        <v>virginica</v>
      </c>
      <c r="K111" s="25" cm="1">
        <f t="array" ref="K111">$AE$7*NMultDensity(A111:D111,$AE$9:$AE$12,$AA$49:$AD$52)+$AE$20*NMultDensity(A111:D111,$AE$22:$AE$25,$AA$49:$AD$52)+$AE$33*NMultDensity(A111:D111,$AE$35:$AE$38,$AA$49:$AD$52)</f>
        <v>0.1330296205152138</v>
      </c>
      <c r="L111" s="25" cm="1">
        <f t="array" ref="L111">$AE$7*NMultDensity(A111:D111,$AE$9:$AE$12,$AA$49:$AD$52)/K111</f>
        <v>9.8098444555326707E-42</v>
      </c>
      <c r="M111" s="25" cm="1">
        <f t="array" ref="M111">$AE$20*NMultDensity(A111:D111,$AE$22:$AE$25,$AA$49:$AD$52)/K111</f>
        <v>3.9996614753427774E-6</v>
      </c>
      <c r="N111" s="43" cm="1">
        <f t="array" ref="N111">$AE$33*NMultDensity(A111:D111,$AE$35:$AE$38,$AA$49:$AD$52)/K111</f>
        <v>0.99999600033852476</v>
      </c>
      <c r="O111" s="42" t="str">
        <f t="shared" si="16"/>
        <v>virginica</v>
      </c>
      <c r="P111" s="25" cm="1">
        <f t="array" ref="P111">$AE$7*NMultDensity(C111:D111,$AE$11:$AE$12,$AC$51:$AD$52)+$AE$20*NMultDensity(C111:D111,$AE$24:$AE$25,$AC$51:$AD$52)+$AE$33*NMultDensity(C111:D111,$AE$37:$AE$38,$AC$51:$AD$52)</f>
        <v>0.11377101099435734</v>
      </c>
      <c r="Q111" s="25" cm="1">
        <f t="array" ref="Q111">$AE$7*NMultDensity(C111:D111,$AE$11:$AE$12,$AC$51:$AD$52)/P111</f>
        <v>4.6812053873166315E-27</v>
      </c>
      <c r="R111" s="25" cm="1">
        <f t="array" ref="R111">$AE$20*NMultDensity(C111:D111,$AE$24:$AE$25,$AC$51:$AD$52)/P111</f>
        <v>5.8098161647530509E-6</v>
      </c>
      <c r="S111" s="43" cm="1">
        <f t="array" ref="S111">$AE$33*NMultDensity(C111:D111,$AE$37:$AE$38,$AC$51:$AD$52)/P111</f>
        <v>0.99999419018383529</v>
      </c>
      <c r="T111" s="42" t="str">
        <f t="shared" si="14"/>
        <v>virginica</v>
      </c>
      <c r="U111" s="25" cm="1">
        <f t="array" ref="U111">$AE$7*NMultDensity(C111:D111,$AE$11:$AE$12,$AC$51:$AD$52)*VLOOKUP($E111,$Z$62:$AD$65,2)+$AE$20*NMultDensity(C111:D111,$AE$24:$AE$25,$AC$51:$AD$52)*VLOOKUP($E111,$Z$62:$AD$65,3)+$AE$33*NMultDensity(C111:D111,$AE$37:$AE$38,$AC$51:$AD$52)*VLOOKUP($E111,$Z$62:$AD$65,4)</f>
        <v>6.8262328981377726E-2</v>
      </c>
      <c r="V111" s="25" cm="1">
        <f t="array" ref="V111">$AE$7*NMultDensity(C111:D111,$AE$11:$AE$12,$AC$51:$AD$52)/U111*VLOOKUP($E111,$Z$62:$AD$65,2)</f>
        <v>3.4328979118529092E-27</v>
      </c>
      <c r="W111" s="25" cm="1">
        <f t="array" ref="W111">$AE$20*NMultDensity(C111:D111,$AE$24:$AE$25,$AC$51:$AD$52)/U111*VLOOKUP($E111,$Z$62:$AD$65,3)</f>
        <v>1.742951937787155E-6</v>
      </c>
      <c r="X111" s="43" cm="1">
        <f t="array" ref="X111">$AE$33*NMultDensity(C111:D111,$AE$37:$AE$38,$AC$51:$AD$52)/U111*VLOOKUP($E111,$Z$62:$AD$65,4)</f>
        <v>0.99999825704806211</v>
      </c>
    </row>
    <row r="112" spans="1:24" x14ac:dyDescent="0.25">
      <c r="A112" s="71">
        <v>6.5</v>
      </c>
      <c r="B112" s="25">
        <v>3.2</v>
      </c>
      <c r="C112" s="25">
        <v>5.0999999999999996</v>
      </c>
      <c r="D112" s="68">
        <v>2</v>
      </c>
      <c r="E112" s="80" t="s">
        <v>38</v>
      </c>
      <c r="F112" s="81" t="s">
        <v>7</v>
      </c>
      <c r="G112" s="81">
        <f t="shared" ca="1" si="12"/>
        <v>5.0803223513739253</v>
      </c>
      <c r="H112" s="60">
        <f t="shared" ca="1" si="13"/>
        <v>2.0118474006320923</v>
      </c>
      <c r="I112" s="78" t="s">
        <v>7</v>
      </c>
      <c r="J112" s="39" t="str">
        <f t="shared" si="15"/>
        <v>virginica</v>
      </c>
      <c r="K112" s="25" cm="1">
        <f t="array" ref="K112">$AE$7*NMultDensity(A112:D112,$AE$9:$AE$12,$AA$49:$AD$52)+$AE$20*NMultDensity(A112:D112,$AE$22:$AE$25,$AA$49:$AD$52)+$AE$33*NMultDensity(A112:D112,$AE$35:$AE$38,$AA$49:$AD$52)</f>
        <v>0.41398659191037546</v>
      </c>
      <c r="L112" s="25" cm="1">
        <f t="array" ref="L112">$AE$7*NMultDensity(A112:D112,$AE$9:$AE$12,$AA$49:$AD$52)/K112</f>
        <v>3.3367438163866204E-30</v>
      </c>
      <c r="M112" s="25" cm="1">
        <f t="array" ref="M112">$AE$20*NMultDensity(A112:D112,$AE$22:$AE$25,$AA$49:$AD$52)/K112</f>
        <v>3.0481638206945817E-2</v>
      </c>
      <c r="N112" s="43" cm="1">
        <f t="array" ref="N112">$AE$33*NMultDensity(A112:D112,$AE$35:$AE$38,$AA$49:$AD$52)/K112</f>
        <v>0.96951836179305417</v>
      </c>
      <c r="O112" s="42" t="str">
        <f t="shared" si="16"/>
        <v>virginica</v>
      </c>
      <c r="P112" s="25" cm="1">
        <f t="array" ref="P112">$AE$7*NMultDensity(C112:D112,$AE$11:$AE$12,$AC$51:$AD$52)+$AE$20*NMultDensity(C112:D112,$AE$24:$AE$25,$AC$51:$AD$52)+$AE$33*NMultDensity(C112:D112,$AE$37:$AE$38,$AC$51:$AD$52)</f>
        <v>0.53983230643848001</v>
      </c>
      <c r="Q112" s="25" cm="1">
        <f t="array" ref="Q112">$AE$7*NMultDensity(C112:D112,$AE$11:$AE$12,$AC$51:$AD$52)/P112</f>
        <v>2.0002216829592199E-17</v>
      </c>
      <c r="R112" s="25" cm="1">
        <f t="array" ref="R112">$AE$20*NMultDensity(C112:D112,$AE$24:$AE$25,$AC$51:$AD$52)/P112</f>
        <v>1.5109059773814753E-2</v>
      </c>
      <c r="S112" s="43" cm="1">
        <f t="array" ref="S112">$AE$33*NMultDensity(C112:D112,$AE$37:$AE$38,$AC$51:$AD$52)/P112</f>
        <v>0.98489094022618517</v>
      </c>
      <c r="T112" s="42" t="str">
        <f t="shared" si="14"/>
        <v>virginica</v>
      </c>
      <c r="U112" s="25" cm="1">
        <f t="array" ref="U112">$AE$7*NMultDensity(C112:D112,$AE$11:$AE$12,$AC$51:$AD$52)*VLOOKUP($E112,$Z$62:$AD$65,2)+$AE$20*NMultDensity(C112:D112,$AE$24:$AE$25,$AC$51:$AD$52)*VLOOKUP($E112,$Z$62:$AD$65,3)+$AE$33*NMultDensity(C112:D112,$AE$37:$AE$38,$AC$51:$AD$52)*VLOOKUP($E112,$Z$62:$AD$65,4)</f>
        <v>0.32047371325704554</v>
      </c>
      <c r="V112" s="25" cm="1">
        <f t="array" ref="V112">$AE$7*NMultDensity(C112:D112,$AE$11:$AE$12,$AC$51:$AD$52)/U112*VLOOKUP($E112,$Z$62:$AD$65,2)</f>
        <v>1.482508753530704E-17</v>
      </c>
      <c r="W112" s="25" cm="1">
        <f t="array" ref="W112">$AE$20*NMultDensity(C112:D112,$AE$24:$AE$25,$AC$51:$AD$52)/U112*VLOOKUP($E112,$Z$62:$AD$65,3)</f>
        <v>4.5811699515872009E-3</v>
      </c>
      <c r="X112" s="43" cm="1">
        <f t="array" ref="X112">$AE$33*NMultDensity(C112:D112,$AE$37:$AE$38,$AC$51:$AD$52)/U112*VLOOKUP($E112,$Z$62:$AD$65,4)</f>
        <v>0.99541883004841292</v>
      </c>
    </row>
    <row r="113" spans="1:24" x14ac:dyDescent="0.25">
      <c r="A113" s="71">
        <v>6.4</v>
      </c>
      <c r="B113" s="25">
        <v>2.7</v>
      </c>
      <c r="C113" s="25">
        <v>5.3</v>
      </c>
      <c r="D113" s="68">
        <v>1.9</v>
      </c>
      <c r="E113" s="80" t="s">
        <v>38</v>
      </c>
      <c r="F113" s="81" t="s">
        <v>7</v>
      </c>
      <c r="G113" s="81">
        <f t="shared" ca="1" si="12"/>
        <v>5.2848959603229604</v>
      </c>
      <c r="H113" s="60">
        <f t="shared" ca="1" si="13"/>
        <v>1.8877113702889892</v>
      </c>
      <c r="I113" s="78" t="s">
        <v>7</v>
      </c>
      <c r="J113" s="39" t="str">
        <f t="shared" si="15"/>
        <v>virginica</v>
      </c>
      <c r="K113" s="25" cm="1">
        <f t="array" ref="K113">$AE$7*NMultDensity(A113:D113,$AE$9:$AE$12,$AA$49:$AD$52)+$AE$20*NMultDensity(A113:D113,$AE$22:$AE$25,$AA$49:$AD$52)+$AE$33*NMultDensity(A113:D113,$AE$35:$AE$38,$AA$49:$AD$52)</f>
        <v>1.0479304990627698</v>
      </c>
      <c r="L113" s="25" cm="1">
        <f t="array" ref="L113">$AE$7*NMultDensity(A113:D113,$AE$9:$AE$12,$AA$49:$AD$52)/K113</f>
        <v>3.2950152329664449E-37</v>
      </c>
      <c r="M113" s="25" cm="1">
        <f t="array" ref="M113">$AE$20*NMultDensity(A113:D113,$AE$22:$AE$25,$AA$49:$AD$52)/K113</f>
        <v>1.8205600064742239E-3</v>
      </c>
      <c r="N113" s="43" cm="1">
        <f t="array" ref="N113">$AE$33*NMultDensity(A113:D113,$AE$35:$AE$38,$AA$49:$AD$52)/K113</f>
        <v>0.99817943999352576</v>
      </c>
      <c r="O113" s="42" t="str">
        <f t="shared" si="16"/>
        <v>virginica</v>
      </c>
      <c r="P113" s="25" cm="1">
        <f t="array" ref="P113">$AE$7*NMultDensity(C113:D113,$AE$11:$AE$12,$AC$51:$AD$52)+$AE$20*NMultDensity(C113:D113,$AE$24:$AE$25,$AC$51:$AD$52)+$AE$33*NMultDensity(C113:D113,$AE$37:$AE$38,$AC$51:$AD$52)</f>
        <v>0.71600925671993476</v>
      </c>
      <c r="Q113" s="25" cm="1">
        <f t="array" ref="Q113">$AE$7*NMultDensity(C113:D113,$AE$11:$AE$12,$AC$51:$AD$52)/P113</f>
        <v>1.2877278076493928E-17</v>
      </c>
      <c r="R113" s="25" cm="1">
        <f t="array" ref="R113">$AE$20*NMultDensity(C113:D113,$AE$24:$AE$25,$AC$51:$AD$52)/P113</f>
        <v>2.0099016199503359E-2</v>
      </c>
      <c r="S113" s="43" cm="1">
        <f t="array" ref="S113">$AE$33*NMultDensity(C113:D113,$AE$37:$AE$38,$AC$51:$AD$52)/P113</f>
        <v>0.97990098380049673</v>
      </c>
      <c r="T113" s="42" t="str">
        <f t="shared" si="14"/>
        <v>virginica</v>
      </c>
      <c r="U113" s="25" cm="1">
        <f t="array" ref="U113">$AE$7*NMultDensity(C113:D113,$AE$11:$AE$12,$AC$51:$AD$52)*VLOOKUP($E113,$Z$62:$AD$65,2)+$AE$20*NMultDensity(C113:D113,$AE$24:$AE$25,$AC$51:$AD$52)*VLOOKUP($E113,$Z$62:$AD$65,3)+$AE$33*NMultDensity(C113:D113,$AE$37:$AE$38,$AC$51:$AD$52)*VLOOKUP($E113,$Z$62:$AD$65,4)</f>
        <v>0.42356129973904133</v>
      </c>
      <c r="V113" s="25" cm="1">
        <f t="array" ref="V113">$AE$7*NMultDensity(C113:D113,$AE$11:$AE$12,$AC$51:$AD$52)/U113*VLOOKUP($E113,$Z$62:$AD$65,2)</f>
        <v>9.5780944489382557E-18</v>
      </c>
      <c r="W113" s="25" cm="1">
        <f t="array" ref="W113">$AE$20*NMultDensity(C113:D113,$AE$24:$AE$25,$AC$51:$AD$52)/U113*VLOOKUP($E113,$Z$62:$AD$65,3)</f>
        <v>6.1157492399835792E-3</v>
      </c>
      <c r="X113" s="43" cm="1">
        <f t="array" ref="X113">$AE$33*NMultDensity(C113:D113,$AE$37:$AE$38,$AC$51:$AD$52)/U113*VLOOKUP($E113,$Z$62:$AD$65,4)</f>
        <v>0.99388425076001652</v>
      </c>
    </row>
    <row r="114" spans="1:24" x14ac:dyDescent="0.25">
      <c r="A114" s="71">
        <v>6.8</v>
      </c>
      <c r="B114" s="25">
        <v>3</v>
      </c>
      <c r="C114" s="25">
        <v>5.5</v>
      </c>
      <c r="D114" s="68">
        <v>2.1</v>
      </c>
      <c r="E114" s="80" t="s">
        <v>38</v>
      </c>
      <c r="F114" s="81" t="s">
        <v>7</v>
      </c>
      <c r="G114" s="81">
        <f t="shared" ca="1" si="12"/>
        <v>5.5234531940451745</v>
      </c>
      <c r="H114" s="60">
        <f t="shared" ca="1" si="13"/>
        <v>2.0984176648106012</v>
      </c>
      <c r="I114" s="78" t="s">
        <v>7</v>
      </c>
      <c r="J114" s="39" t="str">
        <f t="shared" si="15"/>
        <v>virginica</v>
      </c>
      <c r="K114" s="25" cm="1">
        <f t="array" ref="K114">$AE$7*NMultDensity(A114:D114,$AE$9:$AE$12,$AA$49:$AD$52)+$AE$20*NMultDensity(A114:D114,$AE$22:$AE$25,$AA$49:$AD$52)+$AE$33*NMultDensity(A114:D114,$AE$35:$AE$38,$AA$49:$AD$52)</f>
        <v>1.0238927323425369</v>
      </c>
      <c r="L114" s="25" cm="1">
        <f t="array" ref="L114">$AE$7*NMultDensity(A114:D114,$AE$9:$AE$12,$AA$49:$AD$52)/K114</f>
        <v>4.7353393821331417E-37</v>
      </c>
      <c r="M114" s="25" cm="1">
        <f t="array" ref="M114">$AE$20*NMultDensity(A114:D114,$AE$22:$AE$25,$AA$49:$AD$52)/K114</f>
        <v>6.5938895315927168E-4</v>
      </c>
      <c r="N114" s="43" cm="1">
        <f t="array" ref="N114">$AE$33*NMultDensity(A114:D114,$AE$35:$AE$38,$AA$49:$AD$52)/K114</f>
        <v>0.99934061104684069</v>
      </c>
      <c r="O114" s="42" t="str">
        <f t="shared" si="16"/>
        <v>virginica</v>
      </c>
      <c r="P114" s="25" cm="1">
        <f t="array" ref="P114">$AE$7*NMultDensity(C114:D114,$AE$11:$AE$12,$AC$51:$AD$52)+$AE$20*NMultDensity(C114:D114,$AE$24:$AE$25,$AC$51:$AD$52)+$AE$33*NMultDensity(C114:D114,$AE$37:$AE$38,$AC$51:$AD$52)</f>
        <v>0.77742878346181332</v>
      </c>
      <c r="Q114" s="25" cm="1">
        <f t="array" ref="Q114">$AE$7*NMultDensity(C114:D114,$AE$11:$AE$12,$AC$51:$AD$52)/P114</f>
        <v>2.0952837180443E-20</v>
      </c>
      <c r="R114" s="25" cm="1">
        <f t="array" ref="R114">$AE$20*NMultDensity(C114:D114,$AE$24:$AE$25,$AC$51:$AD$52)/P114</f>
        <v>1.6660631980679012E-3</v>
      </c>
      <c r="S114" s="43" cm="1">
        <f t="array" ref="S114">$AE$33*NMultDensity(C114:D114,$AE$37:$AE$38,$AC$51:$AD$52)/P114</f>
        <v>0.99833393680193216</v>
      </c>
      <c r="T114" s="42" t="str">
        <f t="shared" si="14"/>
        <v>virginica</v>
      </c>
      <c r="U114" s="25" cm="1">
        <f t="array" ref="U114">$AE$7*NMultDensity(C114:D114,$AE$11:$AE$12,$AC$51:$AD$52)*VLOOKUP($E114,$Z$62:$AD$65,2)+$AE$20*NMultDensity(C114:D114,$AE$24:$AE$25,$AC$51:$AD$52)*VLOOKUP($E114,$Z$62:$AD$65,3)+$AE$33*NMultDensity(C114:D114,$AE$37:$AE$38,$AC$51:$AD$52)*VLOOKUP($E114,$Z$62:$AD$65,4)</f>
        <v>0.46591326697328533</v>
      </c>
      <c r="V114" s="25" cm="1">
        <f t="array" ref="V114">$AE$7*NMultDensity(C114:D114,$AE$11:$AE$12,$AC$51:$AD$52)/U114*VLOOKUP($E114,$Z$62:$AD$65,2)</f>
        <v>1.5383354681092762E-20</v>
      </c>
      <c r="W114" s="25" cm="1">
        <f t="array" ref="W114">$AE$20*NMultDensity(C114:D114,$AE$24:$AE$25,$AC$51:$AD$52)/U114*VLOOKUP($E114,$Z$62:$AD$65,3)</f>
        <v>5.0040255101249328E-4</v>
      </c>
      <c r="X114" s="43" cm="1">
        <f t="array" ref="X114">$AE$33*NMultDensity(C114:D114,$AE$37:$AE$38,$AC$51:$AD$52)/U114*VLOOKUP($E114,$Z$62:$AD$65,4)</f>
        <v>0.99949959744898753</v>
      </c>
    </row>
    <row r="115" spans="1:24" x14ac:dyDescent="0.25">
      <c r="A115" s="71">
        <v>5.7</v>
      </c>
      <c r="B115" s="25">
        <v>2.5</v>
      </c>
      <c r="C115" s="25">
        <v>5</v>
      </c>
      <c r="D115" s="68">
        <v>2</v>
      </c>
      <c r="E115" s="80" t="s">
        <v>38</v>
      </c>
      <c r="F115" s="81" t="s">
        <v>7</v>
      </c>
      <c r="G115" s="81">
        <f t="shared" ca="1" si="12"/>
        <v>4.9844614678499441</v>
      </c>
      <c r="H115" s="60">
        <f t="shared" ca="1" si="13"/>
        <v>2.0210730468016025</v>
      </c>
      <c r="I115" s="78" t="s">
        <v>7</v>
      </c>
      <c r="J115" s="39" t="str">
        <f t="shared" si="15"/>
        <v>virginica</v>
      </c>
      <c r="K115" s="25" cm="1">
        <f t="array" ref="K115">$AE$7*NMultDensity(A115:D115,$AE$9:$AE$12,$AA$49:$AD$52)+$AE$20*NMultDensity(A115:D115,$AE$22:$AE$25,$AA$49:$AD$52)+$AE$33*NMultDensity(A115:D115,$AE$35:$AE$38,$AA$49:$AD$52)</f>
        <v>0.23270360719678171</v>
      </c>
      <c r="L115" s="25" cm="1">
        <f t="array" ref="L115">$AE$7*NMultDensity(A115:D115,$AE$9:$AE$12,$AA$49:$AD$52)/K115</f>
        <v>2.8227649737902291E-41</v>
      </c>
      <c r="M115" s="25" cm="1">
        <f t="array" ref="M115">$AE$20*NMultDensity(A115:D115,$AE$22:$AE$25,$AA$49:$AD$52)/K115</f>
        <v>1.544480202300318E-4</v>
      </c>
      <c r="N115" s="43" cm="1">
        <f t="array" ref="N115">$AE$33*NMultDensity(A115:D115,$AE$35:$AE$38,$AA$49:$AD$52)/K115</f>
        <v>0.99984555197976999</v>
      </c>
      <c r="O115" s="42" t="str">
        <f t="shared" si="16"/>
        <v>virginica</v>
      </c>
      <c r="P115" s="25" cm="1">
        <f t="array" ref="P115">$AE$7*NMultDensity(C115:D115,$AE$11:$AE$12,$AC$51:$AD$52)+$AE$20*NMultDensity(C115:D115,$AE$24:$AE$25,$AC$51:$AD$52)+$AE$33*NMultDensity(C115:D115,$AE$37:$AE$38,$AC$51:$AD$52)</f>
        <v>0.42777899454477097</v>
      </c>
      <c r="Q115" s="25" cm="1">
        <f t="array" ref="Q115">$AE$7*NMultDensity(C115:D115,$AE$11:$AE$12,$AC$51:$AD$52)/P115</f>
        <v>6.7255398981052389E-17</v>
      </c>
      <c r="R115" s="25" cm="1">
        <f t="array" ref="R115">$AE$20*NMultDensity(C115:D115,$AE$24:$AE$25,$AC$51:$AD$52)/P115</f>
        <v>2.0716020790853534E-2</v>
      </c>
      <c r="S115" s="43" cm="1">
        <f t="array" ref="S115">$AE$33*NMultDensity(C115:D115,$AE$37:$AE$38,$AC$51:$AD$52)/P115</f>
        <v>0.97928397920914645</v>
      </c>
      <c r="T115" s="42" t="str">
        <f t="shared" si="14"/>
        <v>virginica</v>
      </c>
      <c r="U115" s="25" cm="1">
        <f t="array" ref="U115">$AE$7*NMultDensity(C115:D115,$AE$11:$AE$12,$AC$51:$AD$52)*VLOOKUP($E115,$Z$62:$AD$65,2)+$AE$20*NMultDensity(C115:D115,$AE$24:$AE$25,$AC$51:$AD$52)*VLOOKUP($E115,$Z$62:$AD$65,3)+$AE$33*NMultDensity(C115:D115,$AE$37:$AE$38,$AC$51:$AD$52)*VLOOKUP($E115,$Z$62:$AD$65,4)</f>
        <v>0.252945407738013</v>
      </c>
      <c r="V115" s="25" cm="1">
        <f t="array" ref="V115">$AE$7*NMultDensity(C115:D115,$AE$11:$AE$12,$AC$51:$AD$52)/U115*VLOOKUP($E115,$Z$62:$AD$65,2)</f>
        <v>5.0046358907583634E-17</v>
      </c>
      <c r="W115" s="25" cm="1">
        <f t="array" ref="W115">$AE$20*NMultDensity(C115:D115,$AE$24:$AE$25,$AC$51:$AD$52)/U115*VLOOKUP($E115,$Z$62:$AD$65,3)</f>
        <v>6.3062545880672328E-3</v>
      </c>
      <c r="X115" s="43" cm="1">
        <f t="array" ref="X115">$AE$33*NMultDensity(C115:D115,$AE$37:$AE$38,$AC$51:$AD$52)/U115*VLOOKUP($E115,$Z$62:$AD$65,4)</f>
        <v>0.99369374541193278</v>
      </c>
    </row>
    <row r="116" spans="1:24" x14ac:dyDescent="0.25">
      <c r="A116" s="71">
        <v>5.8</v>
      </c>
      <c r="B116" s="25">
        <v>2.8</v>
      </c>
      <c r="C116" s="25">
        <v>5.0999999999999996</v>
      </c>
      <c r="D116" s="68">
        <v>2.4</v>
      </c>
      <c r="E116" s="80" t="s">
        <v>38</v>
      </c>
      <c r="F116" s="81" t="s">
        <v>7</v>
      </c>
      <c r="G116" s="81">
        <f t="shared" ca="1" si="12"/>
        <v>5.1200556290624064</v>
      </c>
      <c r="H116" s="60">
        <f t="shared" ca="1" si="13"/>
        <v>2.393849662244576</v>
      </c>
      <c r="I116" s="78" t="s">
        <v>7</v>
      </c>
      <c r="J116" s="39" t="str">
        <f t="shared" si="15"/>
        <v>virginica</v>
      </c>
      <c r="K116" s="25" cm="1">
        <f t="array" ref="K116">$AE$7*NMultDensity(A116:D116,$AE$9:$AE$12,$AA$49:$AD$52)+$AE$20*NMultDensity(A116:D116,$AE$22:$AE$25,$AA$49:$AD$52)+$AE$33*NMultDensity(A116:D116,$AE$35:$AE$38,$AA$49:$AD$52)</f>
        <v>3.5919401610476499E-2</v>
      </c>
      <c r="L116" s="25" cm="1">
        <f t="array" ref="L116">$AE$7*NMultDensity(A116:D116,$AE$9:$AE$12,$AA$49:$AD$52)/K116</f>
        <v>1.2651562401014002E-44</v>
      </c>
      <c r="M116" s="25" cm="1">
        <f t="array" ref="M116">$AE$20*NMultDensity(A116:D116,$AE$22:$AE$25,$AA$49:$AD$52)/K116</f>
        <v>3.5987731162751397E-6</v>
      </c>
      <c r="N116" s="43" cm="1">
        <f t="array" ref="N116">$AE$33*NMultDensity(A116:D116,$AE$35:$AE$38,$AA$49:$AD$52)/K116</f>
        <v>0.99999640122688371</v>
      </c>
      <c r="O116" s="42" t="str">
        <f t="shared" si="16"/>
        <v>virginica</v>
      </c>
      <c r="P116" s="25" cm="1">
        <f t="array" ref="P116">$AE$7*NMultDensity(C116:D116,$AE$11:$AE$12,$AC$51:$AD$52)+$AE$20*NMultDensity(C116:D116,$AE$24:$AE$25,$AC$51:$AD$52)+$AE$33*NMultDensity(C116:D116,$AE$37:$AE$38,$AC$51:$AD$52)</f>
        <v>5.0475262160556977E-2</v>
      </c>
      <c r="Q116" s="25" cm="1">
        <f t="array" ref="Q116">$AE$7*NMultDensity(C116:D116,$AE$11:$AE$12,$AC$51:$AD$52)/P116</f>
        <v>6.7716555343842432E-21</v>
      </c>
      <c r="R116" s="25" cm="1">
        <f t="array" ref="R116">$AE$20*NMultDensity(C116:D116,$AE$24:$AE$25,$AC$51:$AD$52)/P116</f>
        <v>3.6705359804734434E-4</v>
      </c>
      <c r="S116" s="43" cm="1">
        <f t="array" ref="S116">$AE$33*NMultDensity(C116:D116,$AE$37:$AE$38,$AC$51:$AD$52)/P116</f>
        <v>0.99963294640195266</v>
      </c>
      <c r="T116" s="42" t="str">
        <f t="shared" ref="T116:T151" si="17">IF(V116&gt;MAX(W116:X116),$I$2,IF(W116&gt;X116,$I$52,$I$102))</f>
        <v>virginica</v>
      </c>
      <c r="U116" s="25" cm="1">
        <f t="array" ref="U116">$AE$7*NMultDensity(C116:D116,$AE$11:$AE$12,$AC$51:$AD$52)*VLOOKUP($E116,$Z$62:$AD$65,2)+$AE$20*NMultDensity(C116:D116,$AE$24:$AE$25,$AC$51:$AD$52)*VLOOKUP($E116,$Z$62:$AD$65,3)+$AE$33*NMultDensity(C116:D116,$AE$37:$AE$38,$AC$51:$AD$52)*VLOOKUP($E116,$Z$62:$AD$65,4)</f>
        <v>3.027737590316705E-2</v>
      </c>
      <c r="V116" s="25" cm="1">
        <f t="array" ref="V116">$AE$7*NMultDensity(C116:D116,$AE$11:$AE$12,$AC$51:$AD$52)/U116*VLOOKUP($E116,$Z$62:$AD$65,2)</f>
        <v>4.9671569742027248E-21</v>
      </c>
      <c r="W116" s="25" cm="1">
        <f t="array" ref="W116">$AE$20*NMultDensity(C116:D116,$AE$24:$AE$25,$AC$51:$AD$52)/U116*VLOOKUP($E116,$Z$62:$AD$65,3)</f>
        <v>1.1014437963779883E-4</v>
      </c>
      <c r="X116" s="43" cm="1">
        <f t="array" ref="X116">$AE$33*NMultDensity(C116:D116,$AE$37:$AE$38,$AC$51:$AD$52)/U116*VLOOKUP($E116,$Z$62:$AD$65,4)</f>
        <v>0.99988985562036214</v>
      </c>
    </row>
    <row r="117" spans="1:24" x14ac:dyDescent="0.25">
      <c r="A117" s="71">
        <v>6.4</v>
      </c>
      <c r="B117" s="25">
        <v>3.2</v>
      </c>
      <c r="C117" s="25">
        <v>5.3</v>
      </c>
      <c r="D117" s="68">
        <v>2.2999999999999998</v>
      </c>
      <c r="E117" s="80" t="s">
        <v>38</v>
      </c>
      <c r="F117" s="81" t="s">
        <v>7</v>
      </c>
      <c r="G117" s="81">
        <f t="shared" ca="1" si="12"/>
        <v>5.283531717921238</v>
      </c>
      <c r="H117" s="60">
        <f t="shared" ca="1" si="13"/>
        <v>2.3032734683549632</v>
      </c>
      <c r="I117" s="78" t="s">
        <v>7</v>
      </c>
      <c r="J117" s="39" t="str">
        <f t="shared" si="15"/>
        <v>virginica</v>
      </c>
      <c r="K117" s="25" cm="1">
        <f t="array" ref="K117">$AE$7*NMultDensity(A117:D117,$AE$9:$AE$12,$AA$49:$AD$52)+$AE$20*NMultDensity(A117:D117,$AE$22:$AE$25,$AA$49:$AD$52)+$AE$33*NMultDensity(A117:D117,$AE$35:$AE$38,$AA$49:$AD$52)</f>
        <v>0.40592645056006899</v>
      </c>
      <c r="L117" s="25" cm="1">
        <f t="array" ref="L117">$AE$7*NMultDensity(A117:D117,$AE$9:$AE$12,$AA$49:$AD$52)/K117</f>
        <v>9.1831378914531612E-38</v>
      </c>
      <c r="M117" s="25" cm="1">
        <f t="array" ref="M117">$AE$20*NMultDensity(A117:D117,$AE$22:$AE$25,$AA$49:$AD$52)/K117</f>
        <v>1.4248771765071894E-4</v>
      </c>
      <c r="N117" s="43" cm="1">
        <f t="array" ref="N117">$AE$33*NMultDensity(A117:D117,$AE$35:$AE$38,$AA$49:$AD$52)/K117</f>
        <v>0.9998575122823492</v>
      </c>
      <c r="O117" s="42" t="str">
        <f t="shared" si="16"/>
        <v>virginica</v>
      </c>
      <c r="P117" s="25" cm="1">
        <f t="array" ref="P117">$AE$7*NMultDensity(C117:D117,$AE$11:$AE$12,$AC$51:$AD$52)+$AE$20*NMultDensity(C117:D117,$AE$24:$AE$25,$AC$51:$AD$52)+$AE$33*NMultDensity(C117:D117,$AE$37:$AE$38,$AC$51:$AD$52)</f>
        <v>0.23091158156647379</v>
      </c>
      <c r="Q117" s="25" cm="1">
        <f t="array" ref="Q117">$AE$7*NMultDensity(C117:D117,$AE$11:$AE$12,$AC$51:$AD$52)/P117</f>
        <v>4.3811994712618778E-21</v>
      </c>
      <c r="R117" s="25" cm="1">
        <f t="array" ref="R117">$AE$20*NMultDensity(C117:D117,$AE$24:$AE$25,$AC$51:$AD$52)/P117</f>
        <v>4.9070340529519432E-4</v>
      </c>
      <c r="S117" s="43" cm="1">
        <f t="array" ref="S117">$AE$33*NMultDensity(C117:D117,$AE$37:$AE$38,$AC$51:$AD$52)/P117</f>
        <v>0.99950929659470478</v>
      </c>
      <c r="T117" s="42" t="str">
        <f t="shared" si="17"/>
        <v>virginica</v>
      </c>
      <c r="U117" s="25" cm="1">
        <f t="array" ref="U117">$AE$7*NMultDensity(C117:D117,$AE$11:$AE$12,$AC$51:$AD$52)*VLOOKUP($E117,$Z$62:$AD$65,2)+$AE$20*NMultDensity(C117:D117,$AE$24:$AE$25,$AC$51:$AD$52)*VLOOKUP($E117,$Z$62:$AD$65,3)+$AE$33*NMultDensity(C117:D117,$AE$37:$AE$38,$AC$51:$AD$52)*VLOOKUP($E117,$Z$62:$AD$65,4)</f>
        <v>0.13849935911813763</v>
      </c>
      <c r="V117" s="25" cm="1">
        <f t="array" ref="V117">$AE$7*NMultDensity(C117:D117,$AE$11:$AE$12,$AC$51:$AD$52)/U117*VLOOKUP($E117,$Z$62:$AD$65,2)</f>
        <v>3.2139835911436268E-21</v>
      </c>
      <c r="W117" s="25" cm="1">
        <f t="array" ref="W117">$AE$20*NMultDensity(C117:D117,$AE$24:$AE$25,$AC$51:$AD$52)/U117*VLOOKUP($E117,$Z$62:$AD$65,3)</f>
        <v>1.4726160482822921E-4</v>
      </c>
      <c r="X117" s="43" cm="1">
        <f t="array" ref="X117">$AE$33*NMultDensity(C117:D117,$AE$37:$AE$38,$AC$51:$AD$52)/U117*VLOOKUP($E117,$Z$62:$AD$65,4)</f>
        <v>0.99985273839517175</v>
      </c>
    </row>
    <row r="118" spans="1:24" x14ac:dyDescent="0.25">
      <c r="A118" s="71">
        <v>6.5</v>
      </c>
      <c r="B118" s="25">
        <v>3</v>
      </c>
      <c r="C118" s="25">
        <v>5.5</v>
      </c>
      <c r="D118" s="68">
        <v>1.8</v>
      </c>
      <c r="E118" s="80" t="s">
        <v>38</v>
      </c>
      <c r="F118" s="81" t="s">
        <v>7</v>
      </c>
      <c r="G118" s="81">
        <f t="shared" ca="1" si="12"/>
        <v>5.5224935895295957</v>
      </c>
      <c r="H118" s="60">
        <f t="shared" ca="1" si="13"/>
        <v>1.7909228575524538</v>
      </c>
      <c r="I118" s="78" t="s">
        <v>7</v>
      </c>
      <c r="J118" s="39" t="str">
        <f t="shared" si="15"/>
        <v>virginica</v>
      </c>
      <c r="K118" s="25" cm="1">
        <f t="array" ref="K118">$AE$7*NMultDensity(A118:D118,$AE$9:$AE$12,$AA$49:$AD$52)+$AE$20*NMultDensity(A118:D118,$AE$22:$AE$25,$AA$49:$AD$52)+$AE$33*NMultDensity(A118:D118,$AE$35:$AE$38,$AA$49:$AD$52)</f>
        <v>0.74485214210336581</v>
      </c>
      <c r="L118" s="25" cm="1">
        <f t="array" ref="L118">$AE$7*NMultDensity(A118:D118,$AE$9:$AE$12,$AA$49:$AD$52)/K118</f>
        <v>1.7720740484284901E-34</v>
      </c>
      <c r="M118" s="25" cm="1">
        <f t="array" ref="M118">$AE$20*NMultDensity(A118:D118,$AE$22:$AE$25,$AA$49:$AD$52)/K118</f>
        <v>6.6970898215454652E-3</v>
      </c>
      <c r="N118" s="43" cm="1">
        <f t="array" ref="N118">$AE$33*NMultDensity(A118:D118,$AE$35:$AE$38,$AA$49:$AD$52)/K118</f>
        <v>0.99330291017845462</v>
      </c>
      <c r="O118" s="42" t="str">
        <f t="shared" si="16"/>
        <v>virginica</v>
      </c>
      <c r="P118" s="25" cm="1">
        <f t="array" ref="P118">$AE$7*NMultDensity(C118:D118,$AE$11:$AE$12,$AC$51:$AD$52)+$AE$20*NMultDensity(C118:D118,$AE$24:$AE$25,$AC$51:$AD$52)+$AE$33*NMultDensity(C118:D118,$AE$37:$AE$38,$AC$51:$AD$52)</f>
        <v>0.52073842679958615</v>
      </c>
      <c r="Q118" s="25" cm="1">
        <f t="array" ref="Q118">$AE$7*NMultDensity(C118:D118,$AE$11:$AE$12,$AC$51:$AD$52)/P118</f>
        <v>8.2764468335569267E-18</v>
      </c>
      <c r="R118" s="25" cm="1">
        <f t="array" ref="R118">$AE$20*NMultDensity(C118:D118,$AE$24:$AE$25,$AC$51:$AD$52)/P118</f>
        <v>2.6692304670162779E-2</v>
      </c>
      <c r="S118" s="43" cm="1">
        <f t="array" ref="S118">$AE$33*NMultDensity(C118:D118,$AE$37:$AE$38,$AC$51:$AD$52)/P118</f>
        <v>0.97330769532983719</v>
      </c>
      <c r="T118" s="42" t="str">
        <f t="shared" si="17"/>
        <v>virginica</v>
      </c>
      <c r="U118" s="25" cm="1">
        <f t="array" ref="U118">$AE$7*NMultDensity(C118:D118,$AE$11:$AE$12,$AC$51:$AD$52)*VLOOKUP($E118,$Z$62:$AD$65,2)+$AE$20*NMultDensity(C118:D118,$AE$24:$AE$25,$AC$51:$AD$52)*VLOOKUP($E118,$Z$62:$AD$65,3)+$AE$33*NMultDensity(C118:D118,$AE$37:$AE$38,$AC$51:$AD$52)*VLOOKUP($E118,$Z$62:$AD$65,4)</f>
        <v>0.30660517840828144</v>
      </c>
      <c r="V118" s="25" cm="1">
        <f t="array" ref="V118">$AE$7*NMultDensity(C118:D118,$AE$11:$AE$12,$AC$51:$AD$52)/U118*VLOOKUP($E118,$Z$62:$AD$65,2)</f>
        <v>6.1849578908853616E-18</v>
      </c>
      <c r="W118" s="25" cm="1">
        <f t="array" ref="W118">$AE$20*NMultDensity(C118:D118,$AE$24:$AE$25,$AC$51:$AD$52)/U118*VLOOKUP($E118,$Z$62:$AD$65,3)</f>
        <v>8.1601608507590306E-3</v>
      </c>
      <c r="X118" s="43" cm="1">
        <f t="array" ref="X118">$AE$33*NMultDensity(C118:D118,$AE$37:$AE$38,$AC$51:$AD$52)/U118*VLOOKUP($E118,$Z$62:$AD$65,4)</f>
        <v>0.9918398391492409</v>
      </c>
    </row>
    <row r="119" spans="1:24" x14ac:dyDescent="0.25">
      <c r="A119" s="71">
        <v>7.7</v>
      </c>
      <c r="B119" s="25">
        <v>3.8</v>
      </c>
      <c r="C119" s="25">
        <v>6.7</v>
      </c>
      <c r="D119" s="68">
        <v>2.2000000000000002</v>
      </c>
      <c r="E119" s="80" t="s">
        <v>38</v>
      </c>
      <c r="F119" s="81" t="s">
        <v>7</v>
      </c>
      <c r="G119" s="81">
        <f t="shared" ca="1" si="12"/>
        <v>6.6823895505423279</v>
      </c>
      <c r="H119" s="60">
        <f t="shared" ca="1" si="13"/>
        <v>2.1967704705770634</v>
      </c>
      <c r="I119" s="78" t="s">
        <v>7</v>
      </c>
      <c r="J119" s="39" t="str">
        <f t="shared" si="15"/>
        <v>virginica</v>
      </c>
      <c r="K119" s="25" cm="1">
        <f t="array" ref="K119">$AE$7*NMultDensity(A119:D119,$AE$9:$AE$12,$AA$49:$AD$52)+$AE$20*NMultDensity(A119:D119,$AE$22:$AE$25,$AA$49:$AD$52)+$AE$33*NMultDensity(A119:D119,$AE$35:$AE$38,$AA$49:$AD$52)</f>
        <v>1.100470121775959E-2</v>
      </c>
      <c r="L119" s="25" cm="1">
        <f t="array" ref="L119">$AE$7*NMultDensity(A119:D119,$AE$9:$AE$12,$AA$49:$AD$52)/K119</f>
        <v>9.009710548030823E-40</v>
      </c>
      <c r="M119" s="25" cm="1">
        <f t="array" ref="M119">$AE$20*NMultDensity(A119:D119,$AE$22:$AE$25,$AA$49:$AD$52)/K119</f>
        <v>2.2997784368649547E-5</v>
      </c>
      <c r="N119" s="43" cm="1">
        <f t="array" ref="N119">$AE$33*NMultDensity(A119:D119,$AE$35:$AE$38,$AA$49:$AD$52)/K119</f>
        <v>0.99997700221563135</v>
      </c>
      <c r="O119" s="42" t="str">
        <f t="shared" si="16"/>
        <v>virginica</v>
      </c>
      <c r="P119" s="25" cm="1">
        <f t="array" ref="P119">$AE$7*NMultDensity(C119:D119,$AE$11:$AE$12,$AC$51:$AD$52)+$AE$20*NMultDensity(C119:D119,$AE$24:$AE$25,$AC$51:$AD$52)+$AE$33*NMultDensity(C119:D119,$AE$37:$AE$38,$AC$51:$AD$52)</f>
        <v>5.7018524359555831E-2</v>
      </c>
      <c r="Q119" s="25" cm="1">
        <f t="array" ref="Q119">$AE$7*NMultDensity(C119:D119,$AE$11:$AE$12,$AC$51:$AD$52)/P119</f>
        <v>1.2682645830980925E-27</v>
      </c>
      <c r="R119" s="25" cm="1">
        <f t="array" ref="R119">$AE$20*NMultDensity(C119:D119,$AE$24:$AE$25,$AC$51:$AD$52)/P119</f>
        <v>1.3886372534016961E-5</v>
      </c>
      <c r="S119" s="43" cm="1">
        <f t="array" ref="S119">$AE$33*NMultDensity(C119:D119,$AE$37:$AE$38,$AC$51:$AD$52)/P119</f>
        <v>0.99998611362746592</v>
      </c>
      <c r="T119" s="42" t="str">
        <f t="shared" si="17"/>
        <v>virginica</v>
      </c>
      <c r="U119" s="25" cm="1">
        <f t="array" ref="U119">$AE$7*NMultDensity(C119:D119,$AE$11:$AE$12,$AC$51:$AD$52)*VLOOKUP($E119,$Z$62:$AD$65,2)+$AE$20*NMultDensity(C119:D119,$AE$24:$AE$25,$AC$51:$AD$52)*VLOOKUP($E119,$Z$62:$AD$65,3)+$AE$33*NMultDensity(C119:D119,$AE$37:$AE$38,$AC$51:$AD$52)*VLOOKUP($E119,$Z$62:$AD$65,4)</f>
        <v>3.4210782067935847E-2</v>
      </c>
      <c r="V119" s="25" cm="1">
        <f t="array" ref="V119">$AE$7*NMultDensity(C119:D119,$AE$11:$AE$12,$AC$51:$AD$52)/U119*VLOOKUP($E119,$Z$62:$AD$65,2)</f>
        <v>9.3006973497831018E-28</v>
      </c>
      <c r="W119" s="25" cm="1">
        <f t="array" ref="W119">$AE$20*NMultDensity(C119:D119,$AE$24:$AE$25,$AC$51:$AD$52)/U119*VLOOKUP($E119,$Z$62:$AD$65,3)</f>
        <v>4.1659522551805702E-6</v>
      </c>
      <c r="X119" s="43" cm="1">
        <f t="array" ref="X119">$AE$33*NMultDensity(C119:D119,$AE$37:$AE$38,$AC$51:$AD$52)/U119*VLOOKUP($E119,$Z$62:$AD$65,4)</f>
        <v>0.99999583404774484</v>
      </c>
    </row>
    <row r="120" spans="1:24" x14ac:dyDescent="0.25">
      <c r="A120" s="71">
        <v>7.7</v>
      </c>
      <c r="B120" s="25">
        <v>2.6</v>
      </c>
      <c r="C120" s="25">
        <v>6.9</v>
      </c>
      <c r="D120" s="68">
        <v>2.2999999999999998</v>
      </c>
      <c r="E120" s="80" t="s">
        <v>38</v>
      </c>
      <c r="F120" s="81" t="s">
        <v>7</v>
      </c>
      <c r="G120" s="81">
        <f t="shared" ca="1" si="12"/>
        <v>6.901186579554289</v>
      </c>
      <c r="H120" s="60">
        <f t="shared" ca="1" si="13"/>
        <v>2.3074862984205482</v>
      </c>
      <c r="I120" s="78" t="s">
        <v>7</v>
      </c>
      <c r="J120" s="39" t="str">
        <f t="shared" si="15"/>
        <v>virginica</v>
      </c>
      <c r="K120" s="25" cm="1">
        <f t="array" ref="K120">$AE$7*NMultDensity(A120:D120,$AE$9:$AE$12,$AA$49:$AD$52)+$AE$20*NMultDensity(A120:D120,$AE$22:$AE$25,$AA$49:$AD$52)+$AE$33*NMultDensity(A120:D120,$AE$35:$AE$38,$AA$49:$AD$52)</f>
        <v>7.9285089607240204E-4</v>
      </c>
      <c r="L120" s="25" cm="1">
        <f t="array" ref="L120">$AE$7*NMultDensity(A120:D120,$AE$9:$AE$12,$AA$49:$AD$52)/K120</f>
        <v>1.4021025234918647E-56</v>
      </c>
      <c r="M120" s="25" cm="1">
        <f t="array" ref="M120">$AE$20*NMultDensity(A120:D120,$AE$22:$AE$25,$AA$49:$AD$52)/K120</f>
        <v>1.0012354130965016E-8</v>
      </c>
      <c r="N120" s="43" cm="1">
        <f t="array" ref="N120">$AE$33*NMultDensity(A120:D120,$AE$35:$AE$38,$AA$49:$AD$52)/K120</f>
        <v>0.99999998998764583</v>
      </c>
      <c r="O120" s="42" t="str">
        <f t="shared" si="16"/>
        <v>virginica</v>
      </c>
      <c r="P120" s="25" cm="1">
        <f t="array" ref="P120">$AE$7*NMultDensity(C120:D120,$AE$11:$AE$12,$AC$51:$AD$52)+$AE$20*NMultDensity(C120:D120,$AE$24:$AE$25,$AC$51:$AD$52)+$AE$33*NMultDensity(C120:D120,$AE$37:$AE$38,$AC$51:$AD$52)</f>
        <v>2.2017152517954965E-2</v>
      </c>
      <c r="Q120" s="25" cm="1">
        <f t="array" ref="Q120">$AE$7*NMultDensity(C120:D120,$AE$11:$AE$12,$AC$51:$AD$52)/P120</f>
        <v>1.4988172895989672E-29</v>
      </c>
      <c r="R120" s="25" cm="1">
        <f t="array" ref="R120">$AE$20*NMultDensity(C120:D120,$AE$24:$AE$25,$AC$51:$AD$52)/P120</f>
        <v>2.8724780500611107E-6</v>
      </c>
      <c r="S120" s="43" cm="1">
        <f t="array" ref="S120">$AE$33*NMultDensity(C120:D120,$AE$37:$AE$38,$AC$51:$AD$52)/P120</f>
        <v>0.99999712752194991</v>
      </c>
      <c r="T120" s="42" t="str">
        <f t="shared" si="17"/>
        <v>virginica</v>
      </c>
      <c r="U120" s="25" cm="1">
        <f t="array" ref="U120">$AE$7*NMultDensity(C120:D120,$AE$11:$AE$12,$AC$51:$AD$52)*VLOOKUP($E120,$Z$62:$AD$65,2)+$AE$20*NMultDensity(C120:D120,$AE$24:$AE$25,$AC$51:$AD$52)*VLOOKUP($E120,$Z$62:$AD$65,3)+$AE$33*NMultDensity(C120:D120,$AE$37:$AE$38,$AC$51:$AD$52)*VLOOKUP($E120,$Z$62:$AD$65,4)</f>
        <v>1.3210264948382299E-2</v>
      </c>
      <c r="V120" s="25" cm="1">
        <f t="array" ref="V120">$AE$7*NMultDensity(C120:D120,$AE$11:$AE$12,$AC$51:$AD$52)/U120*VLOOKUP($E120,$Z$62:$AD$65,2)</f>
        <v>1.0991348891078328E-29</v>
      </c>
      <c r="W120" s="25" cm="1">
        <f t="array" ref="W120">$AE$20*NMultDensity(C120:D120,$AE$24:$AE$25,$AC$51:$AD$52)/U120*VLOOKUP($E120,$Z$62:$AD$65,3)</f>
        <v>8.6174514775914843E-7</v>
      </c>
      <c r="X120" s="43" cm="1">
        <f t="array" ref="X120">$AE$33*NMultDensity(C120:D120,$AE$37:$AE$38,$AC$51:$AD$52)/U120*VLOOKUP($E120,$Z$62:$AD$65,4)</f>
        <v>0.9999991382548522</v>
      </c>
    </row>
    <row r="121" spans="1:24" x14ac:dyDescent="0.25">
      <c r="A121" s="71">
        <v>6</v>
      </c>
      <c r="B121" s="25">
        <v>2.2000000000000002</v>
      </c>
      <c r="C121" s="25">
        <v>5</v>
      </c>
      <c r="D121" s="68">
        <v>1.5</v>
      </c>
      <c r="E121" s="80" t="s">
        <v>38</v>
      </c>
      <c r="F121" s="81" t="s">
        <v>7</v>
      </c>
      <c r="G121" s="81">
        <f t="shared" ca="1" si="12"/>
        <v>4.9871604340884739</v>
      </c>
      <c r="H121" s="60">
        <f t="shared" ca="1" si="13"/>
        <v>1.5027818335920258</v>
      </c>
      <c r="I121" s="78" t="s">
        <v>7</v>
      </c>
      <c r="J121" s="39" t="str">
        <f t="shared" si="15"/>
        <v>virginica</v>
      </c>
      <c r="K121" s="25" cm="1">
        <f t="array" ref="K121">$AE$7*NMultDensity(A121:D121,$AE$9:$AE$12,$AA$49:$AD$52)+$AE$20*NMultDensity(A121:D121,$AE$22:$AE$25,$AA$49:$AD$52)+$AE$33*NMultDensity(A121:D121,$AE$35:$AE$38,$AA$49:$AD$52)</f>
        <v>5.2160165655300593E-2</v>
      </c>
      <c r="L121" s="25" cm="1">
        <f t="array" ref="L121">$AE$7*NMultDensity(A121:D121,$AE$9:$AE$12,$AA$49:$AD$52)/K121</f>
        <v>2.6681062178340675E-35</v>
      </c>
      <c r="M121" s="25" cm="1">
        <f t="array" ref="M121">$AE$20*NMultDensity(A121:D121,$AE$22:$AE$25,$AA$49:$AD$52)/K121</f>
        <v>4.5297802380003874E-2</v>
      </c>
      <c r="N121" s="43" cm="1">
        <f t="array" ref="N121">$AE$33*NMultDensity(A121:D121,$AE$35:$AE$38,$AA$49:$AD$52)/K121</f>
        <v>0.9547021976199962</v>
      </c>
      <c r="O121" s="42" t="str">
        <f t="shared" si="16"/>
        <v>versicolor</v>
      </c>
      <c r="P121" s="25" cm="1">
        <f t="array" ref="P121">$AE$7*NMultDensity(C121:D121,$AE$11:$AE$12,$AC$51:$AD$52)+$AE$20*NMultDensity(C121:D121,$AE$24:$AE$25,$AC$51:$AD$52)+$AE$33*NMultDensity(C121:D121,$AE$37:$AE$38,$AC$51:$AD$52)</f>
        <v>0.23843833068482689</v>
      </c>
      <c r="Q121" s="25" cm="1">
        <f t="array" ref="Q121">$AE$7*NMultDensity(C121:D121,$AE$11:$AE$12,$AC$51:$AD$52)/P121</f>
        <v>4.6922833881848436E-13</v>
      </c>
      <c r="R121" s="25" cm="1">
        <f t="array" ref="R121">$AE$20*NMultDensity(C121:D121,$AE$24:$AE$25,$AC$51:$AD$52)/P121</f>
        <v>0.69202099270646789</v>
      </c>
      <c r="S121" s="43" cm="1">
        <f t="array" ref="S121">$AE$33*NMultDensity(C121:D121,$AE$37:$AE$38,$AC$51:$AD$52)/P121</f>
        <v>0.30797900729306277</v>
      </c>
      <c r="T121" s="42" t="str">
        <f t="shared" si="17"/>
        <v>virginica</v>
      </c>
      <c r="U121" s="25" cm="1">
        <f t="array" ref="U121">$AE$7*NMultDensity(C121:D121,$AE$11:$AE$12,$AC$51:$AD$52)*VLOOKUP($E121,$Z$62:$AD$65,2)+$AE$20*NMultDensity(C121:D121,$AE$24:$AE$25,$AC$51:$AD$52)*VLOOKUP($E121,$Z$62:$AD$65,3)+$AE$33*NMultDensity(C121:D121,$AE$37:$AE$38,$AC$51:$AD$52)*VLOOKUP($E121,$Z$62:$AD$65,4)</f>
        <v>7.376117968496769E-2</v>
      </c>
      <c r="V121" s="25" cm="1">
        <f t="array" ref="V121">$AE$7*NMultDensity(C121:D121,$AE$11:$AE$12,$AC$51:$AD$52)/U121*VLOOKUP($E121,$Z$62:$AD$65,2)</f>
        <v>6.6739834978406398E-13</v>
      </c>
      <c r="W121" s="25" cm="1">
        <f t="array" ref="W121">$AE$20*NMultDensity(C121:D121,$AE$24:$AE$25,$AC$51:$AD$52)/U121*VLOOKUP($E121,$Z$62:$AD$65,3)</f>
        <v>0.40266139425661313</v>
      </c>
      <c r="X121" s="43" cm="1">
        <f t="array" ref="X121">$AE$33*NMultDensity(C121:D121,$AE$37:$AE$38,$AC$51:$AD$52)/U121*VLOOKUP($E121,$Z$62:$AD$65,4)</f>
        <v>0.59733860574271957</v>
      </c>
    </row>
    <row r="122" spans="1:24" x14ac:dyDescent="0.25">
      <c r="A122" s="71">
        <v>6.9</v>
      </c>
      <c r="B122" s="25">
        <v>3.2</v>
      </c>
      <c r="C122" s="25">
        <v>5.7</v>
      </c>
      <c r="D122" s="68">
        <v>2.2999999999999998</v>
      </c>
      <c r="E122" s="80" t="s">
        <v>38</v>
      </c>
      <c r="F122" s="81" t="s">
        <v>7</v>
      </c>
      <c r="G122" s="81">
        <f t="shared" ca="1" si="12"/>
        <v>5.7010570067350557</v>
      </c>
      <c r="H122" s="60">
        <f t="shared" ca="1" si="13"/>
        <v>2.3047466061282056</v>
      </c>
      <c r="I122" s="78" t="s">
        <v>7</v>
      </c>
      <c r="J122" s="39" t="str">
        <f t="shared" si="15"/>
        <v>virginica</v>
      </c>
      <c r="K122" s="25" cm="1">
        <f t="array" ref="K122">$AE$7*NMultDensity(A122:D122,$AE$9:$AE$12,$AA$49:$AD$52)+$AE$20*NMultDensity(A122:D122,$AE$22:$AE$25,$AA$49:$AD$52)+$AE$33*NMultDensity(A122:D122,$AE$35:$AE$38,$AA$49:$AD$52)</f>
        <v>0.69127322109804279</v>
      </c>
      <c r="L122" s="25" cm="1">
        <f t="array" ref="L122">$AE$7*NMultDensity(A122:D122,$AE$9:$AE$12,$AA$49:$AD$52)/K122</f>
        <v>8.4999540754341409E-40</v>
      </c>
      <c r="M122" s="25" cm="1">
        <f t="array" ref="M122">$AE$20*NMultDensity(A122:D122,$AE$22:$AE$25,$AA$49:$AD$52)/K122</f>
        <v>4.8599564055543145E-5</v>
      </c>
      <c r="N122" s="43" cm="1">
        <f t="array" ref="N122">$AE$33*NMultDensity(A122:D122,$AE$35:$AE$38,$AA$49:$AD$52)/K122</f>
        <v>0.99995140043594444</v>
      </c>
      <c r="O122" s="42" t="str">
        <f t="shared" si="16"/>
        <v>virginica</v>
      </c>
      <c r="P122" s="25" cm="1">
        <f t="array" ref="P122">$AE$7*NMultDensity(C122:D122,$AE$11:$AE$12,$AC$51:$AD$52)+$AE$20*NMultDensity(C122:D122,$AE$24:$AE$25,$AC$51:$AD$52)+$AE$33*NMultDensity(C122:D122,$AE$37:$AE$38,$AC$51:$AD$52)</f>
        <v>0.42461612261216536</v>
      </c>
      <c r="Q122" s="25" cm="1">
        <f t="array" ref="Q122">$AE$7*NMultDensity(C122:D122,$AE$11:$AE$12,$AC$51:$AD$52)/P122</f>
        <v>3.351453221662894E-23</v>
      </c>
      <c r="R122" s="25" cm="1">
        <f t="array" ref="R122">$AE$20*NMultDensity(C122:D122,$AE$24:$AE$25,$AC$51:$AD$52)/P122</f>
        <v>1.357624610494549E-4</v>
      </c>
      <c r="S122" s="43" cm="1">
        <f t="array" ref="S122">$AE$33*NMultDensity(C122:D122,$AE$37:$AE$38,$AC$51:$AD$52)/P122</f>
        <v>0.9998642375389506</v>
      </c>
      <c r="T122" s="42" t="str">
        <f t="shared" si="17"/>
        <v>virginica</v>
      </c>
      <c r="U122" s="25" cm="1">
        <f t="array" ref="U122">$AE$7*NMultDensity(C122:D122,$AE$11:$AE$12,$AC$51:$AD$52)*VLOOKUP($E122,$Z$62:$AD$65,2)+$AE$20*NMultDensity(C122:D122,$AE$24:$AE$25,$AC$51:$AD$52)*VLOOKUP($E122,$Z$62:$AD$65,3)+$AE$33*NMultDensity(C122:D122,$AE$37:$AE$38,$AC$51:$AD$52)*VLOOKUP($E122,$Z$62:$AD$65,4)</f>
        <v>0.25474546185678026</v>
      </c>
      <c r="V122" s="25" cm="1">
        <f t="array" ref="V122">$AE$7*NMultDensity(C122:D122,$AE$11:$AE$12,$AC$51:$AD$52)/U122*VLOOKUP($E122,$Z$62:$AD$65,2)</f>
        <v>2.457965952207582E-23</v>
      </c>
      <c r="W122" s="25" cm="1">
        <f t="array" ref="W122">$AE$20*NMultDensity(C122:D122,$AE$24:$AE$25,$AC$51:$AD$52)/U122*VLOOKUP($E122,$Z$62:$AD$65,3)</f>
        <v>4.0732609286333635E-5</v>
      </c>
      <c r="X122" s="43" cm="1">
        <f t="array" ref="X122">$AE$33*NMultDensity(C122:D122,$AE$37:$AE$38,$AC$51:$AD$52)/U122*VLOOKUP($E122,$Z$62:$AD$65,4)</f>
        <v>0.99995926739071361</v>
      </c>
    </row>
    <row r="123" spans="1:24" x14ac:dyDescent="0.25">
      <c r="A123" s="71">
        <v>5.6</v>
      </c>
      <c r="B123" s="25">
        <v>2.8</v>
      </c>
      <c r="C123" s="25">
        <v>4.9000000000000004</v>
      </c>
      <c r="D123" s="68">
        <v>2</v>
      </c>
      <c r="E123" s="80" t="s">
        <v>38</v>
      </c>
      <c r="F123" s="81" t="s">
        <v>7</v>
      </c>
      <c r="G123" s="81">
        <f t="shared" ca="1" si="12"/>
        <v>4.8790215771739138</v>
      </c>
      <c r="H123" s="60">
        <f t="shared" ca="1" si="13"/>
        <v>2.011721334558644</v>
      </c>
      <c r="I123" s="78" t="s">
        <v>7</v>
      </c>
      <c r="J123" s="39" t="str">
        <f t="shared" si="15"/>
        <v>virginica</v>
      </c>
      <c r="K123" s="25" cm="1">
        <f t="array" ref="K123">$AE$7*NMultDensity(A123:D123,$AE$9:$AE$12,$AA$49:$AD$52)+$AE$20*NMultDensity(A123:D123,$AE$22:$AE$25,$AA$49:$AD$52)+$AE$33*NMultDensity(A123:D123,$AE$35:$AE$38,$AA$49:$AD$52)</f>
        <v>0.3174577687895711</v>
      </c>
      <c r="L123" s="25" cm="1">
        <f t="array" ref="L123">$AE$7*NMultDensity(A123:D123,$AE$9:$AE$12,$AA$49:$AD$52)/K123</f>
        <v>2.0376842984124633E-37</v>
      </c>
      <c r="M123" s="25" cm="1">
        <f t="array" ref="M123">$AE$20*NMultDensity(A123:D123,$AE$22:$AE$25,$AA$49:$AD$52)/K123</f>
        <v>7.8930702754276998E-4</v>
      </c>
      <c r="N123" s="43" cm="1">
        <f t="array" ref="N123">$AE$33*NMultDensity(A123:D123,$AE$35:$AE$38,$AA$49:$AD$52)/K123</f>
        <v>0.99921069297245724</v>
      </c>
      <c r="O123" s="42" t="str">
        <f t="shared" si="16"/>
        <v>virginica</v>
      </c>
      <c r="P123" s="25" cm="1">
        <f t="array" ref="P123">$AE$7*NMultDensity(C123:D123,$AE$11:$AE$12,$AC$51:$AD$52)+$AE$20*NMultDensity(C123:D123,$AE$24:$AE$25,$AC$51:$AD$52)+$AE$33*NMultDensity(C123:D123,$AE$37:$AE$38,$AC$51:$AD$52)</f>
        <v>0.32317465280221219</v>
      </c>
      <c r="Q123" s="25" cm="1">
        <f t="array" ref="Q123">$AE$7*NMultDensity(C123:D123,$AE$11:$AE$12,$AC$51:$AD$52)/P123</f>
        <v>2.256626207202958E-16</v>
      </c>
      <c r="R123" s="25" cm="1">
        <f t="array" ref="R123">$AE$20*NMultDensity(C123:D123,$AE$24:$AE$25,$AC$51:$AD$52)/P123</f>
        <v>2.8343840054269428E-2</v>
      </c>
      <c r="S123" s="43" cm="1">
        <f t="array" ref="S123">$AE$33*NMultDensity(C123:D123,$AE$37:$AE$38,$AC$51:$AD$52)/P123</f>
        <v>0.97165615994573029</v>
      </c>
      <c r="T123" s="42" t="str">
        <f t="shared" si="17"/>
        <v>virginica</v>
      </c>
      <c r="U123" s="25" cm="1">
        <f t="array" ref="U123">$AE$7*NMultDensity(C123:D123,$AE$11:$AE$12,$AC$51:$AD$52)*VLOOKUP($E123,$Z$62:$AD$65,2)+$AE$20*NMultDensity(C123:D123,$AE$24:$AE$25,$AC$51:$AD$52)*VLOOKUP($E123,$Z$62:$AD$65,3)+$AE$33*NMultDensity(C123:D123,$AE$37:$AE$38,$AC$51:$AD$52)*VLOOKUP($E123,$Z$62:$AD$65,4)</f>
        <v>0.19005758720050692</v>
      </c>
      <c r="V123" s="25" cm="1">
        <f t="array" ref="V123">$AE$7*NMultDensity(C123:D123,$AE$11:$AE$12,$AC$51:$AD$52)/U123*VLOOKUP($E123,$Z$62:$AD$65,2)</f>
        <v>1.6883573909050829E-16</v>
      </c>
      <c r="W123" s="25" cm="1">
        <f t="array" ref="W123">$AE$20*NMultDensity(C123:D123,$AE$24:$AE$25,$AC$51:$AD$52)/U123*VLOOKUP($E123,$Z$62:$AD$65,3)</f>
        <v>8.6752754501304898E-3</v>
      </c>
      <c r="X123" s="43" cm="1">
        <f t="array" ref="X123">$AE$33*NMultDensity(C123:D123,$AE$37:$AE$38,$AC$51:$AD$52)/U123*VLOOKUP($E123,$Z$62:$AD$65,4)</f>
        <v>0.9913247245498692</v>
      </c>
    </row>
    <row r="124" spans="1:24" x14ac:dyDescent="0.25">
      <c r="A124" s="71">
        <v>7.7</v>
      </c>
      <c r="B124" s="25">
        <v>2.8</v>
      </c>
      <c r="C124" s="25">
        <v>6.7</v>
      </c>
      <c r="D124" s="68">
        <v>2</v>
      </c>
      <c r="E124" s="80" t="s">
        <v>38</v>
      </c>
      <c r="F124" s="81" t="s">
        <v>7</v>
      </c>
      <c r="G124" s="81">
        <f t="shared" ca="1" si="12"/>
        <v>6.6825460437433915</v>
      </c>
      <c r="H124" s="60">
        <f t="shared" ca="1" si="13"/>
        <v>2.0165148318466963</v>
      </c>
      <c r="I124" s="78" t="s">
        <v>7</v>
      </c>
      <c r="J124" s="39" t="str">
        <f t="shared" si="15"/>
        <v>virginica</v>
      </c>
      <c r="K124" s="25" cm="1">
        <f t="array" ref="K124">$AE$7*NMultDensity(A124:D124,$AE$9:$AE$12,$AA$49:$AD$52)+$AE$20*NMultDensity(A124:D124,$AE$22:$AE$25,$AA$49:$AD$52)+$AE$33*NMultDensity(A124:D124,$AE$35:$AE$38,$AA$49:$AD$52)</f>
        <v>2.1103254053809493E-2</v>
      </c>
      <c r="L124" s="25" cm="1">
        <f t="array" ref="L124">$AE$7*NMultDensity(A124:D124,$AE$9:$AE$12,$AA$49:$AD$52)/K124</f>
        <v>1.7357372993211807E-47</v>
      </c>
      <c r="M124" s="25" cm="1">
        <f t="array" ref="M124">$AE$20*NMultDensity(A124:D124,$AE$22:$AE$25,$AA$49:$AD$52)/K124</f>
        <v>3.4773587104628382E-6</v>
      </c>
      <c r="N124" s="43" cm="1">
        <f t="array" ref="N124">$AE$33*NMultDensity(A124:D124,$AE$35:$AE$38,$AA$49:$AD$52)/K124</f>
        <v>0.99999652264128958</v>
      </c>
      <c r="O124" s="42" t="str">
        <f t="shared" si="16"/>
        <v>virginica</v>
      </c>
      <c r="P124" s="25" cm="1">
        <f t="array" ref="P124">$AE$7*NMultDensity(C124:D124,$AE$11:$AE$12,$AC$51:$AD$52)+$AE$20*NMultDensity(C124:D124,$AE$24:$AE$25,$AC$51:$AD$52)+$AE$33*NMultDensity(C124:D124,$AE$37:$AE$38,$AC$51:$AD$52)</f>
        <v>2.7310155140949616E-2</v>
      </c>
      <c r="Q124" s="25" cm="1">
        <f t="array" ref="Q124">$AE$7*NMultDensity(C124:D124,$AE$11:$AE$12,$AC$51:$AD$52)/P124</f>
        <v>6.943760957303822E-26</v>
      </c>
      <c r="R124" s="25" cm="1">
        <f t="array" ref="R124">$AE$20*NMultDensity(C124:D124,$AE$24:$AE$25,$AC$51:$AD$52)/P124</f>
        <v>8.9750329016049905E-5</v>
      </c>
      <c r="S124" s="43" cm="1">
        <f t="array" ref="S124">$AE$33*NMultDensity(C124:D124,$AE$37:$AE$38,$AC$51:$AD$52)/P124</f>
        <v>0.99991024967098396</v>
      </c>
      <c r="T124" s="42" t="str">
        <f t="shared" si="17"/>
        <v>virginica</v>
      </c>
      <c r="U124" s="25" cm="1">
        <f t="array" ref="U124">$AE$7*NMultDensity(C124:D124,$AE$11:$AE$12,$AC$51:$AD$52)*VLOOKUP($E124,$Z$62:$AD$65,2)+$AE$20*NMultDensity(C124:D124,$AE$24:$AE$25,$AC$51:$AD$52)*VLOOKUP($E124,$Z$62:$AD$65,3)+$AE$33*NMultDensity(C124:D124,$AE$37:$AE$38,$AC$51:$AD$52)*VLOOKUP($E124,$Z$62:$AD$65,4)</f>
        <v>1.638506362449783E-2</v>
      </c>
      <c r="V124" s="25" cm="1">
        <f t="array" ref="V124">$AE$7*NMultDensity(C124:D124,$AE$11:$AE$12,$AC$51:$AD$52)/U124*VLOOKUP($E124,$Z$62:$AD$65,2)</f>
        <v>5.0924113006022697E-26</v>
      </c>
      <c r="W124" s="25" cm="1">
        <f t="array" ref="W124">$AE$20*NMultDensity(C124:D124,$AE$24:$AE$25,$AC$51:$AD$52)/U124*VLOOKUP($E124,$Z$62:$AD$65,3)</f>
        <v>2.6926790386622548E-5</v>
      </c>
      <c r="X124" s="43" cm="1">
        <f t="array" ref="X124">$AE$33*NMultDensity(C124:D124,$AE$37:$AE$38,$AC$51:$AD$52)/U124*VLOOKUP($E124,$Z$62:$AD$65,4)</f>
        <v>0.99997307320961337</v>
      </c>
    </row>
    <row r="125" spans="1:24" x14ac:dyDescent="0.25">
      <c r="A125" s="71">
        <v>6.3</v>
      </c>
      <c r="B125" s="25">
        <v>2.7</v>
      </c>
      <c r="C125" s="25">
        <v>4.9000000000000004</v>
      </c>
      <c r="D125" s="68">
        <v>1.8</v>
      </c>
      <c r="E125" s="80" t="s">
        <v>38</v>
      </c>
      <c r="F125" s="81" t="s">
        <v>7</v>
      </c>
      <c r="G125" s="81">
        <f t="shared" ca="1" si="12"/>
        <v>4.8941072489681856</v>
      </c>
      <c r="H125" s="60">
        <f t="shared" ca="1" si="13"/>
        <v>1.7875386809278526</v>
      </c>
      <c r="I125" s="78" t="s">
        <v>7</v>
      </c>
      <c r="J125" s="39" t="str">
        <f t="shared" si="15"/>
        <v>virginica</v>
      </c>
      <c r="K125" s="25" cm="1">
        <f t="array" ref="K125">$AE$7*NMultDensity(A125:D125,$AE$9:$AE$12,$AA$49:$AD$52)+$AE$20*NMultDensity(A125:D125,$AE$22:$AE$25,$AA$49:$AD$52)+$AE$33*NMultDensity(A125:D125,$AE$35:$AE$38,$AA$49:$AD$52)</f>
        <v>0.37763814820817881</v>
      </c>
      <c r="L125" s="25" cm="1">
        <f t="array" ref="L125">$AE$7*NMultDensity(A125:D125,$AE$9:$AE$12,$AA$49:$AD$52)/K125</f>
        <v>2.7493596167959002E-31</v>
      </c>
      <c r="M125" s="25" cm="1">
        <f t="array" ref="M125">$AE$20*NMultDensity(A125:D125,$AE$22:$AE$25,$AA$49:$AD$52)/K125</f>
        <v>7.5383247905340955E-2</v>
      </c>
      <c r="N125" s="43" cm="1">
        <f t="array" ref="N125">$AE$33*NMultDensity(A125:D125,$AE$35:$AE$38,$AA$49:$AD$52)/K125</f>
        <v>0.9246167520946591</v>
      </c>
      <c r="O125" s="42" t="str">
        <f t="shared" si="16"/>
        <v>virginica</v>
      </c>
      <c r="P125" s="25" cm="1">
        <f t="array" ref="P125">$AE$7*NMultDensity(C125:D125,$AE$11:$AE$12,$AC$51:$AD$52)+$AE$20*NMultDensity(C125:D125,$AE$24:$AE$25,$AC$51:$AD$52)+$AE$33*NMultDensity(C125:D125,$AE$37:$AE$38,$AC$51:$AD$52)</f>
        <v>0.39282949054727301</v>
      </c>
      <c r="Q125" s="25" cm="1">
        <f t="array" ref="Q125">$AE$7*NMultDensity(C125:D125,$AE$11:$AE$12,$AC$51:$AD$52)/P125</f>
        <v>1.0699105046520483E-14</v>
      </c>
      <c r="R125" s="25" cm="1">
        <f t="array" ref="R125">$AE$20*NMultDensity(C125:D125,$AE$24:$AE$25,$AC$51:$AD$52)/P125</f>
        <v>0.15863859436091943</v>
      </c>
      <c r="S125" s="43" cm="1">
        <f t="array" ref="S125">$AE$33*NMultDensity(C125:D125,$AE$37:$AE$38,$AC$51:$AD$52)/P125</f>
        <v>0.84136140563906991</v>
      </c>
      <c r="T125" s="42" t="str">
        <f t="shared" si="17"/>
        <v>virginica</v>
      </c>
      <c r="U125" s="25" cm="1">
        <f t="array" ref="U125">$AE$7*NMultDensity(C125:D125,$AE$11:$AE$12,$AC$51:$AD$52)*VLOOKUP($E125,$Z$62:$AD$65,2)+$AE$20*NMultDensity(C125:D125,$AE$24:$AE$25,$AC$51:$AD$52)*VLOOKUP($E125,$Z$62:$AD$65,3)+$AE$33*NMultDensity(C125:D125,$AE$37:$AE$38,$AC$51:$AD$52)*VLOOKUP($E125,$Z$62:$AD$65,4)</f>
        <v>0.20952416868271023</v>
      </c>
      <c r="V125" s="25" cm="1">
        <f t="array" ref="V125">$AE$7*NMultDensity(C125:D125,$AE$11:$AE$12,$AC$51:$AD$52)/U125*VLOOKUP($E125,$Z$62:$AD$65,2)</f>
        <v>8.8261252384895749E-15</v>
      </c>
      <c r="W125" s="25" cm="1">
        <f t="array" ref="W125">$AE$20*NMultDensity(C125:D125,$AE$24:$AE$25,$AC$51:$AD$52)/U125*VLOOKUP($E125,$Z$62:$AD$65,3)</f>
        <v>5.3536665231661278E-2</v>
      </c>
      <c r="X125" s="43" cm="1">
        <f t="array" ref="X125">$AE$33*NMultDensity(C125:D125,$AE$37:$AE$38,$AC$51:$AD$52)/U125*VLOOKUP($E125,$Z$62:$AD$65,4)</f>
        <v>0.94646333476832989</v>
      </c>
    </row>
    <row r="126" spans="1:24" x14ac:dyDescent="0.25">
      <c r="A126" s="71">
        <v>6.7</v>
      </c>
      <c r="B126" s="25">
        <v>3.3</v>
      </c>
      <c r="C126" s="25">
        <v>5.7</v>
      </c>
      <c r="D126" s="68">
        <v>2.1</v>
      </c>
      <c r="E126" s="80" t="s">
        <v>38</v>
      </c>
      <c r="F126" s="81" t="s">
        <v>7</v>
      </c>
      <c r="G126" s="81">
        <f t="shared" ca="1" si="12"/>
        <v>5.704564934183078</v>
      </c>
      <c r="H126" s="60">
        <f t="shared" ca="1" si="13"/>
        <v>2.1174050902677615</v>
      </c>
      <c r="I126" s="78" t="s">
        <v>7</v>
      </c>
      <c r="J126" s="39" t="str">
        <f t="shared" si="15"/>
        <v>virginica</v>
      </c>
      <c r="K126" s="25" cm="1">
        <f t="array" ref="K126">$AE$7*NMultDensity(A126:D126,$AE$9:$AE$12,$AA$49:$AD$52)+$AE$20*NMultDensity(A126:D126,$AE$22:$AE$25,$AA$49:$AD$52)+$AE$33*NMultDensity(A126:D126,$AE$35:$AE$38,$AA$49:$AD$52)</f>
        <v>0.86339416646689859</v>
      </c>
      <c r="L126" s="25" cm="1">
        <f t="array" ref="L126">$AE$7*NMultDensity(A126:D126,$AE$9:$AE$12,$AA$49:$AD$52)/K126</f>
        <v>5.1546476184355237E-37</v>
      </c>
      <c r="M126" s="25" cm="1">
        <f t="array" ref="M126">$AE$20*NMultDensity(A126:D126,$AE$22:$AE$25,$AA$49:$AD$52)/K126</f>
        <v>3.4883705780071886E-4</v>
      </c>
      <c r="N126" s="43" cm="1">
        <f t="array" ref="N126">$AE$33*NMultDensity(A126:D126,$AE$35:$AE$38,$AA$49:$AD$52)/K126</f>
        <v>0.99965116294219925</v>
      </c>
      <c r="O126" s="42" t="str">
        <f t="shared" si="16"/>
        <v>virginica</v>
      </c>
      <c r="P126" s="25" cm="1">
        <f t="array" ref="P126">$AE$7*NMultDensity(C126:D126,$AE$11:$AE$12,$AC$51:$AD$52)+$AE$20*NMultDensity(C126:D126,$AE$24:$AE$25,$AC$51:$AD$52)+$AE$33*NMultDensity(C126:D126,$AE$37:$AE$38,$AC$51:$AD$52)</f>
        <v>0.79284039722393318</v>
      </c>
      <c r="Q126" s="25" cm="1">
        <f t="array" ref="Q126">$AE$7*NMultDensity(C126:D126,$AE$11:$AE$12,$AC$51:$AD$52)/P126</f>
        <v>1.8337029498122983E-21</v>
      </c>
      <c r="R126" s="25" cm="1">
        <f t="array" ref="R126">$AE$20*NMultDensity(C126:D126,$AE$24:$AE$25,$AC$51:$AD$52)/P126</f>
        <v>8.7687535483266482E-4</v>
      </c>
      <c r="S126" s="43" cm="1">
        <f t="array" ref="S126">$AE$33*NMultDensity(C126:D126,$AE$37:$AE$38,$AC$51:$AD$52)/P126</f>
        <v>0.99912312464516739</v>
      </c>
      <c r="T126" s="42" t="str">
        <f t="shared" si="17"/>
        <v>virginica</v>
      </c>
      <c r="U126" s="25" cm="1">
        <f t="array" ref="U126">$AE$7*NMultDensity(C126:D126,$AE$11:$AE$12,$AC$51:$AD$52)*VLOOKUP($E126,$Z$62:$AD$65,2)+$AE$20*NMultDensity(C126:D126,$AE$24:$AE$25,$AC$51:$AD$52)*VLOOKUP($E126,$Z$62:$AD$65,3)+$AE$33*NMultDensity(C126:D126,$AE$37:$AE$38,$AC$51:$AD$52)*VLOOKUP($E126,$Z$62:$AD$65,4)</f>
        <v>0.47541224500841051</v>
      </c>
      <c r="V126" s="25" cm="1">
        <f t="array" ref="V126">$AE$7*NMultDensity(C126:D126,$AE$11:$AE$12,$AC$51:$AD$52)/U126*VLOOKUP($E126,$Z$62:$AD$65,2)</f>
        <v>1.3455414069981113E-21</v>
      </c>
      <c r="W126" s="25" cm="1">
        <f t="array" ref="W126">$AE$20*NMultDensity(C126:D126,$AE$24:$AE$25,$AC$51:$AD$52)/U126*VLOOKUP($E126,$Z$62:$AD$65,3)</f>
        <v>2.6322417680520508E-4</v>
      </c>
      <c r="X126" s="43" cm="1">
        <f t="array" ref="X126">$AE$33*NMultDensity(C126:D126,$AE$37:$AE$38,$AC$51:$AD$52)/U126*VLOOKUP($E126,$Z$62:$AD$65,4)</f>
        <v>0.99973677582319487</v>
      </c>
    </row>
    <row r="127" spans="1:24" x14ac:dyDescent="0.25">
      <c r="A127" s="71">
        <v>7.2</v>
      </c>
      <c r="B127" s="25">
        <v>3.2</v>
      </c>
      <c r="C127" s="25">
        <v>6</v>
      </c>
      <c r="D127" s="68">
        <v>1.8</v>
      </c>
      <c r="E127" s="80" t="s">
        <v>38</v>
      </c>
      <c r="F127" s="81" t="s">
        <v>7</v>
      </c>
      <c r="G127" s="81">
        <f t="shared" ca="1" si="12"/>
        <v>6.0193872745085724</v>
      </c>
      <c r="H127" s="60">
        <f t="shared" ca="1" si="13"/>
        <v>1.8103835586794446</v>
      </c>
      <c r="I127" s="78" t="s">
        <v>7</v>
      </c>
      <c r="J127" s="39" t="str">
        <f t="shared" si="15"/>
        <v>virginica</v>
      </c>
      <c r="K127" s="25" cm="1">
        <f t="array" ref="K127">$AE$7*NMultDensity(A127:D127,$AE$9:$AE$12,$AA$49:$AD$52)+$AE$20*NMultDensity(A127:D127,$AE$22:$AE$25,$AA$49:$AD$52)+$AE$33*NMultDensity(A127:D127,$AE$35:$AE$38,$AA$49:$AD$52)</f>
        <v>0.18923771825439054</v>
      </c>
      <c r="L127" s="25" cm="1">
        <f t="array" ref="L127">$AE$7*NMultDensity(A127:D127,$AE$9:$AE$12,$AA$49:$AD$52)/K127</f>
        <v>1.9854037722255659E-34</v>
      </c>
      <c r="M127" s="25" cm="1">
        <f t="array" ref="M127">$AE$20*NMultDensity(A127:D127,$AE$22:$AE$25,$AA$49:$AD$52)/K127</f>
        <v>5.4432561905408162E-3</v>
      </c>
      <c r="N127" s="43" cm="1">
        <f t="array" ref="N127">$AE$33*NMultDensity(A127:D127,$AE$35:$AE$38,$AA$49:$AD$52)/K127</f>
        <v>0.99455674380945913</v>
      </c>
      <c r="O127" s="42" t="str">
        <f t="shared" si="16"/>
        <v>virginica</v>
      </c>
      <c r="P127" s="25" cm="1">
        <f t="array" ref="P127">$AE$7*NMultDensity(C127:D127,$AE$11:$AE$12,$AC$51:$AD$52)+$AE$20*NMultDensity(C127:D127,$AE$24:$AE$25,$AC$51:$AD$52)+$AE$33*NMultDensity(C127:D127,$AE$37:$AE$38,$AC$51:$AD$52)</f>
        <v>0.18465339402879313</v>
      </c>
      <c r="Q127" s="25" cm="1">
        <f t="array" ref="Q127">$AE$7*NMultDensity(C127:D127,$AE$11:$AE$12,$AC$51:$AD$52)/P127</f>
        <v>1.9123569096312639E-20</v>
      </c>
      <c r="R127" s="25" cm="1">
        <f t="array" ref="R127">$AE$20*NMultDensity(C127:D127,$AE$24:$AE$25,$AC$51:$AD$52)/P127</f>
        <v>5.4703071445677941E-3</v>
      </c>
      <c r="S127" s="43" cm="1">
        <f t="array" ref="S127">$AE$33*NMultDensity(C127:D127,$AE$37:$AE$38,$AC$51:$AD$52)/P127</f>
        <v>0.99452969285543213</v>
      </c>
      <c r="T127" s="42" t="str">
        <f t="shared" si="17"/>
        <v>virginica</v>
      </c>
      <c r="U127" s="25" cm="1">
        <f t="array" ref="U127">$AE$7*NMultDensity(C127:D127,$AE$11:$AE$12,$AC$51:$AD$52)*VLOOKUP($E127,$Z$62:$AD$65,2)+$AE$20*NMultDensity(C127:D127,$AE$24:$AE$25,$AC$51:$AD$52)*VLOOKUP($E127,$Z$62:$AD$65,3)+$AE$33*NMultDensity(C127:D127,$AE$37:$AE$38,$AC$51:$AD$52)*VLOOKUP($E127,$Z$62:$AD$65,4)</f>
        <v>0.11036778988941362</v>
      </c>
      <c r="V127" s="25" cm="1">
        <f t="array" ref="V127">$AE$7*NMultDensity(C127:D127,$AE$11:$AE$12,$AC$51:$AD$52)/U127*VLOOKUP($E127,$Z$62:$AD$65,2)</f>
        <v>1.4077857814959034E-20</v>
      </c>
      <c r="W127" s="25" cm="1">
        <f t="array" ref="W127">$AE$20*NMultDensity(C127:D127,$AE$24:$AE$25,$AC$51:$AD$52)/U127*VLOOKUP($E127,$Z$62:$AD$65,3)</f>
        <v>1.6474003936707612E-3</v>
      </c>
      <c r="X127" s="43" cm="1">
        <f t="array" ref="X127">$AE$33*NMultDensity(C127:D127,$AE$37:$AE$38,$AC$51:$AD$52)/U127*VLOOKUP($E127,$Z$62:$AD$65,4)</f>
        <v>0.99835259960632927</v>
      </c>
    </row>
    <row r="128" spans="1:24" x14ac:dyDescent="0.25">
      <c r="A128" s="71">
        <v>6.2</v>
      </c>
      <c r="B128" s="25">
        <v>2.8</v>
      </c>
      <c r="C128" s="25">
        <v>4.8</v>
      </c>
      <c r="D128" s="68">
        <v>1.8</v>
      </c>
      <c r="E128" s="80" t="s">
        <v>38</v>
      </c>
      <c r="F128" s="81" t="s">
        <v>7</v>
      </c>
      <c r="G128" s="81">
        <f t="shared" ca="1" si="12"/>
        <v>4.7766762410082615</v>
      </c>
      <c r="H128" s="60">
        <f t="shared" ca="1" si="13"/>
        <v>1.8219503228938358</v>
      </c>
      <c r="I128" s="78" t="s">
        <v>7</v>
      </c>
      <c r="J128" s="39" t="str">
        <f t="shared" si="15"/>
        <v>virginica</v>
      </c>
      <c r="K128" s="25" cm="1">
        <f t="array" ref="K128">$AE$7*NMultDensity(A128:D128,$AE$9:$AE$12,$AA$49:$AD$52)+$AE$20*NMultDensity(A128:D128,$AE$22:$AE$25,$AA$49:$AD$52)+$AE$33*NMultDensity(A128:D128,$AE$35:$AE$38,$AA$49:$AD$52)</f>
        <v>0.36676489935585216</v>
      </c>
      <c r="L128" s="25" cm="1">
        <f t="array" ref="L128">$AE$7*NMultDensity(A128:D128,$AE$9:$AE$12,$AA$49:$AD$52)/K128</f>
        <v>1.3455441609031909E-29</v>
      </c>
      <c r="M128" s="25" cm="1">
        <f t="array" ref="M128">$AE$20*NMultDensity(A128:D128,$AE$22:$AE$25,$AA$49:$AD$52)/K128</f>
        <v>0.15205893824626321</v>
      </c>
      <c r="N128" s="43" cm="1">
        <f t="array" ref="N128">$AE$33*NMultDensity(A128:D128,$AE$35:$AE$38,$AA$49:$AD$52)/K128</f>
        <v>0.84794106175373685</v>
      </c>
      <c r="O128" s="42" t="str">
        <f t="shared" si="16"/>
        <v>virginica</v>
      </c>
      <c r="P128" s="25" cm="1">
        <f t="array" ref="P128">$AE$7*NMultDensity(C128:D128,$AE$11:$AE$12,$AC$51:$AD$52)+$AE$20*NMultDensity(C128:D128,$AE$24:$AE$25,$AC$51:$AD$52)+$AE$33*NMultDensity(C128:D128,$AE$37:$AE$38,$AC$51:$AD$52)</f>
        <v>0.32568875289431209</v>
      </c>
      <c r="Q128" s="25" cm="1">
        <f t="array" ref="Q128">$AE$7*NMultDensity(C128:D128,$AE$11:$AE$12,$AC$51:$AD$52)/P128</f>
        <v>3.4128921542418758E-14</v>
      </c>
      <c r="R128" s="25" cm="1">
        <f t="array" ref="R128">$AE$20*NMultDensity(C128:D128,$AE$24:$AE$25,$AC$51:$AD$52)/P128</f>
        <v>0.2063497004813184</v>
      </c>
      <c r="S128" s="43" cm="1">
        <f t="array" ref="S128">$AE$33*NMultDensity(C128:D128,$AE$37:$AE$38,$AC$51:$AD$52)/P128</f>
        <v>0.79365029951864752</v>
      </c>
      <c r="T128" s="42" t="str">
        <f t="shared" si="17"/>
        <v>virginica</v>
      </c>
      <c r="U128" s="25" cm="1">
        <f t="array" ref="U128">$AE$7*NMultDensity(C128:D128,$AE$11:$AE$12,$AC$51:$AD$52)*VLOOKUP($E128,$Z$62:$AD$65,2)+$AE$20*NMultDensity(C128:D128,$AE$24:$AE$25,$AC$51:$AD$52)*VLOOKUP($E128,$Z$62:$AD$65,3)+$AE$33*NMultDensity(C128:D128,$AE$37:$AE$38,$AC$51:$AD$52)*VLOOKUP($E128,$Z$62:$AD$65,4)</f>
        <v>0.16718682556043779</v>
      </c>
      <c r="V128" s="25" cm="1">
        <f t="array" ref="V128">$AE$7*NMultDensity(C128:D128,$AE$11:$AE$12,$AC$51:$AD$52)/U128*VLOOKUP($E128,$Z$62:$AD$65,2)</f>
        <v>2.9253373148917129E-14</v>
      </c>
      <c r="W128" s="25" cm="1">
        <f t="array" ref="W128">$AE$20*NMultDensity(C128:D128,$AE$24:$AE$25,$AC$51:$AD$52)/U128*VLOOKUP($E128,$Z$62:$AD$65,3)</f>
        <v>7.2356417733432668E-2</v>
      </c>
      <c r="X128" s="43" cm="1">
        <f t="array" ref="X128">$AE$33*NMultDensity(C128:D128,$AE$37:$AE$38,$AC$51:$AD$52)/U128*VLOOKUP($E128,$Z$62:$AD$65,4)</f>
        <v>0.9276435822665382</v>
      </c>
    </row>
    <row r="129" spans="1:24" x14ac:dyDescent="0.25">
      <c r="A129" s="71">
        <v>6.1</v>
      </c>
      <c r="B129" s="25">
        <v>3</v>
      </c>
      <c r="C129" s="25">
        <v>4.9000000000000004</v>
      </c>
      <c r="D129" s="68">
        <v>1.8</v>
      </c>
      <c r="E129" s="80" t="s">
        <v>38</v>
      </c>
      <c r="F129" s="81" t="s">
        <v>7</v>
      </c>
      <c r="G129" s="81">
        <f t="shared" ca="1" si="12"/>
        <v>4.8875015415108134</v>
      </c>
      <c r="H129" s="60">
        <f t="shared" ca="1" si="13"/>
        <v>1.7938507967990494</v>
      </c>
      <c r="I129" s="78" t="s">
        <v>7</v>
      </c>
      <c r="J129" s="39" t="str">
        <f t="shared" si="15"/>
        <v>virginica</v>
      </c>
      <c r="K129" s="25" cm="1">
        <f t="array" ref="K129">$AE$7*NMultDensity(A129:D129,$AE$9:$AE$12,$AA$49:$AD$52)+$AE$20*NMultDensity(A129:D129,$AE$22:$AE$25,$AA$49:$AD$52)+$AE$33*NMultDensity(A129:D129,$AE$35:$AE$38,$AA$49:$AD$52)</f>
        <v>0.44202898713591232</v>
      </c>
      <c r="L129" s="25" cm="1">
        <f t="array" ref="L129">$AE$7*NMultDensity(A129:D129,$AE$9:$AE$12,$AA$49:$AD$52)/K129</f>
        <v>2.4630497963566641E-29</v>
      </c>
      <c r="M129" s="25" cm="1">
        <f t="array" ref="M129">$AE$20*NMultDensity(A129:D129,$AE$22:$AE$25,$AA$49:$AD$52)/K129</f>
        <v>0.11700677734968089</v>
      </c>
      <c r="N129" s="43" cm="1">
        <f t="array" ref="N129">$AE$33*NMultDensity(A129:D129,$AE$35:$AE$38,$AA$49:$AD$52)/K129</f>
        <v>0.88299322265031921</v>
      </c>
      <c r="O129" s="42" t="str">
        <f t="shared" si="16"/>
        <v>virginica</v>
      </c>
      <c r="P129" s="25" cm="1">
        <f t="array" ref="P129">$AE$7*NMultDensity(C129:D129,$AE$11:$AE$12,$AC$51:$AD$52)+$AE$20*NMultDensity(C129:D129,$AE$24:$AE$25,$AC$51:$AD$52)+$AE$33*NMultDensity(C129:D129,$AE$37:$AE$38,$AC$51:$AD$52)</f>
        <v>0.39282949054727301</v>
      </c>
      <c r="Q129" s="25" cm="1">
        <f t="array" ref="Q129">$AE$7*NMultDensity(C129:D129,$AE$11:$AE$12,$AC$51:$AD$52)/P129</f>
        <v>1.0699105046520483E-14</v>
      </c>
      <c r="R129" s="25" cm="1">
        <f t="array" ref="R129">$AE$20*NMultDensity(C129:D129,$AE$24:$AE$25,$AC$51:$AD$52)/P129</f>
        <v>0.15863859436091943</v>
      </c>
      <c r="S129" s="43" cm="1">
        <f t="array" ref="S129">$AE$33*NMultDensity(C129:D129,$AE$37:$AE$38,$AC$51:$AD$52)/P129</f>
        <v>0.84136140563906991</v>
      </c>
      <c r="T129" s="42" t="str">
        <f t="shared" si="17"/>
        <v>virginica</v>
      </c>
      <c r="U129" s="25" cm="1">
        <f t="array" ref="U129">$AE$7*NMultDensity(C129:D129,$AE$11:$AE$12,$AC$51:$AD$52)*VLOOKUP($E129,$Z$62:$AD$65,2)+$AE$20*NMultDensity(C129:D129,$AE$24:$AE$25,$AC$51:$AD$52)*VLOOKUP($E129,$Z$62:$AD$65,3)+$AE$33*NMultDensity(C129:D129,$AE$37:$AE$38,$AC$51:$AD$52)*VLOOKUP($E129,$Z$62:$AD$65,4)</f>
        <v>0.20952416868271023</v>
      </c>
      <c r="V129" s="25" cm="1">
        <f t="array" ref="V129">$AE$7*NMultDensity(C129:D129,$AE$11:$AE$12,$AC$51:$AD$52)/U129*VLOOKUP($E129,$Z$62:$AD$65,2)</f>
        <v>8.8261252384895749E-15</v>
      </c>
      <c r="W129" s="25" cm="1">
        <f t="array" ref="W129">$AE$20*NMultDensity(C129:D129,$AE$24:$AE$25,$AC$51:$AD$52)/U129*VLOOKUP($E129,$Z$62:$AD$65,3)</f>
        <v>5.3536665231661278E-2</v>
      </c>
      <c r="X129" s="43" cm="1">
        <f t="array" ref="X129">$AE$33*NMultDensity(C129:D129,$AE$37:$AE$38,$AC$51:$AD$52)/U129*VLOOKUP($E129,$Z$62:$AD$65,4)</f>
        <v>0.94646333476832989</v>
      </c>
    </row>
    <row r="130" spans="1:24" x14ac:dyDescent="0.25">
      <c r="A130" s="71">
        <v>6.4</v>
      </c>
      <c r="B130" s="25">
        <v>2.8</v>
      </c>
      <c r="C130" s="25">
        <v>5.6</v>
      </c>
      <c r="D130" s="68">
        <v>2.1</v>
      </c>
      <c r="E130" s="80" t="s">
        <v>38</v>
      </c>
      <c r="F130" s="81" t="s">
        <v>7</v>
      </c>
      <c r="G130" s="81">
        <f t="shared" ca="1" si="12"/>
        <v>5.5802563488656709</v>
      </c>
      <c r="H130" s="60">
        <f t="shared" ca="1" si="13"/>
        <v>2.1147655895432083</v>
      </c>
      <c r="I130" s="78" t="s">
        <v>7</v>
      </c>
      <c r="J130" s="39" t="str">
        <f t="shared" ref="J130:J151" si="18">IF(L130&gt;MAX(M130:N130),$I$2,IF(M130&gt;N130,$I$52,$I$102))</f>
        <v>virginica</v>
      </c>
      <c r="K130" s="25" cm="1">
        <f t="array" ref="K130">$AE$7*NMultDensity(A130:D130,$AE$9:$AE$12,$AA$49:$AD$52)+$AE$20*NMultDensity(A130:D130,$AE$22:$AE$25,$AA$49:$AD$52)+$AE$33*NMultDensity(A130:D130,$AE$35:$AE$38,$AA$49:$AD$52)</f>
        <v>0.96415691079130583</v>
      </c>
      <c r="L130" s="25" cm="1">
        <f t="array" ref="L130">$AE$7*NMultDensity(A130:D130,$AE$9:$AE$12,$AA$49:$AD$52)/K130</f>
        <v>6.6100843081369873E-43</v>
      </c>
      <c r="M130" s="25" cm="1">
        <f t="array" ref="M130">$AE$20*NMultDensity(A130:D130,$AE$22:$AE$25,$AA$49:$AD$52)/K130</f>
        <v>2.8003190934767413E-5</v>
      </c>
      <c r="N130" s="43" cm="1">
        <f t="array" ref="N130">$AE$33*NMultDensity(A130:D130,$AE$35:$AE$38,$AA$49:$AD$52)/K130</f>
        <v>0.99997199680906523</v>
      </c>
      <c r="O130" s="42" t="str">
        <f t="shared" ref="O130:O151" si="19">IF(Q130&gt;MAX(R130:S130),$I$2,IF(R130&gt;S130,$I$52,$I$102))</f>
        <v>virginica</v>
      </c>
      <c r="P130" s="25" cm="1">
        <f t="array" ref="P130">$AE$7*NMultDensity(C130:D130,$AE$11:$AE$12,$AC$51:$AD$52)+$AE$20*NMultDensity(C130:D130,$AE$24:$AE$25,$AC$51:$AD$52)+$AE$33*NMultDensity(C130:D130,$AE$37:$AE$38,$AC$51:$AD$52)</f>
        <v>0.80486963243489584</v>
      </c>
      <c r="Q130" s="25" cm="1">
        <f t="array" ref="Q130">$AE$7*NMultDensity(C130:D130,$AE$11:$AE$12,$AC$51:$AD$52)/P130</f>
        <v>6.1988797347806205E-21</v>
      </c>
      <c r="R130" s="25" cm="1">
        <f t="array" ref="R130">$AE$20*NMultDensity(C130:D130,$AE$24:$AE$25,$AC$51:$AD$52)/P130</f>
        <v>1.2087652532282223E-3</v>
      </c>
      <c r="S130" s="43" cm="1">
        <f t="array" ref="S130">$AE$33*NMultDensity(C130:D130,$AE$37:$AE$38,$AC$51:$AD$52)/P130</f>
        <v>0.99879123474677178</v>
      </c>
      <c r="T130" s="42" t="str">
        <f t="shared" si="17"/>
        <v>virginica</v>
      </c>
      <c r="U130" s="25" cm="1">
        <f t="array" ref="U130">$AE$7*NMultDensity(C130:D130,$AE$11:$AE$12,$AC$51:$AD$52)*VLOOKUP($E130,$Z$62:$AD$65,2)+$AE$20*NMultDensity(C130:D130,$AE$24:$AE$25,$AC$51:$AD$52)*VLOOKUP($E130,$Z$62:$AD$65,3)+$AE$33*NMultDensity(C130:D130,$AE$37:$AE$38,$AC$51:$AD$52)*VLOOKUP($E130,$Z$62:$AD$65,4)</f>
        <v>0.4825131621140098</v>
      </c>
      <c r="V130" s="25" cm="1">
        <f t="array" ref="V130">$AE$7*NMultDensity(C130:D130,$AE$11:$AE$12,$AC$51:$AD$52)/U130*VLOOKUP($E130,$Z$62:$AD$65,2)</f>
        <v>4.5496947979282917E-21</v>
      </c>
      <c r="W130" s="25" cm="1">
        <f t="array" ref="W130">$AE$20*NMultDensity(C130:D130,$AE$24:$AE$25,$AC$51:$AD$52)/U130*VLOOKUP($E130,$Z$62:$AD$65,3)</f>
        <v>3.6293666963322925E-4</v>
      </c>
      <c r="X130" s="43" cm="1">
        <f t="array" ref="X130">$AE$33*NMultDensity(C130:D130,$AE$37:$AE$38,$AC$51:$AD$52)/U130*VLOOKUP($E130,$Z$62:$AD$65,4)</f>
        <v>0.99963706333036684</v>
      </c>
    </row>
    <row r="131" spans="1:24" x14ac:dyDescent="0.25">
      <c r="A131" s="71">
        <v>7.2</v>
      </c>
      <c r="B131" s="25">
        <v>3</v>
      </c>
      <c r="C131" s="25">
        <v>5.8</v>
      </c>
      <c r="D131" s="68">
        <v>1.6</v>
      </c>
      <c r="E131" s="80" t="s">
        <v>38</v>
      </c>
      <c r="F131" s="81" t="s">
        <v>7</v>
      </c>
      <c r="G131" s="81">
        <f t="shared" ref="G131:G151" ca="1" si="20">C131+0.05*RAND()-0.025</f>
        <v>5.8035734267503418</v>
      </c>
      <c r="H131" s="60">
        <f t="shared" ref="H131:H151" ca="1" si="21">D131+0.05*RAND()-0.025</f>
        <v>1.577052975003348</v>
      </c>
      <c r="I131" s="78" t="s">
        <v>7</v>
      </c>
      <c r="J131" s="39" t="str">
        <f t="shared" si="18"/>
        <v>virginica</v>
      </c>
      <c r="K131" s="25" cm="1">
        <f t="array" ref="K131">$AE$7*NMultDensity(A131:D131,$AE$9:$AE$12,$AA$49:$AD$52)+$AE$20*NMultDensity(A131:D131,$AE$22:$AE$25,$AA$49:$AD$52)+$AE$33*NMultDensity(A131:D131,$AE$35:$AE$38,$AA$49:$AD$52)</f>
        <v>6.0611479660352227E-2</v>
      </c>
      <c r="L131" s="25" cm="1">
        <f t="array" ref="L131">$AE$7*NMultDensity(A131:D131,$AE$9:$AE$12,$AA$49:$AD$52)/K131</f>
        <v>4.1085085164755597E-31</v>
      </c>
      <c r="M131" s="25" cm="1">
        <f t="array" ref="M131">$AE$20*NMultDensity(A131:D131,$AE$22:$AE$25,$AA$49:$AD$52)/K131</f>
        <v>9.8882554766272085E-2</v>
      </c>
      <c r="N131" s="43" cm="1">
        <f t="array" ref="N131">$AE$33*NMultDensity(A131:D131,$AE$35:$AE$38,$AA$49:$AD$52)/K131</f>
        <v>0.90111744523372794</v>
      </c>
      <c r="O131" s="42" t="str">
        <f t="shared" si="19"/>
        <v>virginica</v>
      </c>
      <c r="P131" s="25" cm="1">
        <f t="array" ref="P131">$AE$7*NMultDensity(C131:D131,$AE$11:$AE$12,$AC$51:$AD$52)+$AE$20*NMultDensity(C131:D131,$AE$24:$AE$25,$AC$51:$AD$52)+$AE$33*NMultDensity(C131:D131,$AE$37:$AE$38,$AC$51:$AD$52)</f>
        <v>6.5416035539029901E-2</v>
      </c>
      <c r="Q131" s="25" cm="1">
        <f t="array" ref="Q131">$AE$7*NMultDensity(C131:D131,$AE$11:$AE$12,$AC$51:$AD$52)/P131</f>
        <v>1.1277581455140591E-17</v>
      </c>
      <c r="R131" s="25" cm="1">
        <f t="array" ref="R131">$AE$20*NMultDensity(C131:D131,$AE$24:$AE$25,$AC$51:$AD$52)/P131</f>
        <v>6.3322904641630082E-2</v>
      </c>
      <c r="S131" s="43" cm="1">
        <f t="array" ref="S131">$AE$33*NMultDensity(C131:D131,$AE$37:$AE$38,$AC$51:$AD$52)/P131</f>
        <v>0.93667709535836996</v>
      </c>
      <c r="T131" s="42" t="str">
        <f t="shared" si="17"/>
        <v>virginica</v>
      </c>
      <c r="U131" s="25" cm="1">
        <f t="array" ref="U131">$AE$7*NMultDensity(C131:D131,$AE$11:$AE$12,$AC$51:$AD$52)*VLOOKUP($E131,$Z$62:$AD$65,2)+$AE$20*NMultDensity(C131:D131,$AE$24:$AE$25,$AC$51:$AD$52)*VLOOKUP($E131,$Z$62:$AD$65,3)+$AE$33*NMultDensity(C131:D131,$AE$37:$AE$38,$AC$51:$AD$52)*VLOOKUP($E131,$Z$62:$AD$65,4)</f>
        <v>3.7509841303619923E-2</v>
      </c>
      <c r="V131" s="25" cm="1">
        <f t="array" ref="V131">$AE$7*NMultDensity(C131:D131,$AE$11:$AE$12,$AC$51:$AD$52)/U131*VLOOKUP($E131,$Z$62:$AD$65,2)</f>
        <v>8.6538157239480956E-18</v>
      </c>
      <c r="W131" s="25" cm="1">
        <f t="array" ref="W131">$AE$20*NMultDensity(C131:D131,$AE$24:$AE$25,$AC$51:$AD$52)/U131*VLOOKUP($E131,$Z$62:$AD$65,3)</f>
        <v>1.9877983552356666E-2</v>
      </c>
      <c r="X131" s="43" cm="1">
        <f t="array" ref="X131">$AE$33*NMultDensity(C131:D131,$AE$37:$AE$38,$AC$51:$AD$52)/U131*VLOOKUP($E131,$Z$62:$AD$65,4)</f>
        <v>0.9801220164476433</v>
      </c>
    </row>
    <row r="132" spans="1:24" x14ac:dyDescent="0.25">
      <c r="A132" s="71">
        <v>7.4</v>
      </c>
      <c r="B132" s="25">
        <v>2.8</v>
      </c>
      <c r="C132" s="25">
        <v>6.1</v>
      </c>
      <c r="D132" s="68">
        <v>1.9</v>
      </c>
      <c r="E132" s="80" t="s">
        <v>39</v>
      </c>
      <c r="F132" s="81" t="s">
        <v>7</v>
      </c>
      <c r="G132" s="81">
        <f t="shared" ca="1" si="20"/>
        <v>6.1169536447511241</v>
      </c>
      <c r="H132" s="60">
        <f t="shared" ca="1" si="21"/>
        <v>1.8978061719852952</v>
      </c>
      <c r="I132" s="78" t="s">
        <v>7</v>
      </c>
      <c r="J132" s="39" t="str">
        <f t="shared" si="18"/>
        <v>virginica</v>
      </c>
      <c r="K132" s="25" cm="1">
        <f t="array" ref="K132">$AE$7*NMultDensity(A132:D132,$AE$9:$AE$12,$AA$49:$AD$52)+$AE$20*NMultDensity(A132:D132,$AE$22:$AE$25,$AA$49:$AD$52)+$AE$33*NMultDensity(A132:D132,$AE$35:$AE$38,$AA$49:$AD$52)</f>
        <v>0.19244751856218575</v>
      </c>
      <c r="L132" s="25" cm="1">
        <f t="array" ref="L132">$AE$7*NMultDensity(A132:D132,$AE$9:$AE$12,$AA$49:$AD$52)/K132</f>
        <v>3.288633700372639E-40</v>
      </c>
      <c r="M132" s="25" cm="1">
        <f t="array" ref="M132">$AE$20*NMultDensity(A132:D132,$AE$22:$AE$25,$AA$49:$AD$52)/K132</f>
        <v>3.2336081104199162E-4</v>
      </c>
      <c r="N132" s="43" cm="1">
        <f t="array" ref="N132">$AE$33*NMultDensity(A132:D132,$AE$35:$AE$38,$AA$49:$AD$52)/K132</f>
        <v>0.99967663918895799</v>
      </c>
      <c r="O132" s="42" t="str">
        <f t="shared" si="19"/>
        <v>virginica</v>
      </c>
      <c r="P132" s="25" cm="1">
        <f t="array" ref="P132">$AE$7*NMultDensity(C132:D132,$AE$11:$AE$12,$AC$51:$AD$52)+$AE$20*NMultDensity(C132:D132,$AE$24:$AE$25,$AC$51:$AD$52)+$AE$33*NMultDensity(C132:D132,$AE$37:$AE$38,$AC$51:$AD$52)</f>
        <v>0.24452225994238852</v>
      </c>
      <c r="Q132" s="25" cm="1">
        <f t="array" ref="Q132">$AE$7*NMultDensity(C132:D132,$AE$11:$AE$12,$AC$51:$AD$52)/P132</f>
        <v>7.6724295669105224E-22</v>
      </c>
      <c r="R132" s="25" cm="1">
        <f t="array" ref="R132">$AE$20*NMultDensity(C132:D132,$AE$24:$AE$25,$AC$51:$AD$52)/P132</f>
        <v>1.5664791762396838E-3</v>
      </c>
      <c r="S132" s="43" cm="1">
        <f t="array" ref="S132">$AE$33*NMultDensity(C132:D132,$AE$37:$AE$38,$AC$51:$AD$52)/P132</f>
        <v>0.99843352082376036</v>
      </c>
      <c r="T132" s="42" t="str">
        <f t="shared" si="17"/>
        <v>virginica</v>
      </c>
      <c r="U132" s="25" cm="1">
        <f t="array" ref="U132">$AE$7*NMultDensity(C132:D132,$AE$11:$AE$12,$AC$51:$AD$52)*VLOOKUP($E132,$Z$62:$AD$65,2)+$AE$20*NMultDensity(C132:D132,$AE$24:$AE$25,$AC$51:$AD$52)*VLOOKUP($E132,$Z$62:$AD$65,3)+$AE$33*NMultDensity(C132:D132,$AE$37:$AE$38,$AC$51:$AD$52)*VLOOKUP($E132,$Z$62:$AD$65,4)</f>
        <v>9.2918458778107629E-2</v>
      </c>
      <c r="V132" s="25" cm="1">
        <f t="array" ref="V132">$AE$7*NMultDensity(C132:D132,$AE$11:$AE$12,$AC$51:$AD$52)/U132*VLOOKUP($E132,$Z$62:$AD$65,2)</f>
        <v>3.6343087422207737E-22</v>
      </c>
      <c r="W132" s="25" cm="1">
        <f t="array" ref="W132">$AE$20*NMultDensity(C132:D132,$AE$24:$AE$25,$AC$51:$AD$52)/U132*VLOOKUP($E132,$Z$62:$AD$65,3)</f>
        <v>1.566479176239684E-3</v>
      </c>
      <c r="X132" s="43" cm="1">
        <f t="array" ref="X132">$AE$33*NMultDensity(C132:D132,$AE$37:$AE$38,$AC$51:$AD$52)/U132*VLOOKUP($E132,$Z$62:$AD$65,4)</f>
        <v>0.99843352082376036</v>
      </c>
    </row>
    <row r="133" spans="1:24" x14ac:dyDescent="0.25">
      <c r="A133" s="71">
        <v>7.9</v>
      </c>
      <c r="B133" s="25">
        <v>3.8</v>
      </c>
      <c r="C133" s="25">
        <v>6.4</v>
      </c>
      <c r="D133" s="68">
        <v>2</v>
      </c>
      <c r="E133" s="80" t="s">
        <v>39</v>
      </c>
      <c r="F133" s="81" t="s">
        <v>7</v>
      </c>
      <c r="G133" s="81">
        <f t="shared" ca="1" si="20"/>
        <v>6.3910611700785003</v>
      </c>
      <c r="H133" s="60">
        <f t="shared" ca="1" si="21"/>
        <v>2.0099218875337357</v>
      </c>
      <c r="I133" s="78" t="s">
        <v>7</v>
      </c>
      <c r="J133" s="39" t="str">
        <f t="shared" si="18"/>
        <v>virginica</v>
      </c>
      <c r="K133" s="25" cm="1">
        <f t="array" ref="K133">$AE$7*NMultDensity(A133:D133,$AE$9:$AE$12,$AA$49:$AD$52)+$AE$20*NMultDensity(A133:D133,$AE$22:$AE$25,$AA$49:$AD$52)+$AE$33*NMultDensity(A133:D133,$AE$35:$AE$38,$AA$49:$AD$52)</f>
        <v>5.2043665529543188E-3</v>
      </c>
      <c r="L133" s="25" cm="1">
        <f t="array" ref="L133">$AE$7*NMultDensity(A133:D133,$AE$9:$AE$12,$AA$49:$AD$52)/K133</f>
        <v>8.7437454654320825E-32</v>
      </c>
      <c r="M133" s="25" cm="1">
        <f t="array" ref="M133">$AE$20*NMultDensity(A133:D133,$AE$22:$AE$25,$AA$49:$AD$52)/K133</f>
        <v>4.9566319224797588E-3</v>
      </c>
      <c r="N133" s="43" cm="1">
        <f t="array" ref="N133">$AE$33*NMultDensity(A133:D133,$AE$35:$AE$38,$AA$49:$AD$52)/K133</f>
        <v>0.99504336807752014</v>
      </c>
      <c r="O133" s="42" t="str">
        <f t="shared" si="19"/>
        <v>virginica</v>
      </c>
      <c r="P133" s="25" cm="1">
        <f t="array" ref="P133">$AE$7*NMultDensity(C133:D133,$AE$11:$AE$12,$AC$51:$AD$52)+$AE$20*NMultDensity(C133:D133,$AE$24:$AE$25,$AC$51:$AD$52)+$AE$33*NMultDensity(C133:D133,$AE$37:$AE$38,$AC$51:$AD$52)</f>
        <v>0.12603727905700812</v>
      </c>
      <c r="Q133" s="25" cm="1">
        <f t="array" ref="Q133">$AE$7*NMultDensity(C133:D133,$AE$11:$AE$12,$AC$51:$AD$52)/P133</f>
        <v>2.6848318249150431E-24</v>
      </c>
      <c r="R133" s="25" cm="1">
        <f t="array" ref="R133">$AE$20*NMultDensity(C133:D133,$AE$24:$AE$25,$AC$51:$AD$52)/P133</f>
        <v>2.3529787430691905E-4</v>
      </c>
      <c r="S133" s="43" cm="1">
        <f t="array" ref="S133">$AE$33*NMultDensity(C133:D133,$AE$37:$AE$38,$AC$51:$AD$52)/P133</f>
        <v>0.99976470212569302</v>
      </c>
      <c r="T133" s="42" t="str">
        <f t="shared" si="17"/>
        <v>virginica</v>
      </c>
      <c r="U133" s="25" cm="1">
        <f t="array" ref="U133">$AE$7*NMultDensity(C133:D133,$AE$11:$AE$12,$AC$51:$AD$52)*VLOOKUP($E133,$Z$62:$AD$65,2)+$AE$20*NMultDensity(C133:D133,$AE$24:$AE$25,$AC$51:$AD$52)*VLOOKUP($E133,$Z$62:$AD$65,3)+$AE$33*NMultDensity(C133:D133,$AE$37:$AE$38,$AC$51:$AD$52)*VLOOKUP($E133,$Z$62:$AD$65,4)</f>
        <v>4.7894166041663085E-2</v>
      </c>
      <c r="V133" s="25" cm="1">
        <f t="array" ref="V133">$AE$7*NMultDensity(C133:D133,$AE$11:$AE$12,$AC$51:$AD$52)/U133*VLOOKUP($E133,$Z$62:$AD$65,2)</f>
        <v>1.27176244338081E-24</v>
      </c>
      <c r="W133" s="25" cm="1">
        <f t="array" ref="W133">$AE$20*NMultDensity(C133:D133,$AE$24:$AE$25,$AC$51:$AD$52)/U133*VLOOKUP($E133,$Z$62:$AD$65,3)</f>
        <v>2.3529787430691905E-4</v>
      </c>
      <c r="X133" s="43" cm="1">
        <f t="array" ref="X133">$AE$33*NMultDensity(C133:D133,$AE$37:$AE$38,$AC$51:$AD$52)/U133*VLOOKUP($E133,$Z$62:$AD$65,4)</f>
        <v>0.99976470212569302</v>
      </c>
    </row>
    <row r="134" spans="1:24" x14ac:dyDescent="0.25">
      <c r="A134" s="71">
        <v>6.4</v>
      </c>
      <c r="B134" s="25">
        <v>2.8</v>
      </c>
      <c r="C134" s="25">
        <v>5.6</v>
      </c>
      <c r="D134" s="68">
        <v>2.2000000000000002</v>
      </c>
      <c r="E134" s="80" t="s">
        <v>39</v>
      </c>
      <c r="F134" s="81" t="s">
        <v>7</v>
      </c>
      <c r="G134" s="81">
        <f t="shared" ca="1" si="20"/>
        <v>5.5931440630960925</v>
      </c>
      <c r="H134" s="60">
        <f t="shared" ca="1" si="21"/>
        <v>2.1832361083628382</v>
      </c>
      <c r="I134" s="78" t="s">
        <v>7</v>
      </c>
      <c r="J134" s="39" t="str">
        <f t="shared" si="18"/>
        <v>virginica</v>
      </c>
      <c r="K134" s="25" cm="1">
        <f t="array" ref="K134">$AE$7*NMultDensity(A134:D134,$AE$9:$AE$12,$AA$49:$AD$52)+$AE$20*NMultDensity(A134:D134,$AE$22:$AE$25,$AA$49:$AD$52)+$AE$33*NMultDensity(A134:D134,$AE$35:$AE$38,$AA$49:$AD$52)</f>
        <v>0.63039071415884884</v>
      </c>
      <c r="L134" s="25" cm="1">
        <f t="array" ref="L134">$AE$7*NMultDensity(A134:D134,$AE$9:$AE$12,$AA$49:$AD$52)/K134</f>
        <v>2.2343140022668623E-44</v>
      </c>
      <c r="M134" s="25" cm="1">
        <f t="array" ref="M134">$AE$20*NMultDensity(A134:D134,$AE$22:$AE$25,$AA$49:$AD$52)/K134</f>
        <v>8.7382145569479242E-6</v>
      </c>
      <c r="N134" s="43" cm="1">
        <f t="array" ref="N134">$AE$33*NMultDensity(A134:D134,$AE$35:$AE$38,$AA$49:$AD$52)/K134</f>
        <v>0.99999126178544306</v>
      </c>
      <c r="O134" s="42" t="str">
        <f t="shared" si="19"/>
        <v>virginica</v>
      </c>
      <c r="P134" s="25" cm="1">
        <f t="array" ref="P134">$AE$7*NMultDensity(C134:D134,$AE$11:$AE$12,$AC$51:$AD$52)+$AE$20*NMultDensity(C134:D134,$AE$24:$AE$25,$AC$51:$AD$52)+$AE$33*NMultDensity(C134:D134,$AE$37:$AE$38,$AC$51:$AD$52)</f>
        <v>0.62715225305998279</v>
      </c>
      <c r="Q134" s="25" cm="1">
        <f t="array" ref="Q134">$AE$7*NMultDensity(C134:D134,$AE$11:$AE$12,$AC$51:$AD$52)/P134</f>
        <v>8.3834519732276162E-22</v>
      </c>
      <c r="R134" s="25" cm="1">
        <f t="array" ref="R134">$AE$20*NMultDensity(C134:D134,$AE$24:$AE$25,$AC$51:$AD$52)/P134</f>
        <v>4.7579565014607992E-4</v>
      </c>
      <c r="S134" s="43" cm="1">
        <f t="array" ref="S134">$AE$33*NMultDensity(C134:D134,$AE$37:$AE$38,$AC$51:$AD$52)/P134</f>
        <v>0.99952420434985401</v>
      </c>
      <c r="T134" s="42" t="str">
        <f t="shared" si="17"/>
        <v>virginica</v>
      </c>
      <c r="U134" s="25" cm="1">
        <f t="array" ref="U134">$AE$7*NMultDensity(C134:D134,$AE$11:$AE$12,$AC$51:$AD$52)*VLOOKUP($E134,$Z$62:$AD$65,2)+$AE$20*NMultDensity(C134:D134,$AE$24:$AE$25,$AC$51:$AD$52)*VLOOKUP($E134,$Z$62:$AD$65,3)+$AE$33*NMultDensity(C134:D134,$AE$37:$AE$38,$AC$51:$AD$52)*VLOOKUP($E134,$Z$62:$AD$65,4)</f>
        <v>0.23831785616279347</v>
      </c>
      <c r="V134" s="25" cm="1">
        <f t="array" ref="V134">$AE$7*NMultDensity(C134:D134,$AE$11:$AE$12,$AC$51:$AD$52)/U134*VLOOKUP($E134,$Z$62:$AD$65,2)</f>
        <v>3.9711088294236074E-22</v>
      </c>
      <c r="W134" s="25" cm="1">
        <f t="array" ref="W134">$AE$20*NMultDensity(C134:D134,$AE$24:$AE$25,$AC$51:$AD$52)/U134*VLOOKUP($E134,$Z$62:$AD$65,3)</f>
        <v>4.7579565014607987E-4</v>
      </c>
      <c r="X134" s="43" cm="1">
        <f t="array" ref="X134">$AE$33*NMultDensity(C134:D134,$AE$37:$AE$38,$AC$51:$AD$52)/U134*VLOOKUP($E134,$Z$62:$AD$65,4)</f>
        <v>0.99952420434985401</v>
      </c>
    </row>
    <row r="135" spans="1:24" x14ac:dyDescent="0.25">
      <c r="A135" s="71">
        <v>6.3</v>
      </c>
      <c r="B135" s="25">
        <v>2.8</v>
      </c>
      <c r="C135" s="25">
        <v>5.0999999999999996</v>
      </c>
      <c r="D135" s="68">
        <v>1.5</v>
      </c>
      <c r="E135" s="80" t="s">
        <v>39</v>
      </c>
      <c r="F135" s="81" t="s">
        <v>7</v>
      </c>
      <c r="G135" s="81">
        <f t="shared" ca="1" si="20"/>
        <v>5.0864906757258979</v>
      </c>
      <c r="H135" s="60">
        <f t="shared" ca="1" si="21"/>
        <v>1.4888976857865914</v>
      </c>
      <c r="I135" s="78" t="s">
        <v>7</v>
      </c>
      <c r="J135" s="39" t="str">
        <f t="shared" si="18"/>
        <v>virginica</v>
      </c>
      <c r="K135" s="25" cm="1">
        <f t="array" ref="K135">$AE$7*NMultDensity(A135:D135,$AE$9:$AE$12,$AA$49:$AD$52)+$AE$20*NMultDensity(A135:D135,$AE$22:$AE$25,$AA$49:$AD$52)+$AE$33*NMultDensity(A135:D135,$AE$35:$AE$38,$AA$49:$AD$52)</f>
        <v>0.19687501652277128</v>
      </c>
      <c r="L135" s="25" cm="1">
        <f t="array" ref="L135">$AE$7*NMultDensity(A135:D135,$AE$9:$AE$12,$AA$49:$AD$52)/K135</f>
        <v>1.3338514476928785E-28</v>
      </c>
      <c r="M135" s="25" cm="1">
        <f t="array" ref="M135">$AE$20*NMultDensity(A135:D135,$AE$22:$AE$25,$AA$49:$AD$52)/K135</f>
        <v>0.47410000975774869</v>
      </c>
      <c r="N135" s="43" cm="1">
        <f t="array" ref="N135">$AE$33*NMultDensity(A135:D135,$AE$35:$AE$38,$AA$49:$AD$52)/K135</f>
        <v>0.52589999024225131</v>
      </c>
      <c r="O135" s="42" t="str">
        <f t="shared" si="19"/>
        <v>versicolor</v>
      </c>
      <c r="P135" s="25" cm="1">
        <f t="array" ref="P135">$AE$7*NMultDensity(C135:D135,$AE$11:$AE$12,$AC$51:$AD$52)+$AE$20*NMultDensity(C135:D135,$AE$24:$AE$25,$AC$51:$AD$52)+$AE$33*NMultDensity(C135:D135,$AE$37:$AE$38,$AC$51:$AD$52)</f>
        <v>0.19457161079377194</v>
      </c>
      <c r="Q135" s="25" cm="1">
        <f t="array" ref="Q135">$AE$7*NMultDensity(C135:D135,$AE$11:$AE$12,$AC$51:$AD$52)/P135</f>
        <v>1.7134217671489702E-13</v>
      </c>
      <c r="R135" s="25" cm="1">
        <f t="array" ref="R135">$AE$20*NMultDensity(C135:D135,$AE$24:$AE$25,$AC$51:$AD$52)/P135</f>
        <v>0.61969706525427648</v>
      </c>
      <c r="S135" s="43" cm="1">
        <f t="array" ref="S135">$AE$33*NMultDensity(C135:D135,$AE$37:$AE$38,$AC$51:$AD$52)/P135</f>
        <v>0.38030293474555227</v>
      </c>
      <c r="T135" s="42" t="str">
        <f t="shared" si="17"/>
        <v>versicolor</v>
      </c>
      <c r="U135" s="25" cm="1">
        <f t="array" ref="U135">$AE$7*NMultDensity(C135:D135,$AE$11:$AE$12,$AC$51:$AD$52)*VLOOKUP($E135,$Z$62:$AD$65,2)+$AE$20*NMultDensity(C135:D135,$AE$24:$AE$25,$AC$51:$AD$52)*VLOOKUP($E135,$Z$62:$AD$65,3)+$AE$33*NMultDensity(C135:D135,$AE$37:$AE$38,$AC$51:$AD$52)*VLOOKUP($E135,$Z$62:$AD$65,4)</f>
        <v>7.3937212101626681E-2</v>
      </c>
      <c r="V135" s="25" cm="1">
        <f t="array" ref="V135">$AE$7*NMultDensity(C135:D135,$AE$11:$AE$12,$AC$51:$AD$52)/U135*VLOOKUP($E135,$Z$62:$AD$65,2)</f>
        <v>8.1162083707063794E-14</v>
      </c>
      <c r="W135" s="25" cm="1">
        <f t="array" ref="W135">$AE$20*NMultDensity(C135:D135,$AE$24:$AE$25,$AC$51:$AD$52)/U135*VLOOKUP($E135,$Z$62:$AD$65,3)</f>
        <v>0.61969706525433232</v>
      </c>
      <c r="X135" s="43" cm="1">
        <f t="array" ref="X135">$AE$33*NMultDensity(C135:D135,$AE$37:$AE$38,$AC$51:$AD$52)/U135*VLOOKUP($E135,$Z$62:$AD$65,4)</f>
        <v>0.38030293474558657</v>
      </c>
    </row>
    <row r="136" spans="1:24" x14ac:dyDescent="0.25">
      <c r="A136" s="71">
        <v>6.1</v>
      </c>
      <c r="B136" s="25">
        <v>2.6</v>
      </c>
      <c r="C136" s="25">
        <v>5.6</v>
      </c>
      <c r="D136" s="68">
        <v>1.4</v>
      </c>
      <c r="E136" s="80" t="s">
        <v>39</v>
      </c>
      <c r="F136" s="81" t="s">
        <v>7</v>
      </c>
      <c r="G136" s="81">
        <f t="shared" ca="1" si="20"/>
        <v>5.6086572193088919</v>
      </c>
      <c r="H136" s="60">
        <f t="shared" ca="1" si="21"/>
        <v>1.4204956846162031</v>
      </c>
      <c r="I136" s="78" t="s">
        <v>7</v>
      </c>
      <c r="J136" s="39" t="str">
        <f t="shared" si="18"/>
        <v>virginica</v>
      </c>
      <c r="K136" s="25" cm="1">
        <f t="array" ref="K136">$AE$7*NMultDensity(A136:D136,$AE$9:$AE$12,$AA$49:$AD$52)+$AE$20*NMultDensity(A136:D136,$AE$22:$AE$25,$AA$49:$AD$52)+$AE$33*NMultDensity(A136:D136,$AE$35:$AE$38,$AA$49:$AD$52)</f>
        <v>4.0389820878107881E-3</v>
      </c>
      <c r="L136" s="25" cm="1">
        <f t="array" ref="L136">$AE$7*NMultDensity(A136:D136,$AE$9:$AE$12,$AA$49:$AD$52)/K136</f>
        <v>1.3905571899619546E-36</v>
      </c>
      <c r="M136" s="25" cm="1">
        <f t="array" ref="M136">$AE$20*NMultDensity(A136:D136,$AE$22:$AE$25,$AA$49:$AD$52)/K136</f>
        <v>1.2816234360835285E-2</v>
      </c>
      <c r="N136" s="43" cm="1">
        <f t="array" ref="N136">$AE$33*NMultDensity(A136:D136,$AE$35:$AE$38,$AA$49:$AD$52)/K136</f>
        <v>0.98718376563916477</v>
      </c>
      <c r="O136" s="42" t="str">
        <f t="shared" si="19"/>
        <v>virginica</v>
      </c>
      <c r="P136" s="25" cm="1">
        <f t="array" ref="P136">$AE$7*NMultDensity(C136:D136,$AE$11:$AE$12,$AC$51:$AD$52)+$AE$20*NMultDensity(C136:D136,$AE$24:$AE$25,$AC$51:$AD$52)+$AE$33*NMultDensity(C136:D136,$AE$37:$AE$38,$AC$51:$AD$52)</f>
        <v>1.8509848858174239E-2</v>
      </c>
      <c r="Q136" s="25" cm="1">
        <f t="array" ref="Q136">$AE$7*NMultDensity(C136:D136,$AE$11:$AE$12,$AC$51:$AD$52)/P136</f>
        <v>4.1175294610459552E-15</v>
      </c>
      <c r="R136" s="25" cm="1">
        <f t="array" ref="R136">$AE$20*NMultDensity(C136:D136,$AE$24:$AE$25,$AC$51:$AD$52)/P136</f>
        <v>0.45382003353778627</v>
      </c>
      <c r="S136" s="43" cm="1">
        <f t="array" ref="S136">$AE$33*NMultDensity(C136:D136,$AE$37:$AE$38,$AC$51:$AD$52)/P136</f>
        <v>0.54617996646220957</v>
      </c>
      <c r="T136" s="42" t="str">
        <f t="shared" si="17"/>
        <v>virginica</v>
      </c>
      <c r="U136" s="25" cm="1">
        <f t="array" ref="U136">$AE$7*NMultDensity(C136:D136,$AE$11:$AE$12,$AC$51:$AD$52)*VLOOKUP($E136,$Z$62:$AD$65,2)+$AE$20*NMultDensity(C136:D136,$AE$24:$AE$25,$AC$51:$AD$52)*VLOOKUP($E136,$Z$62:$AD$65,3)+$AE$33*NMultDensity(C136:D136,$AE$37:$AE$38,$AC$51:$AD$52)*VLOOKUP($E136,$Z$62:$AD$65,4)</f>
        <v>7.0337425661061957E-3</v>
      </c>
      <c r="V136" s="25" cm="1">
        <f t="array" ref="V136">$AE$7*NMultDensity(C136:D136,$AE$11:$AE$12,$AC$51:$AD$52)/U136*VLOOKUP($E136,$Z$62:$AD$65,2)</f>
        <v>1.9504086920744039E-15</v>
      </c>
      <c r="W136" s="25" cm="1">
        <f t="array" ref="W136">$AE$20*NMultDensity(C136:D136,$AE$24:$AE$25,$AC$51:$AD$52)/U136*VLOOKUP($E136,$Z$62:$AD$65,3)</f>
        <v>0.45382003353778727</v>
      </c>
      <c r="X136" s="43" cm="1">
        <f t="array" ref="X136">$AE$33*NMultDensity(C136:D136,$AE$37:$AE$38,$AC$51:$AD$52)/U136*VLOOKUP($E136,$Z$62:$AD$65,4)</f>
        <v>0.54617996646221068</v>
      </c>
    </row>
    <row r="137" spans="1:24" x14ac:dyDescent="0.25">
      <c r="A137" s="71">
        <v>7.7</v>
      </c>
      <c r="B137" s="25">
        <v>3</v>
      </c>
      <c r="C137" s="25">
        <v>6.1</v>
      </c>
      <c r="D137" s="68">
        <v>2.2999999999999998</v>
      </c>
      <c r="E137" s="80" t="s">
        <v>39</v>
      </c>
      <c r="F137" s="81" t="s">
        <v>7</v>
      </c>
      <c r="G137" s="81">
        <f t="shared" ca="1" si="20"/>
        <v>6.0861179012848332</v>
      </c>
      <c r="H137" s="60">
        <f t="shared" ca="1" si="21"/>
        <v>2.3147219077714567</v>
      </c>
      <c r="I137" s="78" t="s">
        <v>7</v>
      </c>
      <c r="J137" s="39" t="str">
        <f t="shared" si="18"/>
        <v>virginica</v>
      </c>
      <c r="K137" s="25" cm="1">
        <f t="array" ref="K137">$AE$7*NMultDensity(A137:D137,$AE$9:$AE$12,$AA$49:$AD$52)+$AE$20*NMultDensity(A137:D137,$AE$22:$AE$25,$AA$49:$AD$52)+$AE$33*NMultDensity(A137:D137,$AE$35:$AE$38,$AA$49:$AD$52)</f>
        <v>4.3167765511211723E-2</v>
      </c>
      <c r="L137" s="25" cm="1">
        <f t="array" ref="L137">$AE$7*NMultDensity(A137:D137,$AE$9:$AE$12,$AA$49:$AD$52)/K137</f>
        <v>3.9974935464937546E-42</v>
      </c>
      <c r="M137" s="25" cm="1">
        <f t="array" ref="M137">$AE$20*NMultDensity(A137:D137,$AE$22:$AE$25,$AA$49:$AD$52)/K137</f>
        <v>2.2964377059852012E-5</v>
      </c>
      <c r="N137" s="43" cm="1">
        <f t="array" ref="N137">$AE$33*NMultDensity(A137:D137,$AE$35:$AE$38,$AA$49:$AD$52)/K137</f>
        <v>0.99997703562294016</v>
      </c>
      <c r="O137" s="42" t="str">
        <f t="shared" si="19"/>
        <v>virginica</v>
      </c>
      <c r="P137" s="25" cm="1">
        <f t="array" ref="P137">$AE$7*NMultDensity(C137:D137,$AE$11:$AE$12,$AC$51:$AD$52)+$AE$20*NMultDensity(C137:D137,$AE$24:$AE$25,$AC$51:$AD$52)+$AE$33*NMultDensity(C137:D137,$AE$37:$AE$38,$AC$51:$AD$52)</f>
        <v>0.35164952591393267</v>
      </c>
      <c r="Q137" s="25" cm="1">
        <f t="array" ref="Q137">$AE$7*NMultDensity(C137:D137,$AE$11:$AE$12,$AC$51:$AD$52)/P137</f>
        <v>2.5630776077523483E-25</v>
      </c>
      <c r="R137" s="25" cm="1">
        <f t="array" ref="R137">$AE$20*NMultDensity(C137:D137,$AE$24:$AE$25,$AC$51:$AD$52)/P137</f>
        <v>3.7551629841999255E-5</v>
      </c>
      <c r="S137" s="43" cm="1">
        <f t="array" ref="S137">$AE$33*NMultDensity(C137:D137,$AE$37:$AE$38,$AC$51:$AD$52)/P137</f>
        <v>0.99996244837015791</v>
      </c>
      <c r="T137" s="42" t="str">
        <f t="shared" si="17"/>
        <v>virginica</v>
      </c>
      <c r="U137" s="25" cm="1">
        <f t="array" ref="U137">$AE$7*NMultDensity(C137:D137,$AE$11:$AE$12,$AC$51:$AD$52)*VLOOKUP($E137,$Z$62:$AD$65,2)+$AE$20*NMultDensity(C137:D137,$AE$24:$AE$25,$AC$51:$AD$52)*VLOOKUP($E137,$Z$62:$AD$65,3)+$AE$33*NMultDensity(C137:D137,$AE$37:$AE$38,$AC$51:$AD$52)*VLOOKUP($E137,$Z$62:$AD$65,4)</f>
        <v>0.13362681984729441</v>
      </c>
      <c r="V137" s="25" cm="1">
        <f t="array" ref="V137">$AE$7*NMultDensity(C137:D137,$AE$11:$AE$12,$AC$51:$AD$52)/U137*VLOOKUP($E137,$Z$62:$AD$65,2)</f>
        <v>1.2140893931458493E-25</v>
      </c>
      <c r="W137" s="25" cm="1">
        <f t="array" ref="W137">$AE$20*NMultDensity(C137:D137,$AE$24:$AE$25,$AC$51:$AD$52)/U137*VLOOKUP($E137,$Z$62:$AD$65,3)</f>
        <v>3.7551629841999262E-5</v>
      </c>
      <c r="X137" s="43" cm="1">
        <f t="array" ref="X137">$AE$33*NMultDensity(C137:D137,$AE$37:$AE$38,$AC$51:$AD$52)/U137*VLOOKUP($E137,$Z$62:$AD$65,4)</f>
        <v>0.99996244837015802</v>
      </c>
    </row>
    <row r="138" spans="1:24" x14ac:dyDescent="0.25">
      <c r="A138" s="71">
        <v>6.3</v>
      </c>
      <c r="B138" s="25">
        <v>3.4</v>
      </c>
      <c r="C138" s="25">
        <v>5.6</v>
      </c>
      <c r="D138" s="68">
        <v>2.4</v>
      </c>
      <c r="E138" s="80" t="s">
        <v>39</v>
      </c>
      <c r="F138" s="81" t="s">
        <v>7</v>
      </c>
      <c r="G138" s="81">
        <f t="shared" ca="1" si="20"/>
        <v>5.5824176941965984</v>
      </c>
      <c r="H138" s="60">
        <f t="shared" ca="1" si="21"/>
        <v>2.406053728640114</v>
      </c>
      <c r="I138" s="78" t="s">
        <v>7</v>
      </c>
      <c r="J138" s="39" t="str">
        <f t="shared" si="18"/>
        <v>virginica</v>
      </c>
      <c r="K138" s="25" cm="1">
        <f t="array" ref="K138">$AE$7*NMultDensity(A138:D138,$AE$9:$AE$12,$AA$49:$AD$52)+$AE$20*NMultDensity(A138:D138,$AE$22:$AE$25,$AA$49:$AD$52)+$AE$33*NMultDensity(A138:D138,$AE$35:$AE$38,$AA$49:$AD$52)</f>
        <v>0.13049283900295508</v>
      </c>
      <c r="L138" s="25" cm="1">
        <f t="array" ref="L138">$AE$7*NMultDensity(A138:D138,$AE$9:$AE$12,$AA$49:$AD$52)/K138</f>
        <v>1.5450605120745521E-41</v>
      </c>
      <c r="M138" s="25" cm="1">
        <f t="array" ref="M138">$AE$20*NMultDensity(A138:D138,$AE$22:$AE$25,$AA$49:$AD$52)/K138</f>
        <v>7.239713405307958E-6</v>
      </c>
      <c r="N138" s="43" cm="1">
        <f t="array" ref="N138">$AE$33*NMultDensity(A138:D138,$AE$35:$AE$38,$AA$49:$AD$52)/K138</f>
        <v>0.99999276028659478</v>
      </c>
      <c r="O138" s="42" t="str">
        <f t="shared" si="19"/>
        <v>virginica</v>
      </c>
      <c r="P138" s="25" cm="1">
        <f t="array" ref="P138">$AE$7*NMultDensity(C138:D138,$AE$11:$AE$12,$AC$51:$AD$52)+$AE$20*NMultDensity(C138:D138,$AE$24:$AE$25,$AC$51:$AD$52)+$AE$33*NMultDensity(C138:D138,$AE$37:$AE$38,$AC$51:$AD$52)</f>
        <v>0.19791741087504619</v>
      </c>
      <c r="Q138" s="25" cm="1">
        <f t="array" ref="Q138">$AE$7*NMultDensity(C138:D138,$AE$11:$AE$12,$AC$51:$AD$52)/P138</f>
        <v>1.5317212473107151E-23</v>
      </c>
      <c r="R138" s="25" cm="1">
        <f t="array" ref="R138">$AE$20*NMultDensity(C138:D138,$AE$24:$AE$25,$AC$51:$AD$52)/P138</f>
        <v>7.3640203988072114E-5</v>
      </c>
      <c r="S138" s="43" cm="1">
        <f t="array" ref="S138">$AE$33*NMultDensity(C138:D138,$AE$37:$AE$38,$AC$51:$AD$52)/P138</f>
        <v>0.99992635979601197</v>
      </c>
      <c r="T138" s="42" t="str">
        <f t="shared" si="17"/>
        <v>virginica</v>
      </c>
      <c r="U138" s="25" cm="1">
        <f t="array" ref="U138">$AE$7*NMultDensity(C138:D138,$AE$11:$AE$12,$AC$51:$AD$52)*VLOOKUP($E138,$Z$62:$AD$65,2)+$AE$20*NMultDensity(C138:D138,$AE$24:$AE$25,$AC$51:$AD$52)*VLOOKUP($E138,$Z$62:$AD$65,3)+$AE$33*NMultDensity(C138:D138,$AE$37:$AE$38,$AC$51:$AD$52)*VLOOKUP($E138,$Z$62:$AD$65,4)</f>
        <v>7.5208616132517545E-2</v>
      </c>
      <c r="V138" s="25" cm="1">
        <f t="array" ref="V138">$AE$7*NMultDensity(C138:D138,$AE$11:$AE$12,$AC$51:$AD$52)/U138*VLOOKUP($E138,$Z$62:$AD$65,2)</f>
        <v>7.2555216977875985E-24</v>
      </c>
      <c r="W138" s="25" cm="1">
        <f t="array" ref="W138">$AE$20*NMultDensity(C138:D138,$AE$24:$AE$25,$AC$51:$AD$52)/U138*VLOOKUP($E138,$Z$62:$AD$65,3)</f>
        <v>7.3640203988072127E-5</v>
      </c>
      <c r="X138" s="43" cm="1">
        <f t="array" ref="X138">$AE$33*NMultDensity(C138:D138,$AE$37:$AE$38,$AC$51:$AD$52)/U138*VLOOKUP($E138,$Z$62:$AD$65,4)</f>
        <v>0.99992635979601208</v>
      </c>
    </row>
    <row r="139" spans="1:24" x14ac:dyDescent="0.25">
      <c r="A139" s="71">
        <v>6.4</v>
      </c>
      <c r="B139" s="25">
        <v>3.1</v>
      </c>
      <c r="C139" s="25">
        <v>5.5</v>
      </c>
      <c r="D139" s="68">
        <v>1.8</v>
      </c>
      <c r="E139" s="80" t="s">
        <v>39</v>
      </c>
      <c r="F139" s="81" t="s">
        <v>7</v>
      </c>
      <c r="G139" s="81">
        <f t="shared" ca="1" si="20"/>
        <v>5.5066363419416771</v>
      </c>
      <c r="H139" s="60">
        <f t="shared" ca="1" si="21"/>
        <v>1.8248009036687933</v>
      </c>
      <c r="I139" s="78" t="s">
        <v>7</v>
      </c>
      <c r="J139" s="39" t="str">
        <f t="shared" si="18"/>
        <v>virginica</v>
      </c>
      <c r="K139" s="25" cm="1">
        <f t="array" ref="K139">$AE$7*NMultDensity(A139:D139,$AE$9:$AE$12,$AA$49:$AD$52)+$AE$20*NMultDensity(A139:D139,$AE$22:$AE$25,$AA$49:$AD$52)+$AE$33*NMultDensity(A139:D139,$AE$35:$AE$38,$AA$49:$AD$52)</f>
        <v>0.42384531994540281</v>
      </c>
      <c r="L139" s="25" cm="1">
        <f t="array" ref="L139">$AE$7*NMultDensity(A139:D139,$AE$9:$AE$12,$AA$49:$AD$52)/K139</f>
        <v>5.0308530296712437E-34</v>
      </c>
      <c r="M139" s="25" cm="1">
        <f t="array" ref="M139">$AE$20*NMultDensity(A139:D139,$AE$22:$AE$25,$AA$49:$AD$52)/K139</f>
        <v>6.912903073672475E-3</v>
      </c>
      <c r="N139" s="43" cm="1">
        <f t="array" ref="N139">$AE$33*NMultDensity(A139:D139,$AE$35:$AE$38,$AA$49:$AD$52)/K139</f>
        <v>0.99308709692632746</v>
      </c>
      <c r="O139" s="42" t="str">
        <f t="shared" si="19"/>
        <v>virginica</v>
      </c>
      <c r="P139" s="25" cm="1">
        <f t="array" ref="P139">$AE$7*NMultDensity(C139:D139,$AE$11:$AE$12,$AC$51:$AD$52)+$AE$20*NMultDensity(C139:D139,$AE$24:$AE$25,$AC$51:$AD$52)+$AE$33*NMultDensity(C139:D139,$AE$37:$AE$38,$AC$51:$AD$52)</f>
        <v>0.52073842679958615</v>
      </c>
      <c r="Q139" s="25" cm="1">
        <f t="array" ref="Q139">$AE$7*NMultDensity(C139:D139,$AE$11:$AE$12,$AC$51:$AD$52)/P139</f>
        <v>8.2764468335569267E-18</v>
      </c>
      <c r="R139" s="25" cm="1">
        <f t="array" ref="R139">$AE$20*NMultDensity(C139:D139,$AE$24:$AE$25,$AC$51:$AD$52)/P139</f>
        <v>2.6692304670162779E-2</v>
      </c>
      <c r="S139" s="43" cm="1">
        <f t="array" ref="S139">$AE$33*NMultDensity(C139:D139,$AE$37:$AE$38,$AC$51:$AD$52)/P139</f>
        <v>0.97330769532983719</v>
      </c>
      <c r="T139" s="42" t="str">
        <f t="shared" si="17"/>
        <v>virginica</v>
      </c>
      <c r="U139" s="25" cm="1">
        <f t="array" ref="U139">$AE$7*NMultDensity(C139:D139,$AE$11:$AE$12,$AC$51:$AD$52)*VLOOKUP($E139,$Z$62:$AD$65,2)+$AE$20*NMultDensity(C139:D139,$AE$24:$AE$25,$AC$51:$AD$52)*VLOOKUP($E139,$Z$62:$AD$65,3)+$AE$33*NMultDensity(C139:D139,$AE$37:$AE$38,$AC$51:$AD$52)*VLOOKUP($E139,$Z$62:$AD$65,4)</f>
        <v>0.19788060218384271</v>
      </c>
      <c r="V139" s="25" cm="1">
        <f t="array" ref="V139">$AE$7*NMultDensity(C139:D139,$AE$11:$AE$12,$AC$51:$AD$52)/U139*VLOOKUP($E139,$Z$62:$AD$65,2)</f>
        <v>3.9204221843164395E-18</v>
      </c>
      <c r="W139" s="25" cm="1">
        <f t="array" ref="W139">$AE$20*NMultDensity(C139:D139,$AE$24:$AE$25,$AC$51:$AD$52)/U139*VLOOKUP($E139,$Z$62:$AD$65,3)</f>
        <v>2.6692304670162786E-2</v>
      </c>
      <c r="X139" s="43" cm="1">
        <f t="array" ref="X139">$AE$33*NMultDensity(C139:D139,$AE$37:$AE$38,$AC$51:$AD$52)/U139*VLOOKUP($E139,$Z$62:$AD$65,4)</f>
        <v>0.9733076953298373</v>
      </c>
    </row>
    <row r="140" spans="1:24" x14ac:dyDescent="0.25">
      <c r="A140" s="71">
        <v>6</v>
      </c>
      <c r="B140" s="25">
        <v>3</v>
      </c>
      <c r="C140" s="25">
        <v>4.8</v>
      </c>
      <c r="D140" s="68">
        <v>1.8</v>
      </c>
      <c r="E140" s="80" t="s">
        <v>39</v>
      </c>
      <c r="F140" s="81" t="s">
        <v>7</v>
      </c>
      <c r="G140" s="81">
        <f t="shared" ca="1" si="20"/>
        <v>4.7754014235501332</v>
      </c>
      <c r="H140" s="60">
        <f t="shared" ca="1" si="21"/>
        <v>1.7772462949945931</v>
      </c>
      <c r="I140" s="78" t="s">
        <v>7</v>
      </c>
      <c r="J140" s="39" t="str">
        <f t="shared" si="18"/>
        <v>virginica</v>
      </c>
      <c r="K140" s="25" cm="1">
        <f t="array" ref="K140">$AE$7*NMultDensity(A140:D140,$AE$9:$AE$12,$AA$49:$AD$52)+$AE$20*NMultDensity(A140:D140,$AE$22:$AE$25,$AA$49:$AD$52)+$AE$33*NMultDensity(A140:D140,$AE$35:$AE$38,$AA$49:$AD$52)</f>
        <v>0.34387904486065957</v>
      </c>
      <c r="L140" s="25" cm="1">
        <f t="array" ref="L140">$AE$7*NMultDensity(A140:D140,$AE$9:$AE$12,$AA$49:$AD$52)/K140</f>
        <v>1.0741689409225385E-28</v>
      </c>
      <c r="M140" s="25" cm="1">
        <f t="array" ref="M140">$AE$20*NMultDensity(A140:D140,$AE$22:$AE$25,$AA$49:$AD$52)/K140</f>
        <v>0.16047809013648845</v>
      </c>
      <c r="N140" s="43" cm="1">
        <f t="array" ref="N140">$AE$33*NMultDensity(A140:D140,$AE$35:$AE$38,$AA$49:$AD$52)/K140</f>
        <v>0.83952190986351161</v>
      </c>
      <c r="O140" s="42" t="str">
        <f t="shared" si="19"/>
        <v>virginica</v>
      </c>
      <c r="P140" s="25" cm="1">
        <f t="array" ref="P140">$AE$7*NMultDensity(C140:D140,$AE$11:$AE$12,$AC$51:$AD$52)+$AE$20*NMultDensity(C140:D140,$AE$24:$AE$25,$AC$51:$AD$52)+$AE$33*NMultDensity(C140:D140,$AE$37:$AE$38,$AC$51:$AD$52)</f>
        <v>0.32568875289431209</v>
      </c>
      <c r="Q140" s="25" cm="1">
        <f t="array" ref="Q140">$AE$7*NMultDensity(C140:D140,$AE$11:$AE$12,$AC$51:$AD$52)/P140</f>
        <v>3.4128921542418758E-14</v>
      </c>
      <c r="R140" s="25" cm="1">
        <f t="array" ref="R140">$AE$20*NMultDensity(C140:D140,$AE$24:$AE$25,$AC$51:$AD$52)/P140</f>
        <v>0.2063497004813184</v>
      </c>
      <c r="S140" s="43" cm="1">
        <f t="array" ref="S140">$AE$33*NMultDensity(C140:D140,$AE$37:$AE$38,$AC$51:$AD$52)/P140</f>
        <v>0.79365029951864752</v>
      </c>
      <c r="T140" s="42" t="str">
        <f t="shared" si="17"/>
        <v>virginica</v>
      </c>
      <c r="U140" s="25" cm="1">
        <f t="array" ref="U140">$AE$7*NMultDensity(C140:D140,$AE$11:$AE$12,$AC$51:$AD$52)*VLOOKUP($E140,$Z$62:$AD$65,2)+$AE$20*NMultDensity(C140:D140,$AE$24:$AE$25,$AC$51:$AD$52)*VLOOKUP($E140,$Z$62:$AD$65,3)+$AE$33*NMultDensity(C140:D140,$AE$37:$AE$38,$AC$51:$AD$52)*VLOOKUP($E140,$Z$62:$AD$65,4)</f>
        <v>0.12376172609983638</v>
      </c>
      <c r="V140" s="25" cm="1">
        <f t="array" ref="V140">$AE$7*NMultDensity(C140:D140,$AE$11:$AE$12,$AC$51:$AD$52)/U140*VLOOKUP($E140,$Z$62:$AD$65,2)</f>
        <v>1.6166331256935493E-14</v>
      </c>
      <c r="W140" s="25" cm="1">
        <f t="array" ref="W140">$AE$20*NMultDensity(C140:D140,$AE$24:$AE$25,$AC$51:$AD$52)/U140*VLOOKUP($E140,$Z$62:$AD$65,3)</f>
        <v>0.20634970048132212</v>
      </c>
      <c r="X140" s="43" cm="1">
        <f t="array" ref="X140">$AE$33*NMultDensity(C140:D140,$AE$37:$AE$38,$AC$51:$AD$52)/U140*VLOOKUP($E140,$Z$62:$AD$65,4)</f>
        <v>0.79365029951866173</v>
      </c>
    </row>
    <row r="141" spans="1:24" x14ac:dyDescent="0.25">
      <c r="A141" s="71">
        <v>6.9</v>
      </c>
      <c r="B141" s="25">
        <v>3.1</v>
      </c>
      <c r="C141" s="25">
        <v>5.4</v>
      </c>
      <c r="D141" s="68">
        <v>2.1</v>
      </c>
      <c r="E141" s="80" t="s">
        <v>39</v>
      </c>
      <c r="F141" s="81" t="s">
        <v>7</v>
      </c>
      <c r="G141" s="81">
        <f t="shared" ca="1" si="20"/>
        <v>5.3788736596787947</v>
      </c>
      <c r="H141" s="60">
        <f t="shared" ca="1" si="21"/>
        <v>2.0752019249040266</v>
      </c>
      <c r="I141" s="78" t="s">
        <v>7</v>
      </c>
      <c r="J141" s="39" t="str">
        <f t="shared" si="18"/>
        <v>virginica</v>
      </c>
      <c r="K141" s="25" cm="1">
        <f t="array" ref="K141">$AE$7*NMultDensity(A141:D141,$AE$9:$AE$12,$AA$49:$AD$52)+$AE$20*NMultDensity(A141:D141,$AE$22:$AE$25,$AA$49:$AD$52)+$AE$33*NMultDensity(A141:D141,$AE$35:$AE$38,$AA$49:$AD$52)</f>
        <v>0.51770976805144409</v>
      </c>
      <c r="L141" s="25" cm="1">
        <f t="array" ref="L141">$AE$7*NMultDensity(A141:D141,$AE$9:$AE$12,$AA$49:$AD$52)/K141</f>
        <v>4.2315042624782092E-34</v>
      </c>
      <c r="M141" s="25" cm="1">
        <f t="array" ref="M141">$AE$20*NMultDensity(A141:D141,$AE$22:$AE$25,$AA$49:$AD$52)/K141</f>
        <v>3.1554232813737304E-3</v>
      </c>
      <c r="N141" s="43" cm="1">
        <f t="array" ref="N141">$AE$33*NMultDensity(A141:D141,$AE$35:$AE$38,$AA$49:$AD$52)/K141</f>
        <v>0.99684457671862614</v>
      </c>
      <c r="O141" s="42" t="str">
        <f t="shared" si="19"/>
        <v>virginica</v>
      </c>
      <c r="P141" s="25" cm="1">
        <f t="array" ref="P141">$AE$7*NMultDensity(C141:D141,$AE$11:$AE$12,$AC$51:$AD$52)+$AE$20*NMultDensity(C141:D141,$AE$24:$AE$25,$AC$51:$AD$52)+$AE$33*NMultDensity(C141:D141,$AE$37:$AE$38,$AC$51:$AD$52)</f>
        <v>0.71451543062386313</v>
      </c>
      <c r="Q141" s="25" cm="1">
        <f t="array" ref="Q141">$AE$7*NMultDensity(C141:D141,$AE$11:$AE$12,$AC$51:$AD$52)/P141</f>
        <v>7.081043243564099E-20</v>
      </c>
      <c r="R141" s="25" cm="1">
        <f t="array" ref="R141">$AE$20*NMultDensity(C141:D141,$AE$24:$AE$25,$AC$51:$AD$52)/P141</f>
        <v>2.2959676045342008E-3</v>
      </c>
      <c r="S141" s="43" cm="1">
        <f t="array" ref="S141">$AE$33*NMultDensity(C141:D141,$AE$37:$AE$38,$AC$51:$AD$52)/P141</f>
        <v>0.99770403239546579</v>
      </c>
      <c r="T141" s="42" t="str">
        <f t="shared" si="17"/>
        <v>virginica</v>
      </c>
      <c r="U141" s="25" cm="1">
        <f t="array" ref="U141">$AE$7*NMultDensity(C141:D141,$AE$11:$AE$12,$AC$51:$AD$52)*VLOOKUP($E141,$Z$62:$AD$65,2)+$AE$20*NMultDensity(C141:D141,$AE$24:$AE$25,$AC$51:$AD$52)*VLOOKUP($E141,$Z$62:$AD$65,3)+$AE$33*NMultDensity(C141:D141,$AE$37:$AE$38,$AC$51:$AD$52)*VLOOKUP($E141,$Z$62:$AD$65,4)</f>
        <v>0.27151586363706803</v>
      </c>
      <c r="V141" s="25" cm="1">
        <f t="array" ref="V141">$AE$7*NMultDensity(C141:D141,$AE$11:$AE$12,$AC$51:$AD$52)/U141*VLOOKUP($E141,$Z$62:$AD$65,2)</f>
        <v>3.3541783785303626E-20</v>
      </c>
      <c r="W141" s="25" cm="1">
        <f t="array" ref="W141">$AE$20*NMultDensity(C141:D141,$AE$24:$AE$25,$AC$51:$AD$52)/U141*VLOOKUP($E141,$Z$62:$AD$65,3)</f>
        <v>2.2959676045342008E-3</v>
      </c>
      <c r="X141" s="43" cm="1">
        <f t="array" ref="X141">$AE$33*NMultDensity(C141:D141,$AE$37:$AE$38,$AC$51:$AD$52)/U141*VLOOKUP($E141,$Z$62:$AD$65,4)</f>
        <v>0.99770403239546557</v>
      </c>
    </row>
    <row r="142" spans="1:24" x14ac:dyDescent="0.25">
      <c r="A142" s="71">
        <v>6.7</v>
      </c>
      <c r="B142" s="25">
        <v>3.1</v>
      </c>
      <c r="C142" s="25">
        <v>5.6</v>
      </c>
      <c r="D142" s="68">
        <v>2.4</v>
      </c>
      <c r="E142" s="80" t="s">
        <v>39</v>
      </c>
      <c r="F142" s="81" t="s">
        <v>7</v>
      </c>
      <c r="G142" s="81">
        <f t="shared" ca="1" si="20"/>
        <v>5.6246853336423479</v>
      </c>
      <c r="H142" s="60">
        <f t="shared" ca="1" si="21"/>
        <v>2.3866578886959031</v>
      </c>
      <c r="I142" s="78" t="s">
        <v>7</v>
      </c>
      <c r="J142" s="39" t="str">
        <f t="shared" si="18"/>
        <v>virginica</v>
      </c>
      <c r="K142" s="25" cm="1">
        <f t="array" ref="K142">$AE$7*NMultDensity(A142:D142,$AE$9:$AE$12,$AA$49:$AD$52)+$AE$20*NMultDensity(A142:D142,$AE$22:$AE$25,$AA$49:$AD$52)+$AE$33*NMultDensity(A142:D142,$AE$35:$AE$38,$AA$49:$AD$52)</f>
        <v>0.32342250359681451</v>
      </c>
      <c r="L142" s="25" cm="1">
        <f t="array" ref="L142">$AE$7*NMultDensity(A142:D142,$AE$9:$AE$12,$AA$49:$AD$52)/K142</f>
        <v>2.764812272555421E-42</v>
      </c>
      <c r="M142" s="25" cm="1">
        <f t="array" ref="M142">$AE$20*NMultDensity(A142:D142,$AE$22:$AE$25,$AA$49:$AD$52)/K142</f>
        <v>9.7151292765674234E-6</v>
      </c>
      <c r="N142" s="43" cm="1">
        <f t="array" ref="N142">$AE$33*NMultDensity(A142:D142,$AE$35:$AE$38,$AA$49:$AD$52)/K142</f>
        <v>0.9999902848707235</v>
      </c>
      <c r="O142" s="42" t="str">
        <f t="shared" si="19"/>
        <v>virginica</v>
      </c>
      <c r="P142" s="25" cm="1">
        <f t="array" ref="P142">$AE$7*NMultDensity(C142:D142,$AE$11:$AE$12,$AC$51:$AD$52)+$AE$20*NMultDensity(C142:D142,$AE$24:$AE$25,$AC$51:$AD$52)+$AE$33*NMultDensity(C142:D142,$AE$37:$AE$38,$AC$51:$AD$52)</f>
        <v>0.19791741087504619</v>
      </c>
      <c r="Q142" s="25" cm="1">
        <f t="array" ref="Q142">$AE$7*NMultDensity(C142:D142,$AE$11:$AE$12,$AC$51:$AD$52)/P142</f>
        <v>1.5317212473107151E-23</v>
      </c>
      <c r="R142" s="25" cm="1">
        <f t="array" ref="R142">$AE$20*NMultDensity(C142:D142,$AE$24:$AE$25,$AC$51:$AD$52)/P142</f>
        <v>7.3640203988072114E-5</v>
      </c>
      <c r="S142" s="43" cm="1">
        <f t="array" ref="S142">$AE$33*NMultDensity(C142:D142,$AE$37:$AE$38,$AC$51:$AD$52)/P142</f>
        <v>0.99992635979601197</v>
      </c>
      <c r="T142" s="42" t="str">
        <f t="shared" si="17"/>
        <v>virginica</v>
      </c>
      <c r="U142" s="25" cm="1">
        <f t="array" ref="U142">$AE$7*NMultDensity(C142:D142,$AE$11:$AE$12,$AC$51:$AD$52)*VLOOKUP($E142,$Z$62:$AD$65,2)+$AE$20*NMultDensity(C142:D142,$AE$24:$AE$25,$AC$51:$AD$52)*VLOOKUP($E142,$Z$62:$AD$65,3)+$AE$33*NMultDensity(C142:D142,$AE$37:$AE$38,$AC$51:$AD$52)*VLOOKUP($E142,$Z$62:$AD$65,4)</f>
        <v>7.5208616132517545E-2</v>
      </c>
      <c r="V142" s="25" cm="1">
        <f t="array" ref="V142">$AE$7*NMultDensity(C142:D142,$AE$11:$AE$12,$AC$51:$AD$52)/U142*VLOOKUP($E142,$Z$62:$AD$65,2)</f>
        <v>7.2555216977875985E-24</v>
      </c>
      <c r="W142" s="25" cm="1">
        <f t="array" ref="W142">$AE$20*NMultDensity(C142:D142,$AE$24:$AE$25,$AC$51:$AD$52)/U142*VLOOKUP($E142,$Z$62:$AD$65,3)</f>
        <v>7.3640203988072127E-5</v>
      </c>
      <c r="X142" s="43" cm="1">
        <f t="array" ref="X142">$AE$33*NMultDensity(C142:D142,$AE$37:$AE$38,$AC$51:$AD$52)/U142*VLOOKUP($E142,$Z$62:$AD$65,4)</f>
        <v>0.99992635979601208</v>
      </c>
    </row>
    <row r="143" spans="1:24" x14ac:dyDescent="0.25">
      <c r="A143" s="71">
        <v>6.9</v>
      </c>
      <c r="B143" s="25">
        <v>3.1</v>
      </c>
      <c r="C143" s="25">
        <v>5.0999999999999996</v>
      </c>
      <c r="D143" s="68">
        <v>2.2999999999999998</v>
      </c>
      <c r="E143" s="80" t="s">
        <v>39</v>
      </c>
      <c r="F143" s="81" t="s">
        <v>7</v>
      </c>
      <c r="G143" s="81">
        <f t="shared" ca="1" si="20"/>
        <v>5.080897747945964</v>
      </c>
      <c r="H143" s="60">
        <f t="shared" ca="1" si="21"/>
        <v>2.2987497006684068</v>
      </c>
      <c r="I143" s="78" t="s">
        <v>7</v>
      </c>
      <c r="J143" s="39" t="str">
        <f t="shared" si="18"/>
        <v>virginica</v>
      </c>
      <c r="K143" s="25" cm="1">
        <f t="array" ref="K143">$AE$7*NMultDensity(A143:D143,$AE$9:$AE$12,$AA$49:$AD$52)+$AE$20*NMultDensity(A143:D143,$AE$22:$AE$25,$AA$49:$AD$52)+$AE$33*NMultDensity(A143:D143,$AE$35:$AE$38,$AA$49:$AD$52)</f>
        <v>1.486235484908081E-2</v>
      </c>
      <c r="L143" s="25" cm="1">
        <f t="array" ref="L143">$AE$7*NMultDensity(A143:D143,$AE$9:$AE$12,$AA$49:$AD$52)/K143</f>
        <v>3.209650711591797E-33</v>
      </c>
      <c r="M143" s="25" cm="1">
        <f t="array" ref="M143">$AE$20*NMultDensity(A143:D143,$AE$22:$AE$25,$AA$49:$AD$52)/K143</f>
        <v>2.9712892522290985E-3</v>
      </c>
      <c r="N143" s="43" cm="1">
        <f t="array" ref="N143">$AE$33*NMultDensity(A143:D143,$AE$35:$AE$38,$AA$49:$AD$52)/K143</f>
        <v>0.99702871074777089</v>
      </c>
      <c r="O143" s="42" t="str">
        <f t="shared" si="19"/>
        <v>virginica</v>
      </c>
      <c r="P143" s="25" cm="1">
        <f t="array" ref="P143">$AE$7*NMultDensity(C143:D143,$AE$11:$AE$12,$AC$51:$AD$52)+$AE$20*NMultDensity(C143:D143,$AE$24:$AE$25,$AC$51:$AD$52)+$AE$33*NMultDensity(C143:D143,$AE$37:$AE$38,$AC$51:$AD$52)</f>
        <v>0.12627853372255213</v>
      </c>
      <c r="Q143" s="25" cm="1">
        <f t="array" ref="Q143">$AE$7*NMultDensity(C143:D143,$AE$11:$AE$12,$AC$51:$AD$52)/P143</f>
        <v>5.0079269014554659E-20</v>
      </c>
      <c r="R143" s="25" cm="1">
        <f t="array" ref="R143">$AE$20*NMultDensity(C143:D143,$AE$24:$AE$25,$AC$51:$AD$52)/P143</f>
        <v>9.3266091866326154E-4</v>
      </c>
      <c r="S143" s="43" cm="1">
        <f t="array" ref="S143">$AE$33*NMultDensity(C143:D143,$AE$37:$AE$38,$AC$51:$AD$52)/P143</f>
        <v>0.99906733908133671</v>
      </c>
      <c r="T143" s="42" t="str">
        <f t="shared" si="17"/>
        <v>virginica</v>
      </c>
      <c r="U143" s="25" cm="1">
        <f t="array" ref="U143">$AE$7*NMultDensity(C143:D143,$AE$11:$AE$12,$AC$51:$AD$52)*VLOOKUP($E143,$Z$62:$AD$65,2)+$AE$20*NMultDensity(C143:D143,$AE$24:$AE$25,$AC$51:$AD$52)*VLOOKUP($E143,$Z$62:$AD$65,3)+$AE$33*NMultDensity(C143:D143,$AE$37:$AE$38,$AC$51:$AD$52)*VLOOKUP($E143,$Z$62:$AD$65,4)</f>
        <v>4.7985842814569808E-2</v>
      </c>
      <c r="V143" s="25" cm="1">
        <f t="array" ref="V143">$AE$7*NMultDensity(C143:D143,$AE$11:$AE$12,$AC$51:$AD$52)/U143*VLOOKUP($E143,$Z$62:$AD$65,2)</f>
        <v>2.372175900689431E-20</v>
      </c>
      <c r="W143" s="25" cm="1">
        <f t="array" ref="W143">$AE$20*NMultDensity(C143:D143,$AE$24:$AE$25,$AC$51:$AD$52)/U143*VLOOKUP($E143,$Z$62:$AD$65,3)</f>
        <v>9.3266091866326143E-4</v>
      </c>
      <c r="X143" s="43" cm="1">
        <f t="array" ref="X143">$AE$33*NMultDensity(C143:D143,$AE$37:$AE$38,$AC$51:$AD$52)/U143*VLOOKUP($E143,$Z$62:$AD$65,4)</f>
        <v>0.99906733908133682</v>
      </c>
    </row>
    <row r="144" spans="1:24" x14ac:dyDescent="0.25">
      <c r="A144" s="71">
        <v>5.8</v>
      </c>
      <c r="B144" s="25">
        <v>2.7</v>
      </c>
      <c r="C144" s="25">
        <v>5.0999999999999996</v>
      </c>
      <c r="D144" s="68">
        <v>1.9</v>
      </c>
      <c r="E144" s="80" t="s">
        <v>39</v>
      </c>
      <c r="F144" s="81" t="s">
        <v>7</v>
      </c>
      <c r="G144" s="81">
        <f t="shared" ca="1" si="20"/>
        <v>5.1098967931375991</v>
      </c>
      <c r="H144" s="60">
        <f t="shared" ca="1" si="21"/>
        <v>1.9229429365676043</v>
      </c>
      <c r="I144" s="78" t="s">
        <v>7</v>
      </c>
      <c r="J144" s="39" t="str">
        <f t="shared" si="18"/>
        <v>virginica</v>
      </c>
      <c r="K144" s="25" cm="1">
        <f t="array" ref="K144">$AE$7*NMultDensity(A144:D144,$AE$9:$AE$12,$AA$49:$AD$52)+$AE$20*NMultDensity(A144:D144,$AE$22:$AE$25,$AA$49:$AD$52)+$AE$33*NMultDensity(A144:D144,$AE$35:$AE$38,$AA$49:$AD$52)</f>
        <v>0.56945734812675763</v>
      </c>
      <c r="L144" s="25" cm="1">
        <f t="array" ref="L144">$AE$7*NMultDensity(A144:D144,$AE$9:$AE$12,$AA$49:$AD$52)/K144</f>
        <v>2.4627333467148457E-38</v>
      </c>
      <c r="M144" s="25" cm="1">
        <f t="array" ref="M144">$AE$20*NMultDensity(A144:D144,$AE$22:$AE$25,$AA$49:$AD$52)/K144</f>
        <v>7.9720948106347324E-4</v>
      </c>
      <c r="N144" s="43" cm="1">
        <f t="array" ref="N144">$AE$33*NMultDensity(A144:D144,$AE$35:$AE$38,$AA$49:$AD$52)/K144</f>
        <v>0.99920279051893657</v>
      </c>
      <c r="O144" s="42" t="str">
        <f t="shared" si="19"/>
        <v>virginica</v>
      </c>
      <c r="P144" s="25" cm="1">
        <f t="array" ref="P144">$AE$7*NMultDensity(C144:D144,$AE$11:$AE$12,$AC$51:$AD$52)+$AE$20*NMultDensity(C144:D144,$AE$24:$AE$25,$AC$51:$AD$52)+$AE$33*NMultDensity(C144:D144,$AE$37:$AE$38,$AC$51:$AD$52)</f>
        <v>0.5764214840401285</v>
      </c>
      <c r="Q144" s="25" cm="1">
        <f t="array" ref="Q144">$AE$7*NMultDensity(C144:D144,$AE$11:$AE$12,$AC$51:$AD$52)/P144</f>
        <v>1.4463800850169613E-16</v>
      </c>
      <c r="R144" s="25" cm="1">
        <f t="array" ref="R144">$AE$20*NMultDensity(C144:D144,$AE$24:$AE$25,$AC$51:$AD$52)/P144</f>
        <v>3.7538154042187792E-2</v>
      </c>
      <c r="S144" s="43" cm="1">
        <f t="array" ref="S144">$AE$33*NMultDensity(C144:D144,$AE$37:$AE$38,$AC$51:$AD$52)/P144</f>
        <v>0.96246184595781215</v>
      </c>
      <c r="T144" s="42" t="str">
        <f t="shared" si="17"/>
        <v>virginica</v>
      </c>
      <c r="U144" s="25" cm="1">
        <f t="array" ref="U144">$AE$7*NMultDensity(C144:D144,$AE$11:$AE$12,$AC$51:$AD$52)*VLOOKUP($E144,$Z$62:$AD$65,2)+$AE$20*NMultDensity(C144:D144,$AE$24:$AE$25,$AC$51:$AD$52)*VLOOKUP($E144,$Z$62:$AD$65,3)+$AE$33*NMultDensity(C144:D144,$AE$37:$AE$38,$AC$51:$AD$52)*VLOOKUP($E144,$Z$62:$AD$65,4)</f>
        <v>0.21904016393524881</v>
      </c>
      <c r="V144" s="25" cm="1">
        <f t="array" ref="V144">$AE$7*NMultDensity(C144:D144,$AE$11:$AE$12,$AC$51:$AD$52)/U144*VLOOKUP($E144,$Z$62:$AD$65,2)</f>
        <v>6.8512740869224486E-17</v>
      </c>
      <c r="W144" s="25" cm="1">
        <f t="array" ref="W144">$AE$20*NMultDensity(C144:D144,$AE$24:$AE$25,$AC$51:$AD$52)/U144*VLOOKUP($E144,$Z$62:$AD$65,3)</f>
        <v>3.7538154042187799E-2</v>
      </c>
      <c r="X144" s="43" cm="1">
        <f t="array" ref="X144">$AE$33*NMultDensity(C144:D144,$AE$37:$AE$38,$AC$51:$AD$52)/U144*VLOOKUP($E144,$Z$62:$AD$65,4)</f>
        <v>0.96246184595781226</v>
      </c>
    </row>
    <row r="145" spans="1:24" x14ac:dyDescent="0.25">
      <c r="A145" s="71">
        <v>6.8</v>
      </c>
      <c r="B145" s="25">
        <v>3.2</v>
      </c>
      <c r="C145" s="25">
        <v>5.9</v>
      </c>
      <c r="D145" s="68">
        <v>2.2999999999999998</v>
      </c>
      <c r="E145" s="80" t="s">
        <v>39</v>
      </c>
      <c r="F145" s="81" t="s">
        <v>7</v>
      </c>
      <c r="G145" s="81">
        <f t="shared" ca="1" si="20"/>
        <v>5.8894656188587104</v>
      </c>
      <c r="H145" s="60">
        <f t="shared" ca="1" si="21"/>
        <v>2.2841087236413635</v>
      </c>
      <c r="I145" s="78" t="s">
        <v>7</v>
      </c>
      <c r="J145" s="39" t="str">
        <f t="shared" si="18"/>
        <v>virginica</v>
      </c>
      <c r="K145" s="25" cm="1">
        <f t="array" ref="K145">$AE$7*NMultDensity(A145:D145,$AE$9:$AE$12,$AA$49:$AD$52)+$AE$20*NMultDensity(A145:D145,$AE$22:$AE$25,$AA$49:$AD$52)+$AE$33*NMultDensity(A145:D145,$AE$35:$AE$38,$AA$49:$AD$52)</f>
        <v>0.76170232438377072</v>
      </c>
      <c r="L145" s="25" cm="1">
        <f t="array" ref="L145">$AE$7*NMultDensity(A145:D145,$AE$9:$AE$12,$AA$49:$AD$52)/K145</f>
        <v>5.8740031928799655E-43</v>
      </c>
      <c r="M145" s="25" cm="1">
        <f t="array" ref="M145">$AE$20*NMultDensity(A145:D145,$AE$22:$AE$25,$AA$49:$AD$52)/K145</f>
        <v>7.2508168474674029E-6</v>
      </c>
      <c r="N145" s="43" cm="1">
        <f t="array" ref="N145">$AE$33*NMultDensity(A145:D145,$AE$35:$AE$38,$AA$49:$AD$52)/K145</f>
        <v>0.99999274918315251</v>
      </c>
      <c r="O145" s="42" t="str">
        <f t="shared" si="19"/>
        <v>virginica</v>
      </c>
      <c r="P145" s="25" cm="1">
        <f t="array" ref="P145">$AE$7*NMultDensity(C145:D145,$AE$11:$AE$12,$AC$51:$AD$52)+$AE$20*NMultDensity(C145:D145,$AE$24:$AE$25,$AC$51:$AD$52)+$AE$33*NMultDensity(C145:D145,$AE$37:$AE$38,$AC$51:$AD$52)</f>
        <v>0.42693840741431233</v>
      </c>
      <c r="Q145" s="25" cm="1">
        <f t="array" ref="Q145">$AE$7*NMultDensity(C145:D145,$AE$11:$AE$12,$AC$51:$AD$52)/P145</f>
        <v>2.9309208165083242E-24</v>
      </c>
      <c r="R145" s="25" cm="1">
        <f t="array" ref="R145">$AE$20*NMultDensity(C145:D145,$AE$24:$AE$25,$AC$51:$AD$52)/P145</f>
        <v>7.140208157641044E-5</v>
      </c>
      <c r="S145" s="43" cm="1">
        <f t="array" ref="S145">$AE$33*NMultDensity(C145:D145,$AE$37:$AE$38,$AC$51:$AD$52)/P145</f>
        <v>0.99992859791842359</v>
      </c>
      <c r="T145" s="42" t="str">
        <f t="shared" si="17"/>
        <v>virginica</v>
      </c>
      <c r="U145" s="25" cm="1">
        <f t="array" ref="U145">$AE$7*NMultDensity(C145:D145,$AE$11:$AE$12,$AC$51:$AD$52)*VLOOKUP($E145,$Z$62:$AD$65,2)+$AE$20*NMultDensity(C145:D145,$AE$24:$AE$25,$AC$51:$AD$52)*VLOOKUP($E145,$Z$62:$AD$65,3)+$AE$33*NMultDensity(C145:D145,$AE$37:$AE$38,$AC$51:$AD$52)*VLOOKUP($E145,$Z$62:$AD$65,4)</f>
        <v>0.16223659481743868</v>
      </c>
      <c r="V145" s="25" cm="1">
        <f t="array" ref="V145">$AE$7*NMultDensity(C145:D145,$AE$11:$AE$12,$AC$51:$AD$52)/U145*VLOOKUP($E145,$Z$62:$AD$65,2)</f>
        <v>1.3883309130828904E-24</v>
      </c>
      <c r="W145" s="25" cm="1">
        <f t="array" ref="W145">$AE$20*NMultDensity(C145:D145,$AE$24:$AE$25,$AC$51:$AD$52)/U145*VLOOKUP($E145,$Z$62:$AD$65,3)</f>
        <v>7.1402081576410454E-5</v>
      </c>
      <c r="X145" s="43" cm="1">
        <f t="array" ref="X145">$AE$33*NMultDensity(C145:D145,$AE$37:$AE$38,$AC$51:$AD$52)/U145*VLOOKUP($E145,$Z$62:$AD$65,4)</f>
        <v>0.9999285979184237</v>
      </c>
    </row>
    <row r="146" spans="1:24" x14ac:dyDescent="0.25">
      <c r="A146" s="71">
        <v>6.7</v>
      </c>
      <c r="B146" s="25">
        <v>3.3</v>
      </c>
      <c r="C146" s="25">
        <v>5.7</v>
      </c>
      <c r="D146" s="68">
        <v>2.5</v>
      </c>
      <c r="E146" s="80" t="s">
        <v>39</v>
      </c>
      <c r="F146" s="81" t="s">
        <v>7</v>
      </c>
      <c r="G146" s="81">
        <f t="shared" ca="1" si="20"/>
        <v>5.6964242867246231</v>
      </c>
      <c r="H146" s="60">
        <f t="shared" ca="1" si="21"/>
        <v>2.4975542284954568</v>
      </c>
      <c r="I146" s="78" t="s">
        <v>7</v>
      </c>
      <c r="J146" s="39" t="str">
        <f t="shared" si="18"/>
        <v>virginica</v>
      </c>
      <c r="K146" s="25" cm="1">
        <f t="array" ref="K146">$AE$7*NMultDensity(A146:D146,$AE$9:$AE$12,$AA$49:$AD$52)+$AE$20*NMultDensity(A146:D146,$AE$22:$AE$25,$AA$49:$AD$52)+$AE$33*NMultDensity(A146:D146,$AE$35:$AE$38,$AA$49:$AD$52)</f>
        <v>0.17944751472275852</v>
      </c>
      <c r="L146" s="25" cm="1">
        <f t="array" ref="L146">$AE$7*NMultDensity(A146:D146,$AE$9:$AE$12,$AA$49:$AD$52)/K146</f>
        <v>6.7307651250617197E-43</v>
      </c>
      <c r="M146" s="25" cm="1">
        <f t="array" ref="M146">$AE$20*NMultDensity(A146:D146,$AE$22:$AE$25,$AA$49:$AD$52)/K146</f>
        <v>3.3082625249774143E-6</v>
      </c>
      <c r="N146" s="43" cm="1">
        <f t="array" ref="N146">$AE$33*NMultDensity(A146:D146,$AE$35:$AE$38,$AA$49:$AD$52)/K146</f>
        <v>0.99999669173747507</v>
      </c>
      <c r="O146" s="42" t="str">
        <f t="shared" si="19"/>
        <v>virginica</v>
      </c>
      <c r="P146" s="25" cm="1">
        <f t="array" ref="P146">$AE$7*NMultDensity(C146:D146,$AE$11:$AE$12,$AC$51:$AD$52)+$AE$20*NMultDensity(C146:D146,$AE$24:$AE$25,$AC$51:$AD$52)+$AE$33*NMultDensity(C146:D146,$AE$37:$AE$38,$AC$51:$AD$52)</f>
        <v>9.4962227361154894E-2</v>
      </c>
      <c r="Q146" s="25" cm="1">
        <f t="array" ref="Q146">$AE$7*NMultDensity(C146:D146,$AE$11:$AE$12,$AC$51:$AD$52)/P146</f>
        <v>6.1216029559868618E-25</v>
      </c>
      <c r="R146" s="25" cm="1">
        <f t="array" ref="R146">$AE$20*NMultDensity(C146:D146,$AE$24:$AE$25,$AC$51:$AD$52)/P146</f>
        <v>2.1006290042442065E-5</v>
      </c>
      <c r="S146" s="43" cm="1">
        <f t="array" ref="S146">$AE$33*NMultDensity(C146:D146,$AE$37:$AE$38,$AC$51:$AD$52)/P146</f>
        <v>0.99997899370995758</v>
      </c>
      <c r="T146" s="42" t="str">
        <f t="shared" si="17"/>
        <v>virginica</v>
      </c>
      <c r="U146" s="25" cm="1">
        <f t="array" ref="U146">$AE$7*NMultDensity(C146:D146,$AE$11:$AE$12,$AC$51:$AD$52)*VLOOKUP($E146,$Z$62:$AD$65,2)+$AE$20*NMultDensity(C146:D146,$AE$24:$AE$25,$AC$51:$AD$52)*VLOOKUP($E146,$Z$62:$AD$65,3)+$AE$33*NMultDensity(C146:D146,$AE$37:$AE$38,$AC$51:$AD$52)*VLOOKUP($E146,$Z$62:$AD$65,4)</f>
        <v>3.6085646397238859E-2</v>
      </c>
      <c r="V146" s="25" cm="1">
        <f t="array" ref="V146">$AE$7*NMultDensity(C146:D146,$AE$11:$AE$12,$AC$51:$AD$52)/U146*VLOOKUP($E146,$Z$62:$AD$65,2)</f>
        <v>2.8997066633621975E-25</v>
      </c>
      <c r="W146" s="25" cm="1">
        <f t="array" ref="W146">$AE$20*NMultDensity(C146:D146,$AE$24:$AE$25,$AC$51:$AD$52)/U146*VLOOKUP($E146,$Z$62:$AD$65,3)</f>
        <v>2.1006290042442065E-5</v>
      </c>
      <c r="X146" s="43" cm="1">
        <f t="array" ref="X146">$AE$33*NMultDensity(C146:D146,$AE$37:$AE$38,$AC$51:$AD$52)/U146*VLOOKUP($E146,$Z$62:$AD$65,4)</f>
        <v>0.99997899370995769</v>
      </c>
    </row>
    <row r="147" spans="1:24" x14ac:dyDescent="0.25">
      <c r="A147" s="71">
        <v>6.7</v>
      </c>
      <c r="B147" s="25">
        <v>3</v>
      </c>
      <c r="C147" s="25">
        <v>5.2</v>
      </c>
      <c r="D147" s="68">
        <v>2.2999999999999998</v>
      </c>
      <c r="E147" s="80" t="s">
        <v>39</v>
      </c>
      <c r="F147" s="81" t="s">
        <v>7</v>
      </c>
      <c r="G147" s="81">
        <f t="shared" ca="1" si="20"/>
        <v>5.2094077348868471</v>
      </c>
      <c r="H147" s="60">
        <f t="shared" ca="1" si="21"/>
        <v>2.3106135203640501</v>
      </c>
      <c r="I147" s="78" t="s">
        <v>7</v>
      </c>
      <c r="J147" s="39" t="str">
        <f t="shared" si="18"/>
        <v>virginica</v>
      </c>
      <c r="K147" s="25" cm="1">
        <f t="array" ref="K147">$AE$7*NMultDensity(A147:D147,$AE$9:$AE$12,$AA$49:$AD$52)+$AE$20*NMultDensity(A147:D147,$AE$22:$AE$25,$AA$49:$AD$52)+$AE$33*NMultDensity(A147:D147,$AE$35:$AE$38,$AA$49:$AD$52)</f>
        <v>9.3792257163863149E-2</v>
      </c>
      <c r="L147" s="25" cm="1">
        <f t="array" ref="L147">$AE$7*NMultDensity(A147:D147,$AE$9:$AE$12,$AA$49:$AD$52)/K147</f>
        <v>8.7670620559365988E-37</v>
      </c>
      <c r="M147" s="25" cm="1">
        <f t="array" ref="M147">$AE$20*NMultDensity(A147:D147,$AE$22:$AE$25,$AA$49:$AD$52)/K147</f>
        <v>4.2045368320172848E-4</v>
      </c>
      <c r="N147" s="43" cm="1">
        <f t="array" ref="N147">$AE$33*NMultDensity(A147:D147,$AE$35:$AE$38,$AA$49:$AD$52)/K147</f>
        <v>0.99957954631679824</v>
      </c>
      <c r="O147" s="42" t="str">
        <f t="shared" si="19"/>
        <v>virginica</v>
      </c>
      <c r="P147" s="25" cm="1">
        <f t="array" ref="P147">$AE$7*NMultDensity(C147:D147,$AE$11:$AE$12,$AC$51:$AD$52)+$AE$20*NMultDensity(C147:D147,$AE$24:$AE$25,$AC$51:$AD$52)+$AE$33*NMultDensity(C147:D147,$AE$37:$AE$38,$AC$51:$AD$52)</f>
        <v>0.17506607049041883</v>
      </c>
      <c r="Q147" s="25" cm="1">
        <f t="array" ref="Q147">$AE$7*NMultDensity(C147:D147,$AE$11:$AE$12,$AC$51:$AD$52)/P147</f>
        <v>1.4812923898798304E-20</v>
      </c>
      <c r="R147" s="25" cm="1">
        <f t="array" ref="R147">$AE$20*NMultDensity(C147:D147,$AE$24:$AE$25,$AC$51:$AD$52)/P147</f>
        <v>6.7652946026046845E-4</v>
      </c>
      <c r="S147" s="43" cm="1">
        <f t="array" ref="S147">$AE$33*NMultDensity(C147:D147,$AE$37:$AE$38,$AC$51:$AD$52)/P147</f>
        <v>0.99932347053973958</v>
      </c>
      <c r="T147" s="42" t="str">
        <f t="shared" si="17"/>
        <v>virginica</v>
      </c>
      <c r="U147" s="25" cm="1">
        <f t="array" ref="U147">$AE$7*NMultDensity(C147:D147,$AE$11:$AE$12,$AC$51:$AD$52)*VLOOKUP($E147,$Z$62:$AD$65,2)+$AE$20*NMultDensity(C147:D147,$AE$24:$AE$25,$AC$51:$AD$52)*VLOOKUP($E147,$Z$62:$AD$65,3)+$AE$33*NMultDensity(C147:D147,$AE$37:$AE$38,$AC$51:$AD$52)*VLOOKUP($E147,$Z$62:$AD$65,4)</f>
        <v>6.6525106786359159E-2</v>
      </c>
      <c r="V147" s="25" cm="1">
        <f t="array" ref="V147">$AE$7*NMultDensity(C147:D147,$AE$11:$AE$12,$AC$51:$AD$52)/U147*VLOOKUP($E147,$Z$62:$AD$65,2)</f>
        <v>7.0166481625886697E-21</v>
      </c>
      <c r="W147" s="25" cm="1">
        <f t="array" ref="W147">$AE$20*NMultDensity(C147:D147,$AE$24:$AE$25,$AC$51:$AD$52)/U147*VLOOKUP($E147,$Z$62:$AD$65,3)</f>
        <v>6.7652946026046845E-4</v>
      </c>
      <c r="X147" s="43" cm="1">
        <f t="array" ref="X147">$AE$33*NMultDensity(C147:D147,$AE$37:$AE$38,$AC$51:$AD$52)/U147*VLOOKUP($E147,$Z$62:$AD$65,4)</f>
        <v>0.99932347053973958</v>
      </c>
    </row>
    <row r="148" spans="1:24" x14ac:dyDescent="0.25">
      <c r="A148" s="71">
        <v>6.3</v>
      </c>
      <c r="B148" s="25">
        <v>2.5</v>
      </c>
      <c r="C148" s="25">
        <v>5</v>
      </c>
      <c r="D148" s="68">
        <v>1.9</v>
      </c>
      <c r="E148" s="80" t="s">
        <v>39</v>
      </c>
      <c r="F148" s="81" t="s">
        <v>7</v>
      </c>
      <c r="G148" s="81">
        <f t="shared" ca="1" si="20"/>
        <v>4.9836833487002083</v>
      </c>
      <c r="H148" s="60">
        <f t="shared" ca="1" si="21"/>
        <v>1.9000833390287251</v>
      </c>
      <c r="I148" s="78" t="s">
        <v>7</v>
      </c>
      <c r="J148" s="39" t="str">
        <f t="shared" si="18"/>
        <v>virginica</v>
      </c>
      <c r="K148" s="25" cm="1">
        <f t="array" ref="K148">$AE$7*NMultDensity(A148:D148,$AE$9:$AE$12,$AA$49:$AD$52)+$AE$20*NMultDensity(A148:D148,$AE$22:$AE$25,$AA$49:$AD$52)+$AE$33*NMultDensity(A148:D148,$AE$35:$AE$38,$AA$49:$AD$52)</f>
        <v>0.23071662103485921</v>
      </c>
      <c r="L148" s="25" cm="1">
        <f t="array" ref="L148">$AE$7*NMultDensity(A148:D148,$AE$9:$AE$12,$AA$49:$AD$52)/K148</f>
        <v>3.9308800385829136E-36</v>
      </c>
      <c r="M148" s="25" cm="1">
        <f t="array" ref="M148">$AE$20*NMultDensity(A148:D148,$AE$22:$AE$25,$AA$49:$AD$52)/K148</f>
        <v>5.1100387659509822E-3</v>
      </c>
      <c r="N148" s="43" cm="1">
        <f t="array" ref="N148">$AE$33*NMultDensity(A148:D148,$AE$35:$AE$38,$AA$49:$AD$52)/K148</f>
        <v>0.99488996123404905</v>
      </c>
      <c r="O148" s="42" t="str">
        <f t="shared" si="19"/>
        <v>virginica</v>
      </c>
      <c r="P148" s="25" cm="1">
        <f t="array" ref="P148">$AE$7*NMultDensity(C148:D148,$AE$11:$AE$12,$AC$51:$AD$52)+$AE$20*NMultDensity(C148:D148,$AE$24:$AE$25,$AC$51:$AD$52)+$AE$33*NMultDensity(C148:D148,$AE$37:$AE$38,$AC$51:$AD$52)</f>
        <v>0.48238853793807079</v>
      </c>
      <c r="Q148" s="25" cm="1">
        <f t="array" ref="Q148">$AE$7*NMultDensity(C148:D148,$AE$11:$AE$12,$AC$51:$AD$52)/P148</f>
        <v>4.8225485466538375E-16</v>
      </c>
      <c r="R148" s="25" cm="1">
        <f t="array" ref="R148">$AE$20*NMultDensity(C148:D148,$AE$24:$AE$25,$AC$51:$AD$52)/P148</f>
        <v>5.1037214465917975E-2</v>
      </c>
      <c r="S148" s="43" cm="1">
        <f t="array" ref="S148">$AE$33*NMultDensity(C148:D148,$AE$37:$AE$38,$AC$51:$AD$52)/P148</f>
        <v>0.94896278553408153</v>
      </c>
      <c r="T148" s="42" t="str">
        <f t="shared" si="17"/>
        <v>virginica</v>
      </c>
      <c r="U148" s="25" cm="1">
        <f t="array" ref="U148">$AE$7*NMultDensity(C148:D148,$AE$11:$AE$12,$AC$51:$AD$52)*VLOOKUP($E148,$Z$62:$AD$65,2)+$AE$20*NMultDensity(C148:D148,$AE$24:$AE$25,$AC$51:$AD$52)*VLOOKUP($E148,$Z$62:$AD$65,3)+$AE$33*NMultDensity(C148:D148,$AE$37:$AE$38,$AC$51:$AD$52)*VLOOKUP($E148,$Z$62:$AD$65,4)</f>
        <v>0.18330764441646685</v>
      </c>
      <c r="V148" s="25" cm="1">
        <f t="array" ref="V148">$AE$7*NMultDensity(C148:D148,$AE$11:$AE$12,$AC$51:$AD$52)/U148*VLOOKUP($E148,$Z$62:$AD$65,2)</f>
        <v>2.2843651010465547E-16</v>
      </c>
      <c r="W148" s="25" cm="1">
        <f t="array" ref="W148">$AE$20*NMultDensity(C148:D148,$AE$24:$AE$25,$AC$51:$AD$52)/U148*VLOOKUP($E148,$Z$62:$AD$65,3)</f>
        <v>5.1037214465917989E-2</v>
      </c>
      <c r="X148" s="43" cm="1">
        <f t="array" ref="X148">$AE$33*NMultDensity(C148:D148,$AE$37:$AE$38,$AC$51:$AD$52)/U148*VLOOKUP($E148,$Z$62:$AD$65,4)</f>
        <v>0.94896278553408175</v>
      </c>
    </row>
    <row r="149" spans="1:24" x14ac:dyDescent="0.25">
      <c r="A149" s="71">
        <v>6.5</v>
      </c>
      <c r="B149" s="25">
        <v>3</v>
      </c>
      <c r="C149" s="25">
        <v>5.2</v>
      </c>
      <c r="D149" s="68">
        <v>2</v>
      </c>
      <c r="E149" s="80" t="s">
        <v>39</v>
      </c>
      <c r="F149" s="81" t="s">
        <v>7</v>
      </c>
      <c r="G149" s="81">
        <f t="shared" ca="1" si="20"/>
        <v>5.2132151585342426</v>
      </c>
      <c r="H149" s="60">
        <f t="shared" ca="1" si="21"/>
        <v>2.0070703862546897</v>
      </c>
      <c r="I149" s="78" t="s">
        <v>7</v>
      </c>
      <c r="J149" s="39" t="str">
        <f t="shared" si="18"/>
        <v>virginica</v>
      </c>
      <c r="K149" s="25" cm="1">
        <f t="array" ref="K149">$AE$7*NMultDensity(A149:D149,$AE$9:$AE$12,$AA$49:$AD$52)+$AE$20*NMultDensity(A149:D149,$AE$22:$AE$25,$AA$49:$AD$52)+$AE$33*NMultDensity(A149:D149,$AE$35:$AE$38,$AA$49:$AD$52)</f>
        <v>0.92455612836977918</v>
      </c>
      <c r="L149" s="25" cm="1">
        <f t="array" ref="L149">$AE$7*NMultDensity(A149:D149,$AE$9:$AE$12,$AA$49:$AD$52)/K149</f>
        <v>1.344419820027825E-33</v>
      </c>
      <c r="M149" s="25" cm="1">
        <f t="array" ref="M149">$AE$20*NMultDensity(A149:D149,$AE$22:$AE$25,$AA$49:$AD$52)/K149</f>
        <v>6.3075903592885642E-3</v>
      </c>
      <c r="N149" s="43" cm="1">
        <f t="array" ref="N149">$AE$33*NMultDensity(A149:D149,$AE$35:$AE$38,$AA$49:$AD$52)/K149</f>
        <v>0.99369240964071148</v>
      </c>
      <c r="O149" s="42" t="str">
        <f t="shared" si="19"/>
        <v>virginica</v>
      </c>
      <c r="P149" s="25" cm="1">
        <f t="array" ref="P149">$AE$7*NMultDensity(C149:D149,$AE$11:$AE$12,$AC$51:$AD$52)+$AE$20*NMultDensity(C149:D149,$AE$24:$AE$25,$AC$51:$AD$52)+$AE$33*NMultDensity(C149:D149,$AE$37:$AE$38,$AC$51:$AD$52)</f>
        <v>0.64909981342133594</v>
      </c>
      <c r="Q149" s="25" cm="1">
        <f t="array" ref="Q149">$AE$7*NMultDensity(C149:D149,$AE$11:$AE$12,$AC$51:$AD$52)/P149</f>
        <v>5.9395920152417499E-18</v>
      </c>
      <c r="R149" s="25" cm="1">
        <f t="array" ref="R149">$AE$20*NMultDensity(C149:D149,$AE$24:$AE$25,$AC$51:$AD$52)/P149</f>
        <v>1.1002618303961823E-2</v>
      </c>
      <c r="S149" s="43" cm="1">
        <f t="array" ref="S149">$AE$33*NMultDensity(C149:D149,$AE$37:$AE$38,$AC$51:$AD$52)/P149</f>
        <v>0.98899738169603812</v>
      </c>
      <c r="T149" s="42" t="str">
        <f t="shared" si="17"/>
        <v>virginica</v>
      </c>
      <c r="U149" s="25" cm="1">
        <f t="array" ref="U149">$AE$7*NMultDensity(C149:D149,$AE$11:$AE$12,$AC$51:$AD$52)*VLOOKUP($E149,$Z$62:$AD$65,2)+$AE$20*NMultDensity(C149:D149,$AE$24:$AE$25,$AC$51:$AD$52)*VLOOKUP($E149,$Z$62:$AD$65,3)+$AE$33*NMultDensity(C149:D149,$AE$37:$AE$38,$AC$51:$AD$52)*VLOOKUP($E149,$Z$62:$AD$65,4)</f>
        <v>0.24665792910010764</v>
      </c>
      <c r="V149" s="25" cm="1">
        <f t="array" ref="V149">$AE$7*NMultDensity(C149:D149,$AE$11:$AE$12,$AC$51:$AD$52)/U149*VLOOKUP($E149,$Z$62:$AD$65,2)</f>
        <v>2.8134909545881973E-18</v>
      </c>
      <c r="W149" s="25" cm="1">
        <f t="array" ref="W149">$AE$20*NMultDensity(C149:D149,$AE$24:$AE$25,$AC$51:$AD$52)/U149*VLOOKUP($E149,$Z$62:$AD$65,3)</f>
        <v>1.1002618303961825E-2</v>
      </c>
      <c r="X149" s="43" cm="1">
        <f t="array" ref="X149">$AE$33*NMultDensity(C149:D149,$AE$37:$AE$38,$AC$51:$AD$52)/U149*VLOOKUP($E149,$Z$62:$AD$65,4)</f>
        <v>0.98899738169603824</v>
      </c>
    </row>
    <row r="150" spans="1:24" x14ac:dyDescent="0.25">
      <c r="A150" s="71">
        <v>6.2</v>
      </c>
      <c r="B150" s="25">
        <v>3.4</v>
      </c>
      <c r="C150" s="25">
        <v>5.4</v>
      </c>
      <c r="D150" s="68">
        <v>2.2999999999999998</v>
      </c>
      <c r="E150" s="80" t="s">
        <v>39</v>
      </c>
      <c r="F150" s="81" t="s">
        <v>7</v>
      </c>
      <c r="G150" s="81">
        <f t="shared" ca="1" si="20"/>
        <v>5.3915293682576371</v>
      </c>
      <c r="H150" s="60">
        <f t="shared" ca="1" si="21"/>
        <v>2.3247637932735761</v>
      </c>
      <c r="I150" s="78" t="s">
        <v>7</v>
      </c>
      <c r="J150" s="39" t="str">
        <f t="shared" si="18"/>
        <v>virginica</v>
      </c>
      <c r="K150" s="25" cm="1">
        <f t="array" ref="K150">$AE$7*NMultDensity(A150:D150,$AE$9:$AE$12,$AA$49:$AD$52)+$AE$20*NMultDensity(A150:D150,$AE$22:$AE$25,$AA$49:$AD$52)+$AE$33*NMultDensity(A150:D150,$AE$35:$AE$38,$AA$49:$AD$52)</f>
        <v>0.16978253196638696</v>
      </c>
      <c r="L150" s="25" cm="1">
        <f t="array" ref="L150">$AE$7*NMultDensity(A150:D150,$AE$9:$AE$12,$AA$49:$AD$52)/K150</f>
        <v>3.9402332201799864E-38</v>
      </c>
      <c r="M150" s="25" cm="1">
        <f t="array" ref="M150">$AE$20*NMultDensity(A150:D150,$AE$22:$AE$25,$AA$49:$AD$52)/K150</f>
        <v>7.1298647006725154E-5</v>
      </c>
      <c r="N150" s="43" cm="1">
        <f t="array" ref="N150">$AE$33*NMultDensity(A150:D150,$AE$35:$AE$38,$AA$49:$AD$52)/K150</f>
        <v>0.99992870135299328</v>
      </c>
      <c r="O150" s="42" t="str">
        <f t="shared" si="19"/>
        <v>virginica</v>
      </c>
      <c r="P150" s="25" cm="1">
        <f t="array" ref="P150">$AE$7*NMultDensity(C150:D150,$AE$11:$AE$12,$AC$51:$AD$52)+$AE$20*NMultDensity(C150:D150,$AE$24:$AE$25,$AC$51:$AD$52)+$AE$33*NMultDensity(C150:D150,$AE$37:$AE$38,$AC$51:$AD$52)</f>
        <v>0.28976927407711056</v>
      </c>
      <c r="Q150" s="25" cm="1">
        <f t="array" ref="Q150">$AE$7*NMultDensity(C150:D150,$AE$11:$AE$12,$AC$51:$AD$52)/P150</f>
        <v>1.2957555565024487E-21</v>
      </c>
      <c r="R150" s="25" cm="1">
        <f t="array" ref="R150">$AE$20*NMultDensity(C150:D150,$AE$24:$AE$25,$AC$51:$AD$52)/P150</f>
        <v>3.5590103322651132E-4</v>
      </c>
      <c r="S150" s="43" cm="1">
        <f t="array" ref="S150">$AE$33*NMultDensity(C150:D150,$AE$37:$AE$38,$AC$51:$AD$52)/P150</f>
        <v>0.99964409896677353</v>
      </c>
      <c r="T150" s="42" t="str">
        <f t="shared" si="17"/>
        <v>virginica</v>
      </c>
      <c r="U150" s="25" cm="1">
        <f t="array" ref="U150">$AE$7*NMultDensity(C150:D150,$AE$11:$AE$12,$AC$51:$AD$52)*VLOOKUP($E150,$Z$62:$AD$65,2)+$AE$20*NMultDensity(C150:D150,$AE$24:$AE$25,$AC$51:$AD$52)*VLOOKUP($E150,$Z$62:$AD$65,3)+$AE$33*NMultDensity(C150:D150,$AE$37:$AE$38,$AC$51:$AD$52)*VLOOKUP($E150,$Z$62:$AD$65,4)</f>
        <v>0.11011232414930203</v>
      </c>
      <c r="V150" s="25" cm="1">
        <f t="array" ref="V150">$AE$7*NMultDensity(C150:D150,$AE$11:$AE$12,$AC$51:$AD$52)/U150*VLOOKUP($E150,$Z$62:$AD$65,2)</f>
        <v>6.1377894781694931E-22</v>
      </c>
      <c r="W150" s="25" cm="1">
        <f t="array" ref="W150">$AE$20*NMultDensity(C150:D150,$AE$24:$AE$25,$AC$51:$AD$52)/U150*VLOOKUP($E150,$Z$62:$AD$65,3)</f>
        <v>3.5590103322651127E-4</v>
      </c>
      <c r="X150" s="43" cm="1">
        <f t="array" ref="X150">$AE$33*NMultDensity(C150:D150,$AE$37:$AE$38,$AC$51:$AD$52)/U150*VLOOKUP($E150,$Z$62:$AD$65,4)</f>
        <v>0.99964409896677342</v>
      </c>
    </row>
    <row r="151" spans="1:24" ht="15.75" thickBot="1" x14ac:dyDescent="0.3">
      <c r="A151" s="73">
        <v>5.9</v>
      </c>
      <c r="B151" s="72">
        <v>3</v>
      </c>
      <c r="C151" s="72">
        <v>5.0999999999999996</v>
      </c>
      <c r="D151" s="74">
        <v>1.8</v>
      </c>
      <c r="E151" s="66" t="s">
        <v>41</v>
      </c>
      <c r="F151" s="67" t="s">
        <v>7</v>
      </c>
      <c r="G151" s="67">
        <f t="shared" ca="1" si="20"/>
        <v>5.0921662604257536</v>
      </c>
      <c r="H151" s="61">
        <f t="shared" ca="1" si="21"/>
        <v>1.8186310558136922</v>
      </c>
      <c r="I151" s="79" t="s">
        <v>7</v>
      </c>
      <c r="J151" s="45" t="str">
        <f t="shared" si="18"/>
        <v>virginica</v>
      </c>
      <c r="K151" s="72" cm="1">
        <f t="array" ref="K151">$AE$7*NMultDensity(A151:D151,$AE$9:$AE$12,$AA$49:$AD$52)+$AE$20*NMultDensity(A151:D151,$AE$22:$AE$25,$AA$49:$AD$52)+$AE$33*NMultDensity(A151:D151,$AE$35:$AE$38,$AA$49:$AD$52)</f>
        <v>0.3247761341021374</v>
      </c>
      <c r="L151" s="72" cm="1">
        <f t="array" ref="L151">$AE$7*NMultDensity(A151:D151,$AE$9:$AE$12,$AA$49:$AD$52)/K151</f>
        <v>4.6425529555274783E-33</v>
      </c>
      <c r="M151" s="72" cm="1">
        <f t="array" ref="M151">$AE$20*NMultDensity(A151:D151,$AE$22:$AE$25,$AA$49:$AD$52)/K151</f>
        <v>1.3209332204708546E-2</v>
      </c>
      <c r="N151" s="46" cm="1">
        <f t="array" ref="N151">$AE$33*NMultDensity(A151:D151,$AE$35:$AE$38,$AA$49:$AD$52)/K151</f>
        <v>0.98679066779529145</v>
      </c>
      <c r="O151" s="44" t="str">
        <f t="shared" si="19"/>
        <v>virginica</v>
      </c>
      <c r="P151" s="72" cm="1">
        <f t="array" ref="P151">$AE$7*NMultDensity(C151:D151,$AE$11:$AE$12,$AC$51:$AD$52)+$AE$20*NMultDensity(C151:D151,$AE$24:$AE$25,$AC$51:$AD$52)+$AE$33*NMultDensity(C151:D151,$AE$37:$AE$38,$AC$51:$AD$52)</f>
        <v>0.51142094400752325</v>
      </c>
      <c r="Q151" s="72" cm="1">
        <f t="array" ref="Q151">$AE$7*NMultDensity(C151:D151,$AE$11:$AE$12,$AC$51:$AD$52)/P151</f>
        <v>1.0116902241012557E-15</v>
      </c>
      <c r="R151" s="72" cm="1">
        <f t="array" ref="R151">$AE$20*NMultDensity(C151:D151,$AE$24:$AE$25,$AC$51:$AD$52)/P151</f>
        <v>9.0213016000931207E-2</v>
      </c>
      <c r="S151" s="46" cm="1">
        <f t="array" ref="S151">$AE$33*NMultDensity(C151:D151,$AE$37:$AE$38,$AC$51:$AD$52)/P151</f>
        <v>0.90978698399906777</v>
      </c>
      <c r="T151" s="44" t="str">
        <f t="shared" si="17"/>
        <v>versicolor</v>
      </c>
      <c r="U151" s="25" cm="1">
        <f t="array" ref="U151">$AE$7*NMultDensity(C151:D151,$AE$11:$AE$12,$AC$51:$AD$52)*VLOOKUP($E151,$Z$62:$AD$65,2)+$AE$20*NMultDensity(C151:D151,$AE$24:$AE$25,$AC$51:$AD$52)*VLOOKUP($E151,$Z$62:$AD$65,3)+$AE$33*NMultDensity(C151:D151,$AE$37:$AE$38,$AC$51:$AD$52)*VLOOKUP($E151,$Z$62:$AD$65,4)</f>
        <v>2.1301257073341448E-2</v>
      </c>
      <c r="V151" s="25" cm="1">
        <f t="array" ref="V151">$AE$7*NMultDensity(C151:D151,$AE$11:$AE$12,$AC$51:$AD$52)/U151*VLOOKUP($E151,$Z$62:$AD$65,2)</f>
        <v>4.8579252170105332E-15</v>
      </c>
      <c r="W151" s="25" cm="1">
        <f t="array" ref="W151">$AE$20*NMultDensity(C151:D151,$AE$24:$AE$25,$AC$51:$AD$52)/U151*VLOOKUP($E151,$Z$62:$AD$65,3)</f>
        <v>0.56313928647444045</v>
      </c>
      <c r="X151" s="43" cm="1">
        <f t="array" ref="X151">$AE$33*NMultDensity(C151:D151,$AE$37:$AE$38,$AC$51:$AD$52)/U151*VLOOKUP($E151,$Z$62:$AD$65,4)</f>
        <v>0.43686071352555467</v>
      </c>
    </row>
  </sheetData>
  <mergeCells count="12">
    <mergeCell ref="AC7:AD7"/>
    <mergeCell ref="AC20:AD20"/>
    <mergeCell ref="Z20:AB20"/>
    <mergeCell ref="AC47:AD47"/>
    <mergeCell ref="Z47:AB47"/>
    <mergeCell ref="Z33:AB33"/>
    <mergeCell ref="AC33:AD33"/>
    <mergeCell ref="Z2:AB2"/>
    <mergeCell ref="Z3:AA3"/>
    <mergeCell ref="Z4:AA4"/>
    <mergeCell ref="Z5:AA5"/>
    <mergeCell ref="Z7:AB7"/>
  </mergeCells>
  <conditionalFormatting sqref="Z63">
    <cfRule type="colorScale" priority="6">
      <colorScale>
        <cfvo type="min"/>
        <cfvo type="max"/>
        <color rgb="FFFF7128"/>
        <color rgb="FFFFEF9C"/>
      </colorScale>
    </cfRule>
  </conditionalFormatting>
  <conditionalFormatting sqref="AF66:EA105">
    <cfRule type="expression" dxfId="21" priority="26">
      <formula>($AE$20*N2Density(AF$1,$AD66,$AC$26:$AD$26,$AC$24:$AD$25)&gt;=MAX($AE$7*N2Density(AF$1,$AD66,$AC$13:$AD$13,$AC$11:$AD$12),AF$32*N2Density(AF$1,$AD66,$AC$39:$AD$39,$AC$37:$AD$38)))</formula>
    </cfRule>
    <cfRule type="expression" dxfId="20" priority="27">
      <formula>($AE$7*N2Density(AF$1,$AD66,$AC$13:$AD$13,$AC$11:$AD$12)&gt;=MAX($AE$20*N2Density(AF$1,$AD66,$AC$26:$AD$26,$AC$24:$AD$25),$AE$33*N2Density(AF$1,$AD66,$AC$39:$AD$39,$AC$37:$AD$38)))</formula>
    </cfRule>
  </conditionalFormatting>
  <conditionalFormatting sqref="AE66:AE105">
    <cfRule type="expression" dxfId="19" priority="28">
      <formula>($AE$20*N2Density(AE$1,$AD66,$AC$26:$AD$26,$AC$24:$AD$25)&gt;=MAX($AE$7*N2Density(AE$1,$AD66,$AC$13:$AD$13,$AC$11:$AD$12),AE$33*N2Density(AE$1,$AD66,$AC$39:$AD$39,$AC$37:$AD$38)))</formula>
    </cfRule>
    <cfRule type="expression" dxfId="18" priority="29">
      <formula>($AE$7*N2Density(AE$1,$AD66,$AC$13:$AD$13,$AC$11:$AD$12)&gt;=MAX($AE$20*N2Density(AE$1,$AD66,$AC$26:$AD$26,$AC$24:$AD$25),$AE$33*N2Density(AE$1,$AD66,$AC$39:$AD$39,$AC$37:$AD$38)))</formula>
    </cfRule>
  </conditionalFormatting>
  <conditionalFormatting sqref="AF64:EA64">
    <cfRule type="expression" dxfId="17" priority="32">
      <formula>($AE$20*N2Density(AF$1,#REF!,$AC$26:$AD$26,$AC$24:$AD$25)&gt;=MAX($AE$7*N2Density(AF$1,#REF!,$AC$13:$AD$13,$AC$11:$AD$12),AF$32*N2Density(AF$1,#REF!,$AC$39:$AD$39,$AC$37:$AD$38)))</formula>
    </cfRule>
    <cfRule type="expression" dxfId="16" priority="33">
      <formula>($AE$7*N2Density(AF$1,#REF!,$AC$13:$AD$13,$AC$11:$AD$12)&gt;=MAX($AE$20*N2Density(AF$1,#REF!,$AC$26:$AD$26,$AC$24:$AD$25),$AE$33*N2Density(AF$1,#REF!,$AC$39:$AD$39,$AC$37:$AD$38)))</formula>
    </cfRule>
  </conditionalFormatting>
  <conditionalFormatting sqref="AF2:EA50">
    <cfRule type="expression" dxfId="15" priority="36">
      <formula>($AE$20*N2Density(AF$1,#REF!,$AC$26:$AD$26,$AC$24:$AD$25)&gt;=MAX($AE$7*N2Density(AF$1,#REF!,$AC$13:$AD$13,$AC$11:$AD$12),#REF!*N2Density(AF$1,#REF!,$AC$39:$AD$39,$AC$37:$AD$38)))</formula>
    </cfRule>
    <cfRule type="expression" dxfId="14" priority="37">
      <formula>($AE$7*N2Density(AF$1,#REF!,$AC$13:$AD$13,$AC$11:$AD$12)&gt;=MAX($AE$20*N2Density(AF$1,#REF!,$AC$26:$AD$26,$AC$24:$AD$25),$AE$33*N2Density(AF$1,#REF!,$AC$39:$AD$39,$AC$37:$AD$38)))</formula>
    </cfRule>
  </conditionalFormatting>
  <conditionalFormatting sqref="AF65:EA65">
    <cfRule type="expression" dxfId="7" priority="40">
      <formula>($AE$20*N2Density(AF$1,#REF!,$AC$26:$AD$26,$AC$24:$AD$25)&gt;=MAX($AE$7*N2Density(AF$1,#REF!,$AC$13:$AD$13,$AC$11:$AD$12),AF$32*N2Density(AF$1,#REF!,$AC$39:$AD$39,$AC$37:$AD$38)))</formula>
    </cfRule>
    <cfRule type="expression" dxfId="6" priority="41">
      <formula>($AE$7*N2Density(AF$1,#REF!,$AC$13:$AD$13,$AC$11:$AD$12)&gt;=MAX($AE$20*N2Density(AF$1,#REF!,$AC$26:$AD$26,$AC$24:$AD$25),$AE$33*N2Density(AF$1,#REF!,$AC$39:$AD$39,$AC$37:$AD$38)))</formula>
    </cfRule>
  </conditionalFormatting>
  <conditionalFormatting sqref="AE52:AE64">
    <cfRule type="expression" dxfId="5" priority="44">
      <formula>($AE$20*N2Density(AE$1,$AD53,$AC$26:$AD$26,$AC$24:$AD$25)&gt;=MAX($AE$7*N2Density(AE$1,$AD53,$AC$13:$AD$13,$AC$11:$AD$12),AE$33*N2Density(AE$1,$AD53,$AC$39:$AD$39,$AC$37:$AD$38)))</formula>
    </cfRule>
    <cfRule type="expression" dxfId="4" priority="45">
      <formula>($AE$7*N2Density(AE$1,$AD53,$AC$13:$AD$13,$AC$11:$AD$12)&gt;=MAX($AE$20*N2Density(AE$1,$AD53,$AC$26:$AD$26,$AC$24:$AD$25),$AE$33*N2Density(AE$1,$AD53,$AC$39:$AD$39,$AC$37:$AD$38)))</formula>
    </cfRule>
  </conditionalFormatting>
  <conditionalFormatting sqref="AE65">
    <cfRule type="expression" dxfId="3" priority="46">
      <formula>($AE$20*N2Density(AE$1,#REF!,$AC$26:$AD$26,$AC$24:$AD$25)&gt;=MAX($AE$7*N2Density(AE$1,#REF!,$AC$13:$AD$13,$AC$11:$AD$12),AE$33*N2Density(AE$1,#REF!,$AC$39:$AD$39,$AC$37:$AD$38)))</formula>
    </cfRule>
    <cfRule type="expression" dxfId="2" priority="47">
      <formula>($AE$7*N2Density(AE$1,#REF!,$AC$13:$AD$13,$AC$11:$AD$12)&gt;=MAX($AE$20*N2Density(AE$1,#REF!,$AC$26:$AD$26,$AC$24:$AD$25),$AE$33*N2Density(AE$1,#REF!,$AC$39:$AD$39,$AC$37:$AD$38)))</formula>
    </cfRule>
  </conditionalFormatting>
  <conditionalFormatting sqref="AF51:EA63">
    <cfRule type="expression" dxfId="1" priority="50">
      <formula>($AE$20*N2Density(AF$1,$AD53,$AC$26:$AD$26,$AC$24:$AD$25)&gt;=MAX($AE$7*N2Density(AF$1,$AD53,$AC$13:$AD$13,$AC$11:$AD$12),AF$32*N2Density(AF$1,$AD53,$AC$39:$AD$39,$AC$37:$AD$38)))</formula>
    </cfRule>
    <cfRule type="expression" dxfId="0" priority="51">
      <formula>($AE$7*N2Density(AF$1,$AD53,$AC$13:$AD$13,$AC$11:$AD$12)&gt;=MAX($AE$20*N2Density(AF$1,$AD53,$AC$26:$AD$26,$AC$24:$AD$25),$AE$33*N2Density(AF$1,$AD53,$AC$39:$AD$39,$AC$37:$AD$38)))</formula>
    </cfRule>
  </conditionalFormatting>
  <pageMargins left="0.7" right="0.7" top="0.75" bottom="0.75" header="0.3" footer="0.3"/>
  <pageSetup paperSize="9" orientation="portrait" horizontalDpi="360" verticalDpi="36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23" operator="notContains" id="{D91320F6-6178-4B38-A22C-6A3A400267CA}">
            <xm:f>ISERROR(SEARCH($I$102,J102))</xm:f>
            <xm:f>$I$102</xm:f>
            <x14:dxf>
              <fill>
                <patternFill>
                  <bgColor rgb="FFFF5050"/>
                </patternFill>
              </fill>
            </x14:dxf>
          </x14:cfRule>
          <xm:sqref>J102:J151 O102:O151</xm:sqref>
        </x14:conditionalFormatting>
        <x14:conditionalFormatting xmlns:xm="http://schemas.microsoft.com/office/excel/2006/main">
          <x14:cfRule type="notContainsText" priority="24" operator="notContains" id="{6F15FF8F-6440-4CF8-BBDE-16E9CA90F578}">
            <xm:f>ISERROR(SEARCH($I$2,J2))</xm:f>
            <xm:f>$I$2</xm:f>
            <x14:dxf>
              <fill>
                <patternFill patternType="solid">
                  <fgColor auto="1"/>
                  <bgColor rgb="FFFF5050"/>
                </patternFill>
              </fill>
            </x14:dxf>
          </x14:cfRule>
          <xm:sqref>J2:J51 O2:O51</xm:sqref>
        </x14:conditionalFormatting>
        <x14:conditionalFormatting xmlns:xm="http://schemas.microsoft.com/office/excel/2006/main">
          <x14:cfRule type="notContainsText" priority="25" operator="notContains" id="{F4963704-DCC3-43F1-BC65-CF9CCDFB7CD3}">
            <xm:f>ISERROR(SEARCH($I$52,J52))</xm:f>
            <xm:f>$I$52</xm:f>
            <x14:dxf>
              <fill>
                <patternFill>
                  <bgColor rgb="FFFF5050"/>
                </patternFill>
              </fill>
            </x14:dxf>
          </x14:cfRule>
          <xm:sqref>J52:J101 O52:O101</xm:sqref>
        </x14:conditionalFormatting>
        <x14:conditionalFormatting xmlns:xm="http://schemas.microsoft.com/office/excel/2006/main">
          <x14:cfRule type="notContainsText" priority="4" operator="notContains" id="{56C5B12A-8052-468F-9480-7562BF700C47}">
            <xm:f>ISERROR(SEARCH($I$2,T2))</xm:f>
            <xm:f>$I$2</xm:f>
            <x14:dxf>
              <fill>
                <patternFill patternType="solid">
                  <fgColor auto="1"/>
                  <bgColor rgb="FFFF5050"/>
                </patternFill>
              </fill>
            </x14:dxf>
          </x14:cfRule>
          <xm:sqref>T2:T51</xm:sqref>
        </x14:conditionalFormatting>
        <x14:conditionalFormatting xmlns:xm="http://schemas.microsoft.com/office/excel/2006/main">
          <x14:cfRule type="notContainsText" priority="2" operator="notContains" id="{FAF63786-6B14-440A-B24A-61FE0D6D3701}">
            <xm:f>ISERROR(SEARCH($I$52,T52))</xm:f>
            <xm:f>$I$52</xm:f>
            <x14:dxf>
              <fill>
                <patternFill>
                  <bgColor rgb="FFFF5050"/>
                </patternFill>
              </fill>
            </x14:dxf>
          </x14:cfRule>
          <xm:sqref>T52:T101</xm:sqref>
        </x14:conditionalFormatting>
        <x14:conditionalFormatting xmlns:xm="http://schemas.microsoft.com/office/excel/2006/main">
          <x14:cfRule type="notContainsText" priority="1" operator="notContains" id="{9C9D7486-00B7-4D63-A8EE-4BC5CD2168A0}">
            <xm:f>ISERROR(SEARCH($I$102,T102))</xm:f>
            <xm:f>$I$102</xm:f>
            <x14:dxf>
              <fill>
                <patternFill>
                  <bgColor rgb="FFFF5050"/>
                </patternFill>
              </fill>
            </x14:dxf>
          </x14:cfRule>
          <xm:sqref>T102:T151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QDA</vt:lpstr>
      <vt:lpstr>LDA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2020-05-23T12:32:56Z</dcterms:created>
  <dcterms:modified xsi:type="dcterms:W3CDTF">2020-06-28T17:52:08Z</dcterms:modified>
</cp:coreProperties>
</file>