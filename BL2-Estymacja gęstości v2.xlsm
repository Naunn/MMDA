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tudia\IV semestr\Matematyczne metody analizy danych\Moje\"/>
    </mc:Choice>
  </mc:AlternateContent>
  <xr:revisionPtr revIDLastSave="0" documentId="13_ncr:1_{87557E8B-9BD4-40DC-95F0-9074F92AA9D2}" xr6:coauthVersionLast="45" xr6:coauthVersionMax="45" xr10:uidLastSave="{00000000-0000-0000-0000-000000000000}"/>
  <bookViews>
    <workbookView xWindow="-120" yWindow="-120" windowWidth="29040" windowHeight="15840" activeTab="5" xr2:uid="{ED840C5A-F737-439F-A77C-6E84444AAC91}"/>
  </bookViews>
  <sheets>
    <sheet name="irysy" sheetId="2" r:id="rId1"/>
    <sheet name="irysy_wykresnorm" sheetId="3" r:id="rId2"/>
    <sheet name="irysy_estymacjagęstości" sheetId="1" r:id="rId3"/>
    <sheet name="versicolor" sheetId="4" r:id="rId4"/>
    <sheet name="versicolor_estymacjanorm" sheetId="5" r:id="rId5"/>
    <sheet name="versicolor_estymacjagęstości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" l="1"/>
  <c r="S3" i="2"/>
  <c r="R3" i="2"/>
  <c r="Q3" i="2"/>
  <c r="O3" i="2"/>
  <c r="P3" i="1" a="1"/>
  <c r="N3" i="1" a="1"/>
  <c r="M3" i="1" a="1"/>
  <c r="P3" i="2" a="1"/>
  <c r="P3" i="1" l="1"/>
  <c r="N3" i="1"/>
  <c r="M3" i="1"/>
  <c r="P3" i="2"/>
  <c r="M2" i="1"/>
  <c r="K9" i="1"/>
  <c r="X4" i="2" a="1"/>
  <c r="X8" i="2" a="1"/>
  <c r="X12" i="2" a="1"/>
  <c r="X16" i="2" a="1"/>
  <c r="X24" i="2" a="1"/>
  <c r="X28" i="2" a="1"/>
  <c r="X9" i="2" a="1"/>
  <c r="X13" i="2" a="1"/>
  <c r="X21" i="2" a="1"/>
  <c r="X29" i="2" a="1"/>
  <c r="X19" i="2" a="1"/>
  <c r="X5" i="2" a="1"/>
  <c r="X17" i="2" a="1"/>
  <c r="X25" i="2" a="1"/>
  <c r="X27" i="2" a="1"/>
  <c r="X32" i="2" a="1"/>
  <c r="X10" i="2" a="1"/>
  <c r="X14" i="2" a="1"/>
  <c r="X22" i="2" a="1"/>
  <c r="X30" i="2" a="1"/>
  <c r="X23" i="2" a="1"/>
  <c r="X6" i="2" a="1"/>
  <c r="X18" i="2" a="1"/>
  <c r="X26" i="2" a="1"/>
  <c r="X11" i="2" a="1"/>
  <c r="X31" i="2" a="1"/>
  <c r="X7" i="2" a="1"/>
  <c r="X15" i="2" a="1"/>
  <c r="X20" i="2" a="1"/>
  <c r="X3" i="2" a="1"/>
  <c r="X20" i="2" l="1"/>
  <c r="X15" i="2"/>
  <c r="X7" i="2"/>
  <c r="X31" i="2"/>
  <c r="X11" i="2"/>
  <c r="X26" i="2"/>
  <c r="X18" i="2"/>
  <c r="X6" i="2"/>
  <c r="X23" i="2"/>
  <c r="X30" i="2"/>
  <c r="X22" i="2"/>
  <c r="X14" i="2"/>
  <c r="X10" i="2"/>
  <c r="X32" i="2"/>
  <c r="X27" i="2"/>
  <c r="X25" i="2"/>
  <c r="X17" i="2"/>
  <c r="X5" i="2"/>
  <c r="X19" i="2"/>
  <c r="X29" i="2"/>
  <c r="X21" i="2"/>
  <c r="X13" i="2"/>
  <c r="X9" i="2"/>
  <c r="X28" i="2"/>
  <c r="X24" i="2"/>
  <c r="X16" i="2"/>
  <c r="X12" i="2"/>
  <c r="X8" i="2"/>
  <c r="X4" i="2"/>
  <c r="X3" i="2"/>
  <c r="S2" i="4"/>
  <c r="Q3" i="4"/>
  <c r="Q2" i="4"/>
  <c r="S10" i="4"/>
  <c r="R3" i="4"/>
  <c r="M2" i="4"/>
  <c r="O2" i="4"/>
  <c r="K4" i="1"/>
  <c r="H9" i="4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M2" i="6"/>
  <c r="K5" i="6"/>
  <c r="K6" i="6" s="1"/>
  <c r="K7" i="6" s="1"/>
  <c r="K8" i="6" s="1"/>
  <c r="K9" i="6" s="1"/>
  <c r="K10" i="6" s="1"/>
  <c r="K11" i="6" s="1"/>
  <c r="K12" i="6" s="1"/>
  <c r="K13" i="6" s="1"/>
  <c r="K14" i="6" s="1"/>
  <c r="K15" i="6" s="1"/>
  <c r="K16" i="6" s="1"/>
  <c r="K17" i="6" s="1"/>
  <c r="K18" i="6" s="1"/>
  <c r="K19" i="6" s="1"/>
  <c r="K20" i="6" s="1"/>
  <c r="K21" i="6" s="1"/>
  <c r="K22" i="6" s="1"/>
  <c r="K23" i="6" s="1"/>
  <c r="K24" i="6" s="1"/>
  <c r="K25" i="6" s="1"/>
  <c r="K26" i="6" s="1"/>
  <c r="K27" i="6" s="1"/>
  <c r="K28" i="6" s="1"/>
  <c r="K29" i="6" s="1"/>
  <c r="K30" i="6" s="1"/>
  <c r="K31" i="6" s="1"/>
  <c r="K32" i="6" s="1"/>
  <c r="K33" i="6" s="1"/>
  <c r="K34" i="6" s="1"/>
  <c r="K35" i="6" s="1"/>
  <c r="K36" i="6" s="1"/>
  <c r="K37" i="6" s="1"/>
  <c r="K38" i="6" s="1"/>
  <c r="K39" i="6" s="1"/>
  <c r="K40" i="6" s="1"/>
  <c r="K41" i="6" s="1"/>
  <c r="K42" i="6" s="1"/>
  <c r="K43" i="6" s="1"/>
  <c r="K44" i="6" s="1"/>
  <c r="K45" i="6" s="1"/>
  <c r="K46" i="6" s="1"/>
  <c r="K47" i="6" s="1"/>
  <c r="K48" i="6" s="1"/>
  <c r="K49" i="6" s="1"/>
  <c r="K50" i="6" s="1"/>
  <c r="K51" i="6" s="1"/>
  <c r="K52" i="6" s="1"/>
  <c r="K53" i="6" s="1"/>
  <c r="K54" i="6" s="1"/>
  <c r="K55" i="6" s="1"/>
  <c r="K56" i="6" s="1"/>
  <c r="K57" i="6" s="1"/>
  <c r="K58" i="6" s="1"/>
  <c r="K59" i="6" s="1"/>
  <c r="K60" i="6" s="1"/>
  <c r="K61" i="6" s="1"/>
  <c r="K62" i="6" s="1"/>
  <c r="K63" i="6" s="1"/>
  <c r="K64" i="6" s="1"/>
  <c r="K65" i="6" s="1"/>
  <c r="K66" i="6" s="1"/>
  <c r="K67" i="6" s="1"/>
  <c r="K68" i="6" s="1"/>
  <c r="K69" i="6" s="1"/>
  <c r="K70" i="6" s="1"/>
  <c r="K71" i="6" s="1"/>
  <c r="K72" i="6" s="1"/>
  <c r="K73" i="6" s="1"/>
  <c r="K74" i="6" s="1"/>
  <c r="K75" i="6" s="1"/>
  <c r="K76" i="6" s="1"/>
  <c r="K77" i="6" s="1"/>
  <c r="K78" i="6" s="1"/>
  <c r="K79" i="6" s="1"/>
  <c r="K80" i="6" s="1"/>
  <c r="K81" i="6" s="1"/>
  <c r="K82" i="6" s="1"/>
  <c r="K83" i="6" s="1"/>
  <c r="K84" i="6" s="1"/>
  <c r="K85" i="6" s="1"/>
  <c r="K86" i="6" s="1"/>
  <c r="K87" i="6" s="1"/>
  <c r="K88" i="6" s="1"/>
  <c r="K89" i="6" s="1"/>
  <c r="K90" i="6" s="1"/>
  <c r="K91" i="6" s="1"/>
  <c r="K92" i="6" s="1"/>
  <c r="K93" i="6" s="1"/>
  <c r="K94" i="6" s="1"/>
  <c r="K95" i="6" s="1"/>
  <c r="K96" i="6" s="1"/>
  <c r="K97" i="6" s="1"/>
  <c r="K98" i="6" s="1"/>
  <c r="K99" i="6" s="1"/>
  <c r="K100" i="6" s="1"/>
  <c r="K101" i="6" s="1"/>
  <c r="K102" i="6" s="1"/>
  <c r="K103" i="6" s="1"/>
  <c r="K104" i="6" s="1"/>
  <c r="K105" i="6" s="1"/>
  <c r="K106" i="6" s="1"/>
  <c r="K107" i="6" s="1"/>
  <c r="K108" i="6" s="1"/>
  <c r="K109" i="6" s="1"/>
  <c r="K110" i="6" s="1"/>
  <c r="K111" i="6" s="1"/>
  <c r="K112" i="6" s="1"/>
  <c r="K113" i="6" s="1"/>
  <c r="K114" i="6" s="1"/>
  <c r="K115" i="6" s="1"/>
  <c r="K116" i="6" s="1"/>
  <c r="K117" i="6" s="1"/>
  <c r="K118" i="6" s="1"/>
  <c r="K119" i="6" s="1"/>
  <c r="K120" i="6" s="1"/>
  <c r="K121" i="6" s="1"/>
  <c r="K122" i="6" s="1"/>
  <c r="K123" i="6" s="1"/>
  <c r="K124" i="6" s="1"/>
  <c r="K125" i="6" s="1"/>
  <c r="K126" i="6" s="1"/>
  <c r="K127" i="6" s="1"/>
  <c r="K128" i="6" s="1"/>
  <c r="K129" i="6" s="1"/>
  <c r="K130" i="6" s="1"/>
  <c r="K131" i="6" s="1"/>
  <c r="K132" i="6" s="1"/>
  <c r="K133" i="6" s="1"/>
  <c r="K134" i="6" s="1"/>
  <c r="K135" i="6" s="1"/>
  <c r="K136" i="6" s="1"/>
  <c r="K137" i="6" s="1"/>
  <c r="K138" i="6" s="1"/>
  <c r="K139" i="6" s="1"/>
  <c r="K140" i="6" s="1"/>
  <c r="K141" i="6" s="1"/>
  <c r="K142" i="6" s="1"/>
  <c r="K143" i="6" s="1"/>
  <c r="K144" i="6" s="1"/>
  <c r="K145" i="6" s="1"/>
  <c r="K146" i="6" s="1"/>
  <c r="K147" i="6" s="1"/>
  <c r="K148" i="6" s="1"/>
  <c r="K149" i="6" s="1"/>
  <c r="K150" i="6" s="1"/>
  <c r="K151" i="6" s="1"/>
  <c r="K152" i="6" s="1"/>
  <c r="K153" i="6" s="1"/>
  <c r="K154" i="6" s="1"/>
  <c r="K155" i="6" s="1"/>
  <c r="K156" i="6" s="1"/>
  <c r="K157" i="6" s="1"/>
  <c r="K158" i="6" s="1"/>
  <c r="K159" i="6" s="1"/>
  <c r="K160" i="6" s="1"/>
  <c r="K161" i="6" s="1"/>
  <c r="K162" i="6" s="1"/>
  <c r="K163" i="6" s="1"/>
  <c r="K164" i="6" s="1"/>
  <c r="K165" i="6" s="1"/>
  <c r="K166" i="6" s="1"/>
  <c r="K167" i="6" s="1"/>
  <c r="K168" i="6" s="1"/>
  <c r="K169" i="6" s="1"/>
  <c r="K170" i="6" s="1"/>
  <c r="K171" i="6" s="1"/>
  <c r="K172" i="6" s="1"/>
  <c r="K173" i="6" s="1"/>
  <c r="K174" i="6" s="1"/>
  <c r="K175" i="6" s="1"/>
  <c r="K176" i="6" s="1"/>
  <c r="K177" i="6" s="1"/>
  <c r="K178" i="6" s="1"/>
  <c r="K179" i="6" s="1"/>
  <c r="K180" i="6" s="1"/>
  <c r="K181" i="6" s="1"/>
  <c r="K182" i="6" s="1"/>
  <c r="K183" i="6" s="1"/>
  <c r="K184" i="6" s="1"/>
  <c r="K185" i="6" s="1"/>
  <c r="K186" i="6" s="1"/>
  <c r="K187" i="6" s="1"/>
  <c r="K188" i="6" s="1"/>
  <c r="K189" i="6" s="1"/>
  <c r="K190" i="6" s="1"/>
  <c r="K191" i="6" s="1"/>
  <c r="K192" i="6" s="1"/>
  <c r="K193" i="6" s="1"/>
  <c r="K194" i="6" s="1"/>
  <c r="K195" i="6" s="1"/>
  <c r="K196" i="6" s="1"/>
  <c r="K197" i="6" s="1"/>
  <c r="K198" i="6" s="1"/>
  <c r="K199" i="6" s="1"/>
  <c r="K200" i="6" s="1"/>
  <c r="K201" i="6" s="1"/>
  <c r="K202" i="6" s="1"/>
  <c r="K203" i="6" s="1"/>
  <c r="K204" i="6" s="1"/>
  <c r="K205" i="6" s="1"/>
  <c r="K206" i="6" s="1"/>
  <c r="K207" i="6" s="1"/>
  <c r="K208" i="6" s="1"/>
  <c r="K209" i="6" s="1"/>
  <c r="K210" i="6" s="1"/>
  <c r="K211" i="6" s="1"/>
  <c r="K212" i="6" s="1"/>
  <c r="K213" i="6" s="1"/>
  <c r="K214" i="6" s="1"/>
  <c r="K215" i="6" s="1"/>
  <c r="K216" i="6" s="1"/>
  <c r="K217" i="6" s="1"/>
  <c r="K218" i="6" s="1"/>
  <c r="K219" i="6" s="1"/>
  <c r="K220" i="6" s="1"/>
  <c r="K221" i="6" s="1"/>
  <c r="K222" i="6" s="1"/>
  <c r="K223" i="6" s="1"/>
  <c r="K224" i="6" s="1"/>
  <c r="K225" i="6" s="1"/>
  <c r="K226" i="6" s="1"/>
  <c r="K227" i="6" s="1"/>
  <c r="K228" i="6" s="1"/>
  <c r="K229" i="6" s="1"/>
  <c r="K230" i="6" s="1"/>
  <c r="K231" i="6" s="1"/>
  <c r="K232" i="6" s="1"/>
  <c r="K233" i="6" s="1"/>
  <c r="K234" i="6" s="1"/>
  <c r="K235" i="6" s="1"/>
  <c r="K236" i="6" s="1"/>
  <c r="K237" i="6" s="1"/>
  <c r="K238" i="6" s="1"/>
  <c r="K239" i="6" s="1"/>
  <c r="K240" i="6" s="1"/>
  <c r="K241" i="6" s="1"/>
  <c r="K242" i="6" s="1"/>
  <c r="K243" i="6" s="1"/>
  <c r="K244" i="6" s="1"/>
  <c r="K245" i="6" s="1"/>
  <c r="K246" i="6" s="1"/>
  <c r="K247" i="6" s="1"/>
  <c r="K248" i="6" s="1"/>
  <c r="K249" i="6" s="1"/>
  <c r="K250" i="6" s="1"/>
  <c r="K251" i="6" s="1"/>
  <c r="K252" i="6" s="1"/>
  <c r="K253" i="6" s="1"/>
  <c r="K254" i="6" s="1"/>
  <c r="K255" i="6" s="1"/>
  <c r="K256" i="6" s="1"/>
  <c r="K257" i="6" s="1"/>
  <c r="K258" i="6" s="1"/>
  <c r="K259" i="6" s="1"/>
  <c r="K260" i="6" s="1"/>
  <c r="K261" i="6" s="1"/>
  <c r="K262" i="6" s="1"/>
  <c r="K263" i="6" s="1"/>
  <c r="K264" i="6" s="1"/>
  <c r="K265" i="6" s="1"/>
  <c r="K266" i="6" s="1"/>
  <c r="K267" i="6" s="1"/>
  <c r="K268" i="6" s="1"/>
  <c r="K269" i="6" s="1"/>
  <c r="K270" i="6" s="1"/>
  <c r="K271" i="6" s="1"/>
  <c r="K272" i="6" s="1"/>
  <c r="K273" i="6" s="1"/>
  <c r="K274" i="6" s="1"/>
  <c r="K275" i="6" s="1"/>
  <c r="K276" i="6" s="1"/>
  <c r="K277" i="6" s="1"/>
  <c r="K278" i="6" s="1"/>
  <c r="K279" i="6" s="1"/>
  <c r="K280" i="6" s="1"/>
  <c r="K281" i="6" s="1"/>
  <c r="K282" i="6" s="1"/>
  <c r="K283" i="6" s="1"/>
  <c r="K284" i="6" s="1"/>
  <c r="K285" i="6" s="1"/>
  <c r="K286" i="6" s="1"/>
  <c r="K287" i="6" s="1"/>
  <c r="K288" i="6" s="1"/>
  <c r="K289" i="6" s="1"/>
  <c r="K290" i="6" s="1"/>
  <c r="K291" i="6" s="1"/>
  <c r="K292" i="6" s="1"/>
  <c r="K293" i="6" s="1"/>
  <c r="K294" i="6" s="1"/>
  <c r="K295" i="6" s="1"/>
  <c r="K296" i="6" s="1"/>
  <c r="K297" i="6" s="1"/>
  <c r="K298" i="6" s="1"/>
  <c r="K299" i="6" s="1"/>
  <c r="K300" i="6" s="1"/>
  <c r="K301" i="6" s="1"/>
  <c r="K302" i="6" s="1"/>
  <c r="K3" i="1"/>
  <c r="K3" i="6"/>
  <c r="K4" i="6" s="1"/>
  <c r="H11" i="6"/>
  <c r="H8" i="6"/>
  <c r="H7" i="6"/>
  <c r="H2" i="6"/>
  <c r="H3" i="6"/>
  <c r="R2" i="6" s="1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H3" i="5"/>
  <c r="K2" i="5"/>
  <c r="H2" i="5"/>
  <c r="R69" i="1" a="1"/>
  <c r="R190" i="1" a="1"/>
  <c r="R107" i="1" a="1"/>
  <c r="P96" i="1" a="1"/>
  <c r="P201" i="1" a="1"/>
  <c r="R29" i="1" a="1"/>
  <c r="P55" i="1" a="1"/>
  <c r="N42" i="1" a="1"/>
  <c r="O52" i="1" a="1"/>
  <c r="N280" i="1" a="1"/>
  <c r="O146" i="1" a="1"/>
  <c r="M32" i="1" a="1"/>
  <c r="O263" i="1" a="1"/>
  <c r="M153" i="1" a="1"/>
  <c r="O240" i="1" a="1"/>
  <c r="U18" i="2" a="1"/>
  <c r="P180" i="1" a="1"/>
  <c r="P233" i="1" a="1"/>
  <c r="R49" i="1" a="1"/>
  <c r="R27" i="1" a="1"/>
  <c r="R175" i="1" a="1"/>
  <c r="P140" i="1" a="1"/>
  <c r="O301" i="1" a="1"/>
  <c r="M218" i="1" a="1"/>
  <c r="O273" i="1" a="1"/>
  <c r="P210" i="1" a="1"/>
  <c r="N265" i="1" a="1"/>
  <c r="P35" i="1" a="1"/>
  <c r="N22" i="1" a="1"/>
  <c r="O32" i="1" a="1"/>
  <c r="N232" i="1" a="1"/>
  <c r="R137" i="1" a="1"/>
  <c r="R47" i="1" a="1"/>
  <c r="R250" i="1" a="1"/>
  <c r="P160" i="1" a="1"/>
  <c r="R28" i="1" a="1"/>
  <c r="R93" i="1" a="1"/>
  <c r="P119" i="1" a="1"/>
  <c r="N106" i="1" a="1"/>
  <c r="O116" i="1" a="1"/>
  <c r="N258" i="1" a="1"/>
  <c r="O235" i="1" a="1"/>
  <c r="M96" i="1" a="1"/>
  <c r="O268" i="1" a="1"/>
  <c r="M178" i="1" a="1"/>
  <c r="O233" i="1" a="1"/>
  <c r="U5" i="2" a="1"/>
  <c r="P213" i="1" a="1"/>
  <c r="R48" i="1" a="1"/>
  <c r="R113" i="1" a="1"/>
  <c r="R272" i="1" a="1"/>
  <c r="R191" i="1" a="1"/>
  <c r="P204" i="1" a="1"/>
  <c r="O261" i="1" a="1"/>
  <c r="R229" i="1" a="1"/>
  <c r="O274" i="1" a="1"/>
  <c r="P34" i="1" a="1"/>
  <c r="N53" i="1" a="1"/>
  <c r="P99" i="1" a="1"/>
  <c r="N86" i="1" a="1"/>
  <c r="O96" i="1" a="1"/>
  <c r="N287" i="1" a="1"/>
  <c r="R43" i="1" a="1"/>
  <c r="R237" i="1" a="1"/>
  <c r="P156" i="1" a="1"/>
  <c r="R24" i="1" a="1"/>
  <c r="R89" i="1" a="1"/>
  <c r="R234" i="1" a="1"/>
  <c r="O112" i="1" a="1"/>
  <c r="N250" i="1" a="1"/>
  <c r="O223" i="1" a="1"/>
  <c r="M92" i="1" a="1"/>
  <c r="O260" i="1" a="1"/>
  <c r="M166" i="1" a="1"/>
  <c r="O212" i="1" a="1"/>
  <c r="P134" i="1" a="1"/>
  <c r="N205" i="1" a="1"/>
  <c r="U3" i="2" a="1"/>
  <c r="R41" i="1" a="1"/>
  <c r="R142" i="1" a="1"/>
  <c r="R281" i="1" a="1"/>
  <c r="P132" i="1" a="1"/>
  <c r="P169" i="1" a="1"/>
  <c r="P194" i="1" a="1"/>
  <c r="N245" i="1" a="1"/>
  <c r="P27" i="1" a="1"/>
  <c r="N14" i="1" a="1"/>
  <c r="O24" i="1" a="1"/>
  <c r="N199" i="1" a="1"/>
  <c r="O118" i="1" a="1"/>
  <c r="R40" i="1" a="1"/>
  <c r="R105" i="1" a="1"/>
  <c r="R19" i="1" a="1"/>
  <c r="R249" i="1" a="1"/>
  <c r="P196" i="1" a="1"/>
  <c r="M7" i="1" a="1"/>
  <c r="P26" i="1" a="1"/>
  <c r="N45" i="1" a="1"/>
  <c r="P91" i="1" a="1"/>
  <c r="N78" i="1" a="1"/>
  <c r="O88" i="1" a="1"/>
  <c r="N163" i="1" a="1"/>
  <c r="O202" i="1" a="1"/>
  <c r="M68" i="1" a="1"/>
  <c r="O184" i="1" a="1"/>
  <c r="R34" i="1" a="1"/>
  <c r="O10" i="1" a="1"/>
  <c r="N29" i="1" a="1"/>
  <c r="O183" i="1" a="1"/>
  <c r="M89" i="1" a="1"/>
  <c r="O177" i="1" a="1"/>
  <c r="O130" i="1" a="1"/>
  <c r="M93" i="1" a="1"/>
  <c r="M272" i="1" a="1"/>
  <c r="N92" i="1" a="1"/>
  <c r="M54" i="1" a="1"/>
  <c r="P146" i="1" a="1"/>
  <c r="M213" i="1" a="1"/>
  <c r="N139" i="1" a="1"/>
  <c r="O211" i="1" a="1"/>
  <c r="O218" i="1" a="1"/>
  <c r="M76" i="1" a="1"/>
  <c r="O236" i="1" a="1"/>
  <c r="M142" i="1" a="1"/>
  <c r="O246" i="1" a="1"/>
  <c r="M195" i="1" a="1"/>
  <c r="P82" i="1" a="1"/>
  <c r="R98" i="1" a="1"/>
  <c r="R224" i="1" a="1"/>
  <c r="P28" i="1" a="1"/>
  <c r="P61" i="1" a="1"/>
  <c r="R161" i="1" a="1"/>
  <c r="R58" i="1" a="1"/>
  <c r="P288" i="1" a="1"/>
  <c r="N255" i="1" a="1"/>
  <c r="O74" i="1" a="1"/>
  <c r="N252" i="1" a="1"/>
  <c r="O167" i="1" a="1"/>
  <c r="M77" i="1" a="1"/>
  <c r="O117" i="1" a="1"/>
  <c r="R131" i="1" a="1"/>
  <c r="N84" i="1" a="1"/>
  <c r="U22" i="2" a="1"/>
  <c r="P145" i="1" a="1"/>
  <c r="R197" i="1" a="1"/>
  <c r="R78" i="1" a="1"/>
  <c r="R111" i="1" a="1"/>
  <c r="P72" i="1" a="1"/>
  <c r="P105" i="1" a="1"/>
  <c r="O288" i="1" a="1"/>
  <c r="P245" i="1" a="1"/>
  <c r="N168" i="1" a="1"/>
  <c r="P215" i="1" a="1"/>
  <c r="N281" i="1" a="1"/>
  <c r="P300" i="1" a="1"/>
  <c r="N275" i="1" a="1"/>
  <c r="O54" i="1" a="1"/>
  <c r="N159" i="1" a="1"/>
  <c r="R178" i="1" a="1"/>
  <c r="R91" i="1" a="1"/>
  <c r="P92" i="1" a="1"/>
  <c r="P125" i="1" a="1"/>
  <c r="R25" i="1" a="1"/>
  <c r="R122" i="1" a="1"/>
  <c r="O48" i="1" a="1"/>
  <c r="N264" i="1" a="1"/>
  <c r="O142" i="1" a="1"/>
  <c r="M28" i="1" a="1"/>
  <c r="O255" i="1" a="1"/>
  <c r="M149" i="1" a="1"/>
  <c r="O232" i="1" a="1"/>
  <c r="P141" i="1" a="1"/>
  <c r="N148" i="1" a="1"/>
  <c r="U6" i="2" a="1"/>
  <c r="P225" i="1" a="1"/>
  <c r="R45" i="1" a="1"/>
  <c r="R146" i="1" a="1"/>
  <c r="R268" i="1" a="1"/>
  <c r="P136" i="1" a="1"/>
  <c r="P173" i="1" a="1"/>
  <c r="O265" i="1" a="1"/>
  <c r="P202" i="1" a="1"/>
  <c r="N257" i="1" a="1"/>
  <c r="P31" i="1" a="1"/>
  <c r="N18" i="1" a="1"/>
  <c r="O28" i="1" a="1"/>
  <c r="N223" i="1" a="1"/>
  <c r="O122" i="1" a="1"/>
  <c r="M8" i="1" a="1"/>
  <c r="R75" i="1" a="1"/>
  <c r="P88" i="1" a="1"/>
  <c r="P121" i="1" a="1"/>
  <c r="R21" i="1" a="1"/>
  <c r="R118" i="1" a="1"/>
  <c r="R274" i="1" a="1"/>
  <c r="O138" i="1" a="1"/>
  <c r="M24" i="1" a="1"/>
  <c r="O247" i="1" a="1"/>
  <c r="M141" i="1" a="1"/>
  <c r="O221" i="1" a="1"/>
  <c r="P109" i="1" a="1"/>
  <c r="N144" i="1" a="1"/>
  <c r="P246" i="1" a="1"/>
  <c r="N241" i="1" a="1"/>
  <c r="R185" i="1" a="1"/>
  <c r="R70" i="1" a="1"/>
  <c r="R275" i="1" a="1"/>
  <c r="P97" i="1" a="1"/>
  <c r="R192" i="1" a="1"/>
  <c r="P163" i="1" a="1"/>
  <c r="N269" i="1" a="1"/>
  <c r="P268" i="1" a="1"/>
  <c r="N290" i="1" a="1"/>
  <c r="O46" i="1" a="1"/>
  <c r="N127" i="1" a="1"/>
  <c r="O139" i="1" a="1"/>
  <c r="R37" i="1" a="1"/>
  <c r="R138" i="1" a="1"/>
  <c r="R243" i="1" a="1"/>
  <c r="P64" i="1" a="1"/>
  <c r="P165" i="1" a="1"/>
  <c r="R221" i="1" a="1"/>
  <c r="P23" i="1" a="1"/>
  <c r="N10" i="1" a="1"/>
  <c r="O20" i="1" a="1"/>
  <c r="N183" i="1" a="1"/>
  <c r="O110" i="1" a="1"/>
  <c r="N295" i="1" a="1"/>
  <c r="O207" i="1" a="1"/>
  <c r="M117" i="1" a="1"/>
  <c r="O280" i="1" a="1"/>
  <c r="R212" i="1" a="1"/>
  <c r="N300" i="1" a="1"/>
  <c r="M104" i="1" a="1"/>
  <c r="O238" i="1" a="1"/>
  <c r="R39" i="1" a="1"/>
  <c r="N32" i="1" a="1"/>
  <c r="M16" i="1" a="1"/>
  <c r="M148" i="1" a="1"/>
  <c r="O156" i="1" a="1"/>
  <c r="M82" i="1" a="1"/>
  <c r="M67" i="1" a="1"/>
  <c r="N152" i="1" a="1"/>
  <c r="R292" i="1" a="1"/>
  <c r="O35" i="1" a="1"/>
  <c r="N297" i="1" a="1"/>
  <c r="O219" i="1" a="1"/>
  <c r="M125" i="1" a="1"/>
  <c r="O168" i="1" a="1"/>
  <c r="O151" i="1" a="1"/>
  <c r="M34" i="1" a="1"/>
  <c r="R7" i="1" a="1"/>
  <c r="N101" i="1" a="1"/>
  <c r="R199" i="1" a="1"/>
  <c r="R265" i="1" a="1"/>
  <c r="P301" i="1" a="1"/>
  <c r="R152" i="1" a="1"/>
  <c r="R210" i="1" a="1"/>
  <c r="R245" i="1" a="1"/>
  <c r="O6" i="1" a="1"/>
  <c r="N276" i="1" a="1"/>
  <c r="O99" i="1" a="1"/>
  <c r="M5" i="1" a="1"/>
  <c r="O197" i="1" a="1"/>
  <c r="R94" i="1" a="1"/>
  <c r="N16" i="1" a="1"/>
  <c r="P74" i="1" a="1"/>
  <c r="N93" i="1" a="1"/>
  <c r="U7" i="2" a="1"/>
  <c r="R172" i="1" a="1"/>
  <c r="R10" i="1" a="1"/>
  <c r="R119" i="1" a="1"/>
  <c r="P4" i="1" a="1"/>
  <c r="P37" i="1" a="1"/>
  <c r="P48" i="1" a="1"/>
  <c r="N100" i="1" a="1"/>
  <c r="P162" i="1" a="1"/>
  <c r="N181" i="1" a="1"/>
  <c r="P243" i="1" a="1"/>
  <c r="N23" i="1" a="1"/>
  <c r="O198" i="1" a="1"/>
  <c r="N271" i="1" a="1"/>
  <c r="O79" i="1" a="1"/>
  <c r="M197" i="1" a="1"/>
  <c r="R215" i="1" a="1"/>
  <c r="P24" i="1" a="1"/>
  <c r="P57" i="1" a="1"/>
  <c r="R153" i="1" a="1"/>
  <c r="R54" i="1" a="1"/>
  <c r="R267" i="1" a="1"/>
  <c r="O70" i="1" a="1"/>
  <c r="N236" i="1" a="1"/>
  <c r="O163" i="1" a="1"/>
  <c r="M73" i="1" a="1"/>
  <c r="O101" i="1" a="1"/>
  <c r="R251" i="1" a="1"/>
  <c r="N80" i="1" a="1"/>
  <c r="P142" i="1" a="1"/>
  <c r="N157" i="1" a="1"/>
  <c r="U15" i="2" a="1"/>
  <c r="R189" i="1" a="1"/>
  <c r="R74" i="1" a="1"/>
  <c r="R294" i="1" a="1"/>
  <c r="P68" i="1" a="1"/>
  <c r="P101" i="1" a="1"/>
  <c r="P217" i="1" a="1"/>
  <c r="N164" i="1" a="1"/>
  <c r="P203" i="1" a="1"/>
  <c r="N277" i="1" a="1"/>
  <c r="P284" i="1" a="1"/>
  <c r="N243" i="1" a="1"/>
  <c r="O50" i="1" a="1"/>
  <c r="N143" i="1" a="1"/>
  <c r="O143" i="1" a="1"/>
  <c r="U20" i="2" a="1"/>
  <c r="P20" i="1" a="1"/>
  <c r="P53" i="1" a="1"/>
  <c r="R148" i="1" a="1"/>
  <c r="R50" i="1" a="1"/>
  <c r="R260" i="1" a="1"/>
  <c r="R257" i="1" a="1"/>
  <c r="O159" i="1" a="1"/>
  <c r="M69" i="1" a="1"/>
  <c r="O85" i="1" a="1"/>
  <c r="R288" i="1" a="1"/>
  <c r="N76" i="1" a="1"/>
  <c r="P138" i="1" a="1"/>
  <c r="N153" i="1" a="1"/>
  <c r="P207" i="1" a="1"/>
  <c r="N218" i="1" a="1"/>
  <c r="R230" i="1" a="1"/>
  <c r="R87" i="1" a="1"/>
  <c r="R179" i="1" a="1"/>
  <c r="P237" i="1" a="1"/>
  <c r="R124" i="1" a="1"/>
  <c r="R154" i="1" a="1"/>
  <c r="P231" i="1" a="1"/>
  <c r="N15" i="1" a="1"/>
  <c r="O182" i="1" a="1"/>
  <c r="N83" i="1" a="1"/>
  <c r="O71" i="1" a="1"/>
  <c r="M181" i="1" a="1"/>
  <c r="O285" i="1" a="1"/>
  <c r="R66" i="1" a="1"/>
  <c r="R299" i="1" a="1"/>
  <c r="R3" i="1" a="1"/>
  <c r="P29" i="1" a="1"/>
  <c r="R188" i="1" a="1"/>
  <c r="R26" i="1" a="1"/>
  <c r="P252" i="1" a="1"/>
  <c r="N288" i="1" a="1"/>
  <c r="O42" i="1" a="1"/>
  <c r="N111" i="1" a="1"/>
  <c r="O135" i="1" a="1"/>
  <c r="M45" i="1" a="1"/>
  <c r="O286" i="1" a="1"/>
  <c r="R273" i="1" a="1"/>
  <c r="N52" i="1" a="1"/>
  <c r="R278" i="1" a="1"/>
  <c r="O103" i="1" a="1"/>
  <c r="R132" i="1" a="1"/>
  <c r="O242" i="1" a="1"/>
  <c r="P22" i="1" a="1"/>
  <c r="N41" i="1" a="1"/>
  <c r="M43" i="1" a="1"/>
  <c r="M79" i="1" a="1"/>
  <c r="M42" i="1" a="1"/>
  <c r="M250" i="1" a="1"/>
  <c r="M191" i="1" a="1"/>
  <c r="P286" i="1" a="1"/>
  <c r="R231" i="1" a="1"/>
  <c r="M200" i="1" a="1"/>
  <c r="M53" i="1" a="1"/>
  <c r="O302" i="1" a="1"/>
  <c r="R271" i="1" a="1"/>
  <c r="N64" i="1" a="1"/>
  <c r="M61" i="1" a="1"/>
  <c r="M204" i="1" a="1"/>
  <c r="N28" i="1" a="1"/>
  <c r="M118" i="1" a="1"/>
  <c r="U4" i="2" a="1"/>
  <c r="R283" i="1" a="1"/>
  <c r="P216" i="1" a="1"/>
  <c r="R20" i="1" a="1"/>
  <c r="R157" i="1" a="1"/>
  <c r="R63" i="1" a="1"/>
  <c r="R282" i="1" a="1"/>
  <c r="O31" i="1" a="1"/>
  <c r="M188" i="1" a="1"/>
  <c r="O185" i="1" a="1"/>
  <c r="R36" i="1" a="1"/>
  <c r="O213" i="1" a="1"/>
  <c r="P6" i="1" a="1"/>
  <c r="N25" i="1" a="1"/>
  <c r="P71" i="1" a="1"/>
  <c r="N58" i="1" a="1"/>
  <c r="R104" i="1" a="1"/>
  <c r="R205" i="1" a="1"/>
  <c r="R253" i="1" a="1"/>
  <c r="R95" i="1" a="1"/>
  <c r="P249" i="1" a="1"/>
  <c r="R64" i="1" a="1"/>
  <c r="P90" i="1" a="1"/>
  <c r="N109" i="1" a="1"/>
  <c r="P155" i="1" a="1"/>
  <c r="N146" i="1" a="1"/>
  <c r="O21" i="1" a="1"/>
  <c r="N179" i="1" a="1"/>
  <c r="O11" i="1" a="1"/>
  <c r="M144" i="1" a="1"/>
  <c r="O97" i="1" a="1"/>
  <c r="U12" i="2" a="1"/>
  <c r="R259" i="1" a="1"/>
  <c r="P289" i="1" a="1"/>
  <c r="R84" i="1" a="1"/>
  <c r="R202" i="1" a="1"/>
  <c r="R289" i="1" a="1"/>
  <c r="R115" i="1" a="1"/>
  <c r="O95" i="1" a="1"/>
  <c r="M229" i="1" a="1"/>
  <c r="O176" i="1" a="1"/>
  <c r="R62" i="1" a="1"/>
  <c r="N12" i="1" a="1"/>
  <c r="P70" i="1" a="1"/>
  <c r="N89" i="1" a="1"/>
  <c r="P135" i="1" a="1"/>
  <c r="N122" i="1" a="1"/>
  <c r="R168" i="1" a="1"/>
  <c r="R6" i="1" a="1"/>
  <c r="R103" i="1" a="1"/>
  <c r="R195" i="1" a="1"/>
  <c r="P33" i="1" a="1"/>
  <c r="R128" i="1" a="1"/>
  <c r="P158" i="1" a="1"/>
  <c r="N177" i="1" a="1"/>
  <c r="P239" i="1" a="1"/>
  <c r="N19" i="1" a="1"/>
  <c r="O190" i="1" a="1"/>
  <c r="N208" i="1" a="1"/>
  <c r="O75" i="1" a="1"/>
  <c r="M189" i="1" a="1"/>
  <c r="O293" i="1" a="1"/>
  <c r="U13" i="2" a="1"/>
  <c r="P281" i="1" a="1"/>
  <c r="R80" i="1" a="1"/>
  <c r="R149" i="1" a="1"/>
  <c r="R219" i="1" a="1"/>
  <c r="R99" i="1" a="1"/>
  <c r="P161" i="1" a="1"/>
  <c r="O165" i="1" a="1"/>
  <c r="R30" i="1" a="1"/>
  <c r="N8" i="1" a="1"/>
  <c r="P66" i="1" a="1"/>
  <c r="N85" i="1" a="1"/>
  <c r="P131" i="1" a="1"/>
  <c r="N118" i="1" a="1"/>
  <c r="O128" i="1" a="1"/>
  <c r="N282" i="1" a="1"/>
  <c r="R240" i="1" a="1"/>
  <c r="R301" i="1" a="1"/>
  <c r="P188" i="1" a="1"/>
  <c r="R56" i="1" a="1"/>
  <c r="R121" i="1" a="1"/>
  <c r="R35" i="1" a="1"/>
  <c r="O13" i="1" a="1"/>
  <c r="N262" i="1" a="1"/>
  <c r="O295" i="1" a="1"/>
  <c r="M132" i="1" a="1"/>
  <c r="O65" i="1" a="1"/>
  <c r="M234" i="1" a="1"/>
  <c r="O140" i="1" a="1"/>
  <c r="R71" i="1" a="1"/>
  <c r="R163" i="1" a="1"/>
  <c r="P229" i="1" a="1"/>
  <c r="R120" i="1" a="1"/>
  <c r="R126" i="1" a="1"/>
  <c r="R285" i="1" a="1"/>
  <c r="O170" i="1" a="1"/>
  <c r="N254" i="1" a="1"/>
  <c r="O67" i="1" a="1"/>
  <c r="M173" i="1" a="1"/>
  <c r="O277" i="1" a="1"/>
  <c r="R65" i="1" a="1"/>
  <c r="O290" i="1" a="1"/>
  <c r="P42" i="1" a="1"/>
  <c r="N61" i="1" a="1"/>
  <c r="P274" i="1" a="1"/>
  <c r="M13" i="1" a="1"/>
  <c r="P166" i="1" a="1"/>
  <c r="N221" i="1" a="1"/>
  <c r="P19" i="1" a="1"/>
  <c r="N6" i="1" a="1"/>
  <c r="M252" i="1" a="1"/>
  <c r="M289" i="1" a="1"/>
  <c r="M216" i="1" a="1"/>
  <c r="M246" i="1" a="1"/>
  <c r="O245" i="1" a="1"/>
  <c r="N261" i="1" a="1"/>
  <c r="P220" i="1" a="1"/>
  <c r="O196" i="1" a="1"/>
  <c r="R133" i="1" a="1"/>
  <c r="O125" i="1" a="1"/>
  <c r="P54" i="1" a="1"/>
  <c r="N73" i="1" a="1"/>
  <c r="M140" i="1" a="1"/>
  <c r="M261" i="1" a="1"/>
  <c r="M74" i="1" a="1"/>
  <c r="U9" i="2" a="1"/>
  <c r="P148" i="1" a="1"/>
  <c r="P185" i="1" a="1"/>
  <c r="R17" i="1" a="1"/>
  <c r="R214" i="1" a="1"/>
  <c r="R155" i="1" a="1"/>
  <c r="P108" i="1" a="1"/>
  <c r="O244" i="1" a="1"/>
  <c r="M150" i="1" a="1"/>
  <c r="O180" i="1" a="1"/>
  <c r="P278" i="1" a="1"/>
  <c r="N204" i="1" a="1"/>
  <c r="P299" i="1" a="1"/>
  <c r="N206" i="1" a="1"/>
  <c r="P244" i="1" a="1"/>
  <c r="N103" i="1" a="1"/>
  <c r="R101" i="1" a="1"/>
  <c r="R15" i="1" a="1"/>
  <c r="R236" i="1" a="1"/>
  <c r="P128" i="1" a="1"/>
  <c r="R61" i="1" a="1"/>
  <c r="P87" i="1" a="1"/>
  <c r="N74" i="1" a="1"/>
  <c r="O84" i="1" a="1"/>
  <c r="N99" i="1" a="1"/>
  <c r="O194" i="1" a="1"/>
  <c r="M64" i="1" a="1"/>
  <c r="O173" i="1" a="1"/>
  <c r="M217" i="1" a="1"/>
  <c r="O105" i="1" a="1"/>
  <c r="U27" i="2" a="1"/>
  <c r="P212" i="1" a="1"/>
  <c r="R16" i="1" a="1"/>
  <c r="R81" i="1" a="1"/>
  <c r="R59" i="1" a="1"/>
  <c r="R269" i="1" a="1"/>
  <c r="P172" i="1" a="1"/>
  <c r="O164" i="1" a="1"/>
  <c r="R4" i="1" a="1"/>
  <c r="O192" i="1" a="1"/>
  <c r="P282" i="1" a="1"/>
  <c r="N21" i="1" a="1"/>
  <c r="P67" i="1" a="1"/>
  <c r="N54" i="1" a="1"/>
  <c r="O64" i="1" a="1"/>
  <c r="N259" i="1" a="1"/>
  <c r="R193" i="1" a="1"/>
  <c r="R247" i="1" a="1"/>
  <c r="R79" i="1" a="1"/>
  <c r="P192" i="1" a="1"/>
  <c r="R60" i="1" a="1"/>
  <c r="R129" i="1" a="1"/>
  <c r="P151" i="1" a="1"/>
  <c r="N142" i="1" a="1"/>
  <c r="O17" i="1" a="1"/>
  <c r="N67" i="1" a="1"/>
  <c r="O7" i="1" a="1"/>
  <c r="M136" i="1" a="1"/>
  <c r="O81" i="1" a="1"/>
  <c r="M6" i="1" a="1"/>
  <c r="O193" i="1" a="1"/>
  <c r="U14" i="2" a="1"/>
  <c r="R12" i="1" a="1"/>
  <c r="R77" i="1" a="1"/>
  <c r="R206" i="1" a="1"/>
  <c r="R263" i="1" a="1"/>
  <c r="P168" i="1" a="1"/>
  <c r="P209" i="1" a="1"/>
  <c r="O181" i="1" a="1"/>
  <c r="P262" i="1" a="1"/>
  <c r="N17" i="1" a="1"/>
  <c r="P63" i="1" a="1"/>
  <c r="N50" i="1" a="1"/>
  <c r="O60" i="1" a="1"/>
  <c r="N224" i="1" a="1"/>
  <c r="O154" i="1" a="1"/>
  <c r="M40" i="1" a="1"/>
  <c r="R203" i="1" a="1"/>
  <c r="P120" i="1" a="1"/>
  <c r="P153" i="1" a="1"/>
  <c r="R53" i="1" a="1"/>
  <c r="R158" i="1" a="1"/>
  <c r="R270" i="1" a="1"/>
  <c r="O178" i="1" a="1"/>
  <c r="M56" i="1" a="1"/>
  <c r="O141" i="1" a="1"/>
  <c r="M201" i="1" a="1"/>
  <c r="O73" i="1" a="1"/>
  <c r="P261" i="1" a="1"/>
  <c r="N176" i="1" a="1"/>
  <c r="R295" i="1" a="1"/>
  <c r="P184" i="1" a="1"/>
  <c r="P241" i="1" a="1"/>
  <c r="R117" i="1" a="1"/>
  <c r="R31" i="1" a="1"/>
  <c r="R244" i="1" a="1"/>
  <c r="O283" i="1" a="1"/>
  <c r="M124" i="1" a="1"/>
  <c r="O93" i="1" a="1"/>
  <c r="M226" i="1" a="1"/>
  <c r="O281" i="1" a="1"/>
  <c r="P218" i="1" a="1"/>
  <c r="N273" i="1" a="1"/>
  <c r="P39" i="1" a="1"/>
  <c r="N26" i="1" a="1"/>
  <c r="R156" i="1" a="1"/>
  <c r="O208" i="1" a="1"/>
  <c r="P254" i="1" a="1"/>
  <c r="N249" i="1" a="1"/>
  <c r="P298" i="1" a="1"/>
  <c r="N272" i="1" a="1"/>
  <c r="M95" i="1" a="1"/>
  <c r="M284" i="1" a="1"/>
  <c r="M277" i="1" a="1"/>
  <c r="O119" i="1" a="1"/>
  <c r="M99" i="1" a="1"/>
  <c r="M182" i="1" a="1"/>
  <c r="R88" i="1" a="1"/>
  <c r="R68" i="1" a="1"/>
  <c r="P234" i="1" a="1"/>
  <c r="N293" i="1" a="1"/>
  <c r="P51" i="1" a="1"/>
  <c r="N38" i="1" a="1"/>
  <c r="M281" i="1" a="1"/>
  <c r="M297" i="1" a="1"/>
  <c r="M227" i="1" a="1"/>
  <c r="U29" i="2" a="1"/>
  <c r="P113" i="1" a="1"/>
  <c r="R208" i="1" a="1"/>
  <c r="R46" i="1" a="1"/>
  <c r="R255" i="1" a="1"/>
  <c r="P40" i="1" a="1"/>
  <c r="P73" i="1" a="1"/>
  <c r="O189" i="1" a="1"/>
  <c r="P45" i="1" a="1"/>
  <c r="N136" i="1" a="1"/>
  <c r="P230" i="1" a="1"/>
  <c r="N225" i="1" a="1"/>
  <c r="P264" i="1" a="1"/>
  <c r="N59" i="1" a="1"/>
  <c r="O22" i="1" a="1"/>
  <c r="N131" i="1" a="1"/>
  <c r="R134" i="1" a="1"/>
  <c r="R293" i="1" a="1"/>
  <c r="P60" i="1" a="1"/>
  <c r="P93" i="1" a="1"/>
  <c r="R217" i="1" a="1"/>
  <c r="R90" i="1" a="1"/>
  <c r="O16" i="1" a="1"/>
  <c r="N167" i="1" a="1"/>
  <c r="O106" i="1" a="1"/>
  <c r="N247" i="1" a="1"/>
  <c r="O203" i="1" a="1"/>
  <c r="M113" i="1" a="1"/>
  <c r="O264" i="1" a="1"/>
  <c r="P176" i="1" a="1"/>
  <c r="N116" i="1" a="1"/>
  <c r="U30" i="2" a="1"/>
  <c r="P181" i="1" a="1"/>
  <c r="R13" i="1" a="1"/>
  <c r="R110" i="1" a="1"/>
  <c r="R139" i="1" a="1"/>
  <c r="P104" i="1" a="1"/>
  <c r="P137" i="1" a="1"/>
  <c r="O169" i="1" a="1"/>
  <c r="P266" i="1" a="1"/>
  <c r="N200" i="1" a="1"/>
  <c r="P291" i="1" a="1"/>
  <c r="N198" i="1" a="1"/>
  <c r="P240" i="1" a="1"/>
  <c r="N87" i="1" a="1"/>
  <c r="O86" i="1" a="1"/>
  <c r="N292" i="1" a="1"/>
  <c r="R11" i="1" a="1"/>
  <c r="R227" i="1" a="1"/>
  <c r="P124" i="1" a="1"/>
  <c r="M9" i="1" a="1"/>
  <c r="R57" i="1" a="1"/>
  <c r="R162" i="1" a="1"/>
  <c r="O80" i="1" a="1"/>
  <c r="N301" i="1" a="1"/>
  <c r="O186" i="1" a="1"/>
  <c r="M60" i="1" a="1"/>
  <c r="O152" i="1" a="1"/>
  <c r="M209" i="1" a="1"/>
  <c r="O89" i="1" a="1"/>
  <c r="P269" i="1" a="1"/>
  <c r="N180" i="1" a="1"/>
  <c r="U31" i="2" a="1"/>
  <c r="R9" i="1" a="1"/>
  <c r="R106" i="1" a="1"/>
  <c r="R248" i="1" a="1"/>
  <c r="P100" i="1" a="1"/>
  <c r="P133" i="1" a="1"/>
  <c r="P297" i="1" a="1"/>
  <c r="N196" i="1" a="1"/>
  <c r="P279" i="1" a="1"/>
  <c r="N190" i="1" a="1"/>
  <c r="P272" i="1" a="1"/>
  <c r="N71" i="1" a="1"/>
  <c r="O82" i="1" a="1"/>
  <c r="N284" i="1" a="1"/>
  <c r="O179" i="1" a="1"/>
  <c r="U24" i="2" a="1"/>
  <c r="P52" i="1" a="1"/>
  <c r="P85" i="1" a="1"/>
  <c r="R180" i="1" a="1"/>
  <c r="R82" i="1" a="1"/>
  <c r="R238" i="1" a="1"/>
  <c r="P12" i="1" a="1"/>
  <c r="O195" i="1" a="1"/>
  <c r="M101" i="1" a="1"/>
  <c r="O209" i="1" a="1"/>
  <c r="P112" i="1" a="1"/>
  <c r="N108" i="1" a="1"/>
  <c r="P174" i="1" a="1"/>
  <c r="U32" i="2" a="1"/>
  <c r="P116" i="1" a="1"/>
  <c r="P149" i="1" a="1"/>
  <c r="R201" i="1" a="1"/>
  <c r="R150" i="1" a="1"/>
  <c r="R228" i="1" a="1"/>
  <c r="P76" i="1" a="1"/>
  <c r="O299" i="1" a="1"/>
  <c r="M193" i="1" a="1"/>
  <c r="O77" i="1" a="1"/>
  <c r="P253" i="1" a="1"/>
  <c r="N172" i="1" a="1"/>
  <c r="P227" i="1" a="1"/>
  <c r="N289" i="1" a="1"/>
  <c r="P256" i="1" a="1"/>
  <c r="N299" i="1" a="1"/>
  <c r="R218" i="1" a="1"/>
  <c r="N274" i="1" a="1"/>
  <c r="P211" i="1" a="1"/>
  <c r="N226" i="1" a="1"/>
  <c r="O158" i="1" a="1"/>
  <c r="N267" i="1" a="1"/>
  <c r="N69" i="1" a="1"/>
  <c r="O296" i="1" a="1"/>
  <c r="O222" i="1" a="1"/>
  <c r="M39" i="1" a="1"/>
  <c r="M35" i="1" a="1"/>
  <c r="N251" i="1" a="1"/>
  <c r="R165" i="1" a="1"/>
  <c r="O224" i="1" a="1"/>
  <c r="P247" i="1" a="1"/>
  <c r="N126" i="1" a="1"/>
  <c r="P236" i="1" a="1"/>
  <c r="N115" i="1" a="1"/>
  <c r="M241" i="1" a="1"/>
  <c r="R181" i="1" a="1"/>
  <c r="M211" i="1" a="1"/>
  <c r="R72" i="1" a="1"/>
  <c r="R141" i="1" a="1"/>
  <c r="R51" i="1" a="1"/>
  <c r="R256" i="1" a="1"/>
  <c r="P228" i="1" a="1"/>
  <c r="R32" i="1" a="1"/>
  <c r="P58" i="1" a="1"/>
  <c r="N77" i="1" a="1"/>
  <c r="P123" i="1" a="1"/>
  <c r="N110" i="1" a="1"/>
  <c r="O120" i="1" a="1"/>
  <c r="N266" i="1" a="1"/>
  <c r="O243" i="1" a="1"/>
  <c r="M100" i="1" a="1"/>
  <c r="O276" i="1" a="1"/>
  <c r="U8" i="2" a="1"/>
  <c r="R147" i="1" a="1"/>
  <c r="P221" i="1" a="1"/>
  <c r="R52" i="1" a="1"/>
  <c r="R233" i="1" a="1"/>
  <c r="R279" i="1" a="1"/>
  <c r="R207" i="1" a="1"/>
  <c r="O63" i="1" a="1"/>
  <c r="M165" i="1" a="1"/>
  <c r="O269" i="1" a="1"/>
  <c r="R33" i="1" a="1"/>
  <c r="O282" i="1" a="1"/>
  <c r="P38" i="1" a="1"/>
  <c r="N57" i="1" a="1"/>
  <c r="P103" i="1" a="1"/>
  <c r="N90" i="1" a="1"/>
  <c r="R136" i="1" a="1"/>
  <c r="R182" i="1" a="1"/>
  <c r="R300" i="1" a="1"/>
  <c r="R67" i="1" a="1"/>
  <c r="P290" i="1" a="1"/>
  <c r="R96" i="1" a="1"/>
  <c r="P122" i="1" a="1"/>
  <c r="N141" i="1" a="1"/>
  <c r="P191" i="1" a="1"/>
  <c r="N194" i="1" a="1"/>
  <c r="O53" i="1" a="1"/>
  <c r="N171" i="1" a="1"/>
  <c r="O43" i="1" a="1"/>
  <c r="M220" i="1" a="1"/>
  <c r="O228" i="1" a="1"/>
  <c r="U16" i="2" a="1"/>
  <c r="R258" i="1" a="1"/>
  <c r="P21" i="1" a="1"/>
  <c r="R116" i="1" a="1"/>
  <c r="R18" i="1" a="1"/>
  <c r="R151" i="1" a="1"/>
  <c r="R246" i="1" a="1"/>
  <c r="O127" i="1" a="1"/>
  <c r="M37" i="1" a="1"/>
  <c r="O270" i="1" a="1"/>
  <c r="R290" i="1" a="1"/>
  <c r="N44" i="1" a="1"/>
  <c r="P102" i="1" a="1"/>
  <c r="N121" i="1" a="1"/>
  <c r="P171" i="1" a="1"/>
  <c r="N162" i="1" a="1"/>
  <c r="R174" i="1" a="1"/>
  <c r="R262" i="1" a="1"/>
  <c r="R277" i="1" a="1"/>
  <c r="P224" i="1" a="1"/>
  <c r="R92" i="1" a="1"/>
  <c r="R173" i="1" a="1"/>
  <c r="P187" i="1" a="1"/>
  <c r="N186" i="1" a="1"/>
  <c r="O49" i="1" a="1"/>
  <c r="N155" i="1" a="1"/>
  <c r="O39" i="1" a="1"/>
  <c r="M208" i="1" a="1"/>
  <c r="O217" i="1" a="1"/>
  <c r="R100" i="1" a="1"/>
  <c r="O234" i="1" a="1"/>
  <c r="U23" i="2" a="1"/>
  <c r="R44" i="1" a="1"/>
  <c r="R109" i="1" a="1"/>
  <c r="R23" i="1" a="1"/>
  <c r="R159" i="1" a="1"/>
  <c r="P200" i="1" a="1"/>
  <c r="R177" i="1" a="1"/>
  <c r="O266" i="1" a="1"/>
  <c r="P30" i="1" a="1"/>
  <c r="N49" i="1" a="1"/>
  <c r="P95" i="1" a="1"/>
  <c r="N82" i="1" a="1"/>
  <c r="O92" i="1" a="1"/>
  <c r="U26" i="2" a="1"/>
  <c r="R108" i="1" a="1"/>
  <c r="R213" i="1" a="1"/>
  <c r="R266" i="1" a="1"/>
  <c r="R211" i="1" a="1"/>
  <c r="P257" i="1" a="1"/>
  <c r="R232" i="1" a="1"/>
  <c r="N36" i="1" a="1"/>
  <c r="P94" i="1" a="1"/>
  <c r="N113" i="1" a="1"/>
  <c r="P159" i="1" a="1"/>
  <c r="N150" i="1" a="1"/>
  <c r="O25" i="1" a="1"/>
  <c r="N263" i="1" a="1"/>
  <c r="O15" i="1" a="1"/>
  <c r="M152" i="1" a="1"/>
  <c r="N47" i="1" a="1"/>
  <c r="O251" i="1" a="1"/>
  <c r="O162" i="1" a="1"/>
  <c r="M44" i="1" a="1"/>
  <c r="O291" i="1" a="1"/>
  <c r="M185" i="1" a="1"/>
  <c r="O187" i="1" a="1"/>
  <c r="M212" i="1" a="1"/>
  <c r="R143" i="1" a="1"/>
  <c r="N202" i="1" a="1"/>
  <c r="R184" i="1" a="1"/>
  <c r="R183" i="1" a="1"/>
  <c r="P36" i="1" a="1"/>
  <c r="O18" i="1" a="1"/>
  <c r="R86" i="1" a="1"/>
  <c r="N112" i="1" a="1"/>
  <c r="R160" i="1" a="1"/>
  <c r="M17" i="1" a="1"/>
  <c r="P265" i="1" a="1"/>
  <c r="P81" i="1" a="1"/>
  <c r="N104" i="1" a="1"/>
  <c r="P10" i="1" a="1"/>
  <c r="R302" i="1" a="1"/>
  <c r="O45" i="1" a="1"/>
  <c r="O27" i="1" a="1"/>
  <c r="M291" i="1" a="1"/>
  <c r="M258" i="1" a="1"/>
  <c r="O68" i="1" a="1"/>
  <c r="P150" i="1" a="1"/>
  <c r="O215" i="1" a="1"/>
  <c r="P7" i="1" a="1"/>
  <c r="O5" i="1" a="1"/>
  <c r="N215" i="1" a="1"/>
  <c r="O59" i="1" a="1"/>
  <c r="M157" i="1" a="1"/>
  <c r="R164" i="1" a="1"/>
  <c r="M102" i="1" a="1"/>
  <c r="M285" i="1" a="1"/>
  <c r="P114" i="1" a="1"/>
  <c r="R8" i="1" a="1"/>
  <c r="M199" i="1" a="1"/>
  <c r="R125" i="1" a="1"/>
  <c r="N140" i="1" a="1"/>
  <c r="R264" i="1" a="1"/>
  <c r="N56" i="1" a="1"/>
  <c r="P118" i="1" a="1"/>
  <c r="N137" i="1" a="1"/>
  <c r="M131" i="1" a="1"/>
  <c r="M278" i="1" a="1"/>
  <c r="M146" i="1" a="1"/>
  <c r="M300" i="1" a="1"/>
  <c r="M271" i="1" a="1"/>
  <c r="R196" i="1" a="1"/>
  <c r="M219" i="1" a="1"/>
  <c r="O69" i="1" a="1"/>
  <c r="P280" i="1" a="1"/>
  <c r="O26" i="1" a="1"/>
  <c r="N231" i="1" a="1"/>
  <c r="O123" i="1" a="1"/>
  <c r="M33" i="1" a="1"/>
  <c r="P270" i="1" a="1"/>
  <c r="M198" i="1" a="1"/>
  <c r="M255" i="1" a="1"/>
  <c r="O40" i="1" a="1"/>
  <c r="P164" i="1" a="1"/>
  <c r="M75" i="1" a="1"/>
  <c r="R83" i="1" a="1"/>
  <c r="O124" i="1" a="1"/>
  <c r="P110" i="1" a="1"/>
  <c r="N129" i="1" a="1"/>
  <c r="P183" i="1" a="1"/>
  <c r="N178" i="1" a="1"/>
  <c r="M183" i="1" a="1"/>
  <c r="M214" i="1" a="1"/>
  <c r="M139" i="1" a="1"/>
  <c r="P177" i="1" a="1"/>
  <c r="O254" i="1" a="1"/>
  <c r="R242" i="1" a="1"/>
  <c r="O78" i="1" a="1"/>
  <c r="M10" i="1" a="1"/>
  <c r="O225" i="1" a="1"/>
  <c r="P250" i="1" a="1"/>
  <c r="M11" i="1" a="1"/>
  <c r="M177" i="1" a="1"/>
  <c r="M236" i="1" a="1"/>
  <c r="M110" i="1" a="1"/>
  <c r="R140" i="1" a="1"/>
  <c r="P89" i="1" a="1"/>
  <c r="N227" i="1" a="1"/>
  <c r="N13" i="1" a="1"/>
  <c r="P11" i="1" a="1"/>
  <c r="M294" i="1" a="1"/>
  <c r="O200" i="1" a="1"/>
  <c r="P15" i="1" a="1"/>
  <c r="N233" i="1" a="1"/>
  <c r="M91" i="1" a="1"/>
  <c r="M225" i="1" a="1"/>
  <c r="M63" i="1" a="1"/>
  <c r="O109" i="1" a="1"/>
  <c r="M15" i="1" a="1"/>
  <c r="R291" i="1" a="1"/>
  <c r="O57" i="1" a="1"/>
  <c r="R22" i="1" a="1"/>
  <c r="N48" i="1" a="1"/>
  <c r="P69" i="1" a="1"/>
  <c r="N294" i="1" a="1"/>
  <c r="R276" i="1" a="1"/>
  <c r="P182" i="1" a="1"/>
  <c r="P214" i="1" a="1"/>
  <c r="O229" i="1" a="1"/>
  <c r="O262" i="1" a="1"/>
  <c r="R176" i="1" a="1"/>
  <c r="P170" i="1" a="1"/>
  <c r="O132" i="1" a="1"/>
  <c r="M296" i="1" a="1"/>
  <c r="M4" i="1" a="1"/>
  <c r="N260" i="1" a="1"/>
  <c r="M301" i="1" a="1"/>
  <c r="M254" i="1" a="1"/>
  <c r="N161" i="1" a="1"/>
  <c r="M108" i="1" a="1"/>
  <c r="M88" i="1" a="1"/>
  <c r="O271" i="1" a="1"/>
  <c r="O259" i="1" a="1"/>
  <c r="M112" i="1" a="1"/>
  <c r="O300" i="1" a="1"/>
  <c r="M210" i="1" a="1"/>
  <c r="O250" i="1" a="1"/>
  <c r="M290" i="1" a="1"/>
  <c r="P79" i="1" a="1"/>
  <c r="N133" i="1" a="1"/>
  <c r="O56" i="1" a="1"/>
  <c r="O226" i="1" a="1"/>
  <c r="R114" i="1" a="1"/>
  <c r="P238" i="1" a="1"/>
  <c r="P46" i="1" a="1"/>
  <c r="N65" i="1" a="1"/>
  <c r="P115" i="1" a="1"/>
  <c r="N102" i="1" a="1"/>
  <c r="M115" i="1" a="1"/>
  <c r="M172" i="1" a="1"/>
  <c r="M167" i="1" a="1"/>
  <c r="M155" i="1" a="1"/>
  <c r="N278" i="1" a="1"/>
  <c r="O191" i="1" a="1"/>
  <c r="U21" i="2" a="1"/>
  <c r="R239" i="1" a="1"/>
  <c r="O133" i="1" a="1"/>
  <c r="O51" i="1" a="1"/>
  <c r="M109" i="1" a="1"/>
  <c r="O253" i="1" a="1"/>
  <c r="P285" i="1" a="1"/>
  <c r="N253" i="1" a="1"/>
  <c r="M275" i="1" a="1"/>
  <c r="O30" i="1" a="1"/>
  <c r="N248" i="1" a="1"/>
  <c r="P59" i="1" a="1"/>
  <c r="M268" i="1" a="1"/>
  <c r="P232" i="1" a="1"/>
  <c r="N154" i="1" a="1"/>
  <c r="P107" i="1" a="1"/>
  <c r="N94" i="1" a="1"/>
  <c r="O108" i="1" a="1"/>
  <c r="N242" i="1" a="1"/>
  <c r="M239" i="1" a="1"/>
  <c r="O37" i="1" a="1"/>
  <c r="M264" i="1" a="1"/>
  <c r="M58" i="1" a="1"/>
  <c r="N174" i="1" a="1"/>
  <c r="P32" i="1" a="1"/>
  <c r="N268" i="1" a="1"/>
  <c r="P277" i="1" a="1"/>
  <c r="N184" i="1" a="1"/>
  <c r="P263" i="1" a="1"/>
  <c r="N170" i="1" a="1"/>
  <c r="M265" i="1" a="1"/>
  <c r="M286" i="1" a="1"/>
  <c r="M164" i="1" a="1"/>
  <c r="M293" i="1" a="1"/>
  <c r="O94" i="1" a="1"/>
  <c r="O241" i="1" a="1"/>
  <c r="M126" i="1" a="1"/>
  <c r="R42" i="1" a="1"/>
  <c r="N238" i="1" a="1"/>
  <c r="N91" i="1" a="1"/>
  <c r="O12" i="1" a="1"/>
  <c r="N237" i="1" a="1"/>
  <c r="M98" i="1" a="1"/>
  <c r="R297" i="1" a="1"/>
  <c r="P275" i="1" a="1"/>
  <c r="P127" i="1" a="1"/>
  <c r="N235" i="1" a="1"/>
  <c r="O147" i="1" a="1"/>
  <c r="M18" i="1" a="1"/>
  <c r="P5" i="1" a="1"/>
  <c r="N187" i="1" a="1"/>
  <c r="R167" i="1" a="1"/>
  <c r="P106" i="1" a="1"/>
  <c r="P13" i="1" a="1"/>
  <c r="O111" i="1" a="1"/>
  <c r="O102" i="1" a="1"/>
  <c r="N193" i="1" a="1"/>
  <c r="N213" i="1" a="1"/>
  <c r="U17" i="2" a="1"/>
  <c r="R298" i="1" a="1"/>
  <c r="R14" i="1" a="1"/>
  <c r="N185" i="1" a="1"/>
  <c r="N298" i="1" a="1"/>
  <c r="O137" i="1" a="1"/>
  <c r="P235" i="1" a="1"/>
  <c r="M180" i="1" a="1"/>
  <c r="M87" i="1" a="1"/>
  <c r="N156" i="1" a="1"/>
  <c r="P186" i="1" a="1"/>
  <c r="R216" i="1" a="1"/>
  <c r="O252" i="1" a="1"/>
  <c r="N214" i="1" a="1"/>
  <c r="O279" i="1" a="1"/>
  <c r="M169" i="1" a="1"/>
  <c r="O272" i="1" a="1"/>
  <c r="O161" i="1" a="1"/>
  <c r="M66" i="1" a="1"/>
  <c r="P18" i="1" a="1"/>
  <c r="N66" i="1" a="1"/>
  <c r="M122" i="1" a="1"/>
  <c r="N203" i="1" a="1"/>
  <c r="M276" i="1" a="1"/>
  <c r="R261" i="1" a="1"/>
  <c r="N189" i="1" a="1"/>
  <c r="P43" i="1" a="1"/>
  <c r="N30" i="1" a="1"/>
  <c r="O44" i="1" a="1"/>
  <c r="N256" i="1" a="1"/>
  <c r="M269" i="1" a="1"/>
  <c r="P255" i="1" a="1"/>
  <c r="M247" i="1" a="1"/>
  <c r="N219" i="1" a="1"/>
  <c r="M223" i="1" a="1"/>
  <c r="M52" i="1" a="1"/>
  <c r="P49" i="1" a="1"/>
  <c r="N72" i="1" a="1"/>
  <c r="N63" i="1" a="1"/>
  <c r="O284" i="1" a="1"/>
  <c r="M194" i="1" a="1"/>
  <c r="O257" i="1" a="1"/>
  <c r="N188" i="1" a="1"/>
  <c r="M134" i="1" a="1"/>
  <c r="P260" i="1" a="1"/>
  <c r="N279" i="1" a="1"/>
  <c r="M230" i="1" a="1"/>
  <c r="R130" i="1" a="1"/>
  <c r="P50" i="1" a="1"/>
  <c r="R222" i="1" a="1"/>
  <c r="R97" i="1" a="1"/>
  <c r="O36" i="1" a="1"/>
  <c r="N240" i="1" a="1"/>
  <c r="O134" i="1" a="1"/>
  <c r="M20" i="1" a="1"/>
  <c r="M224" i="1" a="1"/>
  <c r="N107" i="1" a="1"/>
  <c r="M114" i="1" a="1"/>
  <c r="M90" i="1" a="1"/>
  <c r="M111" i="1" a="1"/>
  <c r="P129" i="1" a="1"/>
  <c r="O171" i="1" a="1"/>
  <c r="P190" i="1" a="1"/>
  <c r="N197" i="1" a="1"/>
  <c r="P283" i="1" a="1"/>
  <c r="N43" i="1" a="1"/>
  <c r="M240" i="1" a="1"/>
  <c r="M299" i="1" a="1"/>
  <c r="M143" i="1" a="1"/>
  <c r="O72" i="1" a="1"/>
  <c r="M128" i="1" a="1"/>
  <c r="N246" i="1" a="1"/>
  <c r="M238" i="1" a="1"/>
  <c r="M41" i="1" a="1"/>
  <c r="R284" i="1" a="1"/>
  <c r="O292" i="1" a="1"/>
  <c r="N222" i="1" a="1"/>
  <c r="N169" i="1" a="1"/>
  <c r="O148" i="1" a="1"/>
  <c r="M202" i="1" a="1"/>
  <c r="M179" i="1" a="1"/>
  <c r="R145" i="1" a="1"/>
  <c r="M267" i="1" a="1"/>
  <c r="N285" i="1" a="1"/>
  <c r="O256" i="1" a="1"/>
  <c r="R187" i="1" a="1"/>
  <c r="O47" i="1" a="1"/>
  <c r="O38" i="1" a="1"/>
  <c r="N125" i="1" a="1"/>
  <c r="N132" i="1" a="1"/>
  <c r="M21" i="1" a="1"/>
  <c r="N195" i="1" a="1"/>
  <c r="R200" i="1" a="1"/>
  <c r="P295" i="1" a="1"/>
  <c r="P17" i="1" a="1"/>
  <c r="N40" i="1" a="1"/>
  <c r="R127" i="1" a="1"/>
  <c r="P251" i="1" a="1"/>
  <c r="O275" i="1" a="1"/>
  <c r="R198" i="1" a="1"/>
  <c r="P267" i="1" a="1"/>
  <c r="N244" i="1" a="1"/>
  <c r="O249" i="1" a="1"/>
  <c r="M273" i="1" a="1"/>
  <c r="O258" i="1" a="1"/>
  <c r="P152" i="1" a="1"/>
  <c r="M158" i="1" a="1"/>
  <c r="M85" i="1" a="1"/>
  <c r="O145" i="1" a="1"/>
  <c r="P16" i="1" a="1"/>
  <c r="N96" i="1" a="1"/>
  <c r="M30" i="1" a="1"/>
  <c r="M163" i="1" a="1"/>
  <c r="N37" i="1" a="1"/>
  <c r="M162" i="1" a="1"/>
  <c r="M159" i="1" a="1"/>
  <c r="O90" i="1" a="1"/>
  <c r="M176" i="1" a="1"/>
  <c r="P44" i="1" a="1"/>
  <c r="M49" i="1" a="1"/>
  <c r="P302" i="1" a="1"/>
  <c r="N228" i="1" a="1"/>
  <c r="O66" i="1" a="1"/>
  <c r="N216" i="1" a="1"/>
  <c r="M154" i="1" a="1"/>
  <c r="N158" i="1" a="1"/>
  <c r="N34" i="1" a="1"/>
  <c r="M251" i="1" a="1"/>
  <c r="M245" i="1" a="1"/>
  <c r="M256" i="1" a="1"/>
  <c r="R144" i="1" a="1"/>
  <c r="P130" i="1" a="1"/>
  <c r="M161" i="1" a="1"/>
  <c r="O248" i="1" a="1"/>
  <c r="P193" i="1" a="1"/>
  <c r="N160" i="1" a="1"/>
  <c r="M94" i="1" a="1"/>
  <c r="M103" i="1" a="1"/>
  <c r="N220" i="1" a="1"/>
  <c r="M31" i="1" a="1"/>
  <c r="M295" i="1" a="1"/>
  <c r="P139" i="1" a="1"/>
  <c r="O87" i="1" a="1"/>
  <c r="N4" i="1" a="1"/>
  <c r="O29" i="1" a="1"/>
  <c r="O58" i="1" a="1"/>
  <c r="N175" i="1" a="1"/>
  <c r="O155" i="1" a="1"/>
  <c r="M65" i="1" a="1"/>
  <c r="P219" i="1" a="1"/>
  <c r="M19" i="1" a="1"/>
  <c r="R280" i="1" a="1"/>
  <c r="P258" i="1" a="1"/>
  <c r="M55" i="1" a="1"/>
  <c r="R169" i="1" a="1"/>
  <c r="N239" i="1" a="1"/>
  <c r="P175" i="1" a="1"/>
  <c r="N166" i="1" a="1"/>
  <c r="O41" i="1" a="1"/>
  <c r="N123" i="1" a="1"/>
  <c r="O23" i="1" a="1"/>
  <c r="O227" i="1" a="1"/>
  <c r="P292" i="1" a="1"/>
  <c r="M174" i="1" a="1"/>
  <c r="O174" i="1" a="1"/>
  <c r="R296" i="1" a="1"/>
  <c r="R135" i="1" a="1"/>
  <c r="M70" i="1" a="1"/>
  <c r="R226" i="1" a="1"/>
  <c r="M249" i="1" a="1"/>
  <c r="P84" i="1" a="1"/>
  <c r="O149" i="1" a="1"/>
  <c r="M186" i="1" a="1"/>
  <c r="O76" i="1" a="1"/>
  <c r="N11" i="1" a="1"/>
  <c r="M130" i="1" a="1"/>
  <c r="R5" i="1" a="1"/>
  <c r="O104" i="1" a="1"/>
  <c r="R123" i="1" a="1"/>
  <c r="N68" i="1" a="1"/>
  <c r="M228" i="1" a="1"/>
  <c r="N95" i="1" a="1"/>
  <c r="U11" i="2" a="1"/>
  <c r="P222" i="1" a="1"/>
  <c r="R287" i="1" a="1"/>
  <c r="O199" i="1" a="1"/>
  <c r="R38" i="1" a="1"/>
  <c r="N51" i="1" a="1"/>
  <c r="R112" i="1" a="1"/>
  <c r="P98" i="1" a="1"/>
  <c r="P8" i="1" a="1"/>
  <c r="N27" i="1" a="1"/>
  <c r="M120" i="1" a="1"/>
  <c r="N296" i="1" a="1"/>
  <c r="O33" i="1" a="1"/>
  <c r="M123" i="1" a="1"/>
  <c r="M192" i="1" a="1"/>
  <c r="M235" i="1" a="1"/>
  <c r="P179" i="1" a="1"/>
  <c r="P189" i="1" a="1"/>
  <c r="O201" i="1" a="1"/>
  <c r="R170" i="1" a="1"/>
  <c r="N24" i="1" a="1"/>
  <c r="P86" i="1" a="1"/>
  <c r="N105" i="1" a="1"/>
  <c r="M196" i="1" a="1"/>
  <c r="M147" i="1" a="1"/>
  <c r="M106" i="1" a="1"/>
  <c r="M231" i="1" a="1"/>
  <c r="M119" i="1" a="1"/>
  <c r="N283" i="1" a="1"/>
  <c r="M302" i="1" a="1"/>
  <c r="O239" i="1" a="1"/>
  <c r="P259" i="1" a="1"/>
  <c r="O214" i="1" a="1"/>
  <c r="N207" i="1" a="1"/>
  <c r="O91" i="1" a="1"/>
  <c r="M221" i="1" a="1"/>
  <c r="P178" i="1" a="1"/>
  <c r="M138" i="1" a="1"/>
  <c r="M237" i="1" a="1"/>
  <c r="P111" i="1" a="1"/>
  <c r="P205" i="1" a="1"/>
  <c r="M168" i="1" a="1"/>
  <c r="R194" i="1" a="1"/>
  <c r="N149" i="1" a="1"/>
  <c r="R252" i="1" a="1"/>
  <c r="N88" i="1" a="1"/>
  <c r="P154" i="1" a="1"/>
  <c r="N173" i="1" a="1"/>
  <c r="M274" i="1" a="1"/>
  <c r="M215" i="1" a="1"/>
  <c r="M206" i="1" a="1"/>
  <c r="M203" i="1" a="1"/>
  <c r="M187" i="1" a="1"/>
  <c r="N130" i="1" a="1"/>
  <c r="U10" i="2" a="1"/>
  <c r="P62" i="1" a="1"/>
  <c r="O298" i="1" a="1"/>
  <c r="O83" i="1" a="1"/>
  <c r="M205" i="1" a="1"/>
  <c r="O144" i="1" a="1"/>
  <c r="P198" i="1" a="1"/>
  <c r="N7" i="1" a="1"/>
  <c r="M107" i="1" a="1"/>
  <c r="O55" i="1" a="1"/>
  <c r="N46" i="1" a="1"/>
  <c r="M207" i="1" a="1"/>
  <c r="P271" i="1" a="1"/>
  <c r="P226" i="1" a="1"/>
  <c r="O100" i="1" a="1"/>
  <c r="N212" i="1" a="1"/>
  <c r="O175" i="1" a="1"/>
  <c r="M84" i="1" a="1"/>
  <c r="M175" i="1" a="1"/>
  <c r="M129" i="1" a="1"/>
  <c r="M27" i="1" a="1"/>
  <c r="M279" i="1" a="1"/>
  <c r="M288" i="1" a="1"/>
  <c r="N291" i="1" a="1"/>
  <c r="N145" i="1" a="1"/>
  <c r="O220" i="1" a="1"/>
  <c r="O188" i="1" a="1"/>
  <c r="N124" i="1" a="1"/>
  <c r="N165" i="1" a="1"/>
  <c r="P242" i="1" a="1"/>
  <c r="O205" i="1" a="1"/>
  <c r="N135" i="1" a="1"/>
  <c r="P75" i="1" a="1"/>
  <c r="M29" i="1" a="1"/>
  <c r="P293" i="1" a="1"/>
  <c r="P276" i="1" a="1"/>
  <c r="M171" i="1" a="1"/>
  <c r="U19" i="2" a="1"/>
  <c r="P126" i="1" a="1"/>
  <c r="R286" i="1" a="1"/>
  <c r="O131" i="1" a="1"/>
  <c r="R204" i="1" a="1"/>
  <c r="N217" i="1" a="1"/>
  <c r="P56" i="1" a="1"/>
  <c r="M105" i="1" a="1"/>
  <c r="R235" i="1" a="1"/>
  <c r="O14" i="1" a="1"/>
  <c r="R225" i="1" a="1"/>
  <c r="N117" i="1" a="1"/>
  <c r="P41" i="1" a="1"/>
  <c r="O206" i="1" a="1"/>
  <c r="M127" i="1" a="1"/>
  <c r="O267" i="1" a="1"/>
  <c r="N35" i="1" a="1"/>
  <c r="O172" i="1" a="1"/>
  <c r="P197" i="1" a="1"/>
  <c r="R73" i="1" a="1"/>
  <c r="O136" i="1" a="1"/>
  <c r="R85" i="1" a="1"/>
  <c r="P294" i="1" a="1"/>
  <c r="P14" i="1" a="1"/>
  <c r="N33" i="1" a="1"/>
  <c r="P83" i="1" a="1"/>
  <c r="N70" i="1" a="1"/>
  <c r="M253" i="1" a="1"/>
  <c r="O216" i="1" a="1"/>
  <c r="M298" i="1" a="1"/>
  <c r="M263" i="1" a="1"/>
  <c r="N134" i="1" a="1"/>
  <c r="P223" i="1" a="1"/>
  <c r="U28" i="2" a="1"/>
  <c r="M137" i="1" a="1"/>
  <c r="O294" i="1" a="1"/>
  <c r="O19" i="1" a="1"/>
  <c r="M160" i="1" a="1"/>
  <c r="O153" i="1" a="1"/>
  <c r="M22" i="1" a="1"/>
  <c r="N229" i="1" a="1"/>
  <c r="M135" i="1" a="1"/>
  <c r="O8" i="1" a="1"/>
  <c r="N98" i="1" a="1"/>
  <c r="O150" i="1" a="1"/>
  <c r="M116" i="1" a="1"/>
  <c r="R254" i="1" a="1"/>
  <c r="P199" i="1" a="1"/>
  <c r="P78" i="1" a="1"/>
  <c r="N97" i="1" a="1"/>
  <c r="P147" i="1" a="1"/>
  <c r="N138" i="1" a="1"/>
  <c r="M270" i="1" a="1"/>
  <c r="M78" i="1" a="1"/>
  <c r="M283" i="1" a="1"/>
  <c r="M280" i="1" a="1"/>
  <c r="M26" i="1" a="1"/>
  <c r="O9" i="1" a="1"/>
  <c r="R76" i="1" a="1"/>
  <c r="N81" i="1" a="1"/>
  <c r="N75" i="1" a="1"/>
  <c r="O113" i="1" a="1"/>
  <c r="M14" i="1" a="1"/>
  <c r="O160" i="1" a="1"/>
  <c r="N201" i="1" a="1"/>
  <c r="M190" i="1" a="1"/>
  <c r="O114" i="1" a="1"/>
  <c r="M145" i="1" a="1"/>
  <c r="N20" i="1" a="1"/>
  <c r="P143" i="1" a="1"/>
  <c r="N182" i="1" a="1"/>
  <c r="O210" i="1" a="1"/>
  <c r="O126" i="1" a="1"/>
  <c r="M12" i="1" a="1"/>
  <c r="O231" i="1" a="1"/>
  <c r="M133" i="1" a="1"/>
  <c r="O166" i="1" a="1"/>
  <c r="M156" i="1" a="1"/>
  <c r="P47" i="1" a="1"/>
  <c r="O129" i="1" a="1"/>
  <c r="M151" i="1" a="1"/>
  <c r="M287" i="1" a="1"/>
  <c r="M38" i="1" a="1"/>
  <c r="N31" i="1" a="1"/>
  <c r="N270" i="1" a="1"/>
  <c r="N192" i="1" a="1"/>
  <c r="M57" i="1" a="1"/>
  <c r="R186" i="1" a="1"/>
  <c r="P195" i="1" a="1"/>
  <c r="P25" i="1" a="1"/>
  <c r="O278" i="1" a="1"/>
  <c r="R241" i="1" a="1"/>
  <c r="N55" i="1" a="1"/>
  <c r="R209" i="1" a="1"/>
  <c r="P144" i="1" a="1"/>
  <c r="P65" i="1" a="1"/>
  <c r="O107" i="1" a="1"/>
  <c r="R220" i="1" a="1"/>
  <c r="U25" i="2" a="1"/>
  <c r="P80" i="1" a="1"/>
  <c r="P287" i="1" a="1"/>
  <c r="M242" i="1" a="1"/>
  <c r="R223" i="1" a="1"/>
  <c r="O230" i="1" a="1"/>
  <c r="O157" i="1" a="1"/>
  <c r="M86" i="1" a="1"/>
  <c r="O61" i="1" a="1"/>
  <c r="O3" i="1" a="1"/>
  <c r="R171" i="1" a="1"/>
  <c r="M36" i="1" a="1"/>
  <c r="P296" i="1" a="1"/>
  <c r="N211" i="1" a="1"/>
  <c r="O34" i="1" a="1"/>
  <c r="N79" i="1" a="1"/>
  <c r="M46" i="1" a="1"/>
  <c r="N5" i="1" a="1"/>
  <c r="N60" i="1" a="1"/>
  <c r="M266" i="1" a="1"/>
  <c r="N191" i="1" a="1"/>
  <c r="M97" i="1" a="1"/>
  <c r="P117" i="1" a="1"/>
  <c r="P77" i="1" a="1"/>
  <c r="M121" i="1" a="1"/>
  <c r="O289" i="1" a="1"/>
  <c r="P273" i="1" a="1"/>
  <c r="N128" i="1" a="1"/>
  <c r="M62" i="1" a="1"/>
  <c r="M282" i="1" a="1"/>
  <c r="N230" i="1" a="1"/>
  <c r="M222" i="1" a="1"/>
  <c r="M243" i="1" a="1"/>
  <c r="O237" i="1" a="1"/>
  <c r="M262" i="1" a="1"/>
  <c r="P9" i="1" a="1"/>
  <c r="M81" i="1" a="1"/>
  <c r="O4" i="1" a="1"/>
  <c r="N119" i="1" a="1"/>
  <c r="O98" i="1" a="1"/>
  <c r="N147" i="1" a="1"/>
  <c r="M59" i="1" a="1"/>
  <c r="N39" i="1" a="1"/>
  <c r="N286" i="1" a="1"/>
  <c r="M244" i="1" a="1"/>
  <c r="O62" i="1" a="1"/>
  <c r="M259" i="1" a="1"/>
  <c r="R55" i="1" a="1"/>
  <c r="N114" i="1" a="1"/>
  <c r="P208" i="1" a="1"/>
  <c r="N120" i="1" a="1"/>
  <c r="P206" i="1" a="1"/>
  <c r="N209" i="1" a="1"/>
  <c r="M71" i="1" a="1"/>
  <c r="M248" i="1" a="1"/>
  <c r="M23" i="1" a="1"/>
  <c r="M292" i="1" a="1"/>
  <c r="M25" i="1" a="1"/>
  <c r="R102" i="1" a="1"/>
  <c r="N302" i="1" a="1"/>
  <c r="M72" i="1" a="1"/>
  <c r="O297" i="1" a="1"/>
  <c r="R166" i="1" a="1"/>
  <c r="O204" i="1" a="1"/>
  <c r="N234" i="1" a="1"/>
  <c r="M47" i="1" a="1"/>
  <c r="O287" i="1" a="1"/>
  <c r="M50" i="1" a="1"/>
  <c r="M184" i="1" a="1"/>
  <c r="N210" i="1" a="1"/>
  <c r="M51" i="1" a="1"/>
  <c r="N9" i="1" a="1"/>
  <c r="M260" i="1" a="1"/>
  <c r="M232" i="1" a="1"/>
  <c r="P157" i="1" a="1"/>
  <c r="P248" i="1" a="1"/>
  <c r="P167" i="1" a="1"/>
  <c r="M80" i="1" a="1"/>
  <c r="N151" i="1" a="1"/>
  <c r="M257" i="1" a="1"/>
  <c r="M233" i="1" a="1"/>
  <c r="M170" i="1" a="1"/>
  <c r="N62" i="1" a="1"/>
  <c r="M83" i="1" a="1"/>
  <c r="O121" i="1" a="1"/>
  <c r="O115" i="1" a="1"/>
  <c r="M48" i="1" a="1"/>
  <c r="M238" i="1" l="1"/>
  <c r="M126" i="1"/>
  <c r="M110" i="1"/>
  <c r="M51" i="1"/>
  <c r="M15" i="1"/>
  <c r="M287" i="1"/>
  <c r="N291" i="1"/>
  <c r="O174" i="1"/>
  <c r="N246" i="1"/>
  <c r="O241" i="1"/>
  <c r="P157" i="1"/>
  <c r="N210" i="1"/>
  <c r="R123" i="1"/>
  <c r="M151" i="1"/>
  <c r="M288" i="1"/>
  <c r="M128" i="1"/>
  <c r="O94" i="1"/>
  <c r="M236" i="1"/>
  <c r="M184" i="1"/>
  <c r="M18" i="1"/>
  <c r="O129" i="1"/>
  <c r="M279" i="1"/>
  <c r="M174" i="1"/>
  <c r="O72" i="1"/>
  <c r="M293" i="1"/>
  <c r="M232" i="1"/>
  <c r="M50" i="1"/>
  <c r="O256" i="1"/>
  <c r="P47" i="1"/>
  <c r="M27" i="1"/>
  <c r="P292" i="1"/>
  <c r="M143" i="1"/>
  <c r="M164" i="1"/>
  <c r="M177" i="1"/>
  <c r="O287" i="1"/>
  <c r="M171" i="1"/>
  <c r="M156" i="1"/>
  <c r="M129" i="1"/>
  <c r="O227" i="1"/>
  <c r="M299" i="1"/>
  <c r="M286" i="1"/>
  <c r="M260" i="1"/>
  <c r="M47" i="1"/>
  <c r="M48" i="1"/>
  <c r="O166" i="1"/>
  <c r="M175" i="1"/>
  <c r="O23" i="1"/>
  <c r="M240" i="1"/>
  <c r="M265" i="1"/>
  <c r="M11" i="1"/>
  <c r="N234" i="1"/>
  <c r="O104" i="1"/>
  <c r="M133" i="1"/>
  <c r="M84" i="1"/>
  <c r="N123" i="1"/>
  <c r="N43" i="1"/>
  <c r="N170" i="1"/>
  <c r="N9" i="1"/>
  <c r="O204" i="1"/>
  <c r="O109" i="1"/>
  <c r="O231" i="1"/>
  <c r="O175" i="1"/>
  <c r="O41" i="1"/>
  <c r="P283" i="1"/>
  <c r="P263" i="1"/>
  <c r="P250" i="1"/>
  <c r="R166" i="1"/>
  <c r="M57" i="1"/>
  <c r="M12" i="1"/>
  <c r="N212" i="1"/>
  <c r="N166" i="1"/>
  <c r="N197" i="1"/>
  <c r="N184" i="1"/>
  <c r="O225" i="1"/>
  <c r="O297" i="1"/>
  <c r="O147" i="1"/>
  <c r="O126" i="1"/>
  <c r="O100" i="1"/>
  <c r="P175" i="1"/>
  <c r="P190" i="1"/>
  <c r="P277" i="1"/>
  <c r="M10" i="1"/>
  <c r="M72" i="1"/>
  <c r="N285" i="1"/>
  <c r="O210" i="1"/>
  <c r="P226" i="1"/>
  <c r="N239" i="1"/>
  <c r="O171" i="1"/>
  <c r="N268" i="1"/>
  <c r="O78" i="1"/>
  <c r="N302" i="1"/>
  <c r="P276" i="1"/>
  <c r="N182" i="1"/>
  <c r="P271" i="1"/>
  <c r="R169" i="1"/>
  <c r="P129" i="1"/>
  <c r="P32" i="1"/>
  <c r="R242" i="1"/>
  <c r="R102" i="1"/>
  <c r="R5" i="1"/>
  <c r="P143" i="1"/>
  <c r="M207" i="1"/>
  <c r="M55" i="1"/>
  <c r="M111" i="1"/>
  <c r="N174" i="1"/>
  <c r="O254" i="1"/>
  <c r="M25" i="1"/>
  <c r="O115" i="1"/>
  <c r="N20" i="1"/>
  <c r="N46" i="1"/>
  <c r="P258" i="1"/>
  <c r="M90" i="1"/>
  <c r="M58" i="1"/>
  <c r="P177" i="1"/>
  <c r="M292" i="1"/>
  <c r="M63" i="1"/>
  <c r="M145" i="1"/>
  <c r="O55" i="1"/>
  <c r="R280" i="1"/>
  <c r="M114" i="1"/>
  <c r="M264" i="1"/>
  <c r="M139" i="1"/>
  <c r="M23" i="1"/>
  <c r="N235" i="1"/>
  <c r="O114" i="1"/>
  <c r="M107" i="1"/>
  <c r="M19" i="1"/>
  <c r="N107" i="1"/>
  <c r="O37" i="1"/>
  <c r="M214" i="1"/>
  <c r="M248" i="1"/>
  <c r="M267" i="1"/>
  <c r="M190" i="1"/>
  <c r="N7" i="1"/>
  <c r="P219" i="1"/>
  <c r="M224" i="1"/>
  <c r="M239" i="1"/>
  <c r="M183" i="1"/>
  <c r="M71" i="1"/>
  <c r="M130" i="1"/>
  <c r="N201" i="1"/>
  <c r="P198" i="1"/>
  <c r="M65" i="1"/>
  <c r="M20" i="1"/>
  <c r="N242" i="1"/>
  <c r="N178" i="1"/>
  <c r="N209" i="1"/>
  <c r="N192" i="1"/>
  <c r="O160" i="1"/>
  <c r="O144" i="1"/>
  <c r="O155" i="1"/>
  <c r="O134" i="1"/>
  <c r="O108" i="1"/>
  <c r="P183" i="1"/>
  <c r="P206" i="1"/>
  <c r="P293" i="1"/>
  <c r="M14" i="1"/>
  <c r="M205" i="1"/>
  <c r="N175" i="1"/>
  <c r="N240" i="1"/>
  <c r="N94" i="1"/>
  <c r="N129" i="1"/>
  <c r="N120" i="1"/>
  <c r="O121" i="1"/>
  <c r="O113" i="1"/>
  <c r="O83" i="1"/>
  <c r="O58" i="1"/>
  <c r="O36" i="1"/>
  <c r="P107" i="1"/>
  <c r="P110" i="1"/>
  <c r="P208" i="1"/>
  <c r="M225" i="1"/>
  <c r="N75" i="1"/>
  <c r="O298" i="1"/>
  <c r="O29" i="1"/>
  <c r="R97" i="1"/>
  <c r="N154" i="1"/>
  <c r="O124" i="1"/>
  <c r="N114" i="1"/>
  <c r="P127" i="1"/>
  <c r="N81" i="1"/>
  <c r="P62" i="1"/>
  <c r="N4" i="1"/>
  <c r="R222" i="1"/>
  <c r="P232" i="1"/>
  <c r="R83" i="1"/>
  <c r="R55" i="1"/>
  <c r="R145" i="1"/>
  <c r="R76" i="1"/>
  <c r="U10" i="2"/>
  <c r="O87" i="1"/>
  <c r="P50" i="1"/>
  <c r="M268" i="1"/>
  <c r="M75" i="1"/>
  <c r="M259" i="1"/>
  <c r="N11" i="1"/>
  <c r="O9" i="1"/>
  <c r="N130" i="1"/>
  <c r="P139" i="1"/>
  <c r="R130" i="1"/>
  <c r="P59" i="1"/>
  <c r="P164" i="1"/>
  <c r="O62" i="1"/>
  <c r="M83" i="1"/>
  <c r="M26" i="1"/>
  <c r="M187" i="1"/>
  <c r="M295" i="1"/>
  <c r="M230" i="1"/>
  <c r="N248" i="1"/>
  <c r="O40" i="1"/>
  <c r="M244" i="1"/>
  <c r="M29" i="1"/>
  <c r="M280" i="1"/>
  <c r="M203" i="1"/>
  <c r="M31" i="1"/>
  <c r="N279" i="1"/>
  <c r="O30" i="1"/>
  <c r="M255" i="1"/>
  <c r="N286" i="1"/>
  <c r="M91" i="1"/>
  <c r="M283" i="1"/>
  <c r="M206" i="1"/>
  <c r="N220" i="1"/>
  <c r="P260" i="1"/>
  <c r="M275" i="1"/>
  <c r="M198" i="1"/>
  <c r="N39" i="1"/>
  <c r="P275" i="1"/>
  <c r="M78" i="1"/>
  <c r="M215" i="1"/>
  <c r="M103" i="1"/>
  <c r="M134" i="1"/>
  <c r="N253" i="1"/>
  <c r="P270" i="1"/>
  <c r="M59" i="1"/>
  <c r="M179" i="1"/>
  <c r="M270" i="1"/>
  <c r="M274" i="1"/>
  <c r="M94" i="1"/>
  <c r="N188" i="1"/>
  <c r="P285" i="1"/>
  <c r="M33" i="1"/>
  <c r="N147" i="1"/>
  <c r="N270" i="1"/>
  <c r="N138" i="1"/>
  <c r="N173" i="1"/>
  <c r="N160" i="1"/>
  <c r="O257" i="1"/>
  <c r="O253" i="1"/>
  <c r="O123" i="1"/>
  <c r="O98" i="1"/>
  <c r="O76" i="1"/>
  <c r="P147" i="1"/>
  <c r="P154" i="1"/>
  <c r="P193" i="1"/>
  <c r="M194" i="1"/>
  <c r="M109" i="1"/>
  <c r="N231" i="1"/>
  <c r="N119" i="1"/>
  <c r="N62" i="1"/>
  <c r="N97" i="1"/>
  <c r="N88" i="1"/>
  <c r="O248" i="1"/>
  <c r="O284" i="1"/>
  <c r="O51" i="1"/>
  <c r="O26" i="1"/>
  <c r="O4" i="1"/>
  <c r="P75" i="1"/>
  <c r="P78" i="1"/>
  <c r="R252" i="1"/>
  <c r="M161" i="1"/>
  <c r="N63" i="1"/>
  <c r="O133" i="1"/>
  <c r="P280" i="1"/>
  <c r="M81" i="1"/>
  <c r="N233" i="1"/>
  <c r="P199" i="1"/>
  <c r="N149" i="1"/>
  <c r="P130" i="1"/>
  <c r="N72" i="1"/>
  <c r="R239" i="1"/>
  <c r="O69" i="1"/>
  <c r="P9" i="1"/>
  <c r="R297" i="1"/>
  <c r="R254" i="1"/>
  <c r="R194" i="1"/>
  <c r="R144" i="1"/>
  <c r="P49" i="1"/>
  <c r="U21" i="2"/>
  <c r="M219" i="1"/>
  <c r="M262" i="1"/>
  <c r="M202" i="1"/>
  <c r="M116" i="1"/>
  <c r="M168" i="1"/>
  <c r="M256" i="1"/>
  <c r="M52" i="1"/>
  <c r="O191" i="1"/>
  <c r="R196" i="1"/>
  <c r="O237" i="1"/>
  <c r="M186" i="1"/>
  <c r="O150" i="1"/>
  <c r="P205" i="1"/>
  <c r="M245" i="1"/>
  <c r="M223" i="1"/>
  <c r="N278" i="1"/>
  <c r="M271" i="1"/>
  <c r="M243" i="1"/>
  <c r="M170" i="1"/>
  <c r="N98" i="1"/>
  <c r="P111" i="1"/>
  <c r="M251" i="1"/>
  <c r="N219" i="1"/>
  <c r="M155" i="1"/>
  <c r="M300" i="1"/>
  <c r="M222" i="1"/>
  <c r="N135" i="1"/>
  <c r="O8" i="1"/>
  <c r="M237" i="1"/>
  <c r="N34" i="1"/>
  <c r="M247" i="1"/>
  <c r="M167" i="1"/>
  <c r="M146" i="1"/>
  <c r="N230" i="1"/>
  <c r="P15" i="1"/>
  <c r="M135" i="1"/>
  <c r="M138" i="1"/>
  <c r="N158" i="1"/>
  <c r="P255" i="1"/>
  <c r="M172" i="1"/>
  <c r="M278" i="1"/>
  <c r="M282" i="1"/>
  <c r="M98" i="1"/>
  <c r="N229" i="1"/>
  <c r="P178" i="1"/>
  <c r="M154" i="1"/>
  <c r="M269" i="1"/>
  <c r="M115" i="1"/>
  <c r="M131" i="1"/>
  <c r="M62" i="1"/>
  <c r="O149" i="1"/>
  <c r="M22" i="1"/>
  <c r="M221" i="1"/>
  <c r="N216" i="1"/>
  <c r="N256" i="1"/>
  <c r="N102" i="1"/>
  <c r="N137" i="1"/>
  <c r="N128" i="1"/>
  <c r="O148" i="1"/>
  <c r="O153" i="1"/>
  <c r="O91" i="1"/>
  <c r="O66" i="1"/>
  <c r="O44" i="1"/>
  <c r="P115" i="1"/>
  <c r="P118" i="1"/>
  <c r="P273" i="1"/>
  <c r="M233" i="1"/>
  <c r="M160" i="1"/>
  <c r="N207" i="1"/>
  <c r="N228" i="1"/>
  <c r="N30" i="1"/>
  <c r="N65" i="1"/>
  <c r="N56" i="1"/>
  <c r="O289" i="1"/>
  <c r="O205" i="1"/>
  <c r="O19" i="1"/>
  <c r="O214" i="1"/>
  <c r="P302" i="1"/>
  <c r="P43" i="1"/>
  <c r="P46" i="1"/>
  <c r="R264" i="1"/>
  <c r="M121" i="1"/>
  <c r="N31" i="1"/>
  <c r="O294" i="1"/>
  <c r="P259" i="1"/>
  <c r="M49" i="1"/>
  <c r="N189" i="1"/>
  <c r="P238" i="1"/>
  <c r="N140" i="1"/>
  <c r="P77" i="1"/>
  <c r="O200" i="1"/>
  <c r="M137" i="1"/>
  <c r="O239" i="1"/>
  <c r="P44" i="1"/>
  <c r="R261" i="1"/>
  <c r="R114" i="1"/>
  <c r="R125" i="1"/>
  <c r="P117" i="1"/>
  <c r="P84" i="1"/>
  <c r="U28" i="2"/>
  <c r="M302" i="1"/>
  <c r="M176" i="1"/>
  <c r="M276" i="1"/>
  <c r="O226" i="1"/>
  <c r="M199" i="1"/>
  <c r="M97" i="1"/>
  <c r="N237" i="1"/>
  <c r="P223" i="1"/>
  <c r="N283" i="1"/>
  <c r="O90" i="1"/>
  <c r="N203" i="1"/>
  <c r="O56" i="1"/>
  <c r="R8" i="1"/>
  <c r="N191" i="1"/>
  <c r="M257" i="1"/>
  <c r="N134" i="1"/>
  <c r="M119" i="1"/>
  <c r="M159" i="1"/>
  <c r="M122" i="1"/>
  <c r="N133" i="1"/>
  <c r="P114" i="1"/>
  <c r="M266" i="1"/>
  <c r="N169" i="1"/>
  <c r="M263" i="1"/>
  <c r="M231" i="1"/>
  <c r="M162" i="1"/>
  <c r="N66" i="1"/>
  <c r="P79" i="1"/>
  <c r="M285" i="1"/>
  <c r="N60" i="1"/>
  <c r="M294" i="1"/>
  <c r="M298" i="1"/>
  <c r="M106" i="1"/>
  <c r="N37" i="1"/>
  <c r="P18" i="1"/>
  <c r="M290" i="1"/>
  <c r="M102" i="1"/>
  <c r="N5" i="1"/>
  <c r="P242" i="1"/>
  <c r="O216" i="1"/>
  <c r="M147" i="1"/>
  <c r="M163" i="1"/>
  <c r="M66" i="1"/>
  <c r="O250" i="1"/>
  <c r="R164" i="1"/>
  <c r="M46" i="1"/>
  <c r="M249" i="1"/>
  <c r="M253" i="1"/>
  <c r="M196" i="1"/>
  <c r="M30" i="1"/>
  <c r="O161" i="1"/>
  <c r="M210" i="1"/>
  <c r="M157" i="1"/>
  <c r="N79" i="1"/>
  <c r="N151" i="1"/>
  <c r="N70" i="1"/>
  <c r="N105" i="1"/>
  <c r="N96" i="1"/>
  <c r="O272" i="1"/>
  <c r="O300" i="1"/>
  <c r="O59" i="1"/>
  <c r="O34" i="1"/>
  <c r="O12" i="1"/>
  <c r="P83" i="1"/>
  <c r="P86" i="1"/>
  <c r="P16" i="1"/>
  <c r="M169" i="1"/>
  <c r="M112" i="1"/>
  <c r="N215" i="1"/>
  <c r="N211" i="1"/>
  <c r="N222" i="1"/>
  <c r="N33" i="1"/>
  <c r="N24" i="1"/>
  <c r="O145" i="1"/>
  <c r="O279" i="1"/>
  <c r="O259" i="1"/>
  <c r="O5" i="1"/>
  <c r="P296" i="1"/>
  <c r="P11" i="1"/>
  <c r="P14" i="1"/>
  <c r="R170" i="1"/>
  <c r="M85" i="1"/>
  <c r="N214" i="1"/>
  <c r="O271" i="1"/>
  <c r="P7" i="1"/>
  <c r="M36" i="1"/>
  <c r="N165" i="1"/>
  <c r="P294" i="1"/>
  <c r="O201" i="1"/>
  <c r="M158" i="1"/>
  <c r="O252" i="1"/>
  <c r="M88" i="1"/>
  <c r="O215" i="1"/>
  <c r="R171" i="1"/>
  <c r="R226" i="1"/>
  <c r="R85" i="1"/>
  <c r="P189" i="1"/>
  <c r="P152" i="1"/>
  <c r="R216" i="1"/>
  <c r="M108" i="1"/>
  <c r="P150" i="1"/>
  <c r="O3" i="1"/>
  <c r="M80" i="1"/>
  <c r="O136" i="1"/>
  <c r="P179" i="1"/>
  <c r="O258" i="1"/>
  <c r="P186" i="1"/>
  <c r="N161" i="1"/>
  <c r="O68" i="1"/>
  <c r="O61" i="1"/>
  <c r="N13" i="1"/>
  <c r="R73" i="1"/>
  <c r="M235" i="1"/>
  <c r="M273" i="1"/>
  <c r="N156" i="1"/>
  <c r="M254" i="1"/>
  <c r="M258" i="1"/>
  <c r="M86" i="1"/>
  <c r="N124" i="1"/>
  <c r="P197" i="1"/>
  <c r="M192" i="1"/>
  <c r="O249" i="1"/>
  <c r="M87" i="1"/>
  <c r="M301" i="1"/>
  <c r="M118" i="1"/>
  <c r="N101" i="1"/>
  <c r="P82" i="1"/>
  <c r="M291" i="1"/>
  <c r="O157" i="1"/>
  <c r="M211" i="1"/>
  <c r="M227" i="1"/>
  <c r="M74" i="1"/>
  <c r="N28" i="1"/>
  <c r="R7" i="1"/>
  <c r="M195" i="1"/>
  <c r="M70" i="1"/>
  <c r="O172" i="1"/>
  <c r="R181" i="1"/>
  <c r="M297" i="1"/>
  <c r="M261" i="1"/>
  <c r="M204" i="1"/>
  <c r="M34" i="1"/>
  <c r="O246" i="1"/>
  <c r="M123" i="1"/>
  <c r="N244" i="1"/>
  <c r="M241" i="1"/>
  <c r="M281" i="1"/>
  <c r="M140" i="1"/>
  <c r="M61" i="1"/>
  <c r="O151" i="1"/>
  <c r="M142" i="1"/>
  <c r="M180" i="1"/>
  <c r="N260" i="1"/>
  <c r="N115" i="1"/>
  <c r="N38" i="1"/>
  <c r="N73" i="1"/>
  <c r="N64" i="1"/>
  <c r="O168" i="1"/>
  <c r="O236" i="1"/>
  <c r="O27" i="1"/>
  <c r="O230" i="1"/>
  <c r="P236" i="1"/>
  <c r="P51" i="1"/>
  <c r="P54" i="1"/>
  <c r="R271" i="1"/>
  <c r="M125" i="1"/>
  <c r="M76" i="1"/>
  <c r="N91" i="1"/>
  <c r="N35" i="1"/>
  <c r="N126" i="1"/>
  <c r="N293" i="1"/>
  <c r="O125" i="1"/>
  <c r="O302" i="1"/>
  <c r="O219" i="1"/>
  <c r="O218" i="1"/>
  <c r="O33" i="1"/>
  <c r="P267" i="1"/>
  <c r="P247" i="1"/>
  <c r="P234" i="1"/>
  <c r="R133" i="1"/>
  <c r="M53" i="1"/>
  <c r="N297" i="1"/>
  <c r="O211" i="1"/>
  <c r="P235" i="1"/>
  <c r="M4" i="1"/>
  <c r="O224" i="1"/>
  <c r="R68" i="1"/>
  <c r="O196" i="1"/>
  <c r="M200" i="1"/>
  <c r="O35" i="1"/>
  <c r="N139" i="1"/>
  <c r="O45" i="1"/>
  <c r="R223" i="1"/>
  <c r="R165" i="1"/>
  <c r="R88" i="1"/>
  <c r="P220" i="1"/>
  <c r="R231" i="1"/>
  <c r="R292" i="1"/>
  <c r="M213" i="1"/>
  <c r="O292" i="1"/>
  <c r="O267" i="1"/>
  <c r="N251" i="1"/>
  <c r="M182" i="1"/>
  <c r="N261" i="1"/>
  <c r="P286" i="1"/>
  <c r="N152" i="1"/>
  <c r="P146" i="1"/>
  <c r="N296" i="1"/>
  <c r="R198" i="1"/>
  <c r="M35" i="1"/>
  <c r="M99" i="1"/>
  <c r="O245" i="1"/>
  <c r="M191" i="1"/>
  <c r="M67" i="1"/>
  <c r="M54" i="1"/>
  <c r="O137" i="1"/>
  <c r="M296" i="1"/>
  <c r="M39" i="1"/>
  <c r="O119" i="1"/>
  <c r="M246" i="1"/>
  <c r="M250" i="1"/>
  <c r="M82" i="1"/>
  <c r="N92" i="1"/>
  <c r="R302" i="1"/>
  <c r="M242" i="1"/>
  <c r="O222" i="1"/>
  <c r="M277" i="1"/>
  <c r="M216" i="1"/>
  <c r="M42" i="1"/>
  <c r="O156" i="1"/>
  <c r="M272" i="1"/>
  <c r="M212" i="1"/>
  <c r="M38" i="1"/>
  <c r="O296" i="1"/>
  <c r="M284" i="1"/>
  <c r="M289" i="1"/>
  <c r="M79" i="1"/>
  <c r="M148" i="1"/>
  <c r="M93" i="1"/>
  <c r="O187" i="1"/>
  <c r="M127" i="1"/>
  <c r="N69" i="1"/>
  <c r="M95" i="1"/>
  <c r="M252" i="1"/>
  <c r="M43" i="1"/>
  <c r="M16" i="1"/>
  <c r="O130" i="1"/>
  <c r="M185" i="1"/>
  <c r="M120" i="1"/>
  <c r="N267" i="1"/>
  <c r="N272" i="1"/>
  <c r="N6" i="1"/>
  <c r="N41" i="1"/>
  <c r="N32" i="1"/>
  <c r="O177" i="1"/>
  <c r="O291" i="1"/>
  <c r="O275" i="1"/>
  <c r="O158" i="1"/>
  <c r="P298" i="1"/>
  <c r="P19" i="1"/>
  <c r="P22" i="1"/>
  <c r="R39" i="1"/>
  <c r="M89" i="1"/>
  <c r="M44" i="1"/>
  <c r="N298" i="1"/>
  <c r="N226" i="1"/>
  <c r="N249" i="1"/>
  <c r="N221" i="1"/>
  <c r="O242" i="1"/>
  <c r="O238" i="1"/>
  <c r="O183" i="1"/>
  <c r="O162" i="1"/>
  <c r="O132" i="1"/>
  <c r="P211" i="1"/>
  <c r="P254" i="1"/>
  <c r="P166" i="1"/>
  <c r="R132" i="1"/>
  <c r="M104" i="1"/>
  <c r="N29" i="1"/>
  <c r="O251" i="1"/>
  <c r="P10" i="1"/>
  <c r="N274" i="1"/>
  <c r="O208" i="1"/>
  <c r="M13" i="1"/>
  <c r="O103" i="1"/>
  <c r="N300" i="1"/>
  <c r="O10" i="1"/>
  <c r="N47" i="1"/>
  <c r="P287" i="1"/>
  <c r="R218" i="1"/>
  <c r="R156" i="1"/>
  <c r="P274" i="1"/>
  <c r="R278" i="1"/>
  <c r="R212" i="1"/>
  <c r="R34" i="1"/>
  <c r="M152" i="1"/>
  <c r="N227" i="1"/>
  <c r="N299" i="1"/>
  <c r="N26" i="1"/>
  <c r="N61" i="1"/>
  <c r="N52" i="1"/>
  <c r="O280" i="1"/>
  <c r="O184" i="1"/>
  <c r="O15" i="1"/>
  <c r="O206" i="1"/>
  <c r="P256" i="1"/>
  <c r="P39" i="1"/>
  <c r="P42" i="1"/>
  <c r="R273" i="1"/>
  <c r="M117" i="1"/>
  <c r="M68" i="1"/>
  <c r="N263" i="1"/>
  <c r="N27" i="1"/>
  <c r="N289" i="1"/>
  <c r="N273" i="1"/>
  <c r="O290" i="1"/>
  <c r="O286" i="1"/>
  <c r="O207" i="1"/>
  <c r="O202" i="1"/>
  <c r="O25" i="1"/>
  <c r="P251" i="1"/>
  <c r="P227" i="1"/>
  <c r="P218" i="1"/>
  <c r="R65" i="1"/>
  <c r="M45" i="1"/>
  <c r="N295" i="1"/>
  <c r="N163" i="1"/>
  <c r="N150" i="1"/>
  <c r="N185" i="1"/>
  <c r="N172" i="1"/>
  <c r="O281" i="1"/>
  <c r="O277" i="1"/>
  <c r="O135" i="1"/>
  <c r="O110" i="1"/>
  <c r="O88" i="1"/>
  <c r="P159" i="1"/>
  <c r="P170" i="1"/>
  <c r="P253" i="1"/>
  <c r="M226" i="1"/>
  <c r="M173" i="1"/>
  <c r="N111" i="1"/>
  <c r="N183" i="1"/>
  <c r="N78" i="1"/>
  <c r="N113" i="1"/>
  <c r="N104" i="1"/>
  <c r="O77" i="1"/>
  <c r="O93" i="1"/>
  <c r="O67" i="1"/>
  <c r="O42" i="1"/>
  <c r="O20" i="1"/>
  <c r="P91" i="1"/>
  <c r="P94" i="1"/>
  <c r="P80" i="1"/>
  <c r="M193" i="1"/>
  <c r="M124" i="1"/>
  <c r="N254" i="1"/>
  <c r="N288" i="1"/>
  <c r="N10" i="1"/>
  <c r="N45" i="1"/>
  <c r="N36" i="1"/>
  <c r="O188" i="1"/>
  <c r="O299" i="1"/>
  <c r="O283" i="1"/>
  <c r="O170" i="1"/>
  <c r="P252" i="1"/>
  <c r="P23" i="1"/>
  <c r="P26" i="1"/>
  <c r="R232" i="1"/>
  <c r="P41" i="1"/>
  <c r="P76" i="1"/>
  <c r="R244" i="1"/>
  <c r="R285" i="1"/>
  <c r="R26" i="1"/>
  <c r="R221" i="1"/>
  <c r="M7" i="1"/>
  <c r="P257" i="1"/>
  <c r="P8" i="1"/>
  <c r="R228" i="1"/>
  <c r="R31" i="1"/>
  <c r="R126" i="1"/>
  <c r="R188" i="1"/>
  <c r="P165" i="1"/>
  <c r="P196" i="1"/>
  <c r="R211" i="1"/>
  <c r="R127" i="1"/>
  <c r="R150" i="1"/>
  <c r="R117" i="1"/>
  <c r="R120" i="1"/>
  <c r="P29" i="1"/>
  <c r="P64" i="1"/>
  <c r="R249" i="1"/>
  <c r="R266" i="1"/>
  <c r="R14" i="1"/>
  <c r="R201" i="1"/>
  <c r="P241" i="1"/>
  <c r="P229" i="1"/>
  <c r="R3" i="1"/>
  <c r="R243" i="1"/>
  <c r="R19" i="1"/>
  <c r="R213" i="1"/>
  <c r="R176" i="1"/>
  <c r="P149" i="1"/>
  <c r="P184" i="1"/>
  <c r="R163" i="1"/>
  <c r="R299" i="1"/>
  <c r="R138" i="1"/>
  <c r="R105" i="1"/>
  <c r="R108" i="1"/>
  <c r="P81" i="1"/>
  <c r="P116" i="1"/>
  <c r="R295" i="1"/>
  <c r="R71" i="1"/>
  <c r="R66" i="1"/>
  <c r="R37" i="1"/>
  <c r="R40" i="1"/>
  <c r="U26" i="2"/>
  <c r="U25" i="2"/>
  <c r="U32" i="2"/>
  <c r="N176" i="1"/>
  <c r="O140" i="1"/>
  <c r="O285" i="1"/>
  <c r="O139" i="1"/>
  <c r="O118" i="1"/>
  <c r="O92" i="1"/>
  <c r="P167" i="1"/>
  <c r="P174" i="1"/>
  <c r="P261" i="1"/>
  <c r="M234" i="1"/>
  <c r="M181" i="1"/>
  <c r="N127" i="1"/>
  <c r="N199" i="1"/>
  <c r="N82" i="1"/>
  <c r="N117" i="1"/>
  <c r="N108" i="1"/>
  <c r="O73" i="1"/>
  <c r="O65" i="1"/>
  <c r="O71" i="1"/>
  <c r="O46" i="1"/>
  <c r="O24" i="1"/>
  <c r="P95" i="1"/>
  <c r="P98" i="1"/>
  <c r="P112" i="1"/>
  <c r="M201" i="1"/>
  <c r="M132" i="1"/>
  <c r="N83" i="1"/>
  <c r="N290" i="1"/>
  <c r="N14" i="1"/>
  <c r="N49" i="1"/>
  <c r="N40" i="1"/>
  <c r="O209" i="1"/>
  <c r="O141" i="1"/>
  <c r="O295" i="1"/>
  <c r="O182" i="1"/>
  <c r="P268" i="1"/>
  <c r="P27" i="1"/>
  <c r="P30" i="1"/>
  <c r="R298" i="1"/>
  <c r="M101" i="1"/>
  <c r="M56" i="1"/>
  <c r="N262" i="1"/>
  <c r="N15" i="1"/>
  <c r="N269" i="1"/>
  <c r="N245" i="1"/>
  <c r="O266" i="1"/>
  <c r="O262" i="1"/>
  <c r="O195" i="1"/>
  <c r="O178" i="1"/>
  <c r="O13" i="1"/>
  <c r="P231" i="1"/>
  <c r="P163" i="1"/>
  <c r="P194" i="1"/>
  <c r="R177" i="1"/>
  <c r="P265" i="1"/>
  <c r="P12" i="1"/>
  <c r="R270" i="1"/>
  <c r="R35" i="1"/>
  <c r="R154" i="1"/>
  <c r="R192" i="1"/>
  <c r="P169" i="1"/>
  <c r="P200" i="1"/>
  <c r="R220" i="1"/>
  <c r="R238" i="1"/>
  <c r="R158" i="1"/>
  <c r="R121" i="1"/>
  <c r="R124" i="1"/>
  <c r="P97" i="1"/>
  <c r="P132" i="1"/>
  <c r="R159" i="1"/>
  <c r="R135" i="1"/>
  <c r="R82" i="1"/>
  <c r="R53" i="1"/>
  <c r="R56" i="1"/>
  <c r="P237" i="1"/>
  <c r="R281" i="1"/>
  <c r="R23" i="1"/>
  <c r="R225" i="1"/>
  <c r="R180" i="1"/>
  <c r="P153" i="1"/>
  <c r="P188" i="1"/>
  <c r="R179" i="1"/>
  <c r="R275" i="1"/>
  <c r="R142" i="1"/>
  <c r="R109" i="1"/>
  <c r="R112" i="1"/>
  <c r="P85" i="1"/>
  <c r="P120" i="1"/>
  <c r="R301" i="1"/>
  <c r="R87" i="1"/>
  <c r="R70" i="1"/>
  <c r="R41" i="1"/>
  <c r="R44" i="1"/>
  <c r="P17" i="1"/>
  <c r="P52" i="1"/>
  <c r="R203" i="1"/>
  <c r="R240" i="1"/>
  <c r="R230" i="1"/>
  <c r="R185" i="1"/>
  <c r="U3" i="2"/>
  <c r="U23" i="2"/>
  <c r="U17" i="2"/>
  <c r="U24" i="2"/>
  <c r="M40" i="1"/>
  <c r="N282" i="1"/>
  <c r="N218" i="1"/>
  <c r="N241" i="1"/>
  <c r="N205" i="1"/>
  <c r="O234" i="1"/>
  <c r="O229" i="1"/>
  <c r="O179" i="1"/>
  <c r="O154" i="1"/>
  <c r="O128" i="1"/>
  <c r="P207" i="1"/>
  <c r="P246" i="1"/>
  <c r="P134" i="1"/>
  <c r="R100" i="1"/>
  <c r="M17" i="1"/>
  <c r="N284" i="1"/>
  <c r="N224" i="1"/>
  <c r="N118" i="1"/>
  <c r="N153" i="1"/>
  <c r="N144" i="1"/>
  <c r="O212" i="1"/>
  <c r="O217" i="1"/>
  <c r="O107" i="1"/>
  <c r="O82" i="1"/>
  <c r="O60" i="1"/>
  <c r="P131" i="1"/>
  <c r="P138" i="1"/>
  <c r="P109" i="1"/>
  <c r="M166" i="1"/>
  <c r="M208" i="1"/>
  <c r="N238" i="1"/>
  <c r="N71" i="1"/>
  <c r="N50" i="1"/>
  <c r="N85" i="1"/>
  <c r="N76" i="1"/>
  <c r="O221" i="1"/>
  <c r="O260" i="1"/>
  <c r="O39" i="1"/>
  <c r="O14" i="1"/>
  <c r="P272" i="1"/>
  <c r="P63" i="1"/>
  <c r="P66" i="1"/>
  <c r="R288" i="1"/>
  <c r="M141" i="1"/>
  <c r="M92" i="1"/>
  <c r="N155" i="1"/>
  <c r="N51" i="1"/>
  <c r="N190" i="1"/>
  <c r="N17" i="1"/>
  <c r="N8" i="1"/>
  <c r="O85" i="1"/>
  <c r="O247" i="1"/>
  <c r="O223" i="1"/>
  <c r="O49" i="1"/>
  <c r="P295" i="1"/>
  <c r="P279" i="1"/>
  <c r="P262" i="1"/>
  <c r="R30" i="1"/>
  <c r="M69" i="1"/>
  <c r="M24" i="1"/>
  <c r="N250" i="1"/>
  <c r="N186" i="1"/>
  <c r="N213" i="1"/>
  <c r="N196" i="1"/>
  <c r="O181" i="1"/>
  <c r="O165" i="1"/>
  <c r="O159" i="1"/>
  <c r="O138" i="1"/>
  <c r="O112" i="1"/>
  <c r="P187" i="1"/>
  <c r="P214" i="1"/>
  <c r="P297" i="1"/>
  <c r="P209" i="1"/>
  <c r="P161" i="1"/>
  <c r="R257" i="1"/>
  <c r="R274" i="1"/>
  <c r="R234" i="1"/>
  <c r="R173" i="1"/>
  <c r="R160" i="1"/>
  <c r="P133" i="1"/>
  <c r="P168" i="1"/>
  <c r="R99" i="1"/>
  <c r="R260" i="1"/>
  <c r="R118" i="1"/>
  <c r="R89" i="1"/>
  <c r="R92" i="1"/>
  <c r="P65" i="1"/>
  <c r="P100" i="1"/>
  <c r="R263" i="1"/>
  <c r="R219" i="1"/>
  <c r="R50" i="1"/>
  <c r="R21" i="1"/>
  <c r="R24" i="1"/>
  <c r="P224" i="1"/>
  <c r="R284" i="1"/>
  <c r="R248" i="1"/>
  <c r="R206" i="1"/>
  <c r="R149" i="1"/>
  <c r="R148" i="1"/>
  <c r="P121" i="1"/>
  <c r="P156" i="1"/>
  <c r="R277" i="1"/>
  <c r="R235" i="1"/>
  <c r="R106" i="1"/>
  <c r="R77" i="1"/>
  <c r="R80" i="1"/>
  <c r="P53" i="1"/>
  <c r="P88" i="1"/>
  <c r="R237" i="1"/>
  <c r="R262" i="1"/>
  <c r="R38" i="1"/>
  <c r="R9" i="1"/>
  <c r="R12" i="1"/>
  <c r="P281" i="1"/>
  <c r="P20" i="1"/>
  <c r="R75" i="1"/>
  <c r="R43" i="1"/>
  <c r="R174" i="1"/>
  <c r="R200" i="1"/>
  <c r="U31" i="2"/>
  <c r="U14" i="2"/>
  <c r="U13" i="2"/>
  <c r="U20" i="2"/>
  <c r="M8" i="1"/>
  <c r="N287" i="1"/>
  <c r="N162" i="1"/>
  <c r="N193" i="1"/>
  <c r="N180" i="1"/>
  <c r="O193" i="1"/>
  <c r="O293" i="1"/>
  <c r="O143" i="1"/>
  <c r="O122" i="1"/>
  <c r="O96" i="1"/>
  <c r="P171" i="1"/>
  <c r="P182" i="1"/>
  <c r="P269" i="1"/>
  <c r="M6" i="1"/>
  <c r="M189" i="1"/>
  <c r="N143" i="1"/>
  <c r="N223" i="1"/>
  <c r="N86" i="1"/>
  <c r="N121" i="1"/>
  <c r="N112" i="1"/>
  <c r="O89" i="1"/>
  <c r="O81" i="1"/>
  <c r="O75" i="1"/>
  <c r="O50" i="1"/>
  <c r="O28" i="1"/>
  <c r="P99" i="1"/>
  <c r="P102" i="1"/>
  <c r="P144" i="1"/>
  <c r="M209" i="1"/>
  <c r="M136" i="1"/>
  <c r="N208" i="1"/>
  <c r="N243" i="1"/>
  <c r="N18" i="1"/>
  <c r="N53" i="1"/>
  <c r="N44" i="1"/>
  <c r="O220" i="1"/>
  <c r="O152" i="1"/>
  <c r="O7" i="1"/>
  <c r="O190" i="1"/>
  <c r="P284" i="1"/>
  <c r="P31" i="1"/>
  <c r="P34" i="1"/>
  <c r="R290" i="1"/>
  <c r="M105" i="1"/>
  <c r="M60" i="1"/>
  <c r="N67" i="1"/>
  <c r="N19" i="1"/>
  <c r="N277" i="1"/>
  <c r="N257" i="1"/>
  <c r="O274" i="1"/>
  <c r="O270" i="1"/>
  <c r="O199" i="1"/>
  <c r="O186" i="1"/>
  <c r="O17" i="1"/>
  <c r="P239" i="1"/>
  <c r="P203" i="1"/>
  <c r="P202" i="1"/>
  <c r="R229" i="1"/>
  <c r="M37" i="1"/>
  <c r="N195" i="1"/>
  <c r="N301" i="1"/>
  <c r="N142" i="1"/>
  <c r="N177" i="1"/>
  <c r="N164" i="1"/>
  <c r="O265" i="1"/>
  <c r="O261" i="1"/>
  <c r="O127" i="1"/>
  <c r="O102" i="1"/>
  <c r="O80" i="1"/>
  <c r="P151" i="1"/>
  <c r="P158" i="1"/>
  <c r="P217" i="1"/>
  <c r="P173" i="1"/>
  <c r="P204" i="1"/>
  <c r="R246" i="1"/>
  <c r="R276" i="1"/>
  <c r="R162" i="1"/>
  <c r="R129" i="1"/>
  <c r="R128" i="1"/>
  <c r="P101" i="1"/>
  <c r="P136" i="1"/>
  <c r="R191" i="1"/>
  <c r="R151" i="1"/>
  <c r="R86" i="1"/>
  <c r="R57" i="1"/>
  <c r="R60" i="1"/>
  <c r="P33" i="1"/>
  <c r="P68" i="1"/>
  <c r="R268" i="1"/>
  <c r="R272" i="1"/>
  <c r="R18" i="1"/>
  <c r="R209" i="1"/>
  <c r="M9" i="1"/>
  <c r="P192" i="1"/>
  <c r="R195" i="1"/>
  <c r="R294" i="1"/>
  <c r="R146" i="1"/>
  <c r="R113" i="1"/>
  <c r="R116" i="1"/>
  <c r="P89" i="1"/>
  <c r="P124" i="1"/>
  <c r="R79" i="1"/>
  <c r="R103" i="1"/>
  <c r="R74" i="1"/>
  <c r="R45" i="1"/>
  <c r="R48" i="1"/>
  <c r="P21" i="1"/>
  <c r="P56" i="1"/>
  <c r="R227" i="1"/>
  <c r="R247" i="1"/>
  <c r="R6" i="1"/>
  <c r="R189" i="1"/>
  <c r="P225" i="1"/>
  <c r="P213" i="1"/>
  <c r="R258" i="1"/>
  <c r="R287" i="1"/>
  <c r="R11" i="1"/>
  <c r="R193" i="1"/>
  <c r="R168" i="1"/>
  <c r="U15" i="2"/>
  <c r="U6" i="2"/>
  <c r="U5" i="2"/>
  <c r="U16" i="2"/>
  <c r="M21" i="1"/>
  <c r="N292" i="1"/>
  <c r="N259" i="1"/>
  <c r="N122" i="1"/>
  <c r="N157" i="1"/>
  <c r="N148" i="1"/>
  <c r="O233" i="1"/>
  <c r="O228" i="1"/>
  <c r="O111" i="1"/>
  <c r="O86" i="1"/>
  <c r="O64" i="1"/>
  <c r="P135" i="1"/>
  <c r="P142" i="1"/>
  <c r="P141" i="1"/>
  <c r="M178" i="1"/>
  <c r="M220" i="1"/>
  <c r="N294" i="1"/>
  <c r="N87" i="1"/>
  <c r="N54" i="1"/>
  <c r="N89" i="1"/>
  <c r="N80" i="1"/>
  <c r="O232" i="1"/>
  <c r="O268" i="1"/>
  <c r="O43" i="1"/>
  <c r="O18" i="1"/>
  <c r="P240" i="1"/>
  <c r="P67" i="1"/>
  <c r="P70" i="1"/>
  <c r="R251" i="1"/>
  <c r="M149" i="1"/>
  <c r="M96" i="1"/>
  <c r="N171" i="1"/>
  <c r="N55" i="1"/>
  <c r="N198" i="1"/>
  <c r="N21" i="1"/>
  <c r="N12" i="1"/>
  <c r="O101" i="1"/>
  <c r="O255" i="1"/>
  <c r="O235" i="1"/>
  <c r="O53" i="1"/>
  <c r="P248" i="1"/>
  <c r="P291" i="1"/>
  <c r="P282" i="1"/>
  <c r="R62" i="1"/>
  <c r="M73" i="1"/>
  <c r="M28" i="1"/>
  <c r="N258" i="1"/>
  <c r="N194" i="1"/>
  <c r="N217" i="1"/>
  <c r="N200" i="1"/>
  <c r="O192" i="1"/>
  <c r="O176" i="1"/>
  <c r="O163" i="1"/>
  <c r="O142" i="1"/>
  <c r="O116" i="1"/>
  <c r="P191" i="1"/>
  <c r="P222" i="1"/>
  <c r="P266" i="1"/>
  <c r="R4" i="1"/>
  <c r="M229" i="1"/>
  <c r="N236" i="1"/>
  <c r="N264" i="1"/>
  <c r="N106" i="1"/>
  <c r="N141" i="1"/>
  <c r="N132" i="1"/>
  <c r="O169" i="1"/>
  <c r="O164" i="1"/>
  <c r="O95" i="1"/>
  <c r="O70" i="1"/>
  <c r="O48" i="1"/>
  <c r="P119" i="1"/>
  <c r="P122" i="1"/>
  <c r="P13" i="1"/>
  <c r="P137" i="1"/>
  <c r="P172" i="1"/>
  <c r="R115" i="1"/>
  <c r="R267" i="1"/>
  <c r="R122" i="1"/>
  <c r="R93" i="1"/>
  <c r="R96" i="1"/>
  <c r="P69" i="1"/>
  <c r="P104" i="1"/>
  <c r="R269" i="1"/>
  <c r="R289" i="1"/>
  <c r="R54" i="1"/>
  <c r="R25" i="1"/>
  <c r="R28" i="1"/>
  <c r="P290" i="1"/>
  <c r="P36" i="1"/>
  <c r="R139" i="1"/>
  <c r="R59" i="1"/>
  <c r="R202" i="1"/>
  <c r="R153" i="1"/>
  <c r="P125" i="1"/>
  <c r="P160" i="1"/>
  <c r="R67" i="1"/>
  <c r="R241" i="1"/>
  <c r="R110" i="1"/>
  <c r="R81" i="1"/>
  <c r="R84" i="1"/>
  <c r="P57" i="1"/>
  <c r="P92" i="1"/>
  <c r="R250" i="1"/>
  <c r="R300" i="1"/>
  <c r="R42" i="1"/>
  <c r="R13" i="1"/>
  <c r="R16" i="1"/>
  <c r="P289" i="1"/>
  <c r="P24" i="1"/>
  <c r="R91" i="1"/>
  <c r="R47" i="1"/>
  <c r="R182" i="1"/>
  <c r="R204" i="1"/>
  <c r="P181" i="1"/>
  <c r="P212" i="1"/>
  <c r="R259" i="1"/>
  <c r="R215" i="1"/>
  <c r="R178" i="1"/>
  <c r="R137" i="1"/>
  <c r="R136" i="1"/>
  <c r="U11" i="2"/>
  <c r="U30" i="2"/>
  <c r="U27" i="2"/>
  <c r="U12" i="2"/>
  <c r="M197" i="1"/>
  <c r="N159" i="1"/>
  <c r="N232" i="1"/>
  <c r="N90" i="1"/>
  <c r="N125" i="1"/>
  <c r="N116" i="1"/>
  <c r="O105" i="1"/>
  <c r="O97" i="1"/>
  <c r="O79" i="1"/>
  <c r="O54" i="1"/>
  <c r="O32" i="1"/>
  <c r="P103" i="1"/>
  <c r="P106" i="1"/>
  <c r="P176" i="1"/>
  <c r="M217" i="1"/>
  <c r="M144" i="1"/>
  <c r="N271" i="1"/>
  <c r="N275" i="1"/>
  <c r="N22" i="1"/>
  <c r="N57" i="1"/>
  <c r="N48" i="1"/>
  <c r="O264" i="1"/>
  <c r="O173" i="1"/>
  <c r="O11" i="1"/>
  <c r="O198" i="1"/>
  <c r="P300" i="1"/>
  <c r="P35" i="1"/>
  <c r="P38" i="1"/>
  <c r="R183" i="1"/>
  <c r="M113" i="1"/>
  <c r="M64" i="1"/>
  <c r="N179" i="1"/>
  <c r="N23" i="1"/>
  <c r="N281" i="1"/>
  <c r="N265" i="1"/>
  <c r="O282" i="1"/>
  <c r="O278" i="1"/>
  <c r="O203" i="1"/>
  <c r="O194" i="1"/>
  <c r="O21" i="1"/>
  <c r="P243" i="1"/>
  <c r="P215" i="1"/>
  <c r="P210" i="1"/>
  <c r="R33" i="1"/>
  <c r="M41" i="1"/>
  <c r="N247" i="1"/>
  <c r="N99" i="1"/>
  <c r="N146" i="1"/>
  <c r="N181" i="1"/>
  <c r="N168" i="1"/>
  <c r="O273" i="1"/>
  <c r="O269" i="1"/>
  <c r="O131" i="1"/>
  <c r="O106" i="1"/>
  <c r="O84" i="1"/>
  <c r="P155" i="1"/>
  <c r="P162" i="1"/>
  <c r="P245" i="1"/>
  <c r="M218" i="1"/>
  <c r="M165" i="1"/>
  <c r="N95" i="1"/>
  <c r="N167" i="1"/>
  <c r="N74" i="1"/>
  <c r="N109" i="1"/>
  <c r="N100" i="1"/>
  <c r="O288" i="1"/>
  <c r="O301" i="1"/>
  <c r="O63" i="1"/>
  <c r="O38" i="1"/>
  <c r="O16" i="1"/>
  <c r="P87" i="1"/>
  <c r="P90" i="1"/>
  <c r="P48" i="1"/>
  <c r="P105" i="1"/>
  <c r="P140" i="1"/>
  <c r="R207" i="1"/>
  <c r="R167" i="1"/>
  <c r="R90" i="1"/>
  <c r="R61" i="1"/>
  <c r="R64" i="1"/>
  <c r="P37" i="1"/>
  <c r="P72" i="1"/>
  <c r="R175" i="1"/>
  <c r="R279" i="1"/>
  <c r="R22" i="1"/>
  <c r="R217" i="1"/>
  <c r="P249" i="1"/>
  <c r="P4" i="1"/>
  <c r="R111" i="1"/>
  <c r="R27" i="1"/>
  <c r="R233" i="1"/>
  <c r="R184" i="1"/>
  <c r="P93" i="1"/>
  <c r="P128" i="1"/>
  <c r="R95" i="1"/>
  <c r="R119" i="1"/>
  <c r="R78" i="1"/>
  <c r="R49" i="1"/>
  <c r="R52" i="1"/>
  <c r="P25" i="1"/>
  <c r="P60" i="1"/>
  <c r="R236" i="1"/>
  <c r="R253" i="1"/>
  <c r="R10" i="1"/>
  <c r="R197" i="1"/>
  <c r="P233" i="1"/>
  <c r="P221" i="1"/>
  <c r="R296" i="1"/>
  <c r="R293" i="1"/>
  <c r="R15" i="1"/>
  <c r="R205" i="1"/>
  <c r="R172" i="1"/>
  <c r="P145" i="1"/>
  <c r="P180" i="1"/>
  <c r="R147" i="1"/>
  <c r="R286" i="1"/>
  <c r="R134" i="1"/>
  <c r="R101" i="1"/>
  <c r="R104" i="1"/>
  <c r="U7" i="2"/>
  <c r="U22" i="2"/>
  <c r="U18" i="2"/>
  <c r="U8" i="2"/>
  <c r="M228" i="1"/>
  <c r="N131" i="1"/>
  <c r="N103" i="1"/>
  <c r="N58" i="1"/>
  <c r="N93" i="1"/>
  <c r="N84" i="1"/>
  <c r="O240" i="1"/>
  <c r="O276" i="1"/>
  <c r="O47" i="1"/>
  <c r="O22" i="1"/>
  <c r="P244" i="1"/>
  <c r="P71" i="1"/>
  <c r="P74" i="1"/>
  <c r="R131" i="1"/>
  <c r="M153" i="1"/>
  <c r="M100" i="1"/>
  <c r="N187" i="1"/>
  <c r="N59" i="1"/>
  <c r="N206" i="1"/>
  <c r="N25" i="1"/>
  <c r="N16" i="1"/>
  <c r="O117" i="1"/>
  <c r="O263" i="1"/>
  <c r="O243" i="1"/>
  <c r="O57" i="1"/>
  <c r="P264" i="1"/>
  <c r="P299" i="1"/>
  <c r="P6" i="1"/>
  <c r="R94" i="1"/>
  <c r="M77" i="1"/>
  <c r="M32" i="1"/>
  <c r="N266" i="1"/>
  <c r="N202" i="1"/>
  <c r="N225" i="1"/>
  <c r="N204" i="1"/>
  <c r="O213" i="1"/>
  <c r="O197" i="1"/>
  <c r="O167" i="1"/>
  <c r="O146" i="1"/>
  <c r="O120" i="1"/>
  <c r="P195" i="1"/>
  <c r="P230" i="1"/>
  <c r="P278" i="1"/>
  <c r="R36" i="1"/>
  <c r="M5" i="1"/>
  <c r="N252" i="1"/>
  <c r="N280" i="1"/>
  <c r="N110" i="1"/>
  <c r="N145" i="1"/>
  <c r="N136" i="1"/>
  <c r="O180" i="1"/>
  <c r="O185" i="1"/>
  <c r="O99" i="1"/>
  <c r="O74" i="1"/>
  <c r="O52" i="1"/>
  <c r="P123" i="1"/>
  <c r="P126" i="1"/>
  <c r="P45" i="1"/>
  <c r="M150" i="1"/>
  <c r="M188" i="1"/>
  <c r="N276" i="1"/>
  <c r="N255" i="1"/>
  <c r="N42" i="1"/>
  <c r="N77" i="1"/>
  <c r="N68" i="1"/>
  <c r="O189" i="1"/>
  <c r="O244" i="1"/>
  <c r="O31" i="1"/>
  <c r="O6" i="1"/>
  <c r="P288" i="1"/>
  <c r="P55" i="1"/>
  <c r="P58" i="1"/>
  <c r="R187" i="1"/>
  <c r="P73" i="1"/>
  <c r="P108" i="1"/>
  <c r="R282" i="1"/>
  <c r="R245" i="1"/>
  <c r="R58" i="1"/>
  <c r="R29" i="1"/>
  <c r="R32" i="1"/>
  <c r="P5" i="1"/>
  <c r="P40" i="1"/>
  <c r="R155" i="1"/>
  <c r="R63" i="1"/>
  <c r="R210" i="1"/>
  <c r="R161" i="1"/>
  <c r="P201" i="1"/>
  <c r="P228" i="1"/>
  <c r="R291" i="1"/>
  <c r="R255" i="1"/>
  <c r="R214" i="1"/>
  <c r="R157" i="1"/>
  <c r="R152" i="1"/>
  <c r="P61" i="1"/>
  <c r="P96" i="1"/>
  <c r="R256" i="1"/>
  <c r="R143" i="1"/>
  <c r="R46" i="1"/>
  <c r="R17" i="1"/>
  <c r="R20" i="1"/>
  <c r="P301" i="1"/>
  <c r="P28" i="1"/>
  <c r="R107" i="1"/>
  <c r="R51" i="1"/>
  <c r="R186" i="1"/>
  <c r="R208" i="1"/>
  <c r="P185" i="1"/>
  <c r="P216" i="1"/>
  <c r="R265" i="1"/>
  <c r="R224" i="1"/>
  <c r="R190" i="1"/>
  <c r="R141" i="1"/>
  <c r="R140" i="1"/>
  <c r="P113" i="1"/>
  <c r="P148" i="1"/>
  <c r="R283" i="1"/>
  <c r="R199" i="1"/>
  <c r="R98" i="1"/>
  <c r="R69" i="1"/>
  <c r="R72" i="1"/>
  <c r="U19" i="2"/>
  <c r="U29" i="2"/>
  <c r="U9" i="2"/>
  <c r="U4" i="2"/>
  <c r="L3" i="6"/>
  <c r="L2" i="5"/>
  <c r="K2" i="4"/>
  <c r="L2" i="4" s="1"/>
  <c r="K3" i="4" s="1"/>
  <c r="H7" i="4"/>
  <c r="H6" i="4"/>
  <c r="H3" i="4"/>
  <c r="H2" i="4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2" i="3"/>
  <c r="L3" i="4" l="1"/>
  <c r="S3" i="4" s="1"/>
  <c r="K3" i="3"/>
  <c r="K2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4" i="3"/>
  <c r="K5" i="3"/>
  <c r="K6" i="3"/>
  <c r="K7" i="3"/>
  <c r="K8" i="3"/>
  <c r="H3" i="3"/>
  <c r="H2" i="3"/>
  <c r="K4" i="4" l="1"/>
  <c r="M3" i="4"/>
  <c r="O3" i="4"/>
  <c r="R136" i="6" a="1"/>
  <c r="R248" i="6" a="1"/>
  <c r="R65" i="6" a="1"/>
  <c r="R181" i="6" a="1"/>
  <c r="R135" i="6" a="1"/>
  <c r="R247" i="6" a="1"/>
  <c r="R166" i="6" a="1"/>
  <c r="R34" i="6" a="1"/>
  <c r="P92" i="6" a="1"/>
  <c r="P204" i="6" a="1"/>
  <c r="P124" i="6" a="1"/>
  <c r="P236" i="6" a="1"/>
  <c r="P188" i="6" a="1"/>
  <c r="P300" i="6" a="1"/>
  <c r="M211" i="6" a="1"/>
  <c r="T31" i="6" a="1"/>
  <c r="T143" i="6" a="1"/>
  <c r="T70" i="6" a="1"/>
  <c r="T106" i="6" a="1"/>
  <c r="S8" i="6" a="1"/>
  <c r="S120" i="6" a="1"/>
  <c r="S296" i="6" a="1"/>
  <c r="S73" i="6" a="1"/>
  <c r="S253" i="6" a="1"/>
  <c r="S30" i="6" a="1"/>
  <c r="S170" i="6" a="1"/>
  <c r="S62" i="6" a="1"/>
  <c r="S14" i="6" a="1"/>
  <c r="S130" i="6" a="1"/>
  <c r="T73" i="6" a="1"/>
  <c r="N37" i="6" a="1"/>
  <c r="R185" i="6" a="1"/>
  <c r="R75" i="6" a="1"/>
  <c r="R251" i="6" a="1"/>
  <c r="R30" i="6" a="1"/>
  <c r="R138" i="6" a="1"/>
  <c r="P32" i="6" a="1"/>
  <c r="P208" i="6" a="1"/>
  <c r="P9" i="6" a="1"/>
  <c r="T24" i="6" a="1"/>
  <c r="T136" i="6" a="1"/>
  <c r="T56" i="6" a="1"/>
  <c r="T168" i="6" a="1"/>
  <c r="T120" i="6" a="1"/>
  <c r="T232" i="6" a="1"/>
  <c r="P234" i="6" a="1"/>
  <c r="P27" i="6" a="1"/>
  <c r="T230" i="6" a="1"/>
  <c r="S92" i="6" a="1"/>
  <c r="S268" i="6" a="1"/>
  <c r="S45" i="6" a="1"/>
  <c r="S225" i="6" a="1"/>
  <c r="S278" i="6" a="1"/>
  <c r="S198" i="6" a="1"/>
  <c r="S47" i="6" a="1"/>
  <c r="S227" i="6" a="1"/>
  <c r="R48" i="6" a="1"/>
  <c r="S267" i="6" a="1"/>
  <c r="R80" i="6" a="1"/>
  <c r="R32" i="6" a="1"/>
  <c r="R144" i="6" a="1"/>
  <c r="N159" i="6" a="1"/>
  <c r="N6" i="6" a="1"/>
  <c r="R130" i="6" a="1"/>
  <c r="P4" i="6" a="1"/>
  <c r="P180" i="6" a="1"/>
  <c r="P292" i="6" a="1"/>
  <c r="P157" i="6" a="1"/>
  <c r="T108" i="6" a="1"/>
  <c r="T284" i="6" a="1"/>
  <c r="T49" i="6" a="1"/>
  <c r="T233" i="6" a="1"/>
  <c r="T87" i="6" a="1"/>
  <c r="T7" i="6" a="1"/>
  <c r="T119" i="6" a="1"/>
  <c r="T71" i="6" a="1"/>
  <c r="T183" i="6" a="1"/>
  <c r="O184" i="6" a="1"/>
  <c r="O49" i="6" a="1"/>
  <c r="P184" i="6" a="1"/>
  <c r="P296" i="6" a="1"/>
  <c r="P161" i="6" a="1"/>
  <c r="T112" i="6" a="1"/>
  <c r="T288" i="6" a="1"/>
  <c r="T53" i="6" a="1"/>
  <c r="T241" i="6" a="1"/>
  <c r="T91" i="6" a="1"/>
  <c r="T267" i="6" a="1"/>
  <c r="T258" i="6" a="1"/>
  <c r="T299" i="6" a="1"/>
  <c r="T26" i="6" a="1"/>
  <c r="T226" i="6" a="1"/>
  <c r="T162" i="6" a="1"/>
  <c r="O197" i="6" a="1"/>
  <c r="O292" i="6" a="1"/>
  <c r="S158" i="6" a="1"/>
  <c r="S23" i="6" a="1"/>
  <c r="S199" i="6" a="1"/>
  <c r="R24" i="6" a="1"/>
  <c r="R200" i="6" a="1"/>
  <c r="R209" i="6" a="1"/>
  <c r="S59" i="6" a="1"/>
  <c r="S171" i="6" a="1"/>
  <c r="R60" i="6" a="1"/>
  <c r="R172" i="6" a="1"/>
  <c r="R265" i="6" a="1"/>
  <c r="R101" i="6" a="1"/>
  <c r="R59" i="6" a="1"/>
  <c r="R171" i="6" a="1"/>
  <c r="R286" i="6" a="1"/>
  <c r="R297" i="6" a="1"/>
  <c r="R62" i="6" a="1"/>
  <c r="R218" i="6" a="1"/>
  <c r="R262" i="6" a="1"/>
  <c r="R90" i="6" a="1"/>
  <c r="T181" i="6" a="1"/>
  <c r="M74" i="6" a="1"/>
  <c r="T66" i="6" a="1"/>
  <c r="T39" i="6" a="1"/>
  <c r="O269" i="6" a="1"/>
  <c r="R193" i="6" a="1"/>
  <c r="O23" i="6" a="1"/>
  <c r="T262" i="6" a="1"/>
  <c r="O94" i="6" a="1"/>
  <c r="R114" i="6" a="1"/>
  <c r="T25" i="6" a="1"/>
  <c r="T137" i="6" a="1"/>
  <c r="T63" i="6" a="1"/>
  <c r="T175" i="6" a="1"/>
  <c r="T202" i="6" a="1"/>
  <c r="T78" i="6" a="1"/>
  <c r="S40" i="6" a="1"/>
  <c r="S152" i="6" a="1"/>
  <c r="S301" i="6" a="1"/>
  <c r="S105" i="6" a="1"/>
  <c r="S25" i="6" a="1"/>
  <c r="S137" i="6" a="1"/>
  <c r="S89" i="6" a="1"/>
  <c r="S201" i="6" a="1"/>
  <c r="R72" i="6" a="1"/>
  <c r="N84" i="6" a="1"/>
  <c r="R284" i="6" a="1"/>
  <c r="R37" i="6" a="1"/>
  <c r="R249" i="6" a="1"/>
  <c r="R107" i="6" a="1"/>
  <c r="R283" i="6" a="1"/>
  <c r="R102" i="6" a="1"/>
  <c r="R301" i="6" a="1"/>
  <c r="P64" i="6" a="1"/>
  <c r="P240" i="6" a="1"/>
  <c r="P41" i="6" a="1"/>
  <c r="P272" i="6" a="1"/>
  <c r="P73" i="6" a="1"/>
  <c r="P25" i="6" a="1"/>
  <c r="P137" i="6" a="1"/>
  <c r="P269" i="6" a="1"/>
  <c r="P122" i="6" a="1"/>
  <c r="T86" i="6" a="1"/>
  <c r="T122" i="6" a="1"/>
  <c r="S12" i="6" a="1"/>
  <c r="S124" i="6" a="1"/>
  <c r="S300" i="6" a="1"/>
  <c r="S77" i="6" a="1"/>
  <c r="S261" i="6" a="1"/>
  <c r="S34" i="6" a="1"/>
  <c r="S266" i="6" a="1"/>
  <c r="S79" i="6" a="1"/>
  <c r="S291" i="6" a="1"/>
  <c r="S111" i="6" a="1"/>
  <c r="S63" i="6" a="1"/>
  <c r="S175" i="6" a="1"/>
  <c r="N185" i="6" a="1"/>
  <c r="N47" i="6" a="1"/>
  <c r="R255" i="6" a="1"/>
  <c r="R38" i="6" a="1"/>
  <c r="R282" i="6" a="1"/>
  <c r="P36" i="6" a="1"/>
  <c r="P212" i="6" a="1"/>
  <c r="P13" i="6" a="1"/>
  <c r="T28" i="6" a="1"/>
  <c r="T140" i="6" a="1"/>
  <c r="T245" i="6" a="1"/>
  <c r="T81" i="6" a="1"/>
  <c r="T301" i="6" a="1"/>
  <c r="T113" i="6" a="1"/>
  <c r="T65" i="6" a="1"/>
  <c r="T177" i="6" a="1"/>
  <c r="P171" i="6" a="1"/>
  <c r="O72" i="6" a="1"/>
  <c r="S272" i="6" a="1"/>
  <c r="S49" i="6" a="1"/>
  <c r="S229" i="6" a="1"/>
  <c r="S6" i="6" a="1"/>
  <c r="S206" i="6" a="1"/>
  <c r="S51" i="6" a="1"/>
  <c r="S231" i="6" a="1"/>
  <c r="R52" i="6" a="1"/>
  <c r="R228" i="6" a="1"/>
  <c r="R253" i="6" a="1"/>
  <c r="R260" i="6" a="1"/>
  <c r="R13" i="6" a="1"/>
  <c r="R229" i="6" a="1"/>
  <c r="R77" i="6" a="1"/>
  <c r="N226" i="6" a="1"/>
  <c r="N278" i="6" a="1"/>
  <c r="S233" i="6" a="1"/>
  <c r="S10" i="6" a="1"/>
  <c r="S214" i="6" a="1"/>
  <c r="S55" i="6" a="1"/>
  <c r="S235" i="6" a="1"/>
  <c r="R56" i="6" a="1"/>
  <c r="R232" i="6" a="1"/>
  <c r="R257" i="6" a="1"/>
  <c r="R161" i="6" a="1"/>
  <c r="R55" i="6" a="1"/>
  <c r="R201" i="6" a="1"/>
  <c r="R87" i="6" a="1"/>
  <c r="R39" i="6" a="1"/>
  <c r="R151" i="6" a="1"/>
  <c r="M124" i="6" a="1"/>
  <c r="M268" i="6" a="1"/>
  <c r="P165" i="6" a="1"/>
  <c r="T148" i="6" a="1"/>
  <c r="T260" i="6" a="1"/>
  <c r="T89" i="6" a="1"/>
  <c r="T205" i="6" a="1"/>
  <c r="T127" i="6" a="1"/>
  <c r="T152" i="6" a="1"/>
  <c r="T264" i="6" a="1"/>
  <c r="T93" i="6" a="1"/>
  <c r="T209" i="6" a="1"/>
  <c r="T131" i="6" a="1"/>
  <c r="T243" i="6" a="1"/>
  <c r="T58" i="6" a="1"/>
  <c r="T98" i="6" a="1"/>
  <c r="S108" i="6" a="1"/>
  <c r="S220" i="6" a="1"/>
  <c r="S140" i="6" a="1"/>
  <c r="S252" i="6" a="1"/>
  <c r="S204" i="6" a="1"/>
  <c r="S277" i="6" a="1"/>
  <c r="O210" i="6" a="1"/>
  <c r="O155" i="6" a="1"/>
  <c r="S36" i="6" a="1"/>
  <c r="T151" i="6" a="1"/>
  <c r="M192" i="6" a="1"/>
  <c r="R83" i="6" a="1"/>
  <c r="M133" i="6" a="1"/>
  <c r="S100" i="6" a="1"/>
  <c r="M87" i="6" a="1"/>
  <c r="P12" i="6" a="1"/>
  <c r="P285" i="6" a="1"/>
  <c r="R28" i="6" a="1"/>
  <c r="R140" i="6" a="1"/>
  <c r="R217" i="6" a="1"/>
  <c r="R69" i="6" a="1"/>
  <c r="R27" i="6" a="1"/>
  <c r="R139" i="6" a="1"/>
  <c r="R182" i="6" a="1"/>
  <c r="R190" i="6" a="1"/>
  <c r="R258" i="6" a="1"/>
  <c r="P96" i="6" a="1"/>
  <c r="P16" i="6" a="1"/>
  <c r="P128" i="6" a="1"/>
  <c r="P80" i="6" a="1"/>
  <c r="P192" i="6" a="1"/>
  <c r="R184" i="6" a="1"/>
  <c r="M247" i="6" a="1"/>
  <c r="T67" i="6" a="1"/>
  <c r="T179" i="6" a="1"/>
  <c r="T210" i="6" a="1"/>
  <c r="T94" i="6" a="1"/>
  <c r="S44" i="6" a="1"/>
  <c r="S156" i="6" a="1"/>
  <c r="S246" i="6" a="1"/>
  <c r="S109" i="6" a="1"/>
  <c r="S178" i="6" a="1"/>
  <c r="S66" i="6" a="1"/>
  <c r="S242" i="6" a="1"/>
  <c r="S98" i="6" a="1"/>
  <c r="S50" i="6" a="1"/>
  <c r="S166" i="6" a="1"/>
  <c r="N232" i="6" a="1"/>
  <c r="N73" i="6" a="1"/>
  <c r="R261" i="6" a="1"/>
  <c r="R111" i="6" a="1"/>
  <c r="R287" i="6" a="1"/>
  <c r="R110" i="6" a="1"/>
  <c r="R42" i="6" a="1"/>
  <c r="P68" i="6" a="1"/>
  <c r="P244" i="6" a="1"/>
  <c r="P45" i="6" a="1"/>
  <c r="T60" i="6" a="1"/>
  <c r="T172" i="6" a="1"/>
  <c r="T92" i="6" a="1"/>
  <c r="T204" i="6" a="1"/>
  <c r="T156" i="6" a="1"/>
  <c r="T268" i="6" a="1"/>
  <c r="P270" i="6" a="1"/>
  <c r="P215" i="6" a="1"/>
  <c r="S16" i="6" a="1"/>
  <c r="S128" i="6" a="1"/>
  <c r="S213" i="6" a="1"/>
  <c r="S81" i="6" a="1"/>
  <c r="S265" i="6" a="1"/>
  <c r="S38" i="6" a="1"/>
  <c r="S274" i="6" a="1"/>
  <c r="S83" i="6" a="1"/>
  <c r="S275" i="6" a="1"/>
  <c r="R84" i="6" a="1"/>
  <c r="R4" i="6" a="1"/>
  <c r="R116" i="6" a="1"/>
  <c r="R68" i="6" a="1"/>
  <c r="R180" i="6" a="1"/>
  <c r="N195" i="6" a="1"/>
  <c r="N150" i="6" a="1"/>
  <c r="R58" i="6" a="1"/>
  <c r="P40" i="6" a="1"/>
  <c r="P216" i="6" a="1"/>
  <c r="P17" i="6" a="1"/>
  <c r="T32" i="6" a="1"/>
  <c r="T144" i="6" a="1"/>
  <c r="T253" i="6" a="1"/>
  <c r="T85" i="6" a="1"/>
  <c r="T11" i="6" a="1"/>
  <c r="T123" i="6" a="1"/>
  <c r="T43" i="6" a="1"/>
  <c r="T155" i="6" a="1"/>
  <c r="T107" i="6" a="1"/>
  <c r="T219" i="6" a="1"/>
  <c r="O224" i="6" a="1"/>
  <c r="O85" i="6" a="1"/>
  <c r="P220" i="6" a="1"/>
  <c r="P21" i="6" a="1"/>
  <c r="T4" i="6" a="1"/>
  <c r="T180" i="6" a="1"/>
  <c r="T292" i="6" a="1"/>
  <c r="T121" i="6" a="1"/>
  <c r="T249" i="6" a="1"/>
  <c r="T159" i="6" a="1"/>
  <c r="T271" i="6" a="1"/>
  <c r="T191" i="6" a="1"/>
  <c r="T6" i="6" a="1"/>
  <c r="T255" i="6" a="1"/>
  <c r="T234" i="6" a="1"/>
  <c r="T33" i="6" a="1"/>
  <c r="O237" i="6" a="1"/>
  <c r="S46" i="6" a="1"/>
  <c r="S162" i="6" a="1"/>
  <c r="S91" i="6" a="1"/>
  <c r="S203" i="6" a="1"/>
  <c r="R92" i="6" a="1"/>
  <c r="R204" i="6" a="1"/>
  <c r="R21" i="6" a="1"/>
  <c r="S95" i="6" a="1"/>
  <c r="S207" i="6" a="1"/>
  <c r="R96" i="6" a="1"/>
  <c r="R208" i="6" a="1"/>
  <c r="R25" i="6" a="1"/>
  <c r="R137" i="6" a="1"/>
  <c r="R95" i="6" a="1"/>
  <c r="R207" i="6" a="1"/>
  <c r="R70" i="6" a="1"/>
  <c r="R250" i="6" a="1"/>
  <c r="R142" i="6" a="1"/>
  <c r="R234" i="6" a="1"/>
  <c r="R154" i="6" a="1"/>
  <c r="R194" i="6" a="1"/>
  <c r="M225" i="6" a="1"/>
  <c r="M27" i="6" a="1"/>
  <c r="T298" i="6" a="1"/>
  <c r="O157" i="6" a="1"/>
  <c r="O10" i="6" a="1"/>
  <c r="O159" i="6" a="1"/>
  <c r="O15" i="6" a="1"/>
  <c r="O95" i="6" a="1"/>
  <c r="O235" i="6" a="1"/>
  <c r="N104" i="6" a="1"/>
  <c r="N248" i="6" a="1"/>
  <c r="T61" i="6" a="1"/>
  <c r="T173" i="6" a="1"/>
  <c r="T99" i="6" a="1"/>
  <c r="T211" i="6" a="1"/>
  <c r="T274" i="6" a="1"/>
  <c r="T270" i="6" a="1"/>
  <c r="S76" i="6" a="1"/>
  <c r="S188" i="6" a="1"/>
  <c r="S29" i="6" a="1"/>
  <c r="S141" i="6" a="1"/>
  <c r="S61" i="6" a="1"/>
  <c r="S173" i="6" a="1"/>
  <c r="S125" i="6" a="1"/>
  <c r="S241" i="6" a="1"/>
  <c r="O111" i="6" a="1"/>
  <c r="N120" i="6" a="1"/>
  <c r="R225" i="6" a="1"/>
  <c r="R73" i="6" a="1"/>
  <c r="R31" i="6" a="1"/>
  <c r="R143" i="6" a="1"/>
  <c r="R198" i="6" a="1"/>
  <c r="R206" i="6" a="1"/>
  <c r="R289" i="6" a="1"/>
  <c r="P100" i="6" a="1"/>
  <c r="P276" i="6" a="1"/>
  <c r="P77" i="6" a="1"/>
  <c r="P289" i="6" a="1"/>
  <c r="P109" i="6" a="1"/>
  <c r="P61" i="6" a="1"/>
  <c r="T12" i="6" a="1"/>
  <c r="P14" i="6" a="1"/>
  <c r="P158" i="6" a="1"/>
  <c r="T218" i="6" a="1"/>
  <c r="T126" i="6" a="1"/>
  <c r="S48" i="6" a="1"/>
  <c r="S160" i="6" a="1"/>
  <c r="S282" i="6" a="1"/>
  <c r="S113" i="6" a="1"/>
  <c r="S186" i="6" a="1"/>
  <c r="S70" i="6" a="1"/>
  <c r="S299" i="6" a="1"/>
  <c r="S115" i="6" a="1"/>
  <c r="S35" i="6" a="1"/>
  <c r="S147" i="6" a="1"/>
  <c r="S99" i="6" a="1"/>
  <c r="S211" i="6" a="1"/>
  <c r="N221" i="6" a="1"/>
  <c r="N83" i="6" a="1"/>
  <c r="R291" i="6" a="1"/>
  <c r="R118" i="6" a="1"/>
  <c r="R146" i="6" a="1"/>
  <c r="P72" i="6" a="1"/>
  <c r="P248" i="6" a="1"/>
  <c r="P49" i="6" a="1"/>
  <c r="T64" i="6" a="1"/>
  <c r="T176" i="6" a="1"/>
  <c r="T5" i="6" a="1"/>
  <c r="T117" i="6" a="1"/>
  <c r="T37" i="6" a="1"/>
  <c r="T149" i="6" a="1"/>
  <c r="T101" i="6" a="1"/>
  <c r="T217" i="6" a="1"/>
  <c r="P243" i="6" a="1"/>
  <c r="O108" i="6" a="1"/>
  <c r="S257" i="6" a="1"/>
  <c r="S85" i="6" a="1"/>
  <c r="S273" i="6" a="1"/>
  <c r="S42" i="6" a="1"/>
  <c r="S286" i="6" a="1"/>
  <c r="S87" i="6" a="1"/>
  <c r="S279" i="6" a="1"/>
  <c r="R88" i="6" a="1"/>
  <c r="R264" i="6" a="1"/>
  <c r="R17" i="6" a="1"/>
  <c r="R296" i="6" a="1"/>
  <c r="R49" i="6" a="1"/>
  <c r="R285" i="6" a="1"/>
  <c r="R113" i="6" a="1"/>
  <c r="N78" i="6" a="1"/>
  <c r="S121" i="6" a="1"/>
  <c r="S237" i="6" a="1"/>
  <c r="S78" i="6" a="1"/>
  <c r="S222" i="6" a="1"/>
  <c r="S123" i="6" a="1"/>
  <c r="S239" i="6" a="1"/>
  <c r="R124" i="6" a="1"/>
  <c r="R236" i="6" a="1"/>
  <c r="R53" i="6" a="1"/>
  <c r="R169" i="6" a="1"/>
  <c r="R85" i="6" a="1"/>
  <c r="R205" i="6" a="1"/>
  <c r="R149" i="6" a="1"/>
  <c r="R43" i="6" a="1"/>
  <c r="T145" i="6" a="1"/>
  <c r="M160" i="6" a="1"/>
  <c r="P57" i="6" a="1"/>
  <c r="T8" i="6" a="1"/>
  <c r="T184" i="6" a="1"/>
  <c r="T296" i="6" a="1"/>
  <c r="T125" i="6" a="1"/>
  <c r="T257" i="6" a="1"/>
  <c r="T163" i="6" a="1"/>
  <c r="T188" i="6" a="1"/>
  <c r="T300" i="6" a="1"/>
  <c r="T129" i="6" a="1"/>
  <c r="T265" i="6" a="1"/>
  <c r="T167" i="6" a="1"/>
  <c r="T279" i="6" a="1"/>
  <c r="T46" i="6" a="1"/>
  <c r="T182" i="6" a="1"/>
  <c r="S144" i="6" a="1"/>
  <c r="S256" i="6" a="1"/>
  <c r="S176" i="6" a="1"/>
  <c r="S288" i="6" a="1"/>
  <c r="S240" i="6" a="1"/>
  <c r="S17" i="6" a="1"/>
  <c r="O103" i="6" a="1"/>
  <c r="O287" i="6" a="1"/>
  <c r="S68" i="6" a="1"/>
  <c r="M84" i="6" a="1"/>
  <c r="M228" i="6" a="1"/>
  <c r="M25" i="6" a="1"/>
  <c r="M169" i="6" a="1"/>
  <c r="M62" i="6" a="1"/>
  <c r="M123" i="6" a="1"/>
  <c r="P173" i="6" a="1"/>
  <c r="P30" i="6" a="1"/>
  <c r="R64" i="6" a="1"/>
  <c r="R176" i="6" a="1"/>
  <c r="R273" i="6" a="1"/>
  <c r="R105" i="6" a="1"/>
  <c r="R63" i="6" a="1"/>
  <c r="R175" i="6" a="1"/>
  <c r="R6" i="6" a="1"/>
  <c r="R50" i="6" a="1"/>
  <c r="P20" i="6" a="1"/>
  <c r="P132" i="6" a="1"/>
  <c r="P52" i="6" a="1"/>
  <c r="P164" i="6" a="1"/>
  <c r="P116" i="6" a="1"/>
  <c r="P228" i="6" a="1"/>
  <c r="M139" i="6" a="1"/>
  <c r="P189" i="6" a="1"/>
  <c r="T103" i="6" a="1"/>
  <c r="T215" i="6" a="1"/>
  <c r="T282" i="6" a="1"/>
  <c r="T286" i="6" a="1"/>
  <c r="S80" i="6" a="1"/>
  <c r="S192" i="6" a="1"/>
  <c r="S33" i="6" a="1"/>
  <c r="S145" i="6" a="1"/>
  <c r="S254" i="6" a="1"/>
  <c r="S102" i="6" a="1"/>
  <c r="S22" i="6" a="1"/>
  <c r="S138" i="6" a="1"/>
  <c r="S86" i="6" a="1"/>
  <c r="S238" i="6" a="1"/>
  <c r="N268" i="6" a="1"/>
  <c r="N109" i="6" a="1"/>
  <c r="R35" i="6" a="1"/>
  <c r="R147" i="6" a="1"/>
  <c r="R214" i="6" a="1"/>
  <c r="R222" i="6" a="1"/>
  <c r="R106" i="6" a="1"/>
  <c r="P104" i="6" a="1"/>
  <c r="P280" i="6" a="1"/>
  <c r="P81" i="6" a="1"/>
  <c r="T96" i="6" a="1"/>
  <c r="T208" i="6" a="1"/>
  <c r="T128" i="6" a="1"/>
  <c r="T240" i="6" a="1"/>
  <c r="T192" i="6" a="1"/>
  <c r="T193" i="6" a="1"/>
  <c r="P15" i="6" a="1"/>
  <c r="P71" i="6" a="1"/>
  <c r="S52" i="6" a="1"/>
  <c r="S164" i="6" a="1"/>
  <c r="S5" i="6" a="1"/>
  <c r="S117" i="6" a="1"/>
  <c r="S194" i="6" a="1"/>
  <c r="S74" i="6" a="1"/>
  <c r="S7" i="6" a="1"/>
  <c r="S119" i="6" a="1"/>
  <c r="R8" i="6" a="1"/>
  <c r="R120" i="6" a="1"/>
  <c r="R40" i="6" a="1"/>
  <c r="R152" i="6" a="1"/>
  <c r="R104" i="6" a="1"/>
  <c r="R216" i="6" a="1"/>
  <c r="N231" i="6" a="1"/>
  <c r="N46" i="6" a="1"/>
  <c r="R162" i="6" a="1"/>
  <c r="P76" i="6" a="1"/>
  <c r="P252" i="6" a="1"/>
  <c r="P53" i="6" a="1"/>
  <c r="T36" i="6" a="1"/>
  <c r="T212" i="6" a="1"/>
  <c r="T261" i="6" a="1"/>
  <c r="T153" i="6" a="1"/>
  <c r="T15" i="6" a="1"/>
  <c r="T185" i="6" a="1"/>
  <c r="T47" i="6" a="1"/>
  <c r="T289" i="6" a="1"/>
  <c r="T111" i="6" a="1"/>
  <c r="S294" i="6" a="1"/>
  <c r="O264" i="6" a="1"/>
  <c r="P112" i="6" a="1"/>
  <c r="P224" i="6" a="1"/>
  <c r="P89" i="6" a="1"/>
  <c r="T40" i="6" a="1"/>
  <c r="T216" i="6" a="1"/>
  <c r="T269" i="6" a="1"/>
  <c r="T157" i="6" a="1"/>
  <c r="T19" i="6" a="1"/>
  <c r="T195" i="6" a="1"/>
  <c r="T22" i="6" a="1"/>
  <c r="T227" i="6" a="1"/>
  <c r="T146" i="6" a="1"/>
  <c r="T291" i="6" a="1"/>
  <c r="T178" i="6" a="1"/>
  <c r="O125" i="6" a="1"/>
  <c r="O273" i="6" a="1"/>
  <c r="S82" i="6" a="1"/>
  <c r="S230" i="6" a="1"/>
  <c r="S127" i="6" a="1"/>
  <c r="S243" i="6" a="1"/>
  <c r="R128" i="6" a="1"/>
  <c r="R240" i="6" a="1"/>
  <c r="R57" i="6" a="1"/>
  <c r="S131" i="6" a="1"/>
  <c r="S247" i="6" a="1"/>
  <c r="R132" i="6" a="1"/>
  <c r="R244" i="6" a="1"/>
  <c r="R61" i="6" a="1"/>
  <c r="R177" i="6" a="1"/>
  <c r="R131" i="6" a="1"/>
  <c r="R243" i="6" a="1"/>
  <c r="R158" i="6" a="1"/>
  <c r="R66" i="6" a="1"/>
  <c r="R293" i="6" a="1"/>
  <c r="R82" i="6" a="1"/>
  <c r="R10" i="6" a="1"/>
  <c r="P8" i="6" a="1"/>
  <c r="M297" i="6" a="1"/>
  <c r="M63" i="6" a="1"/>
  <c r="S20" i="6" a="1"/>
  <c r="O193" i="6" a="1"/>
  <c r="O284" i="6" a="1"/>
  <c r="O131" i="6" a="1"/>
  <c r="O166" i="6" a="1"/>
  <c r="O107" i="6" a="1"/>
  <c r="O266" i="6" a="1"/>
  <c r="T97" i="6" a="1"/>
  <c r="T213" i="6" a="1"/>
  <c r="T135" i="6" a="1"/>
  <c r="T247" i="6" a="1"/>
  <c r="T74" i="6" a="1"/>
  <c r="T114" i="6" a="1"/>
  <c r="S112" i="6" a="1"/>
  <c r="S224" i="6" a="1"/>
  <c r="S65" i="6" a="1"/>
  <c r="S177" i="6" a="1"/>
  <c r="S97" i="6" a="1"/>
  <c r="S209" i="6" a="1"/>
  <c r="S161" i="6" a="1"/>
  <c r="S297" i="6" a="1"/>
  <c r="N12" i="6" a="1"/>
  <c r="N156" i="6" a="1"/>
  <c r="R277" i="6" a="1"/>
  <c r="R109" i="6" a="1"/>
  <c r="R67" i="6" a="1"/>
  <c r="R179" i="6" a="1"/>
  <c r="R14" i="6" a="1"/>
  <c r="R281" i="6" a="1"/>
  <c r="P24" i="6" a="1"/>
  <c r="P136" i="6" a="1"/>
  <c r="P301" i="6" a="1"/>
  <c r="P113" i="6" a="1"/>
  <c r="P33" i="6" a="1"/>
  <c r="P145" i="6" a="1"/>
  <c r="P97" i="6" a="1"/>
  <c r="T48" i="6" a="1"/>
  <c r="P50" i="6" a="1"/>
  <c r="P194" i="6" a="1"/>
  <c r="T290" i="6" a="1"/>
  <c r="T302" i="6" a="1"/>
  <c r="S84" i="6" a="1"/>
  <c r="S196" i="6" a="1"/>
  <c r="S37" i="6" a="1"/>
  <c r="S149" i="6" a="1"/>
  <c r="S262" i="6" a="1"/>
  <c r="S106" i="6" a="1"/>
  <c r="S39" i="6" a="1"/>
  <c r="S151" i="6" a="1"/>
  <c r="S71" i="6" a="1"/>
  <c r="S183" i="6" a="1"/>
  <c r="S135" i="6" a="1"/>
  <c r="S255" i="6" a="1"/>
  <c r="N261" i="6" a="1"/>
  <c r="N119" i="6" a="1"/>
  <c r="R230" i="6" a="1"/>
  <c r="R238" i="6" a="1"/>
  <c r="R302" i="6" a="1"/>
  <c r="P108" i="6" a="1"/>
  <c r="P284" i="6" a="1"/>
  <c r="P85" i="6" a="1"/>
  <c r="T68" i="6" a="1"/>
  <c r="T244" i="6" a="1"/>
  <c r="T9" i="6" a="1"/>
  <c r="T276" i="6" a="1"/>
  <c r="T41" i="6" a="1"/>
  <c r="T285" i="6" a="1"/>
  <c r="T105" i="6" a="1"/>
  <c r="T293" i="6" a="1"/>
  <c r="P67" i="6" a="1"/>
  <c r="S200" i="6" a="1"/>
  <c r="S269" i="6" a="1"/>
  <c r="S153" i="6" a="1"/>
  <c r="S281" i="6" a="1"/>
  <c r="S110" i="6" a="1"/>
  <c r="S219" i="6" a="1"/>
  <c r="S155" i="6" a="1"/>
  <c r="S287" i="6" a="1"/>
  <c r="R156" i="6" a="1"/>
  <c r="R268" i="6" a="1"/>
  <c r="R188" i="6" a="1"/>
  <c r="R300" i="6" a="1"/>
  <c r="R252" i="6" a="1"/>
  <c r="R5" i="6" a="1"/>
  <c r="R112" i="6" a="1"/>
  <c r="N98" i="6" a="1"/>
  <c r="S157" i="6" a="1"/>
  <c r="S289" i="6" a="1"/>
  <c r="S114" i="6" a="1"/>
  <c r="S251" i="6" a="1"/>
  <c r="S159" i="6" a="1"/>
  <c r="S295" i="6" a="1"/>
  <c r="R160" i="6" a="1"/>
  <c r="R272" i="6" a="1"/>
  <c r="R89" i="6" a="1"/>
  <c r="R213" i="6" a="1"/>
  <c r="R121" i="6" a="1"/>
  <c r="R15" i="6" a="1"/>
  <c r="R189" i="6" a="1"/>
  <c r="R79" i="6" a="1"/>
  <c r="M52" i="6" a="1"/>
  <c r="M196" i="6" a="1"/>
  <c r="P93" i="6" a="1"/>
  <c r="T44" i="6" a="1"/>
  <c r="T220" i="6" a="1"/>
  <c r="T273" i="6" a="1"/>
  <c r="T161" i="6" a="1"/>
  <c r="T23" i="6" a="1"/>
  <c r="T199" i="6" a="1"/>
  <c r="T224" i="6" a="1"/>
  <c r="T281" i="6" a="1"/>
  <c r="T165" i="6" a="1"/>
  <c r="T27" i="6" a="1"/>
  <c r="T203" i="6" a="1"/>
  <c r="T54" i="6" a="1"/>
  <c r="T238" i="6" a="1"/>
  <c r="S4" i="6" a="1"/>
  <c r="S180" i="6" a="1"/>
  <c r="S292" i="6" a="1"/>
  <c r="S212" i="6" a="1"/>
  <c r="S293" i="6" a="1"/>
  <c r="S276" i="6" a="1"/>
  <c r="S53" i="6" a="1"/>
  <c r="O58" i="6" a="1"/>
  <c r="O142" i="6" a="1"/>
  <c r="S132" i="6" a="1"/>
  <c r="M120" i="6" a="1"/>
  <c r="M264" i="6" a="1"/>
  <c r="M61" i="6" a="1"/>
  <c r="M209" i="6" a="1"/>
  <c r="M15" i="6" a="1"/>
  <c r="M159" i="6" a="1"/>
  <c r="P209" i="6" a="1"/>
  <c r="R100" i="6" a="1"/>
  <c r="R212" i="6" a="1"/>
  <c r="R29" i="6" a="1"/>
  <c r="R141" i="6" a="1"/>
  <c r="R99" i="6" a="1"/>
  <c r="R211" i="6" a="1"/>
  <c r="R78" i="6" a="1"/>
  <c r="R266" i="6" a="1"/>
  <c r="P56" i="6" a="1"/>
  <c r="P168" i="6" a="1"/>
  <c r="P88" i="6" a="1"/>
  <c r="P200" i="6" a="1"/>
  <c r="P152" i="6" a="1"/>
  <c r="P264" i="6" a="1"/>
  <c r="M175" i="6" a="1"/>
  <c r="P225" i="6" a="1"/>
  <c r="T139" i="6" a="1"/>
  <c r="T251" i="6" a="1"/>
  <c r="T90" i="6" a="1"/>
  <c r="T130" i="6" a="1"/>
  <c r="S116" i="6" a="1"/>
  <c r="S228" i="6" a="1"/>
  <c r="S69" i="6" a="1"/>
  <c r="S181" i="6" a="1"/>
  <c r="S26" i="6" a="1"/>
  <c r="S142" i="6" a="1"/>
  <c r="S58" i="6" a="1"/>
  <c r="S182" i="6" a="1"/>
  <c r="S122" i="6" a="1"/>
  <c r="S271" i="6" a="1"/>
  <c r="N301" i="6" a="1"/>
  <c r="N145" i="6" a="1"/>
  <c r="R71" i="6" a="1"/>
  <c r="R183" i="6" a="1"/>
  <c r="R22" i="6" a="1"/>
  <c r="R294" i="6" a="1"/>
  <c r="P28" i="6" a="1"/>
  <c r="P140" i="6" a="1"/>
  <c r="P5" i="6" a="1"/>
  <c r="P117" i="6" a="1"/>
  <c r="T100" i="6" a="1"/>
  <c r="T20" i="6" a="1"/>
  <c r="T132" i="6" a="1"/>
  <c r="T84" i="6" a="1"/>
  <c r="T196" i="6" a="1"/>
  <c r="S259" i="6" a="1"/>
  <c r="P223" i="6" a="1"/>
  <c r="T154" i="6" a="1"/>
  <c r="S56" i="6" a="1"/>
  <c r="S232" i="6" a="1"/>
  <c r="S9" i="6" a="1"/>
  <c r="S185" i="6" a="1"/>
  <c r="S202" i="6" a="1"/>
  <c r="S146" i="6" a="1"/>
  <c r="S11" i="6" a="1"/>
  <c r="S187" i="6" a="1"/>
  <c r="R12" i="6" a="1"/>
  <c r="S223" i="6" a="1"/>
  <c r="R44" i="6" a="1"/>
  <c r="S290" i="6" a="1"/>
  <c r="R108" i="6" a="1"/>
  <c r="T109" i="6" a="1"/>
  <c r="N267" i="6" a="1"/>
  <c r="R74" i="6" a="1"/>
  <c r="R178" i="6" a="1"/>
  <c r="P144" i="6" a="1"/>
  <c r="P256" i="6" a="1"/>
  <c r="P121" i="6" a="1"/>
  <c r="T72" i="6" a="1"/>
  <c r="T248" i="6" a="1"/>
  <c r="T13" i="6" a="1"/>
  <c r="T189" i="6" a="1"/>
  <c r="T51" i="6" a="1"/>
  <c r="T225" i="6" a="1"/>
  <c r="T83" i="6" a="1"/>
  <c r="T35" i="6" a="1"/>
  <c r="T147" i="6" a="1"/>
  <c r="O148" i="6" a="1"/>
  <c r="O13" i="6" a="1"/>
  <c r="P148" i="6" a="1"/>
  <c r="P260" i="6" a="1"/>
  <c r="P125" i="6" a="1"/>
  <c r="T76" i="6" a="1"/>
  <c r="T252" i="6" a="1"/>
  <c r="T17" i="6" a="1"/>
  <c r="T197" i="6" a="1"/>
  <c r="T55" i="6" a="1"/>
  <c r="T231" i="6" a="1"/>
  <c r="T186" i="6" a="1"/>
  <c r="T263" i="6" a="1"/>
  <c r="T250" i="6" a="1"/>
  <c r="T102" i="6" a="1"/>
  <c r="T138" i="6" a="1"/>
  <c r="O161" i="6" a="1"/>
  <c r="O14" i="6" a="1"/>
  <c r="S118" i="6" a="1"/>
  <c r="S263" i="6" a="1"/>
  <c r="S163" i="6" a="1"/>
  <c r="S298" i="6" a="1"/>
  <c r="R164" i="6" a="1"/>
  <c r="R276" i="6" a="1"/>
  <c r="R93" i="6" a="1"/>
  <c r="S167" i="6" a="1"/>
  <c r="S302" i="6" a="1"/>
  <c r="R168" i="6" a="1"/>
  <c r="R280" i="6" a="1"/>
  <c r="R97" i="6" a="1"/>
  <c r="R233" i="6" a="1"/>
  <c r="R167" i="6" a="1"/>
  <c r="R279" i="6" a="1"/>
  <c r="R290" i="6" a="1"/>
  <c r="R122" i="6" a="1"/>
  <c r="R202" i="6" a="1"/>
  <c r="R242" i="6" a="1"/>
  <c r="R98" i="6" a="1"/>
  <c r="P44" i="6" a="1"/>
  <c r="M38" i="6" a="1"/>
  <c r="T235" i="6" a="1"/>
  <c r="O11" i="6" a="1"/>
  <c r="O233" i="6" a="1"/>
  <c r="O114" i="6" a="1"/>
  <c r="O275" i="6" a="1"/>
  <c r="O39" i="6" a="1"/>
  <c r="O263" i="6" a="1"/>
  <c r="N32" i="6" a="1"/>
  <c r="N176" i="6" a="1"/>
  <c r="T133" i="6" a="1"/>
  <c r="T277" i="6" a="1"/>
  <c r="T171" i="6" a="1"/>
  <c r="T283" i="6" a="1"/>
  <c r="T62" i="6" a="1"/>
  <c r="T198" i="6" a="1"/>
  <c r="S148" i="6" a="1"/>
  <c r="S260" i="6" a="1"/>
  <c r="S101" i="6" a="1"/>
  <c r="S217" i="6" a="1"/>
  <c r="S133" i="6" a="1"/>
  <c r="S249" i="6" a="1"/>
  <c r="S197" i="6" a="1"/>
  <c r="S226" i="6" a="1"/>
  <c r="N48" i="6" a="1"/>
  <c r="N192" i="6" a="1"/>
  <c r="R33" i="6" a="1"/>
  <c r="R145" i="6" a="1"/>
  <c r="R103" i="6" a="1"/>
  <c r="R215" i="6" a="1"/>
  <c r="R86" i="6" a="1"/>
  <c r="R210" i="6" a="1"/>
  <c r="P60" i="6" a="1"/>
  <c r="P172" i="6" a="1"/>
  <c r="P37" i="6" a="1"/>
  <c r="P149" i="6" a="1"/>
  <c r="P69" i="6" a="1"/>
  <c r="P169" i="6" a="1"/>
  <c r="P133" i="6" a="1"/>
  <c r="T229" i="6" a="1"/>
  <c r="P86" i="6" a="1"/>
  <c r="T287" i="6" a="1"/>
  <c r="T158" i="6" a="1"/>
  <c r="T214" i="6" a="1"/>
  <c r="S88" i="6" a="1"/>
  <c r="S264" i="6" a="1"/>
  <c r="S41" i="6" a="1"/>
  <c r="S221" i="6" a="1"/>
  <c r="S270" i="6" a="1"/>
  <c r="S190" i="6" a="1"/>
  <c r="S43" i="6" a="1"/>
  <c r="S258" i="6" a="1"/>
  <c r="S75" i="6" a="1"/>
  <c r="S27" i="6" a="1"/>
  <c r="S139" i="6" a="1"/>
  <c r="R76" i="6" a="1"/>
  <c r="N11" i="6" a="1"/>
  <c r="R219" i="6" a="1"/>
  <c r="R246" i="6" a="1"/>
  <c r="R274" i="6" a="1"/>
  <c r="R26" i="6" a="1"/>
  <c r="P176" i="6" a="1"/>
  <c r="P288" i="6" a="1"/>
  <c r="P153" i="6" a="1"/>
  <c r="T104" i="6" a="1"/>
  <c r="T280" i="6" a="1"/>
  <c r="T45" i="6" a="1"/>
  <c r="T237" i="6" a="1"/>
  <c r="T77" i="6" a="1"/>
  <c r="T29" i="6" a="1"/>
  <c r="T141" i="6" a="1"/>
  <c r="P99" i="6" a="1"/>
  <c r="O36" i="6" a="1"/>
  <c r="S236" i="6" a="1"/>
  <c r="S13" i="6" a="1"/>
  <c r="S189" i="6" a="1"/>
  <c r="S210" i="6" a="1"/>
  <c r="S150" i="6" a="1"/>
  <c r="S15" i="6" a="1"/>
  <c r="S191" i="6" a="1"/>
  <c r="R16" i="6" a="1"/>
  <c r="R192" i="6" a="1"/>
  <c r="R165" i="6" a="1"/>
  <c r="R224" i="6" a="1"/>
  <c r="R245" i="6" a="1"/>
  <c r="R288" i="6" a="1"/>
  <c r="R41" i="6" a="1"/>
  <c r="N122" i="6" a="1"/>
  <c r="N206" i="6" a="1"/>
  <c r="S193" i="6" a="1"/>
  <c r="S218" i="6" a="1"/>
  <c r="S154" i="6" a="1"/>
  <c r="S19" i="6" a="1"/>
  <c r="S195" i="6" a="1"/>
  <c r="R20" i="6" a="1"/>
  <c r="R196" i="6" a="1"/>
  <c r="R197" i="6" a="1"/>
  <c r="R125" i="6" a="1"/>
  <c r="R19" i="6" a="1"/>
  <c r="R157" i="6" a="1"/>
  <c r="R51" i="6" a="1"/>
  <c r="R269" i="6" a="1"/>
  <c r="R115" i="6" a="1"/>
  <c r="M88" i="6" a="1"/>
  <c r="M232" i="6" a="1"/>
  <c r="P129" i="6" a="1"/>
  <c r="T80" i="6" a="1"/>
  <c r="T256" i="6" a="1"/>
  <c r="T21" i="6" a="1"/>
  <c r="T201" i="6" a="1"/>
  <c r="T59" i="6" a="1"/>
  <c r="T116" i="6" a="1"/>
  <c r="T228" i="6" a="1"/>
  <c r="T57" i="6" a="1"/>
  <c r="T169" i="6" a="1"/>
  <c r="T95" i="6" a="1"/>
  <c r="T207" i="6" a="1"/>
  <c r="T266" i="6" a="1"/>
  <c r="T254" i="6" a="1"/>
  <c r="S72" i="6" a="1"/>
  <c r="S184" i="6" a="1"/>
  <c r="S104" i="6" a="1"/>
  <c r="S216" i="6" a="1"/>
  <c r="S168" i="6" a="1"/>
  <c r="S280" i="6" a="1"/>
  <c r="T69" i="6" a="1"/>
  <c r="O290" i="6" a="1"/>
  <c r="T194" i="6" a="1"/>
  <c r="O54" i="6" a="1"/>
  <c r="M156" i="6" a="1"/>
  <c r="M300" i="6" a="1"/>
  <c r="M97" i="6" a="1"/>
  <c r="M269" i="6" a="1"/>
  <c r="M51" i="6" a="1"/>
  <c r="M195" i="6" a="1"/>
  <c r="P245" i="6" a="1"/>
  <c r="N140" i="6" a="1"/>
  <c r="N200" i="6" a="1"/>
  <c r="N41" i="6" a="1"/>
  <c r="O209" i="6" a="1"/>
  <c r="M60" i="6" a="1"/>
  <c r="M230" i="6" a="1"/>
  <c r="O51" i="6" a="1"/>
  <c r="R199" i="6" a="1"/>
  <c r="R292" i="6" a="1"/>
  <c r="O283" i="6" a="1"/>
  <c r="T118" i="6" a="1"/>
  <c r="O271" i="6" a="1"/>
  <c r="R263" i="6" a="1"/>
  <c r="N180" i="6" a="1"/>
  <c r="S248" i="6" a="1"/>
  <c r="N165" i="6" a="1"/>
  <c r="S107" i="6" a="1"/>
  <c r="N265" i="6" a="1"/>
  <c r="N172" i="6" a="1"/>
  <c r="N202" i="6" a="1"/>
  <c r="O79" i="6" a="1"/>
  <c r="N121" i="6" a="1"/>
  <c r="R36" i="6" a="1"/>
  <c r="M34" i="6" a="1"/>
  <c r="M95" i="6" a="1"/>
  <c r="M239" i="6" a="1"/>
  <c r="P297" i="6" a="1"/>
  <c r="P146" i="6" a="1"/>
  <c r="P290" i="6" a="1"/>
  <c r="P51" i="6" a="1"/>
  <c r="P275" i="6" a="1"/>
  <c r="P179" i="6" a="1"/>
  <c r="O76" i="6" a="1"/>
  <c r="M271" i="6" a="1"/>
  <c r="N161" i="6" a="1"/>
  <c r="M246" i="6" a="1"/>
  <c r="R235" i="6" a="1"/>
  <c r="N8" i="6" a="1"/>
  <c r="N152" i="6" a="1"/>
  <c r="N285" i="6" a="1"/>
  <c r="N137" i="6" a="1"/>
  <c r="N289" i="6" a="1"/>
  <c r="N143" i="6" a="1"/>
  <c r="N287" i="6" a="1"/>
  <c r="N178" i="6" a="1"/>
  <c r="N142" i="6" a="1"/>
  <c r="N114" i="6" a="1"/>
  <c r="P98" i="6" a="1"/>
  <c r="M151" i="6" a="1"/>
  <c r="M114" i="6" a="1"/>
  <c r="P247" i="6" a="1"/>
  <c r="P160" i="6" a="1"/>
  <c r="T174" i="6" a="1"/>
  <c r="P46" i="6" a="1"/>
  <c r="P190" i="6" a="1"/>
  <c r="P183" i="6" a="1"/>
  <c r="P75" i="6" a="1"/>
  <c r="O24" i="6" a="1"/>
  <c r="O168" i="6" a="1"/>
  <c r="O33" i="6" a="1"/>
  <c r="O177" i="6" a="1"/>
  <c r="O129" i="6" a="1"/>
  <c r="O281" i="6" a="1"/>
  <c r="O130" i="6" a="1"/>
  <c r="S57" i="6" a="1"/>
  <c r="P187" i="6" a="1"/>
  <c r="P143" i="6" a="1"/>
  <c r="R271" i="6" a="1"/>
  <c r="N217" i="6" a="1"/>
  <c r="N79" i="6" a="1"/>
  <c r="N223" i="6" a="1"/>
  <c r="N290" i="6" a="1"/>
  <c r="N50" i="6" a="1"/>
  <c r="M36" i="6" a="1"/>
  <c r="M180" i="6" a="1"/>
  <c r="M257" i="6" a="1"/>
  <c r="M276" i="6" a="1"/>
  <c r="M73" i="6" a="1"/>
  <c r="N49" i="6" a="1"/>
  <c r="P166" i="6" a="1"/>
  <c r="M279" i="6" a="1"/>
  <c r="N19" i="6" a="1"/>
  <c r="P127" i="6" a="1"/>
  <c r="T246" i="6" a="1"/>
  <c r="P235" i="6" a="1"/>
  <c r="O104" i="6" a="1"/>
  <c r="O252" i="6" a="1"/>
  <c r="O113" i="6" a="1"/>
  <c r="O261" i="6" a="1"/>
  <c r="O227" i="6" a="1"/>
  <c r="O270" i="6" a="1"/>
  <c r="O199" i="6" a="1"/>
  <c r="O219" i="6" a="1"/>
  <c r="O171" i="6" a="1"/>
  <c r="O47" i="6" a="1"/>
  <c r="S169" i="6" a="1"/>
  <c r="N239" i="6" a="1"/>
  <c r="O244" i="6" a="1"/>
  <c r="O118" i="6" a="1"/>
  <c r="R46" i="6" a="1"/>
  <c r="N62" i="6" a="1"/>
  <c r="M8" i="6" a="1"/>
  <c r="M152" i="6" a="1"/>
  <c r="M296" i="6" a="1"/>
  <c r="M93" i="6" a="1"/>
  <c r="M261" i="6" a="1"/>
  <c r="M47" i="6" a="1"/>
  <c r="M191" i="6" a="1"/>
  <c r="M143" i="6" a="1"/>
  <c r="P193" i="6" a="1"/>
  <c r="N212" i="6" a="1"/>
  <c r="P273" i="6" a="1"/>
  <c r="P126" i="6" a="1"/>
  <c r="P230" i="6" a="1"/>
  <c r="N158" i="6" a="1"/>
  <c r="P105" i="6" a="1"/>
  <c r="O55" i="6" a="1"/>
  <c r="R174" i="6" a="1"/>
  <c r="R45" i="6" a="1"/>
  <c r="M101" i="6" a="1"/>
  <c r="T170" i="6" a="1"/>
  <c r="M55" i="6" a="1"/>
  <c r="R54" i="6" a="1"/>
  <c r="P249" i="6" a="1"/>
  <c r="P106" i="6" a="1"/>
  <c r="P250" i="6" a="1"/>
  <c r="P202" i="6" a="1"/>
  <c r="P239" i="6" a="1"/>
  <c r="N244" i="6" a="1"/>
  <c r="P29" i="6" a="1"/>
  <c r="M21" i="6" a="1"/>
  <c r="T239" i="6" a="1"/>
  <c r="O163" i="6" a="1"/>
  <c r="O247" i="6" a="1"/>
  <c r="O31" i="6" a="1"/>
  <c r="N112" i="6" a="1"/>
  <c r="N256" i="6" a="1"/>
  <c r="N97" i="6" a="1"/>
  <c r="N241" i="6" a="1"/>
  <c r="N103" i="6" a="1"/>
  <c r="N247" i="6" a="1"/>
  <c r="N199" i="6" a="1"/>
  <c r="N110" i="6" a="1"/>
  <c r="O97" i="6" a="1"/>
  <c r="N233" i="6" a="1"/>
  <c r="N60" i="6" a="1"/>
  <c r="R187" i="6" a="1"/>
  <c r="M171" i="6" a="1"/>
  <c r="P221" i="6" a="1"/>
  <c r="P78" i="6" a="1"/>
  <c r="P222" i="6" a="1"/>
  <c r="P19" i="6" a="1"/>
  <c r="P139" i="6" a="1"/>
  <c r="O56" i="6" a="1"/>
  <c r="O200" i="6" a="1"/>
  <c r="O152" i="6" a="1"/>
  <c r="O17" i="6" a="1"/>
  <c r="O121" i="6" a="1"/>
  <c r="M278" i="6" a="1"/>
  <c r="O242" i="6" a="1"/>
  <c r="P70" i="6" a="1"/>
  <c r="N99" i="6" a="1"/>
  <c r="S60" i="6" a="1"/>
  <c r="N293" i="6" a="1"/>
  <c r="N141" i="6" a="1"/>
  <c r="N297" i="6" a="1"/>
  <c r="N147" i="6" a="1"/>
  <c r="N291" i="6" a="1"/>
  <c r="N186" i="6" a="1"/>
  <c r="N246" i="6" a="1"/>
  <c r="M104" i="6" a="1"/>
  <c r="M56" i="6" a="1"/>
  <c r="M200" i="6" a="1"/>
  <c r="M181" i="6" a="1"/>
  <c r="P174" i="6" a="1"/>
  <c r="O151" i="6" a="1"/>
  <c r="N281" i="6" a="1"/>
  <c r="R223" i="6" a="1"/>
  <c r="P302" i="6" a="1"/>
  <c r="P39" i="6" a="1"/>
  <c r="P299" i="6" a="1"/>
  <c r="O136" i="6" a="1"/>
  <c r="O277" i="6" a="1"/>
  <c r="O145" i="6" a="1"/>
  <c r="O297" i="6" a="1"/>
  <c r="O186" i="6" a="1"/>
  <c r="O162" i="6" a="1"/>
  <c r="O299" i="6" a="1"/>
  <c r="O198" i="6" a="1"/>
  <c r="S129" i="6" a="1"/>
  <c r="M10" i="6" a="1"/>
  <c r="P283" i="6" a="1"/>
  <c r="P31" i="6" a="1"/>
  <c r="S96" i="6" a="1"/>
  <c r="N227" i="6" a="1"/>
  <c r="N14" i="6" a="1"/>
  <c r="N66" i="6" a="1"/>
  <c r="M40" i="6" a="1"/>
  <c r="M184" i="6" a="1"/>
  <c r="M265" i="6" a="1"/>
  <c r="M125" i="6" a="1"/>
  <c r="M18" i="6" a="1"/>
  <c r="M229" i="6" a="1"/>
  <c r="M31" i="6" a="1"/>
  <c r="M135" i="6" a="1"/>
  <c r="N125" i="6" a="1"/>
  <c r="N54" i="6" a="1"/>
  <c r="N34" i="6" a="1"/>
  <c r="O167" i="6" a="1"/>
  <c r="M293" i="6" a="1"/>
  <c r="O260" i="6" a="1"/>
  <c r="O117" i="6" a="1"/>
  <c r="O265" i="6" a="1"/>
  <c r="O250" i="6" a="1"/>
  <c r="O294" i="6" a="1"/>
  <c r="O222" i="6" a="1"/>
  <c r="O78" i="6" a="1"/>
  <c r="N64" i="6" a="1"/>
  <c r="N16" i="6" a="1"/>
  <c r="N160" i="6" a="1"/>
  <c r="N284" i="6" a="1"/>
  <c r="N236" i="6" a="1"/>
  <c r="N77" i="6" a="1"/>
  <c r="N181" i="6" a="1"/>
  <c r="P138" i="6" a="1"/>
  <c r="N275" i="6" a="1"/>
  <c r="O99" i="6" a="1"/>
  <c r="R231" i="6" a="1"/>
  <c r="O183" i="6" a="1"/>
  <c r="O106" i="6" a="1"/>
  <c r="O286" i="6" a="1"/>
  <c r="O110" i="6" a="1"/>
  <c r="N72" i="6" a="1"/>
  <c r="N216" i="6" a="1"/>
  <c r="N57" i="6" a="1"/>
  <c r="N201" i="6" a="1"/>
  <c r="N153" i="6" a="1"/>
  <c r="N15" i="6" a="1"/>
  <c r="N13" i="6" a="1"/>
  <c r="M96" i="6" a="1"/>
  <c r="M134" i="6" a="1"/>
  <c r="T42" i="6" a="1"/>
  <c r="M177" i="6" a="1"/>
  <c r="M70" i="6" a="1"/>
  <c r="M131" i="6" a="1"/>
  <c r="P181" i="6" a="1"/>
  <c r="T190" i="6" a="1"/>
  <c r="P182" i="6" a="1"/>
  <c r="R134" i="6" a="1"/>
  <c r="P23" i="6" a="1"/>
  <c r="T88" i="6" a="1"/>
  <c r="P251" i="6" a="1"/>
  <c r="P196" i="6" a="1"/>
  <c r="P130" i="6" a="1"/>
  <c r="N23" i="6" a="1"/>
  <c r="P3" i="6" a="1"/>
  <c r="R299" i="6" a="1"/>
  <c r="N44" i="6" a="1"/>
  <c r="N188" i="6" a="1"/>
  <c r="N29" i="6" a="1"/>
  <c r="N173" i="6" a="1"/>
  <c r="N35" i="6" a="1"/>
  <c r="N179" i="6" a="1"/>
  <c r="N86" i="6" a="1"/>
  <c r="N282" i="6" a="1"/>
  <c r="N138" i="6" a="1"/>
  <c r="N214" i="6" a="1"/>
  <c r="M48" i="6" a="1"/>
  <c r="M212" i="6" a="1"/>
  <c r="O48" i="6" a="1"/>
  <c r="N21" i="6" a="1"/>
  <c r="N171" i="6" a="1"/>
  <c r="O146" i="6" a="1"/>
  <c r="P82" i="6" a="1"/>
  <c r="P226" i="6" a="1"/>
  <c r="P63" i="6" a="1"/>
  <c r="P147" i="6" a="1"/>
  <c r="O60" i="6" a="1"/>
  <c r="O204" i="6" a="1"/>
  <c r="O69" i="6" a="1"/>
  <c r="O213" i="6" a="1"/>
  <c r="O165" i="6" a="1"/>
  <c r="O18" i="6" a="1"/>
  <c r="M198" i="6" a="1"/>
  <c r="P246" i="6" a="1"/>
  <c r="O223" i="6" a="1"/>
  <c r="M299" i="6" a="1"/>
  <c r="R254" i="6" a="1"/>
  <c r="N257" i="6" a="1"/>
  <c r="N115" i="6" a="1"/>
  <c r="N259" i="6" a="1"/>
  <c r="N74" i="6" a="1"/>
  <c r="N182" i="6" a="1"/>
  <c r="M72" i="6" a="1"/>
  <c r="M216" i="6" a="1"/>
  <c r="M13" i="6" a="1"/>
  <c r="M233" i="6" a="1"/>
  <c r="M109" i="6" a="1"/>
  <c r="M217" i="6" a="1"/>
  <c r="O220" i="6" a="1"/>
  <c r="N132" i="6" a="1"/>
  <c r="N251" i="6" a="1"/>
  <c r="P195" i="6" a="1"/>
  <c r="O278" i="6" a="1"/>
  <c r="P35" i="6" a="1"/>
  <c r="O140" i="6" a="1"/>
  <c r="O5" i="6" a="1"/>
  <c r="O149" i="6" a="1"/>
  <c r="O301" i="6" a="1"/>
  <c r="O243" i="6" a="1"/>
  <c r="O238" i="6" a="1"/>
  <c r="O211" i="6" a="1"/>
  <c r="O119" i="6" a="1"/>
  <c r="O295" i="6" a="1"/>
  <c r="M118" i="6" a="1"/>
  <c r="N197" i="6" a="1"/>
  <c r="O124" i="6" a="1"/>
  <c r="M202" i="6" a="1"/>
  <c r="R221" i="6" a="1"/>
  <c r="M141" i="6" a="1"/>
  <c r="N82" i="6" a="1"/>
  <c r="M44" i="6" a="1"/>
  <c r="M188" i="6" a="1"/>
  <c r="M273" i="6" a="1"/>
  <c r="M129" i="6" a="1"/>
  <c r="M22" i="6" a="1"/>
  <c r="M83" i="6" a="1"/>
  <c r="M227" i="6" a="1"/>
  <c r="M179" i="6" a="1"/>
  <c r="P229" i="6" a="1"/>
  <c r="P66" i="6" a="1"/>
  <c r="P18" i="6" a="1"/>
  <c r="P162" i="6" a="1"/>
  <c r="M150" i="6" a="1"/>
  <c r="P210" i="6" a="1"/>
  <c r="M174" i="6" a="1"/>
  <c r="M53" i="6" a="1"/>
  <c r="R298" i="6" a="1"/>
  <c r="M285" i="6" a="1"/>
  <c r="M137" i="6" a="1"/>
  <c r="M30" i="6" a="1"/>
  <c r="M91" i="6" a="1"/>
  <c r="M235" i="6" a="1"/>
  <c r="P293" i="6" a="1"/>
  <c r="P142" i="6" a="1"/>
  <c r="P286" i="6" a="1"/>
  <c r="P238" i="6" a="1"/>
  <c r="P59" i="6" a="1"/>
  <c r="P91" i="6" a="1"/>
  <c r="M254" i="6" a="1"/>
  <c r="O63" i="6" a="1"/>
  <c r="T82" i="6" a="1"/>
  <c r="T75" i="6" a="1"/>
  <c r="O139" i="6" a="1"/>
  <c r="R7" i="6" a="1"/>
  <c r="N148" i="6" a="1"/>
  <c r="T278" i="6" a="1"/>
  <c r="N133" i="6" a="1"/>
  <c r="R170" i="6" a="1"/>
  <c r="N139" i="6" a="1"/>
  <c r="T200" i="6" a="1"/>
  <c r="N235" i="6" a="1"/>
  <c r="N300" i="6" a="1"/>
  <c r="M281" i="6" a="1"/>
  <c r="O262" i="6" a="1"/>
  <c r="M244" i="6" a="1"/>
  <c r="R148" i="6" a="1"/>
  <c r="M207" i="6" a="1"/>
  <c r="P257" i="6" a="1"/>
  <c r="P114" i="6" a="1"/>
  <c r="P258" i="6" a="1"/>
  <c r="P167" i="6" a="1"/>
  <c r="P211" i="6" a="1"/>
  <c r="O92" i="6" a="1"/>
  <c r="O240" i="6" a="1"/>
  <c r="O188" i="6" a="1"/>
  <c r="O53" i="6" a="1"/>
  <c r="S3" i="6" a="1"/>
  <c r="M284" i="6" a="1"/>
  <c r="S93" i="6" a="1"/>
  <c r="M242" i="6" a="1"/>
  <c r="T275" i="6" a="1"/>
  <c r="O291" i="6" a="1"/>
  <c r="N33" i="6" a="1"/>
  <c r="N177" i="6" a="1"/>
  <c r="N39" i="6" a="1"/>
  <c r="N183" i="6" a="1"/>
  <c r="N102" i="6" a="1"/>
  <c r="N296" i="6" a="1"/>
  <c r="O3" i="6" a="1"/>
  <c r="M140" i="6" a="1"/>
  <c r="M92" i="6" a="1"/>
  <c r="M236" i="6" a="1"/>
  <c r="O133" i="6" a="1"/>
  <c r="P103" i="6" a="1"/>
  <c r="M259" i="6" a="1"/>
  <c r="P207" i="6" a="1"/>
  <c r="M221" i="6" a="1"/>
  <c r="P199" i="6" a="1"/>
  <c r="P83" i="6" a="1"/>
  <c r="O28" i="6" a="1"/>
  <c r="O172" i="6" a="1"/>
  <c r="O37" i="6" a="1"/>
  <c r="O181" i="6" a="1"/>
  <c r="O256" i="6" a="1"/>
  <c r="O83" i="6" a="1"/>
  <c r="O42" i="6" a="1"/>
  <c r="O202" i="6" a="1"/>
  <c r="M182" i="6" a="1"/>
  <c r="O194" i="6" a="1"/>
  <c r="O62" i="6" a="1"/>
  <c r="M294" i="6" a="1"/>
  <c r="T38" i="6" a="1"/>
  <c r="O154" i="6" a="1"/>
  <c r="N263" i="6" a="1"/>
  <c r="N90" i="6" a="1"/>
  <c r="N190" i="6" a="1"/>
  <c r="M76" i="6" a="1"/>
  <c r="M220" i="6" a="1"/>
  <c r="M17" i="6" a="1"/>
  <c r="M161" i="6" a="1"/>
  <c r="M54" i="6" a="1"/>
  <c r="M6" i="6" a="1"/>
  <c r="M67" i="6" a="1"/>
  <c r="N276" i="6" a="1"/>
  <c r="N273" i="6" a="1"/>
  <c r="O234" i="6" a="1"/>
  <c r="N167" i="6" a="1"/>
  <c r="R163" i="6" a="1"/>
  <c r="R256" i="6" a="1"/>
  <c r="O9" i="6" a="1"/>
  <c r="T295" i="6" a="1"/>
  <c r="O6" i="6" a="1"/>
  <c r="R227" i="6" a="1"/>
  <c r="O282" i="6" a="1"/>
  <c r="S244" i="6" a="1"/>
  <c r="O226" i="6" a="1"/>
  <c r="S103" i="6" a="1"/>
  <c r="N52" i="6" a="1"/>
  <c r="P205" i="6" a="1"/>
  <c r="N4" i="6" a="1"/>
  <c r="O208" i="6" a="1"/>
  <c r="P170" i="6" a="1"/>
  <c r="M208" i="6" a="1"/>
  <c r="M302" i="6" a="1"/>
  <c r="N230" i="6" a="1"/>
  <c r="M103" i="6" a="1"/>
  <c r="O251" i="6" a="1"/>
  <c r="M291" i="6" a="1"/>
  <c r="O285" i="6" a="1"/>
  <c r="P261" i="6" a="1"/>
  <c r="O43" i="6" a="1"/>
  <c r="M210" i="6" a="1"/>
  <c r="N100" i="6" a="1"/>
  <c r="N20" i="6" a="1"/>
  <c r="P155" i="6" a="1"/>
  <c r="P102" i="6" a="1"/>
  <c r="N17" i="6" a="1"/>
  <c r="N272" i="6" a="1"/>
  <c r="N113" i="6" a="1"/>
  <c r="P141" i="6" a="1"/>
  <c r="P282" i="6" a="1"/>
  <c r="N170" i="6" a="1"/>
  <c r="M186" i="6" a="1"/>
  <c r="R295" i="6" a="1"/>
  <c r="O274" i="6" a="1"/>
  <c r="O38" i="6" a="1"/>
  <c r="O191" i="6" a="1"/>
  <c r="O255" i="6" a="1"/>
  <c r="N108" i="6" a="1"/>
  <c r="N252" i="6" a="1"/>
  <c r="N93" i="6" a="1"/>
  <c r="N237" i="6" a="1"/>
  <c r="N189" i="6" a="1"/>
  <c r="N51" i="6" a="1"/>
  <c r="N155" i="6" a="1"/>
  <c r="O293" i="6" a="1"/>
  <c r="O187" i="6" a="1"/>
  <c r="T150" i="6" a="1"/>
  <c r="T187" i="6" a="1"/>
  <c r="M23" i="6" a="1"/>
  <c r="R119" i="6" a="1"/>
  <c r="P217" i="6" a="1"/>
  <c r="P74" i="6" a="1"/>
  <c r="P218" i="6" a="1"/>
  <c r="P295" i="6" a="1"/>
  <c r="P131" i="6" a="1"/>
  <c r="P135" i="6" a="1"/>
  <c r="O4" i="6" a="1"/>
  <c r="M64" i="6" a="1"/>
  <c r="P101" i="6" a="1"/>
  <c r="M26" i="6" a="1"/>
  <c r="R133" i="6" a="1"/>
  <c r="M69" i="6" a="1"/>
  <c r="N80" i="6" a="1"/>
  <c r="N224" i="6" a="1"/>
  <c r="N65" i="6" a="1"/>
  <c r="N209" i="6" a="1"/>
  <c r="N71" i="6" a="1"/>
  <c r="N215" i="6" a="1"/>
  <c r="N258" i="6" a="1"/>
  <c r="N18" i="6" a="1"/>
  <c r="N234" i="6" a="1"/>
  <c r="N286" i="6" a="1"/>
  <c r="M24" i="6" a="1"/>
  <c r="M9" i="6" a="1"/>
  <c r="O288" i="6" a="1"/>
  <c r="N95" i="6" a="1"/>
  <c r="T14" i="6" a="1"/>
  <c r="T221" i="6" a="1"/>
  <c r="P118" i="6" a="1"/>
  <c r="R117" i="6" a="1"/>
  <c r="P175" i="6" a="1"/>
  <c r="T34" i="6" a="1"/>
  <c r="O96" i="6" a="1"/>
  <c r="R278" i="6" a="1"/>
  <c r="O105" i="6" a="1"/>
  <c r="T124" i="6" a="1"/>
  <c r="O201" i="6" a="1"/>
  <c r="O29" i="6" a="1"/>
  <c r="P262" i="6" a="1"/>
  <c r="P38" i="6" a="1"/>
  <c r="S54" i="6" a="1"/>
  <c r="R173" i="6" a="1"/>
  <c r="M105" i="6" a="1"/>
  <c r="N7" i="6" a="1"/>
  <c r="N151" i="6" a="1"/>
  <c r="N295" i="6" a="1"/>
  <c r="N194" i="6" a="1"/>
  <c r="N254" i="6" a="1"/>
  <c r="M108" i="6" a="1"/>
  <c r="M252" i="6" a="1"/>
  <c r="M49" i="6" a="1"/>
  <c r="M301" i="6" a="1"/>
  <c r="M145" i="6" a="1"/>
  <c r="P22" i="6" a="1"/>
  <c r="O67" i="6" a="1"/>
  <c r="O57" i="6" a="1"/>
  <c r="M193" i="6" a="1"/>
  <c r="T222" i="6" a="1"/>
  <c r="T297" i="6" a="1"/>
  <c r="O32" i="6" a="1"/>
  <c r="R153" i="6" a="1"/>
  <c r="O41" i="6" a="1"/>
  <c r="T166" i="6" a="1"/>
  <c r="O268" i="6" a="1"/>
  <c r="R186" i="6" a="1"/>
  <c r="O134" i="6" a="1"/>
  <c r="T160" i="6" a="1"/>
  <c r="O90" i="6" a="1"/>
  <c r="N238" i="6" a="1"/>
  <c r="O258" i="6" a="1"/>
  <c r="P219" i="6" a="1"/>
  <c r="S174" i="6" a="1"/>
  <c r="N59" i="6" a="1"/>
  <c r="R275" i="6" a="1"/>
  <c r="R9" i="6" a="1"/>
  <c r="N198" i="6" a="1"/>
  <c r="T10" i="6" a="1"/>
  <c r="M224" i="6" a="1"/>
  <c r="R270" i="6" a="1"/>
  <c r="M165" i="6" a="1"/>
  <c r="S21" i="6" a="1"/>
  <c r="M119" i="6" a="1"/>
  <c r="S215" i="6" a="1"/>
  <c r="M215" i="6" a="1"/>
  <c r="T52" i="6" a="1"/>
  <c r="P54" i="6" a="1"/>
  <c r="P84" i="6" a="1"/>
  <c r="P94" i="6" a="1"/>
  <c r="P263" i="6" a="1"/>
  <c r="M71" i="6" a="1"/>
  <c r="P259" i="6" a="1"/>
  <c r="R126" i="6" a="1"/>
  <c r="M29" i="6" a="1"/>
  <c r="M173" i="6" a="1"/>
  <c r="M66" i="6" a="1"/>
  <c r="M127" i="6" a="1"/>
  <c r="P177" i="6" a="1"/>
  <c r="P34" i="6" a="1"/>
  <c r="P178" i="6" a="1"/>
  <c r="P119" i="6" a="1"/>
  <c r="P274" i="6" a="1"/>
  <c r="P231" i="6" a="1"/>
  <c r="M110" i="6" a="1"/>
  <c r="O50" i="6" a="1"/>
  <c r="M270" i="6" a="1"/>
  <c r="T30" i="6" a="1"/>
  <c r="O87" i="6" a="1"/>
  <c r="O279" i="6" a="1"/>
  <c r="N40" i="6" a="1"/>
  <c r="N184" i="6" a="1"/>
  <c r="N25" i="6" a="1"/>
  <c r="N169" i="6" a="1"/>
  <c r="N31" i="6" a="1"/>
  <c r="N175" i="6" a="1"/>
  <c r="N127" i="6" a="1"/>
  <c r="N271" i="6" a="1"/>
  <c r="M136" i="6" a="1"/>
  <c r="N9" i="6" a="1"/>
  <c r="M298" i="6" a="1"/>
  <c r="R91" i="6" a="1"/>
  <c r="M99" i="6" a="1"/>
  <c r="M243" i="6" a="1"/>
  <c r="T223" i="6" a="1"/>
  <c r="P150" i="6" a="1"/>
  <c r="R155" i="6" a="1"/>
  <c r="P11" i="6" a="1"/>
  <c r="S172" i="6" a="1"/>
  <c r="O128" i="6" a="1"/>
  <c r="S31" i="6" a="1"/>
  <c r="O228" i="6" a="1"/>
  <c r="P268" i="6" a="1"/>
  <c r="M204" i="6" a="1"/>
  <c r="M81" i="6" a="1"/>
  <c r="S234" i="6" a="1"/>
  <c r="M35" i="6" a="1"/>
  <c r="T110" i="6" a="1"/>
  <c r="T79" i="6" a="1"/>
  <c r="N69" i="6" a="1"/>
  <c r="R11" i="6" a="1"/>
  <c r="N75" i="6" a="1"/>
  <c r="S28" i="6" a="1"/>
  <c r="N274" i="6" a="1"/>
  <c r="R18" i="6" a="1"/>
  <c r="M32" i="6" a="1"/>
  <c r="T236" i="6" a="1"/>
  <c r="M128" i="6" a="1"/>
  <c r="O101" i="6" a="1"/>
  <c r="M258" i="6" a="1"/>
  <c r="N253" i="6" a="1"/>
  <c r="O34" i="6" a="1"/>
  <c r="R127" i="6" a="1"/>
  <c r="R220" i="6" a="1"/>
  <c r="P7" i="6" a="1"/>
  <c r="T259" i="6" a="1"/>
  <c r="O64" i="6" a="1"/>
  <c r="R191" i="6" a="1"/>
  <c r="O73" i="6" a="1"/>
  <c r="S208" i="6" a="1"/>
  <c r="O66" i="6" a="1"/>
  <c r="S67" i="6" a="1"/>
  <c r="O35" i="6" a="1"/>
  <c r="N136" i="6" a="1"/>
  <c r="O176" i="6" a="1"/>
  <c r="P294" i="6" a="1"/>
  <c r="S94" i="6" a="1"/>
  <c r="O214" i="6" a="1"/>
  <c r="T142" i="6" a="1"/>
  <c r="T115" i="6" a="1"/>
  <c r="N299" i="6" a="1"/>
  <c r="R47" i="6" a="1"/>
  <c r="N262" i="6" a="1"/>
  <c r="S64" i="6" a="1"/>
  <c r="M256" i="6" a="1"/>
  <c r="R226" i="6" a="1"/>
  <c r="M201" i="6" a="1"/>
  <c r="T272" i="6" a="1"/>
  <c r="M42" i="6" a="1"/>
  <c r="M28" i="6" a="1"/>
  <c r="M178" i="6" a="1"/>
  <c r="N219" i="6" a="1"/>
  <c r="M280" i="6" a="1"/>
  <c r="N242" i="6" a="1"/>
  <c r="R195" i="6" a="1"/>
  <c r="O180" i="6" a="1"/>
  <c r="O45" i="6" a="1"/>
  <c r="O189" i="6" a="1"/>
  <c r="O276" i="6" a="1"/>
  <c r="O115" i="6" a="1"/>
  <c r="O150" i="6" a="1"/>
  <c r="O91" i="6" a="1"/>
  <c r="O215" i="6" a="1"/>
  <c r="O174" i="6" a="1"/>
  <c r="N88" i="6" a="1"/>
  <c r="T164" i="6" a="1"/>
  <c r="N5" i="6" a="1"/>
  <c r="O65" i="6" a="1"/>
  <c r="N213" i="6" a="1"/>
  <c r="O185" i="6" a="1"/>
  <c r="O26" i="6" a="1"/>
  <c r="R129" i="6" a="1"/>
  <c r="M33" i="6" a="1"/>
  <c r="O147" i="6" a="1"/>
  <c r="O182" i="6" a="1"/>
  <c r="O123" i="6" a="1"/>
  <c r="O298" i="6" a="1"/>
  <c r="N144" i="6" a="1"/>
  <c r="N288" i="6" a="1"/>
  <c r="N129" i="6" a="1"/>
  <c r="N277" i="6" a="1"/>
  <c r="N225" i="6" a="1"/>
  <c r="N87" i="6" a="1"/>
  <c r="N294" i="6" a="1"/>
  <c r="O138" i="6" a="1"/>
  <c r="N266" i="6" a="1"/>
  <c r="T18" i="6" a="1"/>
  <c r="M289" i="6" a="1"/>
  <c r="M59" i="6" a="1"/>
  <c r="M203" i="6" a="1"/>
  <c r="P253" i="6" a="1"/>
  <c r="P110" i="6" a="1"/>
  <c r="P254" i="6" a="1"/>
  <c r="P151" i="6" a="1"/>
  <c r="P203" i="6" a="1"/>
  <c r="P107" i="6" a="1"/>
  <c r="O40" i="6" a="1"/>
  <c r="O144" i="6" a="1"/>
  <c r="M275" i="6" a="1"/>
  <c r="N131" i="6" a="1"/>
  <c r="R203" i="6" a="1"/>
  <c r="R237" i="6" a="1"/>
  <c r="N116" i="6" a="1"/>
  <c r="T134" i="6" a="1"/>
  <c r="N101" i="6" a="1"/>
  <c r="R267" i="6" a="1"/>
  <c r="N107" i="6" a="1"/>
  <c r="S284" i="6" a="1"/>
  <c r="N42" i="6" a="1"/>
  <c r="S143" i="6" a="1"/>
  <c r="N126" i="6" a="1"/>
  <c r="P241" i="6" a="1"/>
  <c r="M222" i="6" a="1"/>
  <c r="N36" i="6" a="1"/>
  <c r="P206" i="6" a="1"/>
  <c r="S205" i="6" a="1"/>
  <c r="T206" i="6" a="1"/>
  <c r="P10" i="6" a="1"/>
  <c r="P154" i="6" a="1"/>
  <c r="P298" i="6" a="1"/>
  <c r="P43" i="6" a="1"/>
  <c r="P291" i="6" a="1"/>
  <c r="O132" i="6" a="1"/>
  <c r="O221" i="6" a="1"/>
  <c r="O141" i="6" a="1"/>
  <c r="O93" i="6" a="1"/>
  <c r="O241" i="6" a="1"/>
  <c r="O173" i="6" a="1"/>
  <c r="N168" i="6" a="1"/>
  <c r="M138" i="6" a="1"/>
  <c r="O74" i="6" a="1"/>
  <c r="R239" i="6" a="1"/>
  <c r="R241" i="6" a="1"/>
  <c r="N43" i="6" a="1"/>
  <c r="T242" i="6" a="1"/>
  <c r="N118" i="6" a="1"/>
  <c r="R94" i="6" a="1"/>
  <c r="N3" i="6" a="1"/>
  <c r="S285" i="6" a="1"/>
  <c r="M288" i="6" a="1"/>
  <c r="S179" i="6" a="1"/>
  <c r="M37" i="6" a="1"/>
  <c r="N208" i="6" a="1"/>
  <c r="M218" i="6" a="1"/>
  <c r="N245" i="6" a="1"/>
  <c r="N157" i="6" a="1"/>
  <c r="O88" i="6" a="1"/>
  <c r="T50" i="6" a="1"/>
  <c r="P163" i="6" a="1"/>
  <c r="O68" i="6" a="1"/>
  <c r="O212" i="6" a="1"/>
  <c r="O77" i="6" a="1"/>
  <c r="O225" i="6" a="1"/>
  <c r="O82" i="6" a="1"/>
  <c r="O239" i="6" a="1"/>
  <c r="O259" i="6" a="1"/>
  <c r="O86" i="6" a="1"/>
  <c r="O27" i="6" a="1"/>
  <c r="M100" i="6" a="1"/>
  <c r="N204" i="6" a="1"/>
  <c r="M3" i="6" a="1"/>
  <c r="M5" i="6" a="1"/>
  <c r="M240" i="6" a="1"/>
  <c r="R150" i="6" a="1"/>
  <c r="N210" i="6" a="1"/>
  <c r="N270" i="6" a="1"/>
  <c r="M116" i="6" a="1"/>
  <c r="M260" i="6" a="1"/>
  <c r="M57" i="6" a="1"/>
  <c r="M205" i="6" a="1"/>
  <c r="M11" i="6" a="1"/>
  <c r="M155" i="6" a="1"/>
  <c r="M107" i="6" a="1"/>
  <c r="M251" i="6" a="1"/>
  <c r="P265" i="6" a="1"/>
  <c r="P233" i="6" a="1"/>
  <c r="P90" i="6" a="1"/>
  <c r="O137" i="6" a="1"/>
  <c r="N91" i="6" a="1"/>
  <c r="M112" i="6" a="1"/>
  <c r="O178" i="6" a="1"/>
  <c r="R23" i="6" a="1"/>
  <c r="M12" i="6" a="1"/>
  <c r="M65" i="6" a="1"/>
  <c r="M213" i="6" a="1"/>
  <c r="M19" i="6" a="1"/>
  <c r="M163" i="6" a="1"/>
  <c r="P213" i="6" a="1"/>
  <c r="S136" i="6" a="1"/>
  <c r="P214" i="6" a="1"/>
  <c r="S283" i="6" a="1"/>
  <c r="P47" i="6" a="1"/>
  <c r="P156" i="6" a="1"/>
  <c r="N45" i="6" a="1"/>
  <c r="O207" i="6" a="1"/>
  <c r="M142" i="6" a="1"/>
  <c r="S24" i="6" a="1"/>
  <c r="O302" i="6" a="1"/>
  <c r="O126" i="6" a="1"/>
  <c r="N76" i="6" a="1"/>
  <c r="N220" i="6" a="1"/>
  <c r="N61" i="6" a="1"/>
  <c r="N205" i="6" a="1"/>
  <c r="N67" i="6" a="1"/>
  <c r="N211" i="6" a="1"/>
  <c r="N163" i="6" a="1"/>
  <c r="N22" i="6" a="1"/>
  <c r="N106" i="6" a="1"/>
  <c r="N89" i="6" a="1"/>
  <c r="P134" i="6" a="1"/>
  <c r="R123" i="6" a="1"/>
  <c r="R81" i="6" a="1"/>
  <c r="P185" i="6" a="1"/>
  <c r="P42" i="6" a="1"/>
  <c r="P186" i="6" a="1"/>
  <c r="P159" i="6" a="1"/>
  <c r="P55" i="6" a="1"/>
  <c r="O20" i="6" a="1"/>
  <c r="O164" i="6" a="1"/>
  <c r="O116" i="6" a="1"/>
  <c r="O272" i="6" a="1"/>
  <c r="P26" i="6" a="1"/>
  <c r="P201" i="6" a="1"/>
  <c r="M199" i="6" a="1"/>
  <c r="P278" i="6" a="1"/>
  <c r="N146" i="6" a="1"/>
  <c r="T294" i="6" a="1"/>
  <c r="N264" i="6" a="1"/>
  <c r="N105" i="6" a="1"/>
  <c r="N249" i="6" a="1"/>
  <c r="N111" i="6" a="1"/>
  <c r="N255" i="6" a="1"/>
  <c r="N58" i="6" a="1"/>
  <c r="N174" i="6" a="1"/>
  <c r="M68" i="6" a="1"/>
  <c r="M20" i="6" a="1"/>
  <c r="M164" i="6" a="1"/>
  <c r="O249" i="6" a="1"/>
  <c r="M223" i="6" a="1"/>
  <c r="M282" i="6" a="1"/>
  <c r="O195" i="6" a="1"/>
  <c r="R159" i="6" a="1"/>
  <c r="P266" i="6" a="1"/>
  <c r="P191" i="6" a="1"/>
  <c r="P227" i="6" a="1"/>
  <c r="O100" i="6" a="1"/>
  <c r="O248" i="6" a="1"/>
  <c r="O109" i="6" a="1"/>
  <c r="O257" i="6" a="1"/>
  <c r="O218" i="6" a="1"/>
  <c r="O7" i="6" a="1"/>
  <c r="O179" i="6" a="1"/>
  <c r="N280" i="6" a="1"/>
  <c r="P237" i="6" a="1"/>
  <c r="M267" i="6" a="1"/>
  <c r="N229" i="6" a="1"/>
  <c r="O30" i="6" a="1"/>
  <c r="S32" i="6" a="1"/>
  <c r="N191" i="6" a="1"/>
  <c r="N134" i="6" a="1"/>
  <c r="N30" i="6" a="1"/>
  <c r="M4" i="6" a="1"/>
  <c r="M148" i="6" a="1"/>
  <c r="M292" i="6" a="1"/>
  <c r="M89" i="6" a="1"/>
  <c r="M253" i="6" a="1"/>
  <c r="M189" i="6" a="1"/>
  <c r="M78" i="6" a="1"/>
  <c r="M172" i="6" a="1"/>
  <c r="O22" i="6" a="1"/>
  <c r="T3" i="6" a="1"/>
  <c r="M77" i="6" a="1"/>
  <c r="O231" i="6" a="1"/>
  <c r="R259" i="6" a="1"/>
  <c r="O216" i="6" a="1"/>
  <c r="O81" i="6" a="1"/>
  <c r="O229" i="6" a="1"/>
  <c r="O98" i="6" a="1"/>
  <c r="O267" i="6" a="1"/>
  <c r="O19" i="6" a="1"/>
  <c r="O246" i="6" a="1"/>
  <c r="N28" i="6" a="1"/>
  <c r="O127" i="6" a="1"/>
  <c r="N124" i="6" a="1"/>
  <c r="N228" i="6" a="1"/>
  <c r="S245" i="6" a="1"/>
  <c r="O8" i="6" a="1"/>
  <c r="O217" i="6" a="1"/>
  <c r="N135" i="6" a="1"/>
  <c r="O253" i="6" a="1"/>
  <c r="N162" i="6" a="1"/>
  <c r="M241" i="6" a="1"/>
  <c r="M162" i="6" a="1"/>
  <c r="P197" i="6" a="1"/>
  <c r="O61" i="6" a="1"/>
  <c r="N279" i="6" a="1"/>
  <c r="O120" i="6" a="1"/>
  <c r="O206" i="6" a="1"/>
  <c r="M206" i="6" a="1"/>
  <c r="M238" i="6" a="1"/>
  <c r="M46" i="6" a="1"/>
  <c r="N38" i="6" a="1"/>
  <c r="P281" i="6" a="1"/>
  <c r="M248" i="6" a="1"/>
  <c r="N302" i="6" a="1"/>
  <c r="M130" i="6" a="1"/>
  <c r="M176" i="6" a="1"/>
  <c r="O158" i="6" a="1"/>
  <c r="O230" i="6" a="1"/>
  <c r="N196" i="6" a="1"/>
  <c r="N269" i="6" a="1"/>
  <c r="O160" i="6" a="1"/>
  <c r="M121" i="6" a="1"/>
  <c r="O190" i="6" a="1"/>
  <c r="M86" i="6" a="1"/>
  <c r="M287" i="6" a="1"/>
  <c r="M226" i="6" a="1"/>
  <c r="P279" i="6" a="1"/>
  <c r="M111" i="6" a="1"/>
  <c r="O25" i="6" a="1"/>
  <c r="M197" i="6" a="1"/>
  <c r="N260" i="6" a="1"/>
  <c r="M190" i="6" a="1"/>
  <c r="P62" i="6" a="1"/>
  <c r="M249" i="6" a="1"/>
  <c r="P242" i="6" a="1"/>
  <c r="N63" i="6" a="1"/>
  <c r="M214" i="6" a="1"/>
  <c r="M158" i="6" a="1"/>
  <c r="M85" i="6" a="1"/>
  <c r="M154" i="6" a="1"/>
  <c r="O52" i="6" a="1"/>
  <c r="S18" i="6" a="1"/>
  <c r="M14" i="6" a="1"/>
  <c r="N92" i="6" a="1"/>
  <c r="N55" i="6" a="1"/>
  <c r="O236" i="6" a="1"/>
  <c r="O169" i="6" a="1"/>
  <c r="N27" i="6" a="1"/>
  <c r="M183" i="6" a="1"/>
  <c r="P255" i="6" a="1"/>
  <c r="S126" i="6" a="1"/>
  <c r="M122" i="6" a="1"/>
  <c r="M50" i="6" a="1"/>
  <c r="O143" i="6" a="1"/>
  <c r="M94" i="6" a="1"/>
  <c r="M45" i="6" a="1"/>
  <c r="P79" i="6" a="1"/>
  <c r="N207" i="6" a="1"/>
  <c r="N203" i="6" a="1"/>
  <c r="M168" i="6" a="1"/>
  <c r="O122" i="6" a="1"/>
  <c r="M126" i="6" a="1"/>
  <c r="P232" i="6" a="1"/>
  <c r="O192" i="6" a="1"/>
  <c r="M98" i="6" a="1"/>
  <c r="P95" i="6" a="1"/>
  <c r="N24" i="6" a="1"/>
  <c r="S134" i="6" a="1"/>
  <c r="M106" i="6" a="1"/>
  <c r="M146" i="6" a="1"/>
  <c r="M255" i="6" a="1"/>
  <c r="M157" i="6" a="1"/>
  <c r="O80" i="6" a="1"/>
  <c r="M132" i="6" a="1"/>
  <c r="M262" i="6" a="1"/>
  <c r="N154" i="6" a="1"/>
  <c r="P87" i="6" a="1"/>
  <c r="N193" i="6" a="1"/>
  <c r="M79" i="6" a="1"/>
  <c r="N187" i="6" a="1"/>
  <c r="M39" i="6" a="1"/>
  <c r="M80" i="6" a="1"/>
  <c r="M245" i="6" a="1"/>
  <c r="O280" i="6" a="1"/>
  <c r="M263" i="6" a="1"/>
  <c r="N123" i="6" a="1"/>
  <c r="P287" i="6" a="1"/>
  <c r="N10" i="6" a="1"/>
  <c r="M113" i="6" a="1"/>
  <c r="O102" i="6" a="1"/>
  <c r="O89" i="6" a="1"/>
  <c r="N243" i="6" a="1"/>
  <c r="O84" i="6" a="1"/>
  <c r="O71" i="6" a="1"/>
  <c r="N166" i="6" a="1"/>
  <c r="N56" i="6" a="1"/>
  <c r="P2" i="4" a="1"/>
  <c r="M102" i="6" a="1"/>
  <c r="P3" i="4" a="1"/>
  <c r="O205" i="6" a="1"/>
  <c r="M166" i="6" a="1"/>
  <c r="M144" i="6" a="1"/>
  <c r="M58" i="6" a="1"/>
  <c r="M149" i="6" a="1"/>
  <c r="M231" i="6" a="1"/>
  <c r="O203" i="6" a="1"/>
  <c r="M187" i="6" a="1"/>
  <c r="O75" i="6" a="1"/>
  <c r="P198" i="6" a="1"/>
  <c r="P271" i="6" a="1"/>
  <c r="N240" i="6" a="1"/>
  <c r="P267" i="6" a="1"/>
  <c r="N250" i="6" a="1"/>
  <c r="O44" i="6" a="1"/>
  <c r="P111" i="6" a="1"/>
  <c r="M16" i="6" a="1"/>
  <c r="O16" i="6" a="1"/>
  <c r="O156" i="6" a="1"/>
  <c r="M266" i="6" a="1"/>
  <c r="N128" i="6" a="1"/>
  <c r="N70" i="6" a="1"/>
  <c r="M283" i="6" a="1"/>
  <c r="M286" i="6" a="1"/>
  <c r="P48" i="6" a="1"/>
  <c r="N218" i="6" a="1"/>
  <c r="M290" i="6" a="1"/>
  <c r="M75" i="6" a="1"/>
  <c r="N149" i="6" a="1"/>
  <c r="M7" i="6" a="1"/>
  <c r="N81" i="6" a="1"/>
  <c r="M82" i="6" a="1"/>
  <c r="P6" i="6" a="1"/>
  <c r="N53" i="6" a="1"/>
  <c r="N130" i="6" a="1"/>
  <c r="N292" i="6" a="1"/>
  <c r="S165" i="6" a="1"/>
  <c r="M274" i="6" a="1"/>
  <c r="N283" i="6" a="1"/>
  <c r="O232" i="6" a="1"/>
  <c r="N68" i="6" a="1"/>
  <c r="M237" i="6" a="1"/>
  <c r="O70" i="6" a="1"/>
  <c r="P277" i="6" a="1"/>
  <c r="M117" i="6" a="1"/>
  <c r="O135" i="6" a="1"/>
  <c r="P123" i="6" a="1"/>
  <c r="N298" i="6" a="1"/>
  <c r="P120" i="6" a="1"/>
  <c r="M147" i="6" a="1"/>
  <c r="M277" i="6" a="1"/>
  <c r="P65" i="6" a="1"/>
  <c r="M41" i="6" a="1"/>
  <c r="O196" i="6" a="1"/>
  <c r="M167" i="6" a="1"/>
  <c r="R3" i="6" a="1"/>
  <c r="O112" i="6" a="1"/>
  <c r="O175" i="6" a="1"/>
  <c r="N96" i="6" a="1"/>
  <c r="O153" i="6" a="1"/>
  <c r="M194" i="6" a="1"/>
  <c r="O21" i="6" a="1"/>
  <c r="M295" i="6" a="1"/>
  <c r="N85" i="6" a="1"/>
  <c r="N164" i="6" a="1"/>
  <c r="M115" i="6" a="1"/>
  <c r="N26" i="6" a="1"/>
  <c r="O12" i="6" a="1"/>
  <c r="N222" i="6" a="1"/>
  <c r="O59" i="6" a="1"/>
  <c r="M219" i="6" a="1"/>
  <c r="M90" i="6" a="1"/>
  <c r="M170" i="6" a="1"/>
  <c r="T16" i="6" a="1"/>
  <c r="S90" i="6" a="1"/>
  <c r="P58" i="6" a="1"/>
  <c r="M153" i="6" a="1"/>
  <c r="N94" i="6" a="1"/>
  <c r="O170" i="6" a="1"/>
  <c r="S250" i="6" a="1"/>
  <c r="O254" i="6" a="1"/>
  <c r="P115" i="6" a="1"/>
  <c r="O300" i="6" a="1"/>
  <c r="M250" i="6" a="1"/>
  <c r="M43" i="6" a="1"/>
  <c r="M234" i="6" a="1"/>
  <c r="O289" i="6" a="1"/>
  <c r="M272" i="6" a="1"/>
  <c r="N117" i="6" a="1"/>
  <c r="O245" i="6" a="1"/>
  <c r="O46" i="6" a="1"/>
  <c r="O296" i="6" a="1"/>
  <c r="M185" i="6" a="1"/>
  <c r="M185" i="6" l="1"/>
  <c r="O296" i="6"/>
  <c r="O46" i="6"/>
  <c r="O245" i="6"/>
  <c r="N117" i="6"/>
  <c r="M272" i="6"/>
  <c r="O289" i="6"/>
  <c r="M234" i="6"/>
  <c r="M43" i="6"/>
  <c r="M250" i="6"/>
  <c r="O300" i="6"/>
  <c r="P115" i="6"/>
  <c r="O254" i="6"/>
  <c r="S250" i="6"/>
  <c r="O170" i="6"/>
  <c r="N94" i="6"/>
  <c r="M153" i="6"/>
  <c r="P58" i="6"/>
  <c r="S90" i="6"/>
  <c r="T16" i="6"/>
  <c r="M170" i="6"/>
  <c r="M90" i="6"/>
  <c r="M219" i="6"/>
  <c r="O59" i="6"/>
  <c r="N222" i="6"/>
  <c r="O12" i="6"/>
  <c r="N26" i="6"/>
  <c r="M115" i="6"/>
  <c r="N164" i="6"/>
  <c r="N85" i="6"/>
  <c r="M295" i="6"/>
  <c r="O21" i="6"/>
  <c r="M194" i="6"/>
  <c r="O153" i="6"/>
  <c r="N96" i="6"/>
  <c r="O175" i="6"/>
  <c r="O112" i="6"/>
  <c r="R3" i="6"/>
  <c r="M167" i="6"/>
  <c r="O196" i="6"/>
  <c r="M41" i="6"/>
  <c r="P65" i="6"/>
  <c r="M277" i="6"/>
  <c r="M147" i="6"/>
  <c r="P120" i="6"/>
  <c r="N298" i="6"/>
  <c r="P123" i="6"/>
  <c r="O135" i="6"/>
  <c r="M117" i="6"/>
  <c r="P277" i="6"/>
  <c r="O70" i="6"/>
  <c r="M237" i="6"/>
  <c r="N68" i="6"/>
  <c r="O232" i="6"/>
  <c r="N283" i="6"/>
  <c r="M274" i="6"/>
  <c r="S165" i="6"/>
  <c r="N292" i="6"/>
  <c r="N130" i="6"/>
  <c r="N53" i="6"/>
  <c r="P6" i="6"/>
  <c r="M82" i="6"/>
  <c r="N81" i="6"/>
  <c r="M7" i="6"/>
  <c r="N149" i="6"/>
  <c r="M75" i="6"/>
  <c r="M290" i="6"/>
  <c r="N218" i="6"/>
  <c r="P48" i="6"/>
  <c r="M286" i="6"/>
  <c r="M283" i="6"/>
  <c r="N70" i="6"/>
  <c r="N128" i="6"/>
  <c r="M266" i="6"/>
  <c r="O156" i="6"/>
  <c r="O16" i="6"/>
  <c r="M16" i="6"/>
  <c r="P111" i="6"/>
  <c r="O44" i="6"/>
  <c r="N250" i="6"/>
  <c r="P267" i="6"/>
  <c r="N240" i="6"/>
  <c r="P271" i="6"/>
  <c r="P198" i="6"/>
  <c r="O75" i="6"/>
  <c r="M187" i="6"/>
  <c r="O203" i="6"/>
  <c r="M231" i="6"/>
  <c r="M149" i="6"/>
  <c r="M58" i="6"/>
  <c r="M144" i="6"/>
  <c r="M166" i="6"/>
  <c r="O205" i="6"/>
  <c r="P3" i="4"/>
  <c r="M102" i="6"/>
  <c r="P2" i="4"/>
  <c r="N56" i="6"/>
  <c r="N166" i="6"/>
  <c r="O71" i="6"/>
  <c r="O84" i="6"/>
  <c r="N243" i="6"/>
  <c r="O89" i="6"/>
  <c r="O102" i="6"/>
  <c r="M113" i="6"/>
  <c r="N10" i="6"/>
  <c r="P287" i="6"/>
  <c r="N123" i="6"/>
  <c r="M263" i="6"/>
  <c r="O280" i="6"/>
  <c r="M245" i="6"/>
  <c r="M80" i="6"/>
  <c r="M39" i="6"/>
  <c r="N187" i="6"/>
  <c r="M79" i="6"/>
  <c r="N193" i="6"/>
  <c r="P87" i="6"/>
  <c r="N154" i="6"/>
  <c r="M262" i="6"/>
  <c r="M132" i="6"/>
  <c r="O80" i="6"/>
  <c r="M157" i="6"/>
  <c r="M255" i="6"/>
  <c r="M146" i="6"/>
  <c r="M106" i="6"/>
  <c r="S134" i="6"/>
  <c r="N24" i="6"/>
  <c r="P95" i="6"/>
  <c r="M98" i="6"/>
  <c r="O192" i="6"/>
  <c r="P232" i="6"/>
  <c r="M126" i="6"/>
  <c r="O122" i="6"/>
  <c r="M168" i="6"/>
  <c r="N203" i="6"/>
  <c r="N207" i="6"/>
  <c r="P79" i="6"/>
  <c r="M45" i="6"/>
  <c r="M94" i="6"/>
  <c r="O143" i="6"/>
  <c r="M50" i="6"/>
  <c r="M122" i="6"/>
  <c r="S126" i="6"/>
  <c r="P255" i="6"/>
  <c r="M183" i="6"/>
  <c r="N27" i="6"/>
  <c r="O169" i="6"/>
  <c r="O236" i="6"/>
  <c r="N55" i="6"/>
  <c r="N92" i="6"/>
  <c r="M14" i="6"/>
  <c r="S18" i="6"/>
  <c r="O52" i="6"/>
  <c r="M154" i="6"/>
  <c r="M85" i="6"/>
  <c r="M158" i="6"/>
  <c r="M214" i="6"/>
  <c r="N63" i="6"/>
  <c r="P242" i="6"/>
  <c r="M249" i="6"/>
  <c r="P62" i="6"/>
  <c r="M190" i="6"/>
  <c r="N260" i="6"/>
  <c r="M197" i="6"/>
  <c r="O25" i="6"/>
  <c r="M111" i="6"/>
  <c r="P279" i="6"/>
  <c r="M226" i="6"/>
  <c r="M287" i="6"/>
  <c r="M86" i="6"/>
  <c r="O190" i="6"/>
  <c r="M121" i="6"/>
  <c r="O160" i="6"/>
  <c r="N269" i="6"/>
  <c r="N196" i="6"/>
  <c r="O230" i="6"/>
  <c r="O158" i="6"/>
  <c r="M176" i="6"/>
  <c r="M130" i="6"/>
  <c r="N302" i="6"/>
  <c r="M248" i="6"/>
  <c r="P281" i="6"/>
  <c r="N38" i="6"/>
  <c r="M46" i="6"/>
  <c r="M238" i="6"/>
  <c r="M206" i="6"/>
  <c r="O206" i="6"/>
  <c r="O120" i="6"/>
  <c r="N279" i="6"/>
  <c r="O61" i="6"/>
  <c r="P197" i="6"/>
  <c r="M162" i="6"/>
  <c r="M241" i="6"/>
  <c r="N162" i="6"/>
  <c r="O253" i="6"/>
  <c r="N135" i="6"/>
  <c r="O217" i="6"/>
  <c r="O8" i="6"/>
  <c r="S245" i="6"/>
  <c r="N228" i="6"/>
  <c r="N124" i="6"/>
  <c r="O127" i="6"/>
  <c r="N28" i="6"/>
  <c r="O246" i="6"/>
  <c r="O19" i="6"/>
  <c r="O267" i="6"/>
  <c r="O98" i="6"/>
  <c r="O229" i="6"/>
  <c r="O81" i="6"/>
  <c r="O216" i="6"/>
  <c r="R259" i="6"/>
  <c r="O231" i="6"/>
  <c r="M77" i="6"/>
  <c r="T3" i="6"/>
  <c r="O22" i="6"/>
  <c r="M172" i="6"/>
  <c r="M78" i="6"/>
  <c r="M189" i="6"/>
  <c r="M253" i="6"/>
  <c r="M89" i="6"/>
  <c r="M292" i="6"/>
  <c r="M148" i="6"/>
  <c r="M4" i="6"/>
  <c r="N30" i="6"/>
  <c r="N134" i="6"/>
  <c r="N191" i="6"/>
  <c r="S32" i="6"/>
  <c r="O30" i="6"/>
  <c r="N229" i="6"/>
  <c r="M267" i="6"/>
  <c r="P237" i="6"/>
  <c r="N280" i="6"/>
  <c r="O179" i="6"/>
  <c r="O7" i="6"/>
  <c r="O218" i="6"/>
  <c r="O257" i="6"/>
  <c r="O109" i="6"/>
  <c r="O248" i="6"/>
  <c r="O100" i="6"/>
  <c r="P227" i="6"/>
  <c r="P191" i="6"/>
  <c r="P266" i="6"/>
  <c r="R159" i="6"/>
  <c r="O195" i="6"/>
  <c r="M282" i="6"/>
  <c r="M223" i="6"/>
  <c r="O249" i="6"/>
  <c r="M164" i="6"/>
  <c r="M20" i="6"/>
  <c r="M68" i="6"/>
  <c r="N174" i="6"/>
  <c r="N58" i="6"/>
  <c r="N255" i="6"/>
  <c r="N111" i="6"/>
  <c r="N249" i="6"/>
  <c r="N105" i="6"/>
  <c r="N264" i="6"/>
  <c r="T294" i="6"/>
  <c r="N146" i="6"/>
  <c r="P278" i="6"/>
  <c r="M199" i="6"/>
  <c r="P201" i="6"/>
  <c r="P26" i="6"/>
  <c r="O272" i="6"/>
  <c r="O116" i="6"/>
  <c r="O164" i="6"/>
  <c r="O20" i="6"/>
  <c r="P55" i="6"/>
  <c r="P159" i="6"/>
  <c r="P186" i="6"/>
  <c r="P42" i="6"/>
  <c r="P185" i="6"/>
  <c r="R81" i="6"/>
  <c r="R123" i="6"/>
  <c r="P134" i="6"/>
  <c r="N89" i="6"/>
  <c r="N106" i="6"/>
  <c r="N22" i="6"/>
  <c r="N163" i="6"/>
  <c r="N211" i="6"/>
  <c r="N67" i="6"/>
  <c r="N205" i="6"/>
  <c r="N61" i="6"/>
  <c r="N220" i="6"/>
  <c r="N76" i="6"/>
  <c r="O126" i="6"/>
  <c r="O302" i="6"/>
  <c r="S24" i="6"/>
  <c r="M142" i="6"/>
  <c r="O207" i="6"/>
  <c r="N45" i="6"/>
  <c r="P156" i="6"/>
  <c r="P47" i="6"/>
  <c r="S283" i="6"/>
  <c r="P214" i="6"/>
  <c r="S136" i="6"/>
  <c r="P213" i="6"/>
  <c r="M163" i="6"/>
  <c r="M19" i="6"/>
  <c r="M213" i="6"/>
  <c r="M65" i="6"/>
  <c r="M12" i="6"/>
  <c r="R23" i="6"/>
  <c r="O178" i="6"/>
  <c r="M112" i="6"/>
  <c r="N91" i="6"/>
  <c r="O137" i="6"/>
  <c r="P90" i="6"/>
  <c r="P233" i="6"/>
  <c r="P265" i="6"/>
  <c r="M251" i="6"/>
  <c r="M107" i="6"/>
  <c r="M155" i="6"/>
  <c r="M11" i="6"/>
  <c r="M205" i="6"/>
  <c r="M57" i="6"/>
  <c r="M260" i="6"/>
  <c r="M116" i="6"/>
  <c r="N270" i="6"/>
  <c r="N210" i="6"/>
  <c r="R150" i="6"/>
  <c r="M240" i="6"/>
  <c r="M5" i="6"/>
  <c r="M3" i="6"/>
  <c r="N204" i="6"/>
  <c r="M100" i="6"/>
  <c r="O27" i="6"/>
  <c r="O86" i="6"/>
  <c r="O259" i="6"/>
  <c r="O239" i="6"/>
  <c r="O82" i="6"/>
  <c r="O225" i="6"/>
  <c r="O77" i="6"/>
  <c r="O212" i="6"/>
  <c r="O68" i="6"/>
  <c r="P163" i="6"/>
  <c r="T50" i="6"/>
  <c r="O88" i="6"/>
  <c r="N157" i="6"/>
  <c r="N245" i="6"/>
  <c r="M218" i="6"/>
  <c r="N208" i="6"/>
  <c r="M37" i="6"/>
  <c r="S179" i="6"/>
  <c r="M288" i="6"/>
  <c r="S285" i="6"/>
  <c r="N3" i="6"/>
  <c r="R94" i="6"/>
  <c r="N118" i="6"/>
  <c r="T242" i="6"/>
  <c r="N43" i="6"/>
  <c r="R241" i="6"/>
  <c r="R239" i="6"/>
  <c r="O74" i="6"/>
  <c r="M138" i="6"/>
  <c r="N168" i="6"/>
  <c r="O173" i="6"/>
  <c r="O241" i="6"/>
  <c r="O93" i="6"/>
  <c r="O141" i="6"/>
  <c r="O221" i="6"/>
  <c r="O132" i="6"/>
  <c r="P291" i="6"/>
  <c r="P43" i="6"/>
  <c r="P298" i="6"/>
  <c r="P154" i="6"/>
  <c r="P10" i="6"/>
  <c r="T206" i="6"/>
  <c r="S205" i="6"/>
  <c r="P206" i="6"/>
  <c r="N36" i="6"/>
  <c r="M222" i="6"/>
  <c r="P241" i="6"/>
  <c r="N126" i="6"/>
  <c r="S143" i="6"/>
  <c r="N42" i="6"/>
  <c r="S284" i="6"/>
  <c r="N107" i="6"/>
  <c r="R267" i="6"/>
  <c r="N101" i="6"/>
  <c r="T134" i="6"/>
  <c r="N116" i="6"/>
  <c r="R237" i="6"/>
  <c r="R203" i="6"/>
  <c r="N131" i="6"/>
  <c r="M275" i="6"/>
  <c r="O144" i="6"/>
  <c r="O40" i="6"/>
  <c r="P107" i="6"/>
  <c r="P203" i="6"/>
  <c r="P151" i="6"/>
  <c r="P254" i="6"/>
  <c r="P110" i="6"/>
  <c r="P253" i="6"/>
  <c r="M203" i="6"/>
  <c r="M59" i="6"/>
  <c r="M289" i="6"/>
  <c r="T18" i="6"/>
  <c r="N266" i="6"/>
  <c r="O138" i="6"/>
  <c r="N294" i="6"/>
  <c r="N87" i="6"/>
  <c r="N225" i="6"/>
  <c r="N277" i="6"/>
  <c r="N129" i="6"/>
  <c r="N288" i="6"/>
  <c r="N144" i="6"/>
  <c r="O298" i="6"/>
  <c r="O123" i="6"/>
  <c r="O182" i="6"/>
  <c r="O147" i="6"/>
  <c r="M33" i="6"/>
  <c r="R129" i="6"/>
  <c r="O26" i="6"/>
  <c r="O185" i="6"/>
  <c r="N213" i="6"/>
  <c r="O65" i="6"/>
  <c r="N5" i="6"/>
  <c r="T164" i="6"/>
  <c r="N88" i="6"/>
  <c r="O174" i="6"/>
  <c r="O215" i="6"/>
  <c r="O91" i="6"/>
  <c r="O150" i="6"/>
  <c r="O115" i="6"/>
  <c r="O276" i="6"/>
  <c r="O189" i="6"/>
  <c r="O45" i="6"/>
  <c r="O180" i="6"/>
  <c r="R195" i="6"/>
  <c r="N242" i="6"/>
  <c r="M280" i="6"/>
  <c r="N219" i="6"/>
  <c r="M178" i="6"/>
  <c r="M28" i="6"/>
  <c r="M42" i="6"/>
  <c r="T272" i="6"/>
  <c r="M201" i="6"/>
  <c r="R226" i="6"/>
  <c r="M256" i="6"/>
  <c r="S64" i="6"/>
  <c r="N262" i="6"/>
  <c r="R47" i="6"/>
  <c r="N299" i="6"/>
  <c r="T115" i="6"/>
  <c r="T142" i="6"/>
  <c r="O214" i="6"/>
  <c r="S94" i="6"/>
  <c r="P294" i="6"/>
  <c r="O176" i="6"/>
  <c r="N136" i="6"/>
  <c r="O35" i="6"/>
  <c r="S67" i="6"/>
  <c r="O66" i="6"/>
  <c r="S208" i="6"/>
  <c r="O73" i="6"/>
  <c r="R191" i="6"/>
  <c r="O64" i="6"/>
  <c r="T259" i="6"/>
  <c r="P7" i="6"/>
  <c r="R220" i="6"/>
  <c r="R127" i="6"/>
  <c r="O34" i="6"/>
  <c r="N253" i="6"/>
  <c r="M258" i="6"/>
  <c r="O101" i="6"/>
  <c r="M128" i="6"/>
  <c r="T236" i="6"/>
  <c r="M32" i="6"/>
  <c r="R18" i="6"/>
  <c r="N274" i="6"/>
  <c r="S28" i="6"/>
  <c r="N75" i="6"/>
  <c r="R11" i="6"/>
  <c r="N69" i="6"/>
  <c r="T79" i="6"/>
  <c r="T110" i="6"/>
  <c r="M35" i="6"/>
  <c r="S234" i="6"/>
  <c r="M81" i="6"/>
  <c r="M204" i="6"/>
  <c r="P268" i="6"/>
  <c r="O228" i="6"/>
  <c r="S31" i="6"/>
  <c r="O128" i="6"/>
  <c r="S172" i="6"/>
  <c r="P11" i="6"/>
  <c r="R155" i="6"/>
  <c r="P150" i="6"/>
  <c r="T223" i="6"/>
  <c r="M243" i="6"/>
  <c r="M99" i="6"/>
  <c r="R91" i="6"/>
  <c r="M298" i="6"/>
  <c r="N9" i="6"/>
  <c r="M136" i="6"/>
  <c r="N271" i="6"/>
  <c r="N127" i="6"/>
  <c r="N175" i="6"/>
  <c r="N31" i="6"/>
  <c r="N169" i="6"/>
  <c r="N25" i="6"/>
  <c r="N184" i="6"/>
  <c r="N40" i="6"/>
  <c r="O279" i="6"/>
  <c r="O87" i="6"/>
  <c r="T30" i="6"/>
  <c r="M270" i="6"/>
  <c r="O50" i="6"/>
  <c r="M110" i="6"/>
  <c r="P231" i="6"/>
  <c r="P274" i="6"/>
  <c r="P119" i="6"/>
  <c r="P178" i="6"/>
  <c r="P34" i="6"/>
  <c r="P177" i="6"/>
  <c r="M127" i="6"/>
  <c r="M66" i="6"/>
  <c r="M173" i="6"/>
  <c r="M29" i="6"/>
  <c r="R126" i="6"/>
  <c r="P259" i="6"/>
  <c r="M71" i="6"/>
  <c r="P263" i="6"/>
  <c r="P94" i="6"/>
  <c r="P84" i="6"/>
  <c r="P54" i="6"/>
  <c r="T52" i="6"/>
  <c r="M215" i="6"/>
  <c r="S215" i="6"/>
  <c r="M119" i="6"/>
  <c r="S21" i="6"/>
  <c r="M165" i="6"/>
  <c r="R270" i="6"/>
  <c r="M224" i="6"/>
  <c r="T10" i="6"/>
  <c r="N198" i="6"/>
  <c r="R9" i="6"/>
  <c r="R275" i="6"/>
  <c r="N59" i="6"/>
  <c r="S174" i="6"/>
  <c r="P219" i="6"/>
  <c r="O258" i="6"/>
  <c r="N238" i="6"/>
  <c r="O90" i="6"/>
  <c r="T160" i="6"/>
  <c r="O134" i="6"/>
  <c r="R186" i="6"/>
  <c r="O268" i="6"/>
  <c r="T166" i="6"/>
  <c r="O41" i="6"/>
  <c r="R153" i="6"/>
  <c r="O32" i="6"/>
  <c r="T297" i="6"/>
  <c r="T222" i="6"/>
  <c r="M193" i="6"/>
  <c r="O57" i="6"/>
  <c r="O67" i="6"/>
  <c r="P22" i="6"/>
  <c r="M145" i="6"/>
  <c r="M301" i="6"/>
  <c r="M49" i="6"/>
  <c r="M252" i="6"/>
  <c r="M108" i="6"/>
  <c r="N254" i="6"/>
  <c r="N194" i="6"/>
  <c r="N295" i="6"/>
  <c r="N151" i="6"/>
  <c r="N7" i="6"/>
  <c r="M105" i="6"/>
  <c r="R173" i="6"/>
  <c r="S54" i="6"/>
  <c r="P38" i="6"/>
  <c r="P262" i="6"/>
  <c r="O29" i="6"/>
  <c r="O201" i="6"/>
  <c r="T124" i="6"/>
  <c r="O105" i="6"/>
  <c r="R278" i="6"/>
  <c r="O96" i="6"/>
  <c r="T34" i="6"/>
  <c r="P175" i="6"/>
  <c r="R117" i="6"/>
  <c r="P118" i="6"/>
  <c r="T221" i="6"/>
  <c r="T14" i="6"/>
  <c r="N95" i="6"/>
  <c r="O288" i="6"/>
  <c r="M9" i="6"/>
  <c r="M24" i="6"/>
  <c r="N286" i="6"/>
  <c r="N234" i="6"/>
  <c r="N18" i="6"/>
  <c r="N258" i="6"/>
  <c r="N215" i="6"/>
  <c r="N71" i="6"/>
  <c r="N209" i="6"/>
  <c r="N65" i="6"/>
  <c r="N224" i="6"/>
  <c r="N80" i="6"/>
  <c r="M69" i="6"/>
  <c r="R133" i="6"/>
  <c r="M26" i="6"/>
  <c r="P101" i="6"/>
  <c r="M64" i="6"/>
  <c r="O4" i="6"/>
  <c r="P135" i="6"/>
  <c r="P131" i="6"/>
  <c r="P295" i="6"/>
  <c r="P218" i="6"/>
  <c r="P74" i="6"/>
  <c r="P217" i="6"/>
  <c r="R119" i="6"/>
  <c r="M23" i="6"/>
  <c r="T187" i="6"/>
  <c r="T150" i="6"/>
  <c r="O187" i="6"/>
  <c r="O293" i="6"/>
  <c r="N155" i="6"/>
  <c r="N51" i="6"/>
  <c r="N189" i="6"/>
  <c r="N237" i="6"/>
  <c r="N93" i="6"/>
  <c r="N252" i="6"/>
  <c r="N108" i="6"/>
  <c r="O255" i="6"/>
  <c r="O191" i="6"/>
  <c r="O38" i="6"/>
  <c r="O274" i="6"/>
  <c r="R295" i="6"/>
  <c r="M186" i="6"/>
  <c r="N170" i="6"/>
  <c r="P282" i="6"/>
  <c r="P141" i="6"/>
  <c r="N113" i="6"/>
  <c r="N272" i="6"/>
  <c r="N17" i="6"/>
  <c r="P102" i="6"/>
  <c r="P155" i="6"/>
  <c r="N20" i="6"/>
  <c r="N100" i="6"/>
  <c r="M210" i="6"/>
  <c r="O43" i="6"/>
  <c r="P261" i="6"/>
  <c r="O285" i="6"/>
  <c r="M291" i="6"/>
  <c r="O251" i="6"/>
  <c r="M103" i="6"/>
  <c r="N230" i="6"/>
  <c r="M302" i="6"/>
  <c r="M208" i="6"/>
  <c r="P170" i="6"/>
  <c r="O208" i="6"/>
  <c r="N4" i="6"/>
  <c r="P205" i="6"/>
  <c r="N52" i="6"/>
  <c r="S103" i="6"/>
  <c r="O226" i="6"/>
  <c r="S244" i="6"/>
  <c r="O282" i="6"/>
  <c r="R227" i="6"/>
  <c r="O6" i="6"/>
  <c r="T295" i="6"/>
  <c r="O9" i="6"/>
  <c r="R256" i="6"/>
  <c r="R163" i="6"/>
  <c r="N167" i="6"/>
  <c r="O234" i="6"/>
  <c r="N273" i="6"/>
  <c r="N276" i="6"/>
  <c r="M67" i="6"/>
  <c r="M6" i="6"/>
  <c r="M54" i="6"/>
  <c r="M161" i="6"/>
  <c r="M17" i="6"/>
  <c r="M220" i="6"/>
  <c r="M76" i="6"/>
  <c r="N190" i="6"/>
  <c r="N90" i="6"/>
  <c r="N263" i="6"/>
  <c r="O154" i="6"/>
  <c r="T38" i="6"/>
  <c r="M294" i="6"/>
  <c r="O62" i="6"/>
  <c r="O194" i="6"/>
  <c r="M182" i="6"/>
  <c r="O202" i="6"/>
  <c r="O42" i="6"/>
  <c r="O83" i="6"/>
  <c r="O256" i="6"/>
  <c r="O181" i="6"/>
  <c r="O37" i="6"/>
  <c r="O172" i="6"/>
  <c r="O28" i="6"/>
  <c r="P83" i="6"/>
  <c r="P199" i="6"/>
  <c r="M221" i="6"/>
  <c r="P207" i="6"/>
  <c r="M259" i="6"/>
  <c r="P103" i="6"/>
  <c r="O133" i="6"/>
  <c r="M236" i="6"/>
  <c r="M92" i="6"/>
  <c r="M140" i="6"/>
  <c r="O3" i="6"/>
  <c r="N296" i="6"/>
  <c r="N102" i="6"/>
  <c r="N183" i="6"/>
  <c r="N39" i="6"/>
  <c r="N177" i="6"/>
  <c r="N33" i="6"/>
  <c r="O291" i="6"/>
  <c r="T275" i="6"/>
  <c r="M242" i="6"/>
  <c r="S93" i="6"/>
  <c r="M284" i="6"/>
  <c r="S3" i="6"/>
  <c r="O53" i="6"/>
  <c r="O188" i="6"/>
  <c r="O240" i="6"/>
  <c r="O92" i="6"/>
  <c r="P211" i="6"/>
  <c r="P167" i="6"/>
  <c r="P258" i="6"/>
  <c r="P114" i="6"/>
  <c r="P257" i="6"/>
  <c r="M207" i="6"/>
  <c r="R148" i="6"/>
  <c r="M244" i="6"/>
  <c r="O262" i="6"/>
  <c r="M281" i="6"/>
  <c r="N300" i="6"/>
  <c r="N235" i="6"/>
  <c r="T200" i="6"/>
  <c r="N139" i="6"/>
  <c r="R170" i="6"/>
  <c r="N133" i="6"/>
  <c r="T278" i="6"/>
  <c r="N148" i="6"/>
  <c r="R7" i="6"/>
  <c r="O139" i="6"/>
  <c r="T75" i="6"/>
  <c r="T82" i="6"/>
  <c r="O63" i="6"/>
  <c r="M254" i="6"/>
  <c r="P91" i="6"/>
  <c r="P59" i="6"/>
  <c r="P238" i="6"/>
  <c r="P286" i="6"/>
  <c r="P142" i="6"/>
  <c r="P293" i="6"/>
  <c r="M235" i="6"/>
  <c r="M91" i="6"/>
  <c r="M30" i="6"/>
  <c r="M137" i="6"/>
  <c r="M285" i="6"/>
  <c r="R298" i="6"/>
  <c r="M53" i="6"/>
  <c r="M174" i="6"/>
  <c r="P210" i="6"/>
  <c r="M150" i="6"/>
  <c r="P162" i="6"/>
  <c r="P18" i="6"/>
  <c r="P66" i="6"/>
  <c r="P229" i="6"/>
  <c r="M179" i="6"/>
  <c r="M227" i="6"/>
  <c r="M83" i="6"/>
  <c r="M22" i="6"/>
  <c r="M129" i="6"/>
  <c r="M273" i="6"/>
  <c r="M188" i="6"/>
  <c r="M44" i="6"/>
  <c r="N82" i="6"/>
  <c r="M141" i="6"/>
  <c r="R221" i="6"/>
  <c r="M202" i="6"/>
  <c r="O124" i="6"/>
  <c r="N197" i="6"/>
  <c r="M118" i="6"/>
  <c r="O295" i="6"/>
  <c r="O119" i="6"/>
  <c r="O211" i="6"/>
  <c r="O238" i="6"/>
  <c r="O243" i="6"/>
  <c r="O301" i="6"/>
  <c r="O149" i="6"/>
  <c r="O5" i="6"/>
  <c r="O140" i="6"/>
  <c r="P35" i="6"/>
  <c r="O278" i="6"/>
  <c r="P195" i="6"/>
  <c r="N251" i="6"/>
  <c r="N132" i="6"/>
  <c r="O220" i="6"/>
  <c r="M217" i="6"/>
  <c r="M109" i="6"/>
  <c r="M233" i="6"/>
  <c r="M13" i="6"/>
  <c r="M216" i="6"/>
  <c r="M72" i="6"/>
  <c r="N182" i="6"/>
  <c r="N74" i="6"/>
  <c r="N259" i="6"/>
  <c r="N115" i="6"/>
  <c r="N257" i="6"/>
  <c r="R254" i="6"/>
  <c r="M299" i="6"/>
  <c r="O223" i="6"/>
  <c r="P246" i="6"/>
  <c r="M198" i="6"/>
  <c r="O18" i="6"/>
  <c r="O165" i="6"/>
  <c r="O213" i="6"/>
  <c r="O69" i="6"/>
  <c r="O204" i="6"/>
  <c r="O60" i="6"/>
  <c r="P147" i="6"/>
  <c r="P63" i="6"/>
  <c r="P226" i="6"/>
  <c r="P82" i="6"/>
  <c r="O146" i="6"/>
  <c r="N171" i="6"/>
  <c r="N21" i="6"/>
  <c r="O48" i="6"/>
  <c r="M212" i="6"/>
  <c r="M48" i="6"/>
  <c r="N214" i="6"/>
  <c r="N138" i="6"/>
  <c r="N282" i="6"/>
  <c r="N86" i="6"/>
  <c r="N179" i="6"/>
  <c r="N35" i="6"/>
  <c r="N173" i="6"/>
  <c r="N29" i="6"/>
  <c r="N188" i="6"/>
  <c r="N44" i="6"/>
  <c r="R299" i="6"/>
  <c r="P3" i="6"/>
  <c r="N23" i="6"/>
  <c r="P130" i="6"/>
  <c r="P196" i="6"/>
  <c r="P251" i="6"/>
  <c r="T88" i="6"/>
  <c r="P23" i="6"/>
  <c r="R134" i="6"/>
  <c r="P182" i="6"/>
  <c r="T190" i="6"/>
  <c r="P181" i="6"/>
  <c r="M131" i="6"/>
  <c r="M70" i="6"/>
  <c r="M177" i="6"/>
  <c r="T42" i="6"/>
  <c r="M134" i="6"/>
  <c r="M96" i="6"/>
  <c r="N13" i="6"/>
  <c r="N15" i="6"/>
  <c r="N153" i="6"/>
  <c r="N201" i="6"/>
  <c r="N57" i="6"/>
  <c r="N216" i="6"/>
  <c r="N72" i="6"/>
  <c r="O110" i="6"/>
  <c r="O286" i="6"/>
  <c r="O106" i="6"/>
  <c r="O183" i="6"/>
  <c r="R231" i="6"/>
  <c r="O99" i="6"/>
  <c r="N275" i="6"/>
  <c r="P138" i="6"/>
  <c r="N181" i="6"/>
  <c r="N77" i="6"/>
  <c r="N236" i="6"/>
  <c r="N284" i="6"/>
  <c r="N160" i="6"/>
  <c r="N16" i="6"/>
  <c r="N64" i="6"/>
  <c r="O78" i="6"/>
  <c r="O222" i="6"/>
  <c r="O294" i="6"/>
  <c r="O250" i="6"/>
  <c r="O265" i="6"/>
  <c r="O117" i="6"/>
  <c r="O260" i="6"/>
  <c r="M293" i="6"/>
  <c r="O167" i="6"/>
  <c r="N34" i="6"/>
  <c r="N54" i="6"/>
  <c r="N125" i="6"/>
  <c r="M135" i="6"/>
  <c r="M31" i="6"/>
  <c r="M229" i="6"/>
  <c r="M18" i="6"/>
  <c r="M125" i="6"/>
  <c r="M265" i="6"/>
  <c r="M184" i="6"/>
  <c r="M40" i="6"/>
  <c r="N66" i="6"/>
  <c r="N14" i="6"/>
  <c r="N227" i="6"/>
  <c r="S96" i="6"/>
  <c r="P31" i="6"/>
  <c r="P283" i="6"/>
  <c r="M10" i="6"/>
  <c r="S129" i="6"/>
  <c r="O198" i="6"/>
  <c r="O299" i="6"/>
  <c r="O162" i="6"/>
  <c r="O186" i="6"/>
  <c r="O297" i="6"/>
  <c r="O145" i="6"/>
  <c r="O277" i="6"/>
  <c r="O136" i="6"/>
  <c r="P299" i="6"/>
  <c r="P39" i="6"/>
  <c r="P302" i="6"/>
  <c r="R223" i="6"/>
  <c r="N281" i="6"/>
  <c r="O151" i="6"/>
  <c r="P174" i="6"/>
  <c r="M181" i="6"/>
  <c r="M200" i="6"/>
  <c r="M56" i="6"/>
  <c r="M104" i="6"/>
  <c r="N246" i="6"/>
  <c r="N186" i="6"/>
  <c r="N291" i="6"/>
  <c r="N147" i="6"/>
  <c r="N297" i="6"/>
  <c r="N141" i="6"/>
  <c r="N293" i="6"/>
  <c r="S60" i="6"/>
  <c r="N99" i="6"/>
  <c r="P70" i="6"/>
  <c r="O242" i="6"/>
  <c r="M278" i="6"/>
  <c r="O121" i="6"/>
  <c r="O17" i="6"/>
  <c r="O152" i="6"/>
  <c r="O200" i="6"/>
  <c r="O56" i="6"/>
  <c r="P139" i="6"/>
  <c r="P19" i="6"/>
  <c r="P222" i="6"/>
  <c r="P78" i="6"/>
  <c r="P221" i="6"/>
  <c r="M171" i="6"/>
  <c r="R187" i="6"/>
  <c r="N60" i="6"/>
  <c r="N233" i="6"/>
  <c r="O97" i="6"/>
  <c r="N110" i="6"/>
  <c r="N199" i="6"/>
  <c r="N247" i="6"/>
  <c r="N103" i="6"/>
  <c r="N241" i="6"/>
  <c r="N97" i="6"/>
  <c r="N256" i="6"/>
  <c r="N112" i="6"/>
  <c r="O31" i="6"/>
  <c r="O247" i="6"/>
  <c r="O163" i="6"/>
  <c r="T239" i="6"/>
  <c r="M21" i="6"/>
  <c r="P29" i="6"/>
  <c r="N244" i="6"/>
  <c r="P239" i="6"/>
  <c r="P202" i="6"/>
  <c r="P250" i="6"/>
  <c r="P106" i="6"/>
  <c r="P249" i="6"/>
  <c r="R54" i="6"/>
  <c r="M55" i="6"/>
  <c r="T170" i="6"/>
  <c r="M101" i="6"/>
  <c r="R45" i="6"/>
  <c r="R174" i="6"/>
  <c r="O55" i="6"/>
  <c r="P105" i="6"/>
  <c r="N158" i="6"/>
  <c r="P230" i="6"/>
  <c r="P126" i="6"/>
  <c r="P273" i="6"/>
  <c r="N212" i="6"/>
  <c r="P193" i="6"/>
  <c r="M143" i="6"/>
  <c r="M191" i="6"/>
  <c r="M47" i="6"/>
  <c r="M261" i="6"/>
  <c r="M93" i="6"/>
  <c r="M296" i="6"/>
  <c r="M152" i="6"/>
  <c r="M8" i="6"/>
  <c r="N62" i="6"/>
  <c r="R46" i="6"/>
  <c r="O118" i="6"/>
  <c r="O244" i="6"/>
  <c r="N239" i="6"/>
  <c r="S169" i="6"/>
  <c r="O47" i="6"/>
  <c r="O171" i="6"/>
  <c r="O219" i="6"/>
  <c r="O199" i="6"/>
  <c r="O270" i="6"/>
  <c r="O227" i="6"/>
  <c r="O261" i="6"/>
  <c r="O113" i="6"/>
  <c r="O252" i="6"/>
  <c r="O104" i="6"/>
  <c r="P235" i="6"/>
  <c r="T246" i="6"/>
  <c r="P127" i="6"/>
  <c r="N19" i="6"/>
  <c r="M279" i="6"/>
  <c r="P166" i="6"/>
  <c r="N49" i="6"/>
  <c r="M73" i="6"/>
  <c r="M276" i="6"/>
  <c r="M257" i="6"/>
  <c r="M180" i="6"/>
  <c r="M36" i="6"/>
  <c r="N50" i="6"/>
  <c r="N290" i="6"/>
  <c r="N223" i="6"/>
  <c r="N79" i="6"/>
  <c r="N217" i="6"/>
  <c r="R271" i="6"/>
  <c r="P143" i="6"/>
  <c r="P187" i="6"/>
  <c r="S57" i="6"/>
  <c r="O130" i="6"/>
  <c r="O281" i="6"/>
  <c r="O129" i="6"/>
  <c r="O177" i="6"/>
  <c r="O33" i="6"/>
  <c r="O168" i="6"/>
  <c r="O24" i="6"/>
  <c r="P75" i="6"/>
  <c r="P183" i="6"/>
  <c r="P190" i="6"/>
  <c r="P46" i="6"/>
  <c r="T174" i="6"/>
  <c r="P160" i="6"/>
  <c r="P247" i="6"/>
  <c r="M114" i="6"/>
  <c r="M151" i="6"/>
  <c r="P98" i="6"/>
  <c r="N114" i="6"/>
  <c r="N142" i="6"/>
  <c r="N178" i="6"/>
  <c r="N287" i="6"/>
  <c r="N143" i="6"/>
  <c r="N289" i="6"/>
  <c r="N137" i="6"/>
  <c r="N285" i="6"/>
  <c r="N152" i="6"/>
  <c r="N8" i="6"/>
  <c r="R235" i="6"/>
  <c r="M246" i="6"/>
  <c r="N161" i="6"/>
  <c r="M271" i="6"/>
  <c r="O76" i="6"/>
  <c r="P179" i="6"/>
  <c r="P275" i="6"/>
  <c r="P51" i="6"/>
  <c r="P290" i="6"/>
  <c r="P146" i="6"/>
  <c r="P297" i="6"/>
  <c r="M239" i="6"/>
  <c r="M95" i="6"/>
  <c r="M34" i="6"/>
  <c r="R36" i="6"/>
  <c r="N121" i="6"/>
  <c r="O79" i="6"/>
  <c r="N202" i="6"/>
  <c r="N172" i="6"/>
  <c r="N265" i="6"/>
  <c r="S107" i="6"/>
  <c r="N165" i="6"/>
  <c r="S248" i="6"/>
  <c r="N180" i="6"/>
  <c r="R263" i="6"/>
  <c r="O271" i="6"/>
  <c r="T118" i="6"/>
  <c r="O283" i="6"/>
  <c r="R292" i="6"/>
  <c r="R199" i="6"/>
  <c r="O51" i="6"/>
  <c r="M230" i="6"/>
  <c r="M60" i="6"/>
  <c r="O209" i="6"/>
  <c r="N41" i="6"/>
  <c r="N200" i="6"/>
  <c r="N140" i="6"/>
  <c r="P245" i="6"/>
  <c r="M195" i="6"/>
  <c r="M51" i="6"/>
  <c r="M269" i="6"/>
  <c r="M97" i="6"/>
  <c r="M300" i="6"/>
  <c r="M156" i="6"/>
  <c r="O54" i="6"/>
  <c r="T194" i="6"/>
  <c r="O290" i="6"/>
  <c r="T69" i="6"/>
  <c r="S280" i="6"/>
  <c r="S168" i="6"/>
  <c r="S216" i="6"/>
  <c r="S104" i="6"/>
  <c r="S184" i="6"/>
  <c r="S72" i="6"/>
  <c r="T254" i="6"/>
  <c r="T266" i="6"/>
  <c r="T207" i="6"/>
  <c r="T95" i="6"/>
  <c r="T169" i="6"/>
  <c r="T57" i="6"/>
  <c r="T228" i="6"/>
  <c r="T116" i="6"/>
  <c r="T59" i="6"/>
  <c r="T201" i="6"/>
  <c r="T21" i="6"/>
  <c r="T256" i="6"/>
  <c r="T80" i="6"/>
  <c r="P129" i="6"/>
  <c r="M232" i="6"/>
  <c r="M88" i="6"/>
  <c r="R115" i="6"/>
  <c r="R269" i="6"/>
  <c r="R51" i="6"/>
  <c r="R157" i="6"/>
  <c r="R19" i="6"/>
  <c r="R125" i="6"/>
  <c r="R197" i="6"/>
  <c r="R196" i="6"/>
  <c r="R20" i="6"/>
  <c r="S195" i="6"/>
  <c r="S19" i="6"/>
  <c r="S154" i="6"/>
  <c r="S218" i="6"/>
  <c r="S193" i="6"/>
  <c r="N206" i="6"/>
  <c r="N122" i="6"/>
  <c r="R41" i="6"/>
  <c r="R288" i="6"/>
  <c r="R245" i="6"/>
  <c r="R224" i="6"/>
  <c r="R165" i="6"/>
  <c r="R192" i="6"/>
  <c r="R16" i="6"/>
  <c r="S191" i="6"/>
  <c r="S15" i="6"/>
  <c r="S150" i="6"/>
  <c r="S210" i="6"/>
  <c r="S189" i="6"/>
  <c r="S13" i="6"/>
  <c r="S236" i="6"/>
  <c r="O36" i="6"/>
  <c r="P99" i="6"/>
  <c r="T141" i="6"/>
  <c r="T29" i="6"/>
  <c r="T77" i="6"/>
  <c r="T237" i="6"/>
  <c r="T45" i="6"/>
  <c r="T280" i="6"/>
  <c r="T104" i="6"/>
  <c r="P153" i="6"/>
  <c r="P288" i="6"/>
  <c r="P176" i="6"/>
  <c r="R26" i="6"/>
  <c r="R274" i="6"/>
  <c r="R246" i="6"/>
  <c r="R219" i="6"/>
  <c r="N11" i="6"/>
  <c r="R76" i="6"/>
  <c r="S139" i="6"/>
  <c r="S27" i="6"/>
  <c r="S75" i="6"/>
  <c r="S258" i="6"/>
  <c r="S43" i="6"/>
  <c r="S190" i="6"/>
  <c r="S270" i="6"/>
  <c r="S221" i="6"/>
  <c r="S41" i="6"/>
  <c r="S264" i="6"/>
  <c r="S88" i="6"/>
  <c r="T214" i="6"/>
  <c r="T158" i="6"/>
  <c r="T287" i="6"/>
  <c r="P86" i="6"/>
  <c r="T229" i="6"/>
  <c r="P133" i="6"/>
  <c r="P169" i="6"/>
  <c r="P69" i="6"/>
  <c r="P149" i="6"/>
  <c r="P37" i="6"/>
  <c r="P172" i="6"/>
  <c r="P60" i="6"/>
  <c r="R210" i="6"/>
  <c r="R86" i="6"/>
  <c r="R215" i="6"/>
  <c r="R103" i="6"/>
  <c r="R145" i="6"/>
  <c r="R33" i="6"/>
  <c r="N192" i="6"/>
  <c r="N48" i="6"/>
  <c r="S226" i="6"/>
  <c r="S197" i="6"/>
  <c r="S249" i="6"/>
  <c r="S133" i="6"/>
  <c r="S217" i="6"/>
  <c r="S101" i="6"/>
  <c r="S260" i="6"/>
  <c r="S148" i="6"/>
  <c r="T198" i="6"/>
  <c r="T62" i="6"/>
  <c r="T283" i="6"/>
  <c r="T171" i="6"/>
  <c r="T277" i="6"/>
  <c r="T133" i="6"/>
  <c r="N176" i="6"/>
  <c r="N32" i="6"/>
  <c r="O263" i="6"/>
  <c r="O39" i="6"/>
  <c r="O275" i="6"/>
  <c r="O114" i="6"/>
  <c r="O233" i="6"/>
  <c r="O11" i="6"/>
  <c r="T235" i="6"/>
  <c r="M38" i="6"/>
  <c r="P44" i="6"/>
  <c r="R98" i="6"/>
  <c r="R242" i="6"/>
  <c r="R202" i="6"/>
  <c r="R122" i="6"/>
  <c r="R290" i="6"/>
  <c r="R279" i="6"/>
  <c r="R167" i="6"/>
  <c r="R233" i="6"/>
  <c r="R97" i="6"/>
  <c r="R280" i="6"/>
  <c r="R168" i="6"/>
  <c r="S302" i="6"/>
  <c r="S167" i="6"/>
  <c r="R93" i="6"/>
  <c r="R276" i="6"/>
  <c r="R164" i="6"/>
  <c r="S298" i="6"/>
  <c r="S163" i="6"/>
  <c r="S263" i="6"/>
  <c r="S118" i="6"/>
  <c r="O14" i="6"/>
  <c r="O161" i="6"/>
  <c r="T138" i="6"/>
  <c r="T102" i="6"/>
  <c r="T250" i="6"/>
  <c r="T263" i="6"/>
  <c r="T186" i="6"/>
  <c r="T231" i="6"/>
  <c r="T55" i="6"/>
  <c r="T197" i="6"/>
  <c r="T17" i="6"/>
  <c r="T252" i="6"/>
  <c r="T76" i="6"/>
  <c r="P125" i="6"/>
  <c r="P260" i="6"/>
  <c r="P148" i="6"/>
  <c r="O13" i="6"/>
  <c r="O148" i="6"/>
  <c r="T147" i="6"/>
  <c r="T35" i="6"/>
  <c r="T83" i="6"/>
  <c r="T225" i="6"/>
  <c r="T51" i="6"/>
  <c r="T189" i="6"/>
  <c r="T13" i="6"/>
  <c r="T248" i="6"/>
  <c r="T72" i="6"/>
  <c r="P121" i="6"/>
  <c r="P256" i="6"/>
  <c r="P144" i="6"/>
  <c r="R178" i="6"/>
  <c r="R74" i="6"/>
  <c r="N267" i="6"/>
  <c r="T109" i="6"/>
  <c r="R108" i="6"/>
  <c r="S290" i="6"/>
  <c r="R44" i="6"/>
  <c r="S223" i="6"/>
  <c r="R12" i="6"/>
  <c r="S187" i="6"/>
  <c r="S11" i="6"/>
  <c r="S146" i="6"/>
  <c r="S202" i="6"/>
  <c r="S185" i="6"/>
  <c r="S9" i="6"/>
  <c r="S232" i="6"/>
  <c r="S56" i="6"/>
  <c r="T154" i="6"/>
  <c r="P223" i="6"/>
  <c r="S259" i="6"/>
  <c r="T196" i="6"/>
  <c r="T84" i="6"/>
  <c r="T132" i="6"/>
  <c r="T20" i="6"/>
  <c r="T100" i="6"/>
  <c r="P117" i="6"/>
  <c r="P5" i="6"/>
  <c r="P140" i="6"/>
  <c r="P28" i="6"/>
  <c r="R294" i="6"/>
  <c r="R22" i="6"/>
  <c r="R183" i="6"/>
  <c r="R71" i="6"/>
  <c r="N145" i="6"/>
  <c r="N301" i="6"/>
  <c r="S271" i="6"/>
  <c r="S122" i="6"/>
  <c r="S182" i="6"/>
  <c r="S58" i="6"/>
  <c r="S142" i="6"/>
  <c r="S26" i="6"/>
  <c r="S181" i="6"/>
  <c r="S69" i="6"/>
  <c r="S228" i="6"/>
  <c r="S116" i="6"/>
  <c r="T130" i="6"/>
  <c r="T90" i="6"/>
  <c r="T251" i="6"/>
  <c r="T139" i="6"/>
  <c r="P225" i="6"/>
  <c r="M175" i="6"/>
  <c r="P264" i="6"/>
  <c r="P152" i="6"/>
  <c r="P200" i="6"/>
  <c r="P88" i="6"/>
  <c r="P168" i="6"/>
  <c r="P56" i="6"/>
  <c r="R266" i="6"/>
  <c r="R78" i="6"/>
  <c r="R211" i="6"/>
  <c r="R99" i="6"/>
  <c r="R141" i="6"/>
  <c r="R29" i="6"/>
  <c r="R212" i="6"/>
  <c r="R100" i="6"/>
  <c r="P209" i="6"/>
  <c r="M159" i="6"/>
  <c r="M15" i="6"/>
  <c r="M209" i="6"/>
  <c r="M61" i="6"/>
  <c r="M264" i="6"/>
  <c r="M120" i="6"/>
  <c r="S132" i="6"/>
  <c r="O142" i="6"/>
  <c r="O58" i="6"/>
  <c r="S53" i="6"/>
  <c r="S276" i="6"/>
  <c r="S293" i="6"/>
  <c r="S212" i="6"/>
  <c r="S292" i="6"/>
  <c r="S180" i="6"/>
  <c r="S4" i="6"/>
  <c r="T238" i="6"/>
  <c r="T54" i="6"/>
  <c r="T203" i="6"/>
  <c r="T27" i="6"/>
  <c r="T165" i="6"/>
  <c r="T281" i="6"/>
  <c r="T224" i="6"/>
  <c r="T199" i="6"/>
  <c r="T23" i="6"/>
  <c r="T161" i="6"/>
  <c r="T273" i="6"/>
  <c r="T220" i="6"/>
  <c r="T44" i="6"/>
  <c r="P93" i="6"/>
  <c r="M196" i="6"/>
  <c r="M52" i="6"/>
  <c r="R79" i="6"/>
  <c r="R189" i="6"/>
  <c r="R15" i="6"/>
  <c r="R121" i="6"/>
  <c r="R213" i="6"/>
  <c r="R89" i="6"/>
  <c r="R272" i="6"/>
  <c r="R160" i="6"/>
  <c r="S295" i="6"/>
  <c r="S159" i="6"/>
  <c r="S251" i="6"/>
  <c r="S114" i="6"/>
  <c r="S289" i="6"/>
  <c r="S157" i="6"/>
  <c r="N98" i="6"/>
  <c r="R112" i="6"/>
  <c r="R5" i="6"/>
  <c r="R252" i="6"/>
  <c r="R300" i="6"/>
  <c r="R188" i="6"/>
  <c r="R268" i="6"/>
  <c r="R156" i="6"/>
  <c r="S287" i="6"/>
  <c r="S155" i="6"/>
  <c r="S219" i="6"/>
  <c r="S110" i="6"/>
  <c r="S281" i="6"/>
  <c r="S153" i="6"/>
  <c r="S269" i="6"/>
  <c r="S200" i="6"/>
  <c r="P67" i="6"/>
  <c r="T293" i="6"/>
  <c r="T105" i="6"/>
  <c r="T285" i="6"/>
  <c r="T41" i="6"/>
  <c r="T276" i="6"/>
  <c r="T9" i="6"/>
  <c r="T244" i="6"/>
  <c r="T68" i="6"/>
  <c r="P85" i="6"/>
  <c r="P284" i="6"/>
  <c r="P108" i="6"/>
  <c r="R302" i="6"/>
  <c r="R238" i="6"/>
  <c r="R230" i="6"/>
  <c r="N119" i="6"/>
  <c r="N261" i="6"/>
  <c r="S255" i="6"/>
  <c r="S135" i="6"/>
  <c r="S183" i="6"/>
  <c r="S71" i="6"/>
  <c r="S151" i="6"/>
  <c r="S39" i="6"/>
  <c r="S106" i="6"/>
  <c r="S262" i="6"/>
  <c r="S149" i="6"/>
  <c r="S37" i="6"/>
  <c r="S196" i="6"/>
  <c r="S84" i="6"/>
  <c r="T302" i="6"/>
  <c r="T290" i="6"/>
  <c r="P194" i="6"/>
  <c r="P50" i="6"/>
  <c r="T48" i="6"/>
  <c r="P97" i="6"/>
  <c r="P145" i="6"/>
  <c r="P33" i="6"/>
  <c r="P113" i="6"/>
  <c r="P301" i="6"/>
  <c r="P136" i="6"/>
  <c r="P24" i="6"/>
  <c r="R281" i="6"/>
  <c r="R14" i="6"/>
  <c r="R179" i="6"/>
  <c r="R67" i="6"/>
  <c r="R109" i="6"/>
  <c r="R277" i="6"/>
  <c r="N156" i="6"/>
  <c r="N12" i="6"/>
  <c r="S297" i="6"/>
  <c r="S161" i="6"/>
  <c r="S209" i="6"/>
  <c r="S97" i="6"/>
  <c r="S177" i="6"/>
  <c r="S65" i="6"/>
  <c r="S224" i="6"/>
  <c r="S112" i="6"/>
  <c r="T114" i="6"/>
  <c r="T74" i="6"/>
  <c r="T247" i="6"/>
  <c r="T135" i="6"/>
  <c r="T213" i="6"/>
  <c r="T97" i="6"/>
  <c r="O266" i="6"/>
  <c r="O107" i="6"/>
  <c r="O166" i="6"/>
  <c r="O131" i="6"/>
  <c r="O284" i="6"/>
  <c r="O193" i="6"/>
  <c r="S20" i="6"/>
  <c r="M63" i="6"/>
  <c r="M297" i="6"/>
  <c r="P8" i="6"/>
  <c r="R10" i="6"/>
  <c r="R82" i="6"/>
  <c r="R293" i="6"/>
  <c r="R66" i="6"/>
  <c r="R158" i="6"/>
  <c r="R243" i="6"/>
  <c r="R131" i="6"/>
  <c r="R177" i="6"/>
  <c r="R61" i="6"/>
  <c r="R244" i="6"/>
  <c r="R132" i="6"/>
  <c r="S247" i="6"/>
  <c r="S131" i="6"/>
  <c r="R57" i="6"/>
  <c r="R240" i="6"/>
  <c r="R128" i="6"/>
  <c r="S243" i="6"/>
  <c r="S127" i="6"/>
  <c r="S230" i="6"/>
  <c r="S82" i="6"/>
  <c r="O273" i="6"/>
  <c r="O125" i="6"/>
  <c r="T178" i="6"/>
  <c r="T291" i="6"/>
  <c r="T146" i="6"/>
  <c r="T227" i="6"/>
  <c r="T22" i="6"/>
  <c r="T195" i="6"/>
  <c r="T19" i="6"/>
  <c r="T157" i="6"/>
  <c r="T269" i="6"/>
  <c r="T216" i="6"/>
  <c r="T40" i="6"/>
  <c r="P89" i="6"/>
  <c r="P224" i="6"/>
  <c r="P112" i="6"/>
  <c r="O264" i="6"/>
  <c r="S294" i="6"/>
  <c r="T111" i="6"/>
  <c r="T289" i="6"/>
  <c r="T47" i="6"/>
  <c r="T185" i="6"/>
  <c r="T15" i="6"/>
  <c r="T153" i="6"/>
  <c r="T261" i="6"/>
  <c r="T212" i="6"/>
  <c r="T36" i="6"/>
  <c r="P53" i="6"/>
  <c r="P252" i="6"/>
  <c r="P76" i="6"/>
  <c r="R162" i="6"/>
  <c r="N46" i="6"/>
  <c r="N231" i="6"/>
  <c r="R216" i="6"/>
  <c r="R104" i="6"/>
  <c r="R152" i="6"/>
  <c r="R40" i="6"/>
  <c r="R120" i="6"/>
  <c r="R8" i="6"/>
  <c r="S119" i="6"/>
  <c r="S7" i="6"/>
  <c r="S74" i="6"/>
  <c r="S194" i="6"/>
  <c r="S117" i="6"/>
  <c r="S5" i="6"/>
  <c r="S164" i="6"/>
  <c r="S52" i="6"/>
  <c r="P71" i="6"/>
  <c r="P15" i="6"/>
  <c r="T193" i="6"/>
  <c r="T192" i="6"/>
  <c r="T240" i="6"/>
  <c r="T128" i="6"/>
  <c r="T208" i="6"/>
  <c r="T96" i="6"/>
  <c r="P81" i="6"/>
  <c r="P280" i="6"/>
  <c r="P104" i="6"/>
  <c r="R106" i="6"/>
  <c r="R222" i="6"/>
  <c r="R214" i="6"/>
  <c r="R147" i="6"/>
  <c r="R35" i="6"/>
  <c r="N109" i="6"/>
  <c r="N268" i="6"/>
  <c r="S238" i="6"/>
  <c r="S86" i="6"/>
  <c r="S138" i="6"/>
  <c r="S22" i="6"/>
  <c r="S102" i="6"/>
  <c r="S254" i="6"/>
  <c r="S145" i="6"/>
  <c r="S33" i="6"/>
  <c r="S192" i="6"/>
  <c r="S80" i="6"/>
  <c r="T286" i="6"/>
  <c r="T282" i="6"/>
  <c r="T215" i="6"/>
  <c r="T103" i="6"/>
  <c r="P189" i="6"/>
  <c r="M139" i="6"/>
  <c r="P228" i="6"/>
  <c r="P116" i="6"/>
  <c r="P164" i="6"/>
  <c r="P52" i="6"/>
  <c r="P132" i="6"/>
  <c r="P20" i="6"/>
  <c r="R50" i="6"/>
  <c r="R6" i="6"/>
  <c r="R175" i="6"/>
  <c r="R63" i="6"/>
  <c r="R105" i="6"/>
  <c r="R273" i="6"/>
  <c r="R176" i="6"/>
  <c r="R64" i="6"/>
  <c r="P30" i="6"/>
  <c r="P173" i="6"/>
  <c r="M123" i="6"/>
  <c r="M62" i="6"/>
  <c r="M169" i="6"/>
  <c r="M25" i="6"/>
  <c r="M228" i="6"/>
  <c r="M84" i="6"/>
  <c r="S68" i="6"/>
  <c r="O287" i="6"/>
  <c r="O103" i="6"/>
  <c r="S17" i="6"/>
  <c r="S240" i="6"/>
  <c r="S288" i="6"/>
  <c r="S176" i="6"/>
  <c r="S256" i="6"/>
  <c r="S144" i="6"/>
  <c r="T182" i="6"/>
  <c r="T46" i="6"/>
  <c r="T279" i="6"/>
  <c r="T167" i="6"/>
  <c r="T265" i="6"/>
  <c r="T129" i="6"/>
  <c r="T300" i="6"/>
  <c r="T188" i="6"/>
  <c r="T163" i="6"/>
  <c r="T257" i="6"/>
  <c r="T125" i="6"/>
  <c r="T296" i="6"/>
  <c r="T184" i="6"/>
  <c r="T8" i="6"/>
  <c r="P57" i="6"/>
  <c r="M160" i="6"/>
  <c r="T145" i="6"/>
  <c r="R43" i="6"/>
  <c r="R149" i="6"/>
  <c r="R205" i="6"/>
  <c r="R85" i="6"/>
  <c r="R169" i="6"/>
  <c r="R53" i="6"/>
  <c r="R236" i="6"/>
  <c r="R124" i="6"/>
  <c r="S239" i="6"/>
  <c r="S123" i="6"/>
  <c r="S222" i="6"/>
  <c r="S78" i="6"/>
  <c r="S237" i="6"/>
  <c r="S121" i="6"/>
  <c r="N78" i="6"/>
  <c r="R113" i="6"/>
  <c r="R285" i="6"/>
  <c r="R49" i="6"/>
  <c r="R296" i="6"/>
  <c r="R17" i="6"/>
  <c r="R264" i="6"/>
  <c r="R88" i="6"/>
  <c r="S279" i="6"/>
  <c r="S87" i="6"/>
  <c r="S286" i="6"/>
  <c r="S42" i="6"/>
  <c r="S273" i="6"/>
  <c r="S85" i="6"/>
  <c r="S257" i="6"/>
  <c r="O108" i="6"/>
  <c r="P243" i="6"/>
  <c r="T217" i="6"/>
  <c r="T101" i="6"/>
  <c r="T149" i="6"/>
  <c r="T37" i="6"/>
  <c r="T117" i="6"/>
  <c r="T5" i="6"/>
  <c r="T176" i="6"/>
  <c r="T64" i="6"/>
  <c r="P49" i="6"/>
  <c r="P248" i="6"/>
  <c r="P72" i="6"/>
  <c r="R146" i="6"/>
  <c r="R118" i="6"/>
  <c r="R291" i="6"/>
  <c r="N83" i="6"/>
  <c r="N221" i="6"/>
  <c r="S211" i="6"/>
  <c r="S99" i="6"/>
  <c r="S147" i="6"/>
  <c r="S35" i="6"/>
  <c r="S115" i="6"/>
  <c r="S299" i="6"/>
  <c r="S70" i="6"/>
  <c r="S186" i="6"/>
  <c r="S113" i="6"/>
  <c r="S282" i="6"/>
  <c r="S160" i="6"/>
  <c r="S48" i="6"/>
  <c r="T126" i="6"/>
  <c r="T218" i="6"/>
  <c r="P158" i="6"/>
  <c r="P14" i="6"/>
  <c r="T12" i="6"/>
  <c r="P61" i="6"/>
  <c r="P109" i="6"/>
  <c r="P289" i="6"/>
  <c r="P77" i="6"/>
  <c r="P276" i="6"/>
  <c r="P100" i="6"/>
  <c r="R289" i="6"/>
  <c r="R206" i="6"/>
  <c r="R198" i="6"/>
  <c r="R143" i="6"/>
  <c r="R31" i="6"/>
  <c r="R73" i="6"/>
  <c r="R225" i="6"/>
  <c r="N120" i="6"/>
  <c r="O111" i="6"/>
  <c r="S241" i="6"/>
  <c r="S125" i="6"/>
  <c r="S173" i="6"/>
  <c r="S61" i="6"/>
  <c r="S141" i="6"/>
  <c r="S29" i="6"/>
  <c r="S188" i="6"/>
  <c r="S76" i="6"/>
  <c r="T270" i="6"/>
  <c r="T274" i="6"/>
  <c r="T211" i="6"/>
  <c r="T99" i="6"/>
  <c r="T173" i="6"/>
  <c r="T61" i="6"/>
  <c r="N248" i="6"/>
  <c r="N104" i="6"/>
  <c r="O235" i="6"/>
  <c r="O95" i="6"/>
  <c r="O15" i="6"/>
  <c r="O159" i="6"/>
  <c r="O10" i="6"/>
  <c r="O157" i="6"/>
  <c r="T298" i="6"/>
  <c r="M27" i="6"/>
  <c r="M225" i="6"/>
  <c r="R194" i="6"/>
  <c r="R154" i="6"/>
  <c r="R234" i="6"/>
  <c r="R142" i="6"/>
  <c r="R250" i="6"/>
  <c r="R70" i="6"/>
  <c r="R207" i="6"/>
  <c r="R95" i="6"/>
  <c r="R137" i="6"/>
  <c r="R25" i="6"/>
  <c r="R208" i="6"/>
  <c r="R96" i="6"/>
  <c r="S207" i="6"/>
  <c r="S95" i="6"/>
  <c r="R21" i="6"/>
  <c r="R204" i="6"/>
  <c r="R92" i="6"/>
  <c r="S203" i="6"/>
  <c r="S91" i="6"/>
  <c r="S162" i="6"/>
  <c r="S46" i="6"/>
  <c r="O237" i="6"/>
  <c r="T33" i="6"/>
  <c r="T234" i="6"/>
  <c r="T255" i="6"/>
  <c r="T6" i="6"/>
  <c r="T191" i="6"/>
  <c r="T271" i="6"/>
  <c r="T159" i="6"/>
  <c r="T249" i="6"/>
  <c r="T121" i="6"/>
  <c r="T292" i="6"/>
  <c r="T180" i="6"/>
  <c r="T4" i="6"/>
  <c r="P21" i="6"/>
  <c r="P220" i="6"/>
  <c r="O85" i="6"/>
  <c r="O224" i="6"/>
  <c r="T219" i="6"/>
  <c r="T107" i="6"/>
  <c r="T155" i="6"/>
  <c r="T43" i="6"/>
  <c r="T123" i="6"/>
  <c r="T11" i="6"/>
  <c r="T85" i="6"/>
  <c r="T253" i="6"/>
  <c r="T144" i="6"/>
  <c r="T32" i="6"/>
  <c r="P17" i="6"/>
  <c r="P216" i="6"/>
  <c r="P40" i="6"/>
  <c r="R58" i="6"/>
  <c r="N150" i="6"/>
  <c r="N195" i="6"/>
  <c r="R180" i="6"/>
  <c r="R68" i="6"/>
  <c r="R116" i="6"/>
  <c r="R4" i="6"/>
  <c r="R84" i="6"/>
  <c r="S275" i="6"/>
  <c r="S83" i="6"/>
  <c r="S274" i="6"/>
  <c r="S38" i="6"/>
  <c r="S265" i="6"/>
  <c r="S81" i="6"/>
  <c r="S213" i="6"/>
  <c r="S128" i="6"/>
  <c r="S16" i="6"/>
  <c r="P215" i="6"/>
  <c r="P270" i="6"/>
  <c r="T268" i="6"/>
  <c r="T156" i="6"/>
  <c r="T204" i="6"/>
  <c r="T92" i="6"/>
  <c r="T172" i="6"/>
  <c r="T60" i="6"/>
  <c r="P45" i="6"/>
  <c r="P244" i="6"/>
  <c r="P68" i="6"/>
  <c r="R42" i="6"/>
  <c r="R110" i="6"/>
  <c r="R287" i="6"/>
  <c r="R111" i="6"/>
  <c r="R261" i="6"/>
  <c r="N73" i="6"/>
  <c r="N232" i="6"/>
  <c r="S166" i="6"/>
  <c r="S50" i="6"/>
  <c r="S98" i="6"/>
  <c r="S242" i="6"/>
  <c r="S66" i="6"/>
  <c r="S178" i="6"/>
  <c r="S109" i="6"/>
  <c r="S246" i="6"/>
  <c r="S156" i="6"/>
  <c r="S44" i="6"/>
  <c r="T94" i="6"/>
  <c r="T210" i="6"/>
  <c r="T179" i="6"/>
  <c r="T67" i="6"/>
  <c r="M247" i="6"/>
  <c r="R184" i="6"/>
  <c r="P192" i="6"/>
  <c r="P80" i="6"/>
  <c r="P128" i="6"/>
  <c r="P16" i="6"/>
  <c r="P96" i="6"/>
  <c r="R258" i="6"/>
  <c r="R190" i="6"/>
  <c r="R182" i="6"/>
  <c r="R139" i="6"/>
  <c r="R27" i="6"/>
  <c r="R69" i="6"/>
  <c r="R217" i="6"/>
  <c r="R140" i="6"/>
  <c r="R28" i="6"/>
  <c r="P285" i="6"/>
  <c r="P12" i="6"/>
  <c r="M87" i="6"/>
  <c r="S100" i="6"/>
  <c r="M133" i="6"/>
  <c r="R83" i="6"/>
  <c r="M192" i="6"/>
  <c r="T151" i="6"/>
  <c r="S36" i="6"/>
  <c r="O155" i="6"/>
  <c r="O210" i="6"/>
  <c r="S277" i="6"/>
  <c r="S204" i="6"/>
  <c r="S252" i="6"/>
  <c r="S140" i="6"/>
  <c r="S220" i="6"/>
  <c r="S108" i="6"/>
  <c r="T98" i="6"/>
  <c r="T58" i="6"/>
  <c r="T243" i="6"/>
  <c r="T131" i="6"/>
  <c r="T209" i="6"/>
  <c r="T93" i="6"/>
  <c r="T264" i="6"/>
  <c r="T152" i="6"/>
  <c r="T127" i="6"/>
  <c r="T205" i="6"/>
  <c r="T89" i="6"/>
  <c r="T260" i="6"/>
  <c r="T148" i="6"/>
  <c r="P165" i="6"/>
  <c r="M268" i="6"/>
  <c r="M124" i="6"/>
  <c r="R151" i="6"/>
  <c r="R39" i="6"/>
  <c r="R87" i="6"/>
  <c r="R201" i="6"/>
  <c r="R55" i="6"/>
  <c r="R161" i="6"/>
  <c r="R257" i="6"/>
  <c r="R232" i="6"/>
  <c r="R56" i="6"/>
  <c r="S235" i="6"/>
  <c r="S55" i="6"/>
  <c r="S214" i="6"/>
  <c r="S10" i="6"/>
  <c r="S233" i="6"/>
  <c r="N278" i="6"/>
  <c r="N226" i="6"/>
  <c r="R77" i="6"/>
  <c r="R229" i="6"/>
  <c r="R13" i="6"/>
  <c r="R260" i="6"/>
  <c r="R253" i="6"/>
  <c r="R228" i="6"/>
  <c r="R52" i="6"/>
  <c r="S231" i="6"/>
  <c r="S51" i="6"/>
  <c r="S206" i="6"/>
  <c r="S6" i="6"/>
  <c r="S229" i="6"/>
  <c r="S49" i="6"/>
  <c r="S272" i="6"/>
  <c r="O72" i="6"/>
  <c r="P171" i="6"/>
  <c r="T177" i="6"/>
  <c r="T65" i="6"/>
  <c r="T113" i="6"/>
  <c r="T301" i="6"/>
  <c r="T81" i="6"/>
  <c r="T245" i="6"/>
  <c r="T140" i="6"/>
  <c r="T28" i="6"/>
  <c r="P13" i="6"/>
  <c r="P212" i="6"/>
  <c r="P36" i="6"/>
  <c r="R282" i="6"/>
  <c r="R38" i="6"/>
  <c r="R255" i="6"/>
  <c r="N47" i="6"/>
  <c r="N185" i="6"/>
  <c r="S175" i="6"/>
  <c r="S63" i="6"/>
  <c r="S111" i="6"/>
  <c r="S291" i="6"/>
  <c r="S79" i="6"/>
  <c r="S266" i="6"/>
  <c r="S34" i="6"/>
  <c r="S261" i="6"/>
  <c r="S77" i="6"/>
  <c r="S300" i="6"/>
  <c r="S124" i="6"/>
  <c r="S12" i="6"/>
  <c r="T122" i="6"/>
  <c r="T86" i="6"/>
  <c r="P122" i="6"/>
  <c r="P269" i="6"/>
  <c r="P137" i="6"/>
  <c r="P25" i="6"/>
  <c r="P73" i="6"/>
  <c r="P272" i="6"/>
  <c r="P41" i="6"/>
  <c r="P240" i="6"/>
  <c r="P64" i="6"/>
  <c r="R301" i="6"/>
  <c r="R102" i="6"/>
  <c r="R283" i="6"/>
  <c r="R107" i="6"/>
  <c r="R249" i="6"/>
  <c r="R37" i="6"/>
  <c r="R284" i="6"/>
  <c r="N84" i="6"/>
  <c r="R72" i="6"/>
  <c r="S201" i="6"/>
  <c r="S89" i="6"/>
  <c r="S137" i="6"/>
  <c r="S25" i="6"/>
  <c r="S105" i="6"/>
  <c r="S301" i="6"/>
  <c r="S152" i="6"/>
  <c r="S40" i="6"/>
  <c r="T78" i="6"/>
  <c r="T202" i="6"/>
  <c r="T175" i="6"/>
  <c r="T63" i="6"/>
  <c r="T137" i="6"/>
  <c r="T25" i="6"/>
  <c r="R114" i="6"/>
  <c r="O94" i="6"/>
  <c r="T262" i="6"/>
  <c r="O23" i="6"/>
  <c r="R193" i="6"/>
  <c r="O269" i="6"/>
  <c r="T39" i="6"/>
  <c r="T66" i="6"/>
  <c r="M74" i="6"/>
  <c r="T181" i="6"/>
  <c r="R90" i="6"/>
  <c r="R262" i="6"/>
  <c r="R218" i="6"/>
  <c r="R62" i="6"/>
  <c r="R297" i="6"/>
  <c r="R286" i="6"/>
  <c r="R171" i="6"/>
  <c r="R59" i="6"/>
  <c r="R101" i="6"/>
  <c r="R265" i="6"/>
  <c r="R172" i="6"/>
  <c r="R60" i="6"/>
  <c r="S171" i="6"/>
  <c r="S59" i="6"/>
  <c r="R209" i="6"/>
  <c r="R200" i="6"/>
  <c r="R24" i="6"/>
  <c r="S199" i="6"/>
  <c r="S23" i="6"/>
  <c r="S158" i="6"/>
  <c r="O292" i="6"/>
  <c r="O197" i="6"/>
  <c r="T162" i="6"/>
  <c r="T226" i="6"/>
  <c r="T26" i="6"/>
  <c r="T299" i="6"/>
  <c r="T258" i="6"/>
  <c r="T267" i="6"/>
  <c r="T91" i="6"/>
  <c r="T241" i="6"/>
  <c r="T53" i="6"/>
  <c r="T288" i="6"/>
  <c r="T112" i="6"/>
  <c r="P161" i="6"/>
  <c r="P296" i="6"/>
  <c r="P184" i="6"/>
  <c r="O49" i="6"/>
  <c r="O184" i="6"/>
  <c r="T183" i="6"/>
  <c r="T71" i="6"/>
  <c r="T119" i="6"/>
  <c r="T7" i="6"/>
  <c r="T87" i="6"/>
  <c r="T233" i="6"/>
  <c r="T49" i="6"/>
  <c r="T284" i="6"/>
  <c r="T108" i="6"/>
  <c r="P157" i="6"/>
  <c r="P292" i="6"/>
  <c r="P180" i="6"/>
  <c r="P4" i="6"/>
  <c r="R130" i="6"/>
  <c r="N6" i="6"/>
  <c r="N159" i="6"/>
  <c r="R144" i="6"/>
  <c r="R32" i="6"/>
  <c r="R80" i="6"/>
  <c r="S267" i="6"/>
  <c r="R48" i="6"/>
  <c r="S227" i="6"/>
  <c r="S47" i="6"/>
  <c r="S198" i="6"/>
  <c r="S278" i="6"/>
  <c r="S225" i="6"/>
  <c r="S45" i="6"/>
  <c r="S268" i="6"/>
  <c r="S92" i="6"/>
  <c r="T230" i="6"/>
  <c r="P27" i="6"/>
  <c r="P234" i="6"/>
  <c r="T232" i="6"/>
  <c r="T120" i="6"/>
  <c r="T168" i="6"/>
  <c r="T56" i="6"/>
  <c r="T136" i="6"/>
  <c r="T24" i="6"/>
  <c r="P9" i="6"/>
  <c r="P208" i="6"/>
  <c r="P32" i="6"/>
  <c r="R138" i="6"/>
  <c r="R30" i="6"/>
  <c r="R251" i="6"/>
  <c r="R75" i="6"/>
  <c r="R185" i="6"/>
  <c r="N37" i="6"/>
  <c r="T73" i="6"/>
  <c r="S130" i="6"/>
  <c r="S14" i="6"/>
  <c r="S62" i="6"/>
  <c r="S170" i="6"/>
  <c r="S30" i="6"/>
  <c r="S253" i="6"/>
  <c r="S73" i="6"/>
  <c r="S296" i="6"/>
  <c r="S120" i="6"/>
  <c r="S8" i="6"/>
  <c r="T106" i="6"/>
  <c r="T70" i="6"/>
  <c r="T143" i="6"/>
  <c r="T31" i="6"/>
  <c r="M211" i="6"/>
  <c r="P300" i="6"/>
  <c r="P188" i="6"/>
  <c r="P236" i="6"/>
  <c r="P124" i="6"/>
  <c r="P204" i="6"/>
  <c r="P92" i="6"/>
  <c r="R34" i="6"/>
  <c r="R166" i="6"/>
  <c r="R247" i="6"/>
  <c r="R135" i="6"/>
  <c r="R181" i="6"/>
  <c r="R65" i="6"/>
  <c r="R248" i="6"/>
  <c r="R136" i="6"/>
  <c r="L4" i="4"/>
  <c r="O4" i="4" s="1"/>
  <c r="S4" i="4"/>
  <c r="P4" i="4" a="1"/>
  <c r="P4" i="4" l="1"/>
  <c r="K5" i="4"/>
  <c r="M4" i="4"/>
  <c r="L5" i="4" l="1"/>
  <c r="Q4" i="4"/>
  <c r="P5" i="4" a="1"/>
  <c r="P5" i="4" l="1"/>
  <c r="M5" i="4"/>
  <c r="Q5" i="4" s="1"/>
  <c r="K6" i="4"/>
  <c r="O5" i="4"/>
  <c r="S5" i="4"/>
  <c r="L6" i="4" l="1"/>
  <c r="O6" i="4" s="1"/>
  <c r="S6" i="4"/>
  <c r="P6" i="4" a="1"/>
  <c r="P6" i="4" l="1"/>
  <c r="M6" i="4"/>
  <c r="K7" i="4"/>
  <c r="Q6" i="4" l="1"/>
  <c r="L7" i="4"/>
  <c r="O7" i="4" s="1"/>
  <c r="S7" i="4"/>
  <c r="P7" i="4" a="1"/>
  <c r="P7" i="4" l="1"/>
  <c r="M7" i="4"/>
  <c r="K8" i="4"/>
  <c r="L8" i="4" l="1"/>
  <c r="S8" i="4"/>
  <c r="O8" i="4"/>
  <c r="Q7" i="4"/>
  <c r="Q8" i="4" s="1"/>
  <c r="P8" i="4" a="1"/>
  <c r="P8" i="4" l="1"/>
  <c r="M8" i="4"/>
  <c r="K9" i="4"/>
  <c r="L9" i="4" l="1"/>
  <c r="S9" i="4" s="1"/>
  <c r="P9" i="4" a="1"/>
  <c r="O9" i="4" l="1"/>
  <c r="P9" i="4"/>
  <c r="M9" i="4"/>
  <c r="K10" i="4"/>
  <c r="L10" i="4" l="1"/>
  <c r="O10" i="4" s="1"/>
  <c r="Q9" i="4"/>
  <c r="P10" i="4" a="1"/>
  <c r="P10" i="4" l="1"/>
  <c r="M10" i="4"/>
  <c r="K11" i="4"/>
  <c r="L11" i="4" l="1"/>
  <c r="O11" i="4"/>
  <c r="S11" i="4"/>
  <c r="Q10" i="4"/>
  <c r="P11" i="4" a="1"/>
  <c r="P11" i="4" l="1"/>
  <c r="M11" i="4"/>
  <c r="K12" i="4"/>
  <c r="Q11" i="4" l="1"/>
  <c r="Q12" i="4" s="1"/>
  <c r="L12" i="4"/>
  <c r="O12" i="4"/>
  <c r="S12" i="4"/>
  <c r="P12" i="4" a="1"/>
  <c r="P12" i="4" l="1"/>
  <c r="M12" i="4"/>
  <c r="K13" i="4"/>
  <c r="L13" i="4" l="1"/>
  <c r="O13" i="4" s="1"/>
  <c r="P13" i="4" a="1"/>
  <c r="S13" i="4" l="1"/>
  <c r="P13" i="4"/>
  <c r="M13" i="4"/>
  <c r="Q13" i="4" s="1"/>
  <c r="K14" i="4"/>
  <c r="L14" i="4" l="1"/>
  <c r="O14" i="4" s="1"/>
  <c r="P14" i="4" a="1"/>
  <c r="S14" i="4" l="1"/>
  <c r="P14" i="4"/>
  <c r="M14" i="4"/>
  <c r="K15" i="4"/>
  <c r="L15" i="4" l="1"/>
  <c r="S15" i="4" s="1"/>
  <c r="Q14" i="4"/>
  <c r="P15" i="4" a="1"/>
  <c r="O15" i="4" l="1"/>
  <c r="P15" i="4"/>
  <c r="M15" i="4"/>
  <c r="K16" i="4"/>
  <c r="L16" i="4" l="1"/>
  <c r="S16" i="4"/>
  <c r="O16" i="4"/>
  <c r="Q15" i="4"/>
  <c r="P16" i="4" a="1"/>
  <c r="P16" i="4" l="1"/>
  <c r="M16" i="4"/>
  <c r="Q16" i="4" s="1"/>
  <c r="M17" i="4" l="1"/>
  <c r="N5" i="4" s="1"/>
  <c r="N10" i="4" l="1"/>
  <c r="N3" i="4"/>
  <c r="N11" i="4"/>
  <c r="N4" i="4"/>
  <c r="N12" i="4"/>
  <c r="N13" i="4"/>
  <c r="N6" i="4"/>
  <c r="N14" i="4"/>
  <c r="N7" i="4"/>
  <c r="N15" i="4"/>
  <c r="N8" i="4"/>
  <c r="N16" i="4"/>
  <c r="N9" i="4"/>
  <c r="N2" i="4"/>
  <c r="R2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H7" i="2" l="1"/>
  <c r="H8" i="2" s="1"/>
  <c r="H6" i="2"/>
  <c r="H3" i="2"/>
  <c r="H2" i="2"/>
  <c r="K3" i="2" l="1"/>
  <c r="L4" i="1"/>
  <c r="T4" i="1" a="1"/>
  <c r="S4" i="1" a="1"/>
  <c r="L3" i="2" l="1"/>
  <c r="K5" i="1"/>
  <c r="T4" i="1"/>
  <c r="S4" i="1"/>
  <c r="T5" i="1" a="1"/>
  <c r="S5" i="1" a="1"/>
  <c r="S3" i="1" a="1"/>
  <c r="T3" i="1" a="1"/>
  <c r="K4" i="2" l="1"/>
  <c r="M3" i="2"/>
  <c r="S5" i="1"/>
  <c r="T5" i="1"/>
  <c r="K6" i="1"/>
  <c r="L5" i="1"/>
  <c r="T3" i="1"/>
  <c r="S3" i="1"/>
  <c r="T6" i="1" a="1"/>
  <c r="S6" i="1" a="1"/>
  <c r="L4" i="2" l="1"/>
  <c r="S4" i="2" s="1"/>
  <c r="T6" i="1"/>
  <c r="S6" i="1"/>
  <c r="K7" i="1"/>
  <c r="L6" i="1"/>
  <c r="R2" i="1"/>
  <c r="P4" i="2" a="1"/>
  <c r="T7" i="1" a="1"/>
  <c r="S7" i="1" a="1"/>
  <c r="O4" i="2" l="1"/>
  <c r="P4" i="2"/>
  <c r="M4" i="2"/>
  <c r="Q4" i="2" s="1"/>
  <c r="K5" i="2"/>
  <c r="S7" i="1"/>
  <c r="T7" i="1"/>
  <c r="L7" i="1"/>
  <c r="K8" i="1"/>
  <c r="H11" i="1"/>
  <c r="T8" i="1" a="1"/>
  <c r="S8" i="1" a="1"/>
  <c r="L5" i="2" l="1"/>
  <c r="O5" i="2" s="1"/>
  <c r="T8" i="1"/>
  <c r="S8" i="1"/>
  <c r="L8" i="1"/>
  <c r="H8" i="1"/>
  <c r="H7" i="1"/>
  <c r="H3" i="1"/>
  <c r="H2" i="1"/>
  <c r="P5" i="2" a="1"/>
  <c r="T9" i="1" a="1"/>
  <c r="S9" i="1" a="1"/>
  <c r="P5" i="2" l="1"/>
  <c r="S5" i="2"/>
  <c r="M5" i="2"/>
  <c r="Q5" i="2" s="1"/>
  <c r="K6" i="2"/>
  <c r="S9" i="1"/>
  <c r="T9" i="1"/>
  <c r="K10" i="1"/>
  <c r="L9" i="1"/>
  <c r="T10" i="1" a="1"/>
  <c r="S10" i="1" a="1"/>
  <c r="L6" i="2" l="1"/>
  <c r="S6" i="2" s="1"/>
  <c r="T10" i="1"/>
  <c r="S10" i="1"/>
  <c r="K11" i="1"/>
  <c r="L10" i="1"/>
  <c r="T11" i="1" a="1"/>
  <c r="P6" i="2" a="1"/>
  <c r="S11" i="1" a="1"/>
  <c r="P6" i="2" l="1"/>
  <c r="K7" i="2"/>
  <c r="M6" i="2"/>
  <c r="Q6" i="2" s="1"/>
  <c r="O6" i="2"/>
  <c r="S11" i="1"/>
  <c r="T11" i="1"/>
  <c r="K12" i="1"/>
  <c r="L11" i="1"/>
  <c r="S12" i="1" a="1"/>
  <c r="T12" i="1" a="1"/>
  <c r="L7" i="2" l="1"/>
  <c r="O7" i="2" s="1"/>
  <c r="T12" i="1"/>
  <c r="S12" i="1"/>
  <c r="K13" i="1"/>
  <c r="L12" i="1"/>
  <c r="P7" i="2" a="1"/>
  <c r="T13" i="1" a="1"/>
  <c r="S13" i="1" a="1"/>
  <c r="S7" i="2" l="1"/>
  <c r="P7" i="2"/>
  <c r="M7" i="2"/>
  <c r="Q7" i="2" s="1"/>
  <c r="K8" i="2"/>
  <c r="S13" i="1"/>
  <c r="T13" i="1"/>
  <c r="K14" i="1"/>
  <c r="L13" i="1"/>
  <c r="S14" i="1" a="1"/>
  <c r="T14" i="1" a="1"/>
  <c r="L8" i="2" l="1"/>
  <c r="O8" i="2" s="1"/>
  <c r="S14" i="1"/>
  <c r="T14" i="1"/>
  <c r="K15" i="1"/>
  <c r="L14" i="1"/>
  <c r="S15" i="1" a="1"/>
  <c r="T15" i="1" a="1"/>
  <c r="P8" i="2" a="1"/>
  <c r="P8" i="2" l="1"/>
  <c r="S8" i="2"/>
  <c r="K9" i="2"/>
  <c r="M8" i="2"/>
  <c r="Q8" i="2" s="1"/>
  <c r="S15" i="1"/>
  <c r="T15" i="1"/>
  <c r="K16" i="1"/>
  <c r="L15" i="1"/>
  <c r="S16" i="1" a="1"/>
  <c r="T16" i="1" a="1"/>
  <c r="L9" i="2" l="1"/>
  <c r="O9" i="2" s="1"/>
  <c r="S16" i="1"/>
  <c r="T16" i="1"/>
  <c r="K17" i="1"/>
  <c r="L16" i="1"/>
  <c r="S17" i="1" a="1"/>
  <c r="P9" i="2" a="1"/>
  <c r="T17" i="1" a="1"/>
  <c r="P9" i="2" l="1"/>
  <c r="S9" i="2"/>
  <c r="M9" i="2"/>
  <c r="Q9" i="2" s="1"/>
  <c r="K10" i="2"/>
  <c r="S17" i="1"/>
  <c r="T17" i="1"/>
  <c r="K18" i="1"/>
  <c r="L17" i="1"/>
  <c r="S18" i="1" a="1"/>
  <c r="T18" i="1" a="1"/>
  <c r="L10" i="2" l="1"/>
  <c r="S10" i="2" s="1"/>
  <c r="T18" i="1"/>
  <c r="S18" i="1"/>
  <c r="K19" i="1"/>
  <c r="L18" i="1"/>
  <c r="S19" i="1" a="1"/>
  <c r="P10" i="2" a="1"/>
  <c r="T19" i="1" a="1"/>
  <c r="P10" i="2" l="1"/>
  <c r="K11" i="2"/>
  <c r="M10" i="2"/>
  <c r="Q10" i="2" s="1"/>
  <c r="O10" i="2"/>
  <c r="S19" i="1"/>
  <c r="T19" i="1"/>
  <c r="K20" i="1"/>
  <c r="L19" i="1"/>
  <c r="S20" i="1" a="1"/>
  <c r="T20" i="1" a="1"/>
  <c r="L11" i="2" l="1"/>
  <c r="O11" i="2" s="1"/>
  <c r="S20" i="1"/>
  <c r="T20" i="1"/>
  <c r="K21" i="1"/>
  <c r="L20" i="1"/>
  <c r="P11" i="2" a="1"/>
  <c r="S21" i="1" a="1"/>
  <c r="T21" i="1" a="1"/>
  <c r="P11" i="2" l="1"/>
  <c r="K12" i="2"/>
  <c r="M11" i="2"/>
  <c r="Q11" i="2" s="1"/>
  <c r="S11" i="2"/>
  <c r="T21" i="1"/>
  <c r="S21" i="1"/>
  <c r="K22" i="1"/>
  <c r="L21" i="1"/>
  <c r="S22" i="1" a="1"/>
  <c r="T22" i="1" a="1"/>
  <c r="L12" i="2" l="1"/>
  <c r="S12" i="2" s="1"/>
  <c r="T22" i="1"/>
  <c r="S22" i="1"/>
  <c r="K23" i="1"/>
  <c r="L22" i="1"/>
  <c r="P12" i="2" a="1"/>
  <c r="T23" i="1" a="1"/>
  <c r="S23" i="1" a="1"/>
  <c r="P12" i="2" l="1"/>
  <c r="K13" i="2"/>
  <c r="M12" i="2"/>
  <c r="Q12" i="2" s="1"/>
  <c r="O12" i="2"/>
  <c r="S23" i="1"/>
  <c r="T23" i="1"/>
  <c r="K24" i="1"/>
  <c r="L23" i="1"/>
  <c r="T24" i="1" a="1"/>
  <c r="S24" i="1" a="1"/>
  <c r="L13" i="2" l="1"/>
  <c r="S24" i="1"/>
  <c r="T24" i="1"/>
  <c r="K25" i="1"/>
  <c r="L24" i="1"/>
  <c r="T25" i="1" a="1"/>
  <c r="P13" i="2" a="1"/>
  <c r="S25" i="1" a="1"/>
  <c r="P13" i="2" l="1"/>
  <c r="S13" i="2"/>
  <c r="M13" i="2"/>
  <c r="Q13" i="2" s="1"/>
  <c r="K14" i="2"/>
  <c r="O13" i="2"/>
  <c r="T25" i="1"/>
  <c r="S25" i="1"/>
  <c r="K26" i="1"/>
  <c r="L25" i="1"/>
  <c r="S26" i="1" a="1"/>
  <c r="T26" i="1" a="1"/>
  <c r="L14" i="2" l="1"/>
  <c r="O14" i="2" s="1"/>
  <c r="S26" i="1"/>
  <c r="T26" i="1"/>
  <c r="K27" i="1"/>
  <c r="L26" i="1"/>
  <c r="P14" i="2" a="1"/>
  <c r="T27" i="1" a="1"/>
  <c r="S27" i="1" a="1"/>
  <c r="P14" i="2" l="1"/>
  <c r="S14" i="2"/>
  <c r="K15" i="2"/>
  <c r="M14" i="2"/>
  <c r="Q14" i="2" s="1"/>
  <c r="S27" i="1"/>
  <c r="T27" i="1"/>
  <c r="K28" i="1"/>
  <c r="L27" i="1"/>
  <c r="S28" i="1" a="1"/>
  <c r="T28" i="1" a="1"/>
  <c r="L15" i="2" l="1"/>
  <c r="O15" i="2" s="1"/>
  <c r="T28" i="1"/>
  <c r="S28" i="1"/>
  <c r="K29" i="1"/>
  <c r="L28" i="1"/>
  <c r="P15" i="2" a="1"/>
  <c r="S29" i="1" a="1"/>
  <c r="T29" i="1" a="1"/>
  <c r="P15" i="2" l="1"/>
  <c r="S15" i="2"/>
  <c r="M15" i="2"/>
  <c r="Q15" i="2" s="1"/>
  <c r="K16" i="2"/>
  <c r="T29" i="1"/>
  <c r="S29" i="1"/>
  <c r="K30" i="1"/>
  <c r="L29" i="1"/>
  <c r="T30" i="1" a="1"/>
  <c r="S30" i="1" a="1"/>
  <c r="L16" i="2" l="1"/>
  <c r="O16" i="2"/>
  <c r="T30" i="1"/>
  <c r="S30" i="1"/>
  <c r="K31" i="1"/>
  <c r="L30" i="1"/>
  <c r="P16" i="2" a="1"/>
  <c r="T31" i="1" a="1"/>
  <c r="S31" i="1" a="1"/>
  <c r="P16" i="2" l="1"/>
  <c r="S16" i="2"/>
  <c r="M16" i="2"/>
  <c r="Q16" i="2" s="1"/>
  <c r="K17" i="2"/>
  <c r="T31" i="1"/>
  <c r="S31" i="1"/>
  <c r="K32" i="1"/>
  <c r="L31" i="1"/>
  <c r="S32" i="1" a="1"/>
  <c r="T32" i="1" a="1"/>
  <c r="L17" i="2" l="1"/>
  <c r="O17" i="2" s="1"/>
  <c r="T32" i="1"/>
  <c r="S32" i="1"/>
  <c r="K33" i="1"/>
  <c r="L32" i="1"/>
  <c r="S33" i="1" a="1"/>
  <c r="T33" i="1" a="1"/>
  <c r="P17" i="2" a="1"/>
  <c r="P17" i="2" l="1"/>
  <c r="S17" i="2"/>
  <c r="M17" i="2"/>
  <c r="Q17" i="2" s="1"/>
  <c r="K18" i="2"/>
  <c r="S33" i="1"/>
  <c r="T33" i="1"/>
  <c r="K34" i="1"/>
  <c r="L33" i="1"/>
  <c r="T34" i="1" a="1"/>
  <c r="S34" i="1" a="1"/>
  <c r="L18" i="2" l="1"/>
  <c r="O18" i="2" s="1"/>
  <c r="S34" i="1"/>
  <c r="T34" i="1"/>
  <c r="K35" i="1"/>
  <c r="L34" i="1"/>
  <c r="T35" i="1" a="1"/>
  <c r="S35" i="1" a="1"/>
  <c r="P18" i="2" a="1"/>
  <c r="P18" i="2" l="1"/>
  <c r="S18" i="2"/>
  <c r="M18" i="2"/>
  <c r="Q18" i="2" s="1"/>
  <c r="K19" i="2"/>
  <c r="S35" i="1"/>
  <c r="T35" i="1"/>
  <c r="K36" i="1"/>
  <c r="L35" i="1"/>
  <c r="T36" i="1" a="1"/>
  <c r="S36" i="1" a="1"/>
  <c r="L19" i="2" l="1"/>
  <c r="O19" i="2" s="1"/>
  <c r="T36" i="1"/>
  <c r="S36" i="1"/>
  <c r="K37" i="1"/>
  <c r="L36" i="1"/>
  <c r="T37" i="1" a="1"/>
  <c r="P19" i="2" a="1"/>
  <c r="S37" i="1" a="1"/>
  <c r="P19" i="2" l="1"/>
  <c r="S19" i="2"/>
  <c r="K20" i="2"/>
  <c r="M19" i="2"/>
  <c r="Q19" i="2" s="1"/>
  <c r="S37" i="1"/>
  <c r="T37" i="1"/>
  <c r="K38" i="1"/>
  <c r="L37" i="1"/>
  <c r="S38" i="1" a="1"/>
  <c r="T38" i="1" a="1"/>
  <c r="L20" i="2" l="1"/>
  <c r="S38" i="1"/>
  <c r="T38" i="1"/>
  <c r="K39" i="1"/>
  <c r="L38" i="1"/>
  <c r="P20" i="2" a="1"/>
  <c r="S39" i="1" a="1"/>
  <c r="T39" i="1" a="1"/>
  <c r="P20" i="2" l="1"/>
  <c r="S20" i="2"/>
  <c r="M20" i="2"/>
  <c r="Q20" i="2" s="1"/>
  <c r="K21" i="2"/>
  <c r="O20" i="2"/>
  <c r="S39" i="1"/>
  <c r="T39" i="1"/>
  <c r="K40" i="1"/>
  <c r="L39" i="1"/>
  <c r="T40" i="1" a="1"/>
  <c r="S40" i="1" a="1"/>
  <c r="L21" i="2" l="1"/>
  <c r="S21" i="2" s="1"/>
  <c r="T40" i="1"/>
  <c r="S40" i="1"/>
  <c r="K41" i="1"/>
  <c r="L40" i="1"/>
  <c r="S41" i="1" a="1"/>
  <c r="P21" i="2" a="1"/>
  <c r="T41" i="1" a="1"/>
  <c r="P21" i="2" l="1"/>
  <c r="O21" i="2"/>
  <c r="M21" i="2"/>
  <c r="Q21" i="2" s="1"/>
  <c r="K22" i="2"/>
  <c r="S41" i="1"/>
  <c r="T41" i="1"/>
  <c r="K42" i="1"/>
  <c r="L41" i="1"/>
  <c r="S42" i="1" a="1"/>
  <c r="T42" i="1" a="1"/>
  <c r="L22" i="2" l="1"/>
  <c r="O22" i="2" s="1"/>
  <c r="T42" i="1"/>
  <c r="S42" i="1"/>
  <c r="K43" i="1"/>
  <c r="L42" i="1"/>
  <c r="S43" i="1" a="1"/>
  <c r="T43" i="1" a="1"/>
  <c r="P22" i="2" a="1"/>
  <c r="P22" i="2" l="1"/>
  <c r="S22" i="2"/>
  <c r="M22" i="2"/>
  <c r="Q22" i="2" s="1"/>
  <c r="K23" i="2"/>
  <c r="S43" i="1"/>
  <c r="T43" i="1"/>
  <c r="K44" i="1"/>
  <c r="L43" i="1"/>
  <c r="T44" i="1" a="1"/>
  <c r="S44" i="1" a="1"/>
  <c r="L23" i="2" l="1"/>
  <c r="O23" i="2" s="1"/>
  <c r="T44" i="1"/>
  <c r="S44" i="1"/>
  <c r="K45" i="1"/>
  <c r="L44" i="1"/>
  <c r="P23" i="2" a="1"/>
  <c r="S45" i="1" a="1"/>
  <c r="T45" i="1" a="1"/>
  <c r="P23" i="2" l="1"/>
  <c r="M23" i="2"/>
  <c r="Q23" i="2" s="1"/>
  <c r="K24" i="2"/>
  <c r="S23" i="2"/>
  <c r="S45" i="1"/>
  <c r="T45" i="1"/>
  <c r="K46" i="1"/>
  <c r="L45" i="1"/>
  <c r="S46" i="1" a="1"/>
  <c r="T46" i="1" a="1"/>
  <c r="L24" i="2" l="1"/>
  <c r="O24" i="2" s="1"/>
  <c r="T46" i="1"/>
  <c r="S46" i="1"/>
  <c r="K47" i="1"/>
  <c r="L46" i="1"/>
  <c r="S47" i="1" a="1"/>
  <c r="T47" i="1" a="1"/>
  <c r="P24" i="2" a="1"/>
  <c r="P24" i="2" l="1"/>
  <c r="S24" i="2"/>
  <c r="K25" i="2"/>
  <c r="M24" i="2"/>
  <c r="Q24" i="2" s="1"/>
  <c r="T47" i="1"/>
  <c r="S47" i="1"/>
  <c r="K48" i="1"/>
  <c r="L47" i="1"/>
  <c r="T48" i="1" a="1"/>
  <c r="S48" i="1" a="1"/>
  <c r="L25" i="2" l="1"/>
  <c r="S25" i="2" s="1"/>
  <c r="S48" i="1"/>
  <c r="T48" i="1"/>
  <c r="K49" i="1"/>
  <c r="L48" i="1"/>
  <c r="T49" i="1" a="1"/>
  <c r="S49" i="1" a="1"/>
  <c r="P25" i="2" a="1"/>
  <c r="O25" i="2" l="1"/>
  <c r="P25" i="2"/>
  <c r="M25" i="2"/>
  <c r="Q25" i="2" s="1"/>
  <c r="K26" i="2"/>
  <c r="T49" i="1"/>
  <c r="S49" i="1"/>
  <c r="K50" i="1"/>
  <c r="L49" i="1"/>
  <c r="T50" i="1" a="1"/>
  <c r="S50" i="1" a="1"/>
  <c r="L26" i="2" l="1"/>
  <c r="O26" i="2" s="1"/>
  <c r="T50" i="1"/>
  <c r="S50" i="1"/>
  <c r="K51" i="1"/>
  <c r="L50" i="1"/>
  <c r="S51" i="1" a="1"/>
  <c r="P26" i="2" a="1"/>
  <c r="T51" i="1" a="1"/>
  <c r="P26" i="2" l="1"/>
  <c r="M26" i="2"/>
  <c r="Q26" i="2" s="1"/>
  <c r="K27" i="2"/>
  <c r="S26" i="2"/>
  <c r="T51" i="1"/>
  <c r="S51" i="1"/>
  <c r="K52" i="1"/>
  <c r="L51" i="1"/>
  <c r="T52" i="1" a="1"/>
  <c r="S52" i="1" a="1"/>
  <c r="L27" i="2" l="1"/>
  <c r="S52" i="1"/>
  <c r="T52" i="1"/>
  <c r="K53" i="1"/>
  <c r="L52" i="1"/>
  <c r="P27" i="2" a="1"/>
  <c r="T53" i="1" a="1"/>
  <c r="S53" i="1" a="1"/>
  <c r="P27" i="2" l="1"/>
  <c r="S27" i="2"/>
  <c r="M27" i="2"/>
  <c r="Q27" i="2" s="1"/>
  <c r="K28" i="2"/>
  <c r="O27" i="2"/>
  <c r="T53" i="1"/>
  <c r="S53" i="1"/>
  <c r="K54" i="1"/>
  <c r="L53" i="1"/>
  <c r="T54" i="1" a="1"/>
  <c r="S54" i="1" a="1"/>
  <c r="L28" i="2" l="1"/>
  <c r="O28" i="2" s="1"/>
  <c r="T54" i="1"/>
  <c r="S54" i="1"/>
  <c r="K55" i="1"/>
  <c r="L54" i="1"/>
  <c r="S55" i="1" a="1"/>
  <c r="P28" i="2" a="1"/>
  <c r="T55" i="1" a="1"/>
  <c r="S28" i="2" l="1"/>
  <c r="P28" i="2"/>
  <c r="M28" i="2"/>
  <c r="Q28" i="2" s="1"/>
  <c r="K29" i="2"/>
  <c r="T55" i="1"/>
  <c r="S55" i="1"/>
  <c r="K56" i="1"/>
  <c r="L55" i="1"/>
  <c r="S56" i="1" a="1"/>
  <c r="T56" i="1" a="1"/>
  <c r="L29" i="2" l="1"/>
  <c r="O29" i="2" s="1"/>
  <c r="S56" i="1"/>
  <c r="T56" i="1"/>
  <c r="K57" i="1"/>
  <c r="L56" i="1"/>
  <c r="S57" i="1" a="1"/>
  <c r="P29" i="2" a="1"/>
  <c r="T57" i="1" a="1"/>
  <c r="P29" i="2" l="1"/>
  <c r="S29" i="2"/>
  <c r="M29" i="2"/>
  <c r="Q29" i="2" s="1"/>
  <c r="K30" i="2"/>
  <c r="S57" i="1"/>
  <c r="T57" i="1"/>
  <c r="K58" i="1"/>
  <c r="L57" i="1"/>
  <c r="S58" i="1" a="1"/>
  <c r="T58" i="1" a="1"/>
  <c r="L30" i="2" l="1"/>
  <c r="O30" i="2" s="1"/>
  <c r="T58" i="1"/>
  <c r="S58" i="1"/>
  <c r="K59" i="1"/>
  <c r="L58" i="1"/>
  <c r="T59" i="1" a="1"/>
  <c r="P30" i="2" a="1"/>
  <c r="S59" i="1" a="1"/>
  <c r="P30" i="2" l="1"/>
  <c r="K31" i="2"/>
  <c r="M30" i="2"/>
  <c r="Q30" i="2" s="1"/>
  <c r="S30" i="2"/>
  <c r="S59" i="1"/>
  <c r="T59" i="1"/>
  <c r="K60" i="1"/>
  <c r="L59" i="1"/>
  <c r="T60" i="1" a="1"/>
  <c r="S60" i="1" a="1"/>
  <c r="L31" i="2" l="1"/>
  <c r="O31" i="2" s="1"/>
  <c r="T60" i="1"/>
  <c r="S60" i="1"/>
  <c r="K61" i="1"/>
  <c r="L60" i="1"/>
  <c r="T61" i="1" a="1"/>
  <c r="P31" i="2" a="1"/>
  <c r="S61" i="1" a="1"/>
  <c r="P31" i="2" l="1"/>
  <c r="S31" i="2"/>
  <c r="K32" i="2"/>
  <c r="M31" i="2"/>
  <c r="Q31" i="2" s="1"/>
  <c r="T61" i="1"/>
  <c r="S61" i="1"/>
  <c r="K62" i="1"/>
  <c r="L61" i="1"/>
  <c r="S62" i="1" a="1"/>
  <c r="T62" i="1" a="1"/>
  <c r="L32" i="2" l="1"/>
  <c r="O32" i="2" s="1"/>
  <c r="T62" i="1"/>
  <c r="S62" i="1"/>
  <c r="K63" i="1"/>
  <c r="L62" i="1"/>
  <c r="S63" i="1" a="1"/>
  <c r="T63" i="1" a="1"/>
  <c r="P32" i="2" a="1"/>
  <c r="P32" i="2" l="1"/>
  <c r="S32" i="2"/>
  <c r="M32" i="2"/>
  <c r="T63" i="1"/>
  <c r="S63" i="1"/>
  <c r="K64" i="1"/>
  <c r="L63" i="1"/>
  <c r="T64" i="1" a="1"/>
  <c r="S64" i="1" a="1"/>
  <c r="Q32" i="2" l="1"/>
  <c r="M33" i="2"/>
  <c r="N32" i="2" s="1"/>
  <c r="T64" i="1"/>
  <c r="S64" i="1"/>
  <c r="K65" i="1"/>
  <c r="L64" i="1"/>
  <c r="T65" i="1" a="1"/>
  <c r="S65" i="1" a="1"/>
  <c r="R4" i="2" l="1"/>
  <c r="R8" i="2"/>
  <c r="R12" i="2"/>
  <c r="N16" i="2"/>
  <c r="R20" i="2"/>
  <c r="R24" i="2"/>
  <c r="R28" i="2"/>
  <c r="N21" i="2"/>
  <c r="R29" i="2"/>
  <c r="R31" i="2"/>
  <c r="N5" i="2"/>
  <c r="N9" i="2"/>
  <c r="N13" i="2"/>
  <c r="N17" i="2"/>
  <c r="N25" i="2"/>
  <c r="R27" i="2"/>
  <c r="R5" i="2"/>
  <c r="R9" i="2"/>
  <c r="R13" i="2"/>
  <c r="R17" i="2"/>
  <c r="R21" i="2"/>
  <c r="R25" i="2"/>
  <c r="N29" i="2"/>
  <c r="N6" i="2"/>
  <c r="N10" i="2"/>
  <c r="N14" i="2"/>
  <c r="N18" i="2"/>
  <c r="N22" i="2"/>
  <c r="N26" i="2"/>
  <c r="N30" i="2"/>
  <c r="N27" i="2"/>
  <c r="R11" i="2"/>
  <c r="R6" i="2"/>
  <c r="R10" i="2"/>
  <c r="R14" i="2"/>
  <c r="R18" i="2"/>
  <c r="R22" i="2"/>
  <c r="R26" i="2"/>
  <c r="R30" i="2"/>
  <c r="N19" i="2"/>
  <c r="N31" i="2"/>
  <c r="R23" i="2"/>
  <c r="N3" i="2"/>
  <c r="N7" i="2"/>
  <c r="N11" i="2"/>
  <c r="N15" i="2"/>
  <c r="N23" i="2"/>
  <c r="R15" i="2"/>
  <c r="R7" i="2"/>
  <c r="R19" i="2"/>
  <c r="N4" i="2"/>
  <c r="N8" i="2"/>
  <c r="N12" i="2"/>
  <c r="R16" i="2"/>
  <c r="N20" i="2"/>
  <c r="N24" i="2"/>
  <c r="N28" i="2"/>
  <c r="R32" i="2"/>
  <c r="T65" i="1"/>
  <c r="S65" i="1"/>
  <c r="K66" i="1"/>
  <c r="L65" i="1"/>
  <c r="S66" i="1" a="1"/>
  <c r="T66" i="1" a="1"/>
  <c r="S66" i="1" l="1"/>
  <c r="T66" i="1"/>
  <c r="K67" i="1"/>
  <c r="L66" i="1"/>
  <c r="S67" i="1" a="1"/>
  <c r="T67" i="1" a="1"/>
  <c r="T67" i="1" l="1"/>
  <c r="S67" i="1"/>
  <c r="K68" i="1"/>
  <c r="L67" i="1"/>
  <c r="S68" i="1" a="1"/>
  <c r="T68" i="1" a="1"/>
  <c r="S68" i="1" l="1"/>
  <c r="T68" i="1"/>
  <c r="K69" i="1"/>
  <c r="L68" i="1"/>
  <c r="T69" i="1" a="1"/>
  <c r="S69" i="1" a="1"/>
  <c r="T69" i="1" l="1"/>
  <c r="S69" i="1"/>
  <c r="K70" i="1"/>
  <c r="L69" i="1"/>
  <c r="T70" i="1" a="1"/>
  <c r="S70" i="1" a="1"/>
  <c r="T70" i="1" l="1"/>
  <c r="S70" i="1"/>
  <c r="K71" i="1"/>
  <c r="L70" i="1"/>
  <c r="T71" i="1" a="1"/>
  <c r="S71" i="1" a="1"/>
  <c r="S71" i="1" l="1"/>
  <c r="T71" i="1"/>
  <c r="K72" i="1"/>
  <c r="L71" i="1"/>
  <c r="T72" i="1" a="1"/>
  <c r="S72" i="1" a="1"/>
  <c r="T72" i="1" l="1"/>
  <c r="S72" i="1"/>
  <c r="K73" i="1"/>
  <c r="L72" i="1"/>
  <c r="S73" i="1" a="1"/>
  <c r="T73" i="1" a="1"/>
  <c r="T73" i="1" l="1"/>
  <c r="S73" i="1"/>
  <c r="K74" i="1"/>
  <c r="L73" i="1"/>
  <c r="T74" i="1" a="1"/>
  <c r="S74" i="1" a="1"/>
  <c r="T74" i="1" l="1"/>
  <c r="S74" i="1"/>
  <c r="K75" i="1"/>
  <c r="L74" i="1"/>
  <c r="S75" i="1" a="1"/>
  <c r="T75" i="1" a="1"/>
  <c r="S75" i="1" l="1"/>
  <c r="T75" i="1"/>
  <c r="K76" i="1"/>
  <c r="L75" i="1"/>
  <c r="T76" i="1" a="1"/>
  <c r="S76" i="1" a="1"/>
  <c r="T76" i="1" l="1"/>
  <c r="S76" i="1"/>
  <c r="K77" i="1"/>
  <c r="L76" i="1"/>
  <c r="S77" i="1" a="1"/>
  <c r="T77" i="1" a="1"/>
  <c r="T77" i="1" l="1"/>
  <c r="S77" i="1"/>
  <c r="K78" i="1"/>
  <c r="L77" i="1"/>
  <c r="S78" i="1" a="1"/>
  <c r="T78" i="1" a="1"/>
  <c r="S78" i="1" l="1"/>
  <c r="T78" i="1"/>
  <c r="K79" i="1"/>
  <c r="L78" i="1"/>
  <c r="T79" i="1" a="1"/>
  <c r="S79" i="1" a="1"/>
  <c r="S79" i="1" l="1"/>
  <c r="T79" i="1"/>
  <c r="K80" i="1"/>
  <c r="L79" i="1"/>
  <c r="T80" i="1" a="1"/>
  <c r="S80" i="1" a="1"/>
  <c r="T80" i="1" l="1"/>
  <c r="S80" i="1"/>
  <c r="K81" i="1"/>
  <c r="L80" i="1"/>
  <c r="S81" i="1" a="1"/>
  <c r="T81" i="1" a="1"/>
  <c r="S81" i="1" l="1"/>
  <c r="T81" i="1"/>
  <c r="K82" i="1"/>
  <c r="L81" i="1"/>
  <c r="S82" i="1" a="1"/>
  <c r="T82" i="1" a="1"/>
  <c r="S82" i="1" l="1"/>
  <c r="T82" i="1"/>
  <c r="K83" i="1"/>
  <c r="L82" i="1"/>
  <c r="T83" i="1" a="1"/>
  <c r="S83" i="1" a="1"/>
  <c r="S83" i="1" l="1"/>
  <c r="T83" i="1"/>
  <c r="K84" i="1"/>
  <c r="L83" i="1"/>
  <c r="S84" i="1" a="1"/>
  <c r="T84" i="1" a="1"/>
  <c r="S84" i="1" l="1"/>
  <c r="T84" i="1"/>
  <c r="K85" i="1"/>
  <c r="L84" i="1"/>
  <c r="S85" i="1" a="1"/>
  <c r="T85" i="1" a="1"/>
  <c r="S85" i="1" l="1"/>
  <c r="T85" i="1"/>
  <c r="K86" i="1"/>
  <c r="L85" i="1"/>
  <c r="S86" i="1" a="1"/>
  <c r="T86" i="1" a="1"/>
  <c r="T86" i="1" l="1"/>
  <c r="S86" i="1"/>
  <c r="K87" i="1"/>
  <c r="L86" i="1"/>
  <c r="T87" i="1" a="1"/>
  <c r="S87" i="1" a="1"/>
  <c r="T87" i="1" l="1"/>
  <c r="S87" i="1"/>
  <c r="K88" i="1"/>
  <c r="L87" i="1"/>
  <c r="S88" i="1" a="1"/>
  <c r="T88" i="1" a="1"/>
  <c r="S88" i="1" l="1"/>
  <c r="T88" i="1"/>
  <c r="K89" i="1"/>
  <c r="L88" i="1"/>
  <c r="T89" i="1" a="1"/>
  <c r="S89" i="1" a="1"/>
  <c r="S89" i="1" l="1"/>
  <c r="T89" i="1"/>
  <c r="K90" i="1"/>
  <c r="L89" i="1"/>
  <c r="T90" i="1" a="1"/>
  <c r="S90" i="1" a="1"/>
  <c r="S90" i="1" l="1"/>
  <c r="T90" i="1"/>
  <c r="K91" i="1"/>
  <c r="L90" i="1"/>
  <c r="T91" i="1" a="1"/>
  <c r="S91" i="1" a="1"/>
  <c r="T91" i="1" l="1"/>
  <c r="S91" i="1"/>
  <c r="K92" i="1"/>
  <c r="L91" i="1"/>
  <c r="S92" i="1" a="1"/>
  <c r="T92" i="1" a="1"/>
  <c r="T92" i="1" l="1"/>
  <c r="S92" i="1"/>
  <c r="K93" i="1"/>
  <c r="L92" i="1"/>
  <c r="S93" i="1" a="1"/>
  <c r="T93" i="1" a="1"/>
  <c r="S93" i="1" l="1"/>
  <c r="T93" i="1"/>
  <c r="K94" i="1"/>
  <c r="L93" i="1"/>
  <c r="T94" i="1" a="1"/>
  <c r="S94" i="1" a="1"/>
  <c r="S94" i="1" l="1"/>
  <c r="T94" i="1"/>
  <c r="K95" i="1"/>
  <c r="L94" i="1"/>
  <c r="T95" i="1" a="1"/>
  <c r="S95" i="1" a="1"/>
  <c r="T95" i="1" l="1"/>
  <c r="S95" i="1"/>
  <c r="K96" i="1"/>
  <c r="L95" i="1"/>
  <c r="S96" i="1" a="1"/>
  <c r="T96" i="1" a="1"/>
  <c r="S96" i="1" l="1"/>
  <c r="T96" i="1"/>
  <c r="K97" i="1"/>
  <c r="L96" i="1"/>
  <c r="S97" i="1" a="1"/>
  <c r="T97" i="1" a="1"/>
  <c r="S97" i="1" l="1"/>
  <c r="T97" i="1"/>
  <c r="K98" i="1"/>
  <c r="L97" i="1"/>
  <c r="T98" i="1" a="1"/>
  <c r="S98" i="1" a="1"/>
  <c r="T98" i="1" l="1"/>
  <c r="S98" i="1"/>
  <c r="K99" i="1"/>
  <c r="L98" i="1"/>
  <c r="T99" i="1" a="1"/>
  <c r="S99" i="1" a="1"/>
  <c r="S99" i="1" l="1"/>
  <c r="T99" i="1"/>
  <c r="K100" i="1"/>
  <c r="L99" i="1"/>
  <c r="S100" i="1" a="1"/>
  <c r="T100" i="1" a="1"/>
  <c r="T100" i="1" l="1"/>
  <c r="S100" i="1"/>
  <c r="K101" i="1"/>
  <c r="L100" i="1"/>
  <c r="S101" i="1" a="1"/>
  <c r="T101" i="1" a="1"/>
  <c r="T101" i="1" l="1"/>
  <c r="S101" i="1"/>
  <c r="K102" i="1"/>
  <c r="L101" i="1"/>
  <c r="S102" i="1" a="1"/>
  <c r="T102" i="1" a="1"/>
  <c r="S102" i="1" l="1"/>
  <c r="T102" i="1"/>
  <c r="K103" i="1"/>
  <c r="L102" i="1"/>
  <c r="S103" i="1" a="1"/>
  <c r="T103" i="1" a="1"/>
  <c r="S103" i="1" l="1"/>
  <c r="T103" i="1"/>
  <c r="K104" i="1"/>
  <c r="L103" i="1"/>
  <c r="S104" i="1" a="1"/>
  <c r="T104" i="1" a="1"/>
  <c r="T104" i="1" l="1"/>
  <c r="S104" i="1"/>
  <c r="K105" i="1"/>
  <c r="L104" i="1"/>
  <c r="S105" i="1" a="1"/>
  <c r="T105" i="1" a="1"/>
  <c r="S105" i="1" l="1"/>
  <c r="T105" i="1"/>
  <c r="K106" i="1"/>
  <c r="L105" i="1"/>
  <c r="S106" i="1" a="1"/>
  <c r="T106" i="1" a="1"/>
  <c r="T106" i="1" l="1"/>
  <c r="S106" i="1"/>
  <c r="K107" i="1"/>
  <c r="L106" i="1"/>
  <c r="S107" i="1" a="1"/>
  <c r="T107" i="1" a="1"/>
  <c r="S107" i="1" l="1"/>
  <c r="T107" i="1"/>
  <c r="K108" i="1"/>
  <c r="L107" i="1"/>
  <c r="T108" i="1" a="1"/>
  <c r="S108" i="1" a="1"/>
  <c r="S108" i="1" l="1"/>
  <c r="T108" i="1"/>
  <c r="K109" i="1"/>
  <c r="L108" i="1"/>
  <c r="T109" i="1" a="1"/>
  <c r="S109" i="1" a="1"/>
  <c r="T109" i="1" l="1"/>
  <c r="S109" i="1"/>
  <c r="K110" i="1"/>
  <c r="L109" i="1"/>
  <c r="S110" i="1" a="1"/>
  <c r="T110" i="1" a="1"/>
  <c r="S110" i="1" l="1"/>
  <c r="T110" i="1"/>
  <c r="K111" i="1"/>
  <c r="L110" i="1"/>
  <c r="S111" i="1" a="1"/>
  <c r="T111" i="1" a="1"/>
  <c r="S111" i="1" l="1"/>
  <c r="T111" i="1"/>
  <c r="K112" i="1"/>
  <c r="L111" i="1"/>
  <c r="T112" i="1" a="1"/>
  <c r="S112" i="1" a="1"/>
  <c r="S112" i="1" l="1"/>
  <c r="T112" i="1"/>
  <c r="K113" i="1"/>
  <c r="L112" i="1"/>
  <c r="T113" i="1" a="1"/>
  <c r="S113" i="1" a="1"/>
  <c r="S113" i="1" l="1"/>
  <c r="T113" i="1"/>
  <c r="K114" i="1"/>
  <c r="L113" i="1"/>
  <c r="T114" i="1" a="1"/>
  <c r="S114" i="1" a="1"/>
  <c r="S114" i="1" l="1"/>
  <c r="T114" i="1"/>
  <c r="K115" i="1"/>
  <c r="L114" i="1"/>
  <c r="T115" i="1" a="1"/>
  <c r="S115" i="1" a="1"/>
  <c r="T115" i="1" l="1"/>
  <c r="S115" i="1"/>
  <c r="K116" i="1"/>
  <c r="L115" i="1"/>
  <c r="S116" i="1" a="1"/>
  <c r="T116" i="1" a="1"/>
  <c r="S116" i="1" l="1"/>
  <c r="T116" i="1"/>
  <c r="K117" i="1"/>
  <c r="L116" i="1"/>
  <c r="S117" i="1" a="1"/>
  <c r="T117" i="1" a="1"/>
  <c r="T117" i="1" l="1"/>
  <c r="S117" i="1"/>
  <c r="K118" i="1"/>
  <c r="L117" i="1"/>
  <c r="S118" i="1" a="1"/>
  <c r="T118" i="1" a="1"/>
  <c r="T118" i="1" l="1"/>
  <c r="S118" i="1"/>
  <c r="K119" i="1"/>
  <c r="L118" i="1"/>
  <c r="S119" i="1" a="1"/>
  <c r="T119" i="1" a="1"/>
  <c r="S119" i="1" l="1"/>
  <c r="T119" i="1"/>
  <c r="K120" i="1"/>
  <c r="L119" i="1"/>
  <c r="S120" i="1" a="1"/>
  <c r="T120" i="1" a="1"/>
  <c r="S120" i="1" l="1"/>
  <c r="T120" i="1"/>
  <c r="K121" i="1"/>
  <c r="L120" i="1"/>
  <c r="S121" i="1" a="1"/>
  <c r="T121" i="1" a="1"/>
  <c r="T121" i="1" l="1"/>
  <c r="S121" i="1"/>
  <c r="K122" i="1"/>
  <c r="L121" i="1"/>
  <c r="T122" i="1" a="1"/>
  <c r="S122" i="1" a="1"/>
  <c r="S122" i="1" l="1"/>
  <c r="T122" i="1"/>
  <c r="K123" i="1"/>
  <c r="L122" i="1"/>
  <c r="T123" i="1" a="1"/>
  <c r="S123" i="1" a="1"/>
  <c r="T123" i="1" l="1"/>
  <c r="S123" i="1"/>
  <c r="K124" i="1"/>
  <c r="L123" i="1"/>
  <c r="T124" i="1" a="1"/>
  <c r="S124" i="1" a="1"/>
  <c r="T124" i="1" l="1"/>
  <c r="S124" i="1"/>
  <c r="K125" i="1"/>
  <c r="L124" i="1"/>
  <c r="T125" i="1" a="1"/>
  <c r="S125" i="1" a="1"/>
  <c r="S125" i="1" l="1"/>
  <c r="T125" i="1"/>
  <c r="K126" i="1"/>
  <c r="L125" i="1"/>
  <c r="S126" i="1" a="1"/>
  <c r="T126" i="1" a="1"/>
  <c r="S126" i="1" l="1"/>
  <c r="T126" i="1"/>
  <c r="K127" i="1"/>
  <c r="L126" i="1"/>
  <c r="S127" i="1" a="1"/>
  <c r="T127" i="1" a="1"/>
  <c r="T127" i="1" l="1"/>
  <c r="S127" i="1"/>
  <c r="K128" i="1"/>
  <c r="L127" i="1"/>
  <c r="S128" i="1" a="1"/>
  <c r="T128" i="1" a="1"/>
  <c r="T128" i="1" l="1"/>
  <c r="S128" i="1"/>
  <c r="K129" i="1"/>
  <c r="L128" i="1"/>
  <c r="S129" i="1" a="1"/>
  <c r="T129" i="1" a="1"/>
  <c r="S129" i="1" l="1"/>
  <c r="T129" i="1"/>
  <c r="K130" i="1"/>
  <c r="L129" i="1"/>
  <c r="S130" i="1" a="1"/>
  <c r="T130" i="1" a="1"/>
  <c r="T130" i="1" l="1"/>
  <c r="S130" i="1"/>
  <c r="K131" i="1"/>
  <c r="L130" i="1"/>
  <c r="T131" i="1" a="1"/>
  <c r="S131" i="1" a="1"/>
  <c r="T131" i="1" l="1"/>
  <c r="S131" i="1"/>
  <c r="K132" i="1"/>
  <c r="L131" i="1"/>
  <c r="T132" i="1" a="1"/>
  <c r="S132" i="1" a="1"/>
  <c r="T132" i="1" l="1"/>
  <c r="S132" i="1"/>
  <c r="K133" i="1"/>
  <c r="L132" i="1"/>
  <c r="S133" i="1" a="1"/>
  <c r="T133" i="1" a="1"/>
  <c r="S133" i="1" l="1"/>
  <c r="T133" i="1"/>
  <c r="K134" i="1"/>
  <c r="L133" i="1"/>
  <c r="S134" i="1" a="1"/>
  <c r="T134" i="1" a="1"/>
  <c r="T134" i="1" l="1"/>
  <c r="S134" i="1"/>
  <c r="K135" i="1"/>
  <c r="L134" i="1"/>
  <c r="T135" i="1" a="1"/>
  <c r="S135" i="1" a="1"/>
  <c r="S135" i="1" l="1"/>
  <c r="T135" i="1"/>
  <c r="K136" i="1"/>
  <c r="L135" i="1"/>
  <c r="T136" i="1" a="1"/>
  <c r="S136" i="1" a="1"/>
  <c r="T136" i="1" l="1"/>
  <c r="S136" i="1"/>
  <c r="K137" i="1"/>
  <c r="L136" i="1"/>
  <c r="T137" i="1" a="1"/>
  <c r="S137" i="1" a="1"/>
  <c r="S137" i="1" l="1"/>
  <c r="T137" i="1"/>
  <c r="K138" i="1"/>
  <c r="L137" i="1"/>
  <c r="S138" i="1" a="1"/>
  <c r="T138" i="1" a="1"/>
  <c r="S138" i="1" l="1"/>
  <c r="T138" i="1"/>
  <c r="K139" i="1"/>
  <c r="L138" i="1"/>
  <c r="T139" i="1" a="1"/>
  <c r="S139" i="1" a="1"/>
  <c r="S139" i="1" l="1"/>
  <c r="T139" i="1"/>
  <c r="K140" i="1"/>
  <c r="L139" i="1"/>
  <c r="S140" i="1" a="1"/>
  <c r="T140" i="1" a="1"/>
  <c r="T140" i="1" l="1"/>
  <c r="S140" i="1"/>
  <c r="K141" i="1"/>
  <c r="L140" i="1"/>
  <c r="S141" i="1" a="1"/>
  <c r="T141" i="1" a="1"/>
  <c r="T141" i="1" l="1"/>
  <c r="S141" i="1"/>
  <c r="K142" i="1"/>
  <c r="L141" i="1"/>
  <c r="S142" i="1" a="1"/>
  <c r="T142" i="1" a="1"/>
  <c r="S142" i="1" l="1"/>
  <c r="T142" i="1"/>
  <c r="K143" i="1"/>
  <c r="L142" i="1"/>
  <c r="S143" i="1" a="1"/>
  <c r="T143" i="1" a="1"/>
  <c r="T143" i="1" l="1"/>
  <c r="S143" i="1"/>
  <c r="K144" i="1"/>
  <c r="L143" i="1"/>
  <c r="T144" i="1" a="1"/>
  <c r="S144" i="1" a="1"/>
  <c r="S144" i="1" l="1"/>
  <c r="T144" i="1"/>
  <c r="K145" i="1"/>
  <c r="L144" i="1"/>
  <c r="T145" i="1" a="1"/>
  <c r="S145" i="1" a="1"/>
  <c r="T145" i="1" l="1"/>
  <c r="S145" i="1"/>
  <c r="K146" i="1"/>
  <c r="L145" i="1"/>
  <c r="T146" i="1" a="1"/>
  <c r="S146" i="1" a="1"/>
  <c r="T146" i="1" l="1"/>
  <c r="S146" i="1"/>
  <c r="K147" i="1"/>
  <c r="L146" i="1"/>
  <c r="T147" i="1" a="1"/>
  <c r="S147" i="1" a="1"/>
  <c r="S147" i="1" l="1"/>
  <c r="T147" i="1"/>
  <c r="K148" i="1"/>
  <c r="L147" i="1"/>
  <c r="S148" i="1" a="1"/>
  <c r="T148" i="1" a="1"/>
  <c r="S148" i="1" l="1"/>
  <c r="T148" i="1"/>
  <c r="K149" i="1"/>
  <c r="L148" i="1"/>
  <c r="S149" i="1" a="1"/>
  <c r="T149" i="1" a="1"/>
  <c r="S149" i="1" l="1"/>
  <c r="T149" i="1"/>
  <c r="K150" i="1"/>
  <c r="L149" i="1"/>
  <c r="T150" i="1" a="1"/>
  <c r="S150" i="1" a="1"/>
  <c r="T150" i="1" l="1"/>
  <c r="S150" i="1"/>
  <c r="K151" i="1"/>
  <c r="L150" i="1"/>
  <c r="T151" i="1" a="1"/>
  <c r="S151" i="1" a="1"/>
  <c r="T151" i="1" l="1"/>
  <c r="S151" i="1"/>
  <c r="K152" i="1"/>
  <c r="L151" i="1"/>
  <c r="T152" i="1" a="1"/>
  <c r="S152" i="1" a="1"/>
  <c r="T152" i="1" l="1"/>
  <c r="S152" i="1"/>
  <c r="K153" i="1"/>
  <c r="L152" i="1"/>
  <c r="S153" i="1" a="1"/>
  <c r="T153" i="1" a="1"/>
  <c r="T153" i="1" l="1"/>
  <c r="S153" i="1"/>
  <c r="K154" i="1"/>
  <c r="L153" i="1"/>
  <c r="T154" i="1" a="1"/>
  <c r="S154" i="1" a="1"/>
  <c r="S154" i="1" l="1"/>
  <c r="T154" i="1"/>
  <c r="K155" i="1"/>
  <c r="L154" i="1"/>
  <c r="T155" i="1" a="1"/>
  <c r="S155" i="1" a="1"/>
  <c r="T155" i="1" l="1"/>
  <c r="S155" i="1"/>
  <c r="K156" i="1"/>
  <c r="L155" i="1"/>
  <c r="T156" i="1" a="1"/>
  <c r="S156" i="1" a="1"/>
  <c r="T156" i="1" l="1"/>
  <c r="S156" i="1"/>
  <c r="K157" i="1"/>
  <c r="L156" i="1"/>
  <c r="T157" i="1" a="1"/>
  <c r="S157" i="1" a="1"/>
  <c r="S157" i="1" l="1"/>
  <c r="T157" i="1"/>
  <c r="K158" i="1"/>
  <c r="L157" i="1"/>
  <c r="S158" i="1" a="1"/>
  <c r="T158" i="1" a="1"/>
  <c r="T158" i="1" l="1"/>
  <c r="S158" i="1"/>
  <c r="K159" i="1"/>
  <c r="L158" i="1"/>
  <c r="T159" i="1" a="1"/>
  <c r="S159" i="1" a="1"/>
  <c r="T159" i="1" l="1"/>
  <c r="S159" i="1"/>
  <c r="K160" i="1"/>
  <c r="L159" i="1"/>
  <c r="T160" i="1" a="1"/>
  <c r="S160" i="1" a="1"/>
  <c r="S160" i="1" l="1"/>
  <c r="T160" i="1"/>
  <c r="K161" i="1"/>
  <c r="L160" i="1"/>
  <c r="S161" i="1" a="1"/>
  <c r="T161" i="1" a="1"/>
  <c r="T161" i="1" l="1"/>
  <c r="S161" i="1"/>
  <c r="K162" i="1"/>
  <c r="L161" i="1"/>
  <c r="S162" i="1" a="1"/>
  <c r="T162" i="1" a="1"/>
  <c r="S162" i="1" l="1"/>
  <c r="T162" i="1"/>
  <c r="K163" i="1"/>
  <c r="L162" i="1"/>
  <c r="S163" i="1" a="1"/>
  <c r="T163" i="1" a="1"/>
  <c r="T163" i="1" l="1"/>
  <c r="S163" i="1"/>
  <c r="K164" i="1"/>
  <c r="L163" i="1"/>
  <c r="S164" i="1" a="1"/>
  <c r="T164" i="1" a="1"/>
  <c r="S164" i="1" l="1"/>
  <c r="T164" i="1"/>
  <c r="K165" i="1"/>
  <c r="L164" i="1"/>
  <c r="T165" i="1" a="1"/>
  <c r="S165" i="1" a="1"/>
  <c r="T165" i="1" l="1"/>
  <c r="S165" i="1"/>
  <c r="K166" i="1"/>
  <c r="L165" i="1"/>
  <c r="S166" i="1" a="1"/>
  <c r="T166" i="1" a="1"/>
  <c r="T166" i="1" l="1"/>
  <c r="S166" i="1"/>
  <c r="K167" i="1"/>
  <c r="L166" i="1"/>
  <c r="S167" i="1" a="1"/>
  <c r="T167" i="1" a="1"/>
  <c r="T167" i="1" l="1"/>
  <c r="S167" i="1"/>
  <c r="K168" i="1"/>
  <c r="L167" i="1"/>
  <c r="S168" i="1" a="1"/>
  <c r="T168" i="1" a="1"/>
  <c r="T168" i="1" l="1"/>
  <c r="S168" i="1"/>
  <c r="K169" i="1"/>
  <c r="L168" i="1"/>
  <c r="T169" i="1" a="1"/>
  <c r="S169" i="1" a="1"/>
  <c r="S169" i="1" l="1"/>
  <c r="T169" i="1"/>
  <c r="K170" i="1"/>
  <c r="L169" i="1"/>
  <c r="S170" i="1" a="1"/>
  <c r="T170" i="1" a="1"/>
  <c r="S170" i="1" l="1"/>
  <c r="T170" i="1"/>
  <c r="K171" i="1"/>
  <c r="L170" i="1"/>
  <c r="T171" i="1" a="1"/>
  <c r="S171" i="1" a="1"/>
  <c r="S171" i="1" l="1"/>
  <c r="T171" i="1"/>
  <c r="K172" i="1"/>
  <c r="L171" i="1"/>
  <c r="S172" i="1" a="1"/>
  <c r="T172" i="1" a="1"/>
  <c r="S172" i="1" l="1"/>
  <c r="T172" i="1"/>
  <c r="K173" i="1"/>
  <c r="L172" i="1"/>
  <c r="S173" i="1" a="1"/>
  <c r="T173" i="1" a="1"/>
  <c r="S173" i="1" l="1"/>
  <c r="T173" i="1"/>
  <c r="K174" i="1"/>
  <c r="L173" i="1"/>
  <c r="T174" i="1" a="1"/>
  <c r="S174" i="1" a="1"/>
  <c r="S174" i="1" l="1"/>
  <c r="T174" i="1"/>
  <c r="K175" i="1"/>
  <c r="L174" i="1"/>
  <c r="S175" i="1" a="1"/>
  <c r="T175" i="1" a="1"/>
  <c r="T175" i="1" l="1"/>
  <c r="S175" i="1"/>
  <c r="K176" i="1"/>
  <c r="L175" i="1"/>
  <c r="S176" i="1" a="1"/>
  <c r="T176" i="1" a="1"/>
  <c r="T176" i="1" l="1"/>
  <c r="S176" i="1"/>
  <c r="K177" i="1"/>
  <c r="L176" i="1"/>
  <c r="S177" i="1" a="1"/>
  <c r="T177" i="1" a="1"/>
  <c r="T177" i="1" l="1"/>
  <c r="S177" i="1"/>
  <c r="K178" i="1"/>
  <c r="L177" i="1"/>
  <c r="T178" i="1" a="1"/>
  <c r="S178" i="1" a="1"/>
  <c r="T178" i="1" l="1"/>
  <c r="S178" i="1"/>
  <c r="K179" i="1"/>
  <c r="L178" i="1"/>
  <c r="S179" i="1" a="1"/>
  <c r="T179" i="1" a="1"/>
  <c r="S179" i="1" l="1"/>
  <c r="T179" i="1"/>
  <c r="K180" i="1"/>
  <c r="L179" i="1"/>
  <c r="T180" i="1" a="1"/>
  <c r="S180" i="1" a="1"/>
  <c r="S180" i="1" l="1"/>
  <c r="T180" i="1"/>
  <c r="K181" i="1"/>
  <c r="L180" i="1"/>
  <c r="S181" i="1" a="1"/>
  <c r="T181" i="1" a="1"/>
  <c r="S181" i="1" l="1"/>
  <c r="T181" i="1"/>
  <c r="K182" i="1"/>
  <c r="L181" i="1"/>
  <c r="S182" i="1" a="1"/>
  <c r="T182" i="1" a="1"/>
  <c r="S182" i="1" l="1"/>
  <c r="T182" i="1"/>
  <c r="K183" i="1"/>
  <c r="L182" i="1"/>
  <c r="T183" i="1" a="1"/>
  <c r="S183" i="1" a="1"/>
  <c r="T183" i="1" l="1"/>
  <c r="S183" i="1"/>
  <c r="K184" i="1"/>
  <c r="L183" i="1"/>
  <c r="S184" i="1" a="1"/>
  <c r="T184" i="1" a="1"/>
  <c r="S184" i="1" l="1"/>
  <c r="T184" i="1"/>
  <c r="K185" i="1"/>
  <c r="L184" i="1"/>
  <c r="T185" i="1" a="1"/>
  <c r="S185" i="1" a="1"/>
  <c r="T185" i="1" l="1"/>
  <c r="S185" i="1"/>
  <c r="K186" i="1"/>
  <c r="L185" i="1"/>
  <c r="S186" i="1" a="1"/>
  <c r="T186" i="1" a="1"/>
  <c r="S186" i="1" l="1"/>
  <c r="T186" i="1"/>
  <c r="K187" i="1"/>
  <c r="L186" i="1"/>
  <c r="T187" i="1" a="1"/>
  <c r="S187" i="1" a="1"/>
  <c r="S187" i="1" l="1"/>
  <c r="T187" i="1"/>
  <c r="K188" i="1"/>
  <c r="L187" i="1"/>
  <c r="T188" i="1" a="1"/>
  <c r="S188" i="1" a="1"/>
  <c r="T188" i="1" l="1"/>
  <c r="S188" i="1"/>
  <c r="K189" i="1"/>
  <c r="L188" i="1"/>
  <c r="S189" i="1" a="1"/>
  <c r="T189" i="1" a="1"/>
  <c r="S189" i="1" l="1"/>
  <c r="T189" i="1"/>
  <c r="K190" i="1"/>
  <c r="L189" i="1"/>
  <c r="T190" i="1" a="1"/>
  <c r="S190" i="1" a="1"/>
  <c r="T190" i="1" l="1"/>
  <c r="S190" i="1"/>
  <c r="K191" i="1"/>
  <c r="L190" i="1"/>
  <c r="S191" i="1" a="1"/>
  <c r="T191" i="1" a="1"/>
  <c r="S191" i="1" l="1"/>
  <c r="T191" i="1"/>
  <c r="K192" i="1"/>
  <c r="L191" i="1"/>
  <c r="S192" i="1" a="1"/>
  <c r="T192" i="1" a="1"/>
  <c r="T192" i="1" l="1"/>
  <c r="S192" i="1"/>
  <c r="K193" i="1"/>
  <c r="L192" i="1"/>
  <c r="S193" i="1" a="1"/>
  <c r="T193" i="1" a="1"/>
  <c r="T193" i="1" l="1"/>
  <c r="S193" i="1"/>
  <c r="K194" i="1"/>
  <c r="L193" i="1"/>
  <c r="S194" i="1" a="1"/>
  <c r="T194" i="1" a="1"/>
  <c r="T194" i="1" l="1"/>
  <c r="S194" i="1"/>
  <c r="K195" i="1"/>
  <c r="L194" i="1"/>
  <c r="T195" i="1" a="1"/>
  <c r="S195" i="1" a="1"/>
  <c r="T195" i="1" l="1"/>
  <c r="S195" i="1"/>
  <c r="K196" i="1"/>
  <c r="L195" i="1"/>
  <c r="T196" i="1" a="1"/>
  <c r="S196" i="1" a="1"/>
  <c r="T196" i="1" l="1"/>
  <c r="S196" i="1"/>
  <c r="K197" i="1"/>
  <c r="L196" i="1"/>
  <c r="S197" i="1" a="1"/>
  <c r="T197" i="1" a="1"/>
  <c r="S197" i="1" l="1"/>
  <c r="T197" i="1"/>
  <c r="K198" i="1"/>
  <c r="L197" i="1"/>
  <c r="T198" i="1" a="1"/>
  <c r="S198" i="1" a="1"/>
  <c r="T198" i="1" l="1"/>
  <c r="S198" i="1"/>
  <c r="K199" i="1"/>
  <c r="L198" i="1"/>
  <c r="S199" i="1" a="1"/>
  <c r="T199" i="1" a="1"/>
  <c r="S199" i="1" l="1"/>
  <c r="T199" i="1"/>
  <c r="K200" i="1"/>
  <c r="L199" i="1"/>
  <c r="S200" i="1" a="1"/>
  <c r="T200" i="1" a="1"/>
  <c r="T200" i="1" l="1"/>
  <c r="S200" i="1"/>
  <c r="K201" i="1"/>
  <c r="L200" i="1"/>
  <c r="S201" i="1" a="1"/>
  <c r="T201" i="1" a="1"/>
  <c r="T201" i="1" l="1"/>
  <c r="S201" i="1"/>
  <c r="K202" i="1"/>
  <c r="L201" i="1"/>
  <c r="S202" i="1" a="1"/>
  <c r="T202" i="1" a="1"/>
  <c r="S202" i="1" l="1"/>
  <c r="T202" i="1"/>
  <c r="K203" i="1"/>
  <c r="L202" i="1"/>
  <c r="T203" i="1" a="1"/>
  <c r="S203" i="1" a="1"/>
  <c r="T203" i="1" l="1"/>
  <c r="S203" i="1"/>
  <c r="K204" i="1"/>
  <c r="L203" i="1"/>
  <c r="S204" i="1" a="1"/>
  <c r="T204" i="1" a="1"/>
  <c r="T204" i="1" l="1"/>
  <c r="S204" i="1"/>
  <c r="K205" i="1"/>
  <c r="L204" i="1"/>
  <c r="T205" i="1" a="1"/>
  <c r="S205" i="1" a="1"/>
  <c r="S205" i="1" l="1"/>
  <c r="T205" i="1"/>
  <c r="K206" i="1"/>
  <c r="L205" i="1"/>
  <c r="T206" i="1" a="1"/>
  <c r="S206" i="1" a="1"/>
  <c r="T206" i="1" l="1"/>
  <c r="S206" i="1"/>
  <c r="K207" i="1"/>
  <c r="L206" i="1"/>
  <c r="S207" i="1" a="1"/>
  <c r="T207" i="1" a="1"/>
  <c r="T207" i="1" l="1"/>
  <c r="S207" i="1"/>
  <c r="K208" i="1"/>
  <c r="L207" i="1"/>
  <c r="T208" i="1" a="1"/>
  <c r="S208" i="1" a="1"/>
  <c r="S208" i="1" l="1"/>
  <c r="T208" i="1"/>
  <c r="K209" i="1"/>
  <c r="L208" i="1"/>
  <c r="S209" i="1" a="1"/>
  <c r="T209" i="1" a="1"/>
  <c r="T209" i="1" l="1"/>
  <c r="S209" i="1"/>
  <c r="K210" i="1"/>
  <c r="L209" i="1"/>
  <c r="T210" i="1" a="1"/>
  <c r="S210" i="1" a="1"/>
  <c r="T210" i="1" l="1"/>
  <c r="S210" i="1"/>
  <c r="K211" i="1"/>
  <c r="L210" i="1"/>
  <c r="S211" i="1" a="1"/>
  <c r="T211" i="1" a="1"/>
  <c r="T211" i="1" l="1"/>
  <c r="S211" i="1"/>
  <c r="K212" i="1"/>
  <c r="L211" i="1"/>
  <c r="S212" i="1" a="1"/>
  <c r="T212" i="1" a="1"/>
  <c r="S212" i="1" l="1"/>
  <c r="T212" i="1"/>
  <c r="K213" i="1"/>
  <c r="L212" i="1"/>
  <c r="T213" i="1" a="1"/>
  <c r="S213" i="1" a="1"/>
  <c r="S213" i="1" l="1"/>
  <c r="T213" i="1"/>
  <c r="K214" i="1"/>
  <c r="L213" i="1"/>
  <c r="S214" i="1" a="1"/>
  <c r="T214" i="1" a="1"/>
  <c r="S214" i="1" l="1"/>
  <c r="T214" i="1"/>
  <c r="K215" i="1"/>
  <c r="L214" i="1"/>
  <c r="T215" i="1" a="1"/>
  <c r="S215" i="1" a="1"/>
  <c r="S215" i="1" l="1"/>
  <c r="T215" i="1"/>
  <c r="K216" i="1"/>
  <c r="L215" i="1"/>
  <c r="S216" i="1" a="1"/>
  <c r="T216" i="1" a="1"/>
  <c r="S216" i="1" l="1"/>
  <c r="T216" i="1"/>
  <c r="K217" i="1"/>
  <c r="L216" i="1"/>
  <c r="T217" i="1" a="1"/>
  <c r="S217" i="1" a="1"/>
  <c r="S217" i="1" l="1"/>
  <c r="T217" i="1"/>
  <c r="K218" i="1"/>
  <c r="L217" i="1"/>
  <c r="S218" i="1" a="1"/>
  <c r="T218" i="1" a="1"/>
  <c r="S218" i="1" l="1"/>
  <c r="T218" i="1"/>
  <c r="K219" i="1"/>
  <c r="L218" i="1"/>
  <c r="S219" i="1" a="1"/>
  <c r="T219" i="1" a="1"/>
  <c r="T219" i="1" l="1"/>
  <c r="S219" i="1"/>
  <c r="K220" i="1"/>
  <c r="L219" i="1"/>
  <c r="S220" i="1" a="1"/>
  <c r="T220" i="1" a="1"/>
  <c r="T220" i="1" l="1"/>
  <c r="S220" i="1"/>
  <c r="K221" i="1"/>
  <c r="L220" i="1"/>
  <c r="T221" i="1" a="1"/>
  <c r="S221" i="1" a="1"/>
  <c r="S221" i="1" l="1"/>
  <c r="T221" i="1"/>
  <c r="K222" i="1"/>
  <c r="L221" i="1"/>
  <c r="S222" i="1" a="1"/>
  <c r="T222" i="1" a="1"/>
  <c r="T222" i="1" l="1"/>
  <c r="S222" i="1"/>
  <c r="K223" i="1"/>
  <c r="L222" i="1"/>
  <c r="T223" i="1" a="1"/>
  <c r="S223" i="1" a="1"/>
  <c r="T223" i="1" l="1"/>
  <c r="S223" i="1"/>
  <c r="K224" i="1"/>
  <c r="L223" i="1"/>
  <c r="S224" i="1" a="1"/>
  <c r="T224" i="1" a="1"/>
  <c r="T224" i="1" l="1"/>
  <c r="S224" i="1"/>
  <c r="K225" i="1"/>
  <c r="L224" i="1"/>
  <c r="T225" i="1" a="1"/>
  <c r="S225" i="1" a="1"/>
  <c r="T225" i="1" l="1"/>
  <c r="S225" i="1"/>
  <c r="K226" i="1"/>
  <c r="L225" i="1"/>
  <c r="T226" i="1" a="1"/>
  <c r="S226" i="1" a="1"/>
  <c r="S226" i="1" l="1"/>
  <c r="T226" i="1"/>
  <c r="K227" i="1"/>
  <c r="L226" i="1"/>
  <c r="S227" i="1" a="1"/>
  <c r="T227" i="1" a="1"/>
  <c r="T227" i="1" l="1"/>
  <c r="S227" i="1"/>
  <c r="K228" i="1"/>
  <c r="L227" i="1"/>
  <c r="T228" i="1" a="1"/>
  <c r="S228" i="1" a="1"/>
  <c r="T228" i="1" l="1"/>
  <c r="S228" i="1"/>
  <c r="K229" i="1"/>
  <c r="L228" i="1"/>
  <c r="S229" i="1" a="1"/>
  <c r="T229" i="1" a="1"/>
  <c r="T229" i="1" l="1"/>
  <c r="S229" i="1"/>
  <c r="K230" i="1"/>
  <c r="L229" i="1"/>
  <c r="T230" i="1" a="1"/>
  <c r="S230" i="1" a="1"/>
  <c r="S230" i="1" l="1"/>
  <c r="T230" i="1"/>
  <c r="K231" i="1"/>
  <c r="L230" i="1"/>
  <c r="S231" i="1" a="1"/>
  <c r="T231" i="1" a="1"/>
  <c r="T231" i="1" l="1"/>
  <c r="S231" i="1"/>
  <c r="K232" i="1"/>
  <c r="L231" i="1"/>
  <c r="S232" i="1" a="1"/>
  <c r="T232" i="1" a="1"/>
  <c r="T232" i="1" l="1"/>
  <c r="S232" i="1"/>
  <c r="K233" i="1"/>
  <c r="L232" i="1"/>
  <c r="S233" i="1" a="1"/>
  <c r="T233" i="1" a="1"/>
  <c r="T233" i="1" l="1"/>
  <c r="S233" i="1"/>
  <c r="K234" i="1"/>
  <c r="L233" i="1"/>
  <c r="S234" i="1" a="1"/>
  <c r="T234" i="1" a="1"/>
  <c r="T234" i="1" l="1"/>
  <c r="S234" i="1"/>
  <c r="K235" i="1"/>
  <c r="L234" i="1"/>
  <c r="S235" i="1" a="1"/>
  <c r="T235" i="1" a="1"/>
  <c r="T235" i="1" l="1"/>
  <c r="S235" i="1"/>
  <c r="K236" i="1"/>
  <c r="L235" i="1"/>
  <c r="T236" i="1" a="1"/>
  <c r="S236" i="1" a="1"/>
  <c r="S236" i="1" l="1"/>
  <c r="T236" i="1"/>
  <c r="K237" i="1"/>
  <c r="L236" i="1"/>
  <c r="T237" i="1" a="1"/>
  <c r="S237" i="1" a="1"/>
  <c r="S237" i="1" l="1"/>
  <c r="T237" i="1"/>
  <c r="K238" i="1"/>
  <c r="L237" i="1"/>
  <c r="S238" i="1" a="1"/>
  <c r="T238" i="1" a="1"/>
  <c r="S238" i="1" l="1"/>
  <c r="T238" i="1"/>
  <c r="K239" i="1"/>
  <c r="L238" i="1"/>
  <c r="T239" i="1" a="1"/>
  <c r="S239" i="1" a="1"/>
  <c r="T239" i="1" l="1"/>
  <c r="S239" i="1"/>
  <c r="K240" i="1"/>
  <c r="L239" i="1"/>
  <c r="T240" i="1" a="1"/>
  <c r="S240" i="1" a="1"/>
  <c r="T240" i="1" l="1"/>
  <c r="S240" i="1"/>
  <c r="K241" i="1"/>
  <c r="L240" i="1"/>
  <c r="T241" i="1" a="1"/>
  <c r="S241" i="1" a="1"/>
  <c r="S241" i="1" l="1"/>
  <c r="T241" i="1"/>
  <c r="K242" i="1"/>
  <c r="L241" i="1"/>
  <c r="S242" i="1" a="1"/>
  <c r="T242" i="1" a="1"/>
  <c r="S242" i="1" l="1"/>
  <c r="T242" i="1"/>
  <c r="K243" i="1"/>
  <c r="L242" i="1"/>
  <c r="T243" i="1" a="1"/>
  <c r="S243" i="1" a="1"/>
  <c r="T243" i="1" l="1"/>
  <c r="S243" i="1"/>
  <c r="K244" i="1"/>
  <c r="L243" i="1"/>
  <c r="T244" i="1" a="1"/>
  <c r="S244" i="1" a="1"/>
  <c r="S244" i="1" l="1"/>
  <c r="T244" i="1"/>
  <c r="K245" i="1"/>
  <c r="L244" i="1"/>
  <c r="S245" i="1" a="1"/>
  <c r="T245" i="1" a="1"/>
  <c r="T245" i="1" l="1"/>
  <c r="S245" i="1"/>
  <c r="K246" i="1"/>
  <c r="L245" i="1"/>
  <c r="S246" i="1" a="1"/>
  <c r="T246" i="1" a="1"/>
  <c r="S246" i="1" l="1"/>
  <c r="T246" i="1"/>
  <c r="K247" i="1"/>
  <c r="L246" i="1"/>
  <c r="T247" i="1" a="1"/>
  <c r="S247" i="1" a="1"/>
  <c r="T247" i="1" l="1"/>
  <c r="S247" i="1"/>
  <c r="K248" i="1"/>
  <c r="L247" i="1"/>
  <c r="T248" i="1" a="1"/>
  <c r="S248" i="1" a="1"/>
  <c r="T248" i="1" l="1"/>
  <c r="S248" i="1"/>
  <c r="K249" i="1"/>
  <c r="L248" i="1"/>
  <c r="S249" i="1" a="1"/>
  <c r="T249" i="1" a="1"/>
  <c r="S249" i="1" l="1"/>
  <c r="T249" i="1"/>
  <c r="K250" i="1"/>
  <c r="L249" i="1"/>
  <c r="S250" i="1" a="1"/>
  <c r="T250" i="1" a="1"/>
  <c r="S250" i="1" l="1"/>
  <c r="T250" i="1"/>
  <c r="K251" i="1"/>
  <c r="L250" i="1"/>
  <c r="S251" i="1" a="1"/>
  <c r="T251" i="1" a="1"/>
  <c r="S251" i="1" l="1"/>
  <c r="T251" i="1"/>
  <c r="K252" i="1"/>
  <c r="L251" i="1"/>
  <c r="S252" i="1" a="1"/>
  <c r="T252" i="1" a="1"/>
  <c r="T252" i="1" l="1"/>
  <c r="S252" i="1"/>
  <c r="K253" i="1"/>
  <c r="L252" i="1"/>
  <c r="T253" i="1" a="1"/>
  <c r="S253" i="1" a="1"/>
  <c r="S253" i="1" l="1"/>
  <c r="T253" i="1"/>
  <c r="K254" i="1"/>
  <c r="L253" i="1"/>
  <c r="T254" i="1" a="1"/>
  <c r="S254" i="1" a="1"/>
  <c r="T254" i="1" l="1"/>
  <c r="S254" i="1"/>
  <c r="K255" i="1"/>
  <c r="L254" i="1"/>
  <c r="S255" i="1" a="1"/>
  <c r="T255" i="1" a="1"/>
  <c r="T255" i="1" l="1"/>
  <c r="S255" i="1"/>
  <c r="K256" i="1"/>
  <c r="L255" i="1"/>
  <c r="S256" i="1" a="1"/>
  <c r="T256" i="1" a="1"/>
  <c r="S256" i="1" l="1"/>
  <c r="T256" i="1"/>
  <c r="K257" i="1"/>
  <c r="L256" i="1"/>
  <c r="T257" i="1" a="1"/>
  <c r="S257" i="1" a="1"/>
  <c r="T257" i="1" l="1"/>
  <c r="S257" i="1"/>
  <c r="K258" i="1"/>
  <c r="L257" i="1"/>
  <c r="S258" i="1" a="1"/>
  <c r="T258" i="1" a="1"/>
  <c r="T258" i="1" l="1"/>
  <c r="S258" i="1"/>
  <c r="K259" i="1"/>
  <c r="L258" i="1"/>
  <c r="T259" i="1" a="1"/>
  <c r="S259" i="1" a="1"/>
  <c r="S259" i="1" l="1"/>
  <c r="T259" i="1"/>
  <c r="K260" i="1"/>
  <c r="L259" i="1"/>
  <c r="T260" i="1" a="1"/>
  <c r="S260" i="1" a="1"/>
  <c r="T260" i="1" l="1"/>
  <c r="S260" i="1"/>
  <c r="K261" i="1"/>
  <c r="L260" i="1"/>
  <c r="S261" i="1" a="1"/>
  <c r="T261" i="1" a="1"/>
  <c r="S261" i="1" l="1"/>
  <c r="T261" i="1"/>
  <c r="K262" i="1"/>
  <c r="L261" i="1"/>
  <c r="S262" i="1" a="1"/>
  <c r="T262" i="1" a="1"/>
  <c r="T262" i="1" l="1"/>
  <c r="S262" i="1"/>
  <c r="K263" i="1"/>
  <c r="L262" i="1"/>
  <c r="S263" i="1" a="1"/>
  <c r="T263" i="1" a="1"/>
  <c r="T263" i="1" l="1"/>
  <c r="S263" i="1"/>
  <c r="K264" i="1"/>
  <c r="L263" i="1"/>
  <c r="T264" i="1" a="1"/>
  <c r="S264" i="1" a="1"/>
  <c r="T264" i="1" l="1"/>
  <c r="S264" i="1"/>
  <c r="K265" i="1"/>
  <c r="L264" i="1"/>
  <c r="T265" i="1" a="1"/>
  <c r="S265" i="1" a="1"/>
  <c r="T265" i="1" l="1"/>
  <c r="S265" i="1"/>
  <c r="K266" i="1"/>
  <c r="L265" i="1"/>
  <c r="T266" i="1" a="1"/>
  <c r="S266" i="1" a="1"/>
  <c r="T266" i="1" l="1"/>
  <c r="S266" i="1"/>
  <c r="K267" i="1"/>
  <c r="L266" i="1"/>
  <c r="S267" i="1" a="1"/>
  <c r="T267" i="1" a="1"/>
  <c r="S267" i="1" l="1"/>
  <c r="T267" i="1"/>
  <c r="K268" i="1"/>
  <c r="L267" i="1"/>
  <c r="T268" i="1" a="1"/>
  <c r="S268" i="1" a="1"/>
  <c r="T268" i="1" l="1"/>
  <c r="S268" i="1"/>
  <c r="K269" i="1"/>
  <c r="L268" i="1"/>
  <c r="T269" i="1" a="1"/>
  <c r="S269" i="1" a="1"/>
  <c r="T269" i="1" l="1"/>
  <c r="S269" i="1"/>
  <c r="K270" i="1"/>
  <c r="L269" i="1"/>
  <c r="S270" i="1" a="1"/>
  <c r="T270" i="1" a="1"/>
  <c r="T270" i="1" l="1"/>
  <c r="S270" i="1"/>
  <c r="K271" i="1"/>
  <c r="L270" i="1"/>
  <c r="S271" i="1" a="1"/>
  <c r="T271" i="1" a="1"/>
  <c r="S271" i="1" l="1"/>
  <c r="T271" i="1"/>
  <c r="K272" i="1"/>
  <c r="L271" i="1"/>
  <c r="S272" i="1" a="1"/>
  <c r="T272" i="1" a="1"/>
  <c r="T272" i="1" l="1"/>
  <c r="S272" i="1"/>
  <c r="K273" i="1"/>
  <c r="L272" i="1"/>
  <c r="T273" i="1" a="1"/>
  <c r="S273" i="1" a="1"/>
  <c r="S273" i="1" l="1"/>
  <c r="T273" i="1"/>
  <c r="K274" i="1"/>
  <c r="L273" i="1"/>
  <c r="S274" i="1" a="1"/>
  <c r="T274" i="1" a="1"/>
  <c r="T274" i="1" l="1"/>
  <c r="S274" i="1"/>
  <c r="K275" i="1"/>
  <c r="L274" i="1"/>
  <c r="S275" i="1" a="1"/>
  <c r="T275" i="1" a="1"/>
  <c r="T275" i="1" l="1"/>
  <c r="S275" i="1"/>
  <c r="K276" i="1"/>
  <c r="L275" i="1"/>
  <c r="S276" i="1" a="1"/>
  <c r="T276" i="1" a="1"/>
  <c r="T276" i="1" l="1"/>
  <c r="S276" i="1"/>
  <c r="K277" i="1"/>
  <c r="L276" i="1"/>
  <c r="S277" i="1" a="1"/>
  <c r="T277" i="1" a="1"/>
  <c r="T277" i="1" l="1"/>
  <c r="S277" i="1"/>
  <c r="K278" i="1"/>
  <c r="L277" i="1"/>
  <c r="S278" i="1" a="1"/>
  <c r="T278" i="1" a="1"/>
  <c r="S278" i="1" l="1"/>
  <c r="T278" i="1"/>
  <c r="K279" i="1"/>
  <c r="L278" i="1"/>
  <c r="T279" i="1" a="1"/>
  <c r="S279" i="1" a="1"/>
  <c r="T279" i="1" l="1"/>
  <c r="S279" i="1"/>
  <c r="K280" i="1"/>
  <c r="L279" i="1"/>
  <c r="T280" i="1" a="1"/>
  <c r="S280" i="1" a="1"/>
  <c r="T280" i="1" l="1"/>
  <c r="S280" i="1"/>
  <c r="K281" i="1"/>
  <c r="L280" i="1"/>
  <c r="T281" i="1" a="1"/>
  <c r="S281" i="1" a="1"/>
  <c r="S281" i="1" l="1"/>
  <c r="T281" i="1"/>
  <c r="K282" i="1"/>
  <c r="L281" i="1"/>
  <c r="S282" i="1" a="1"/>
  <c r="T282" i="1" a="1"/>
  <c r="T282" i="1" l="1"/>
  <c r="S282" i="1"/>
  <c r="K283" i="1"/>
  <c r="L282" i="1"/>
  <c r="T283" i="1" a="1"/>
  <c r="S283" i="1" a="1"/>
  <c r="S283" i="1" l="1"/>
  <c r="T283" i="1"/>
  <c r="K284" i="1"/>
  <c r="L283" i="1"/>
  <c r="S284" i="1" a="1"/>
  <c r="T284" i="1" a="1"/>
  <c r="T284" i="1" l="1"/>
  <c r="S284" i="1"/>
  <c r="K285" i="1"/>
  <c r="L284" i="1"/>
  <c r="S285" i="1" a="1"/>
  <c r="T285" i="1" a="1"/>
  <c r="T285" i="1" l="1"/>
  <c r="S285" i="1"/>
  <c r="K286" i="1"/>
  <c r="L285" i="1"/>
  <c r="T286" i="1" a="1"/>
  <c r="S286" i="1" a="1"/>
  <c r="S286" i="1" l="1"/>
  <c r="T286" i="1"/>
  <c r="K287" i="1"/>
  <c r="L286" i="1"/>
  <c r="S287" i="1" a="1"/>
  <c r="T287" i="1" a="1"/>
  <c r="S287" i="1" l="1"/>
  <c r="T287" i="1"/>
  <c r="K288" i="1"/>
  <c r="L287" i="1"/>
  <c r="T288" i="1" a="1"/>
  <c r="S288" i="1" a="1"/>
  <c r="T288" i="1" l="1"/>
  <c r="S288" i="1"/>
  <c r="K289" i="1"/>
  <c r="L288" i="1"/>
  <c r="T289" i="1" a="1"/>
  <c r="S289" i="1" a="1"/>
  <c r="T289" i="1" l="1"/>
  <c r="S289" i="1"/>
  <c r="K290" i="1"/>
  <c r="L289" i="1"/>
  <c r="S290" i="1" a="1"/>
  <c r="T290" i="1" a="1"/>
  <c r="T290" i="1" l="1"/>
  <c r="S290" i="1"/>
  <c r="K291" i="1"/>
  <c r="L290" i="1"/>
  <c r="T291" i="1" a="1"/>
  <c r="S291" i="1" a="1"/>
  <c r="T291" i="1" l="1"/>
  <c r="S291" i="1"/>
  <c r="K292" i="1"/>
  <c r="L291" i="1"/>
  <c r="T292" i="1" a="1"/>
  <c r="S292" i="1" a="1"/>
  <c r="T292" i="1" l="1"/>
  <c r="S292" i="1"/>
  <c r="K293" i="1"/>
  <c r="L292" i="1"/>
  <c r="T293" i="1" a="1"/>
  <c r="S293" i="1" a="1"/>
  <c r="T293" i="1" l="1"/>
  <c r="S293" i="1"/>
  <c r="K294" i="1"/>
  <c r="L293" i="1"/>
  <c r="S294" i="1" a="1"/>
  <c r="T294" i="1" a="1"/>
  <c r="T294" i="1" l="1"/>
  <c r="S294" i="1"/>
  <c r="K295" i="1"/>
  <c r="L294" i="1"/>
  <c r="T295" i="1" a="1"/>
  <c r="S295" i="1" a="1"/>
  <c r="S295" i="1" l="1"/>
  <c r="T295" i="1"/>
  <c r="K296" i="1"/>
  <c r="L295" i="1"/>
  <c r="S296" i="1" a="1"/>
  <c r="T296" i="1" a="1"/>
  <c r="S296" i="1" l="1"/>
  <c r="T296" i="1"/>
  <c r="K297" i="1"/>
  <c r="L296" i="1"/>
  <c r="S297" i="1" a="1"/>
  <c r="T297" i="1" a="1"/>
  <c r="S297" i="1" l="1"/>
  <c r="T297" i="1"/>
  <c r="K298" i="1"/>
  <c r="L297" i="1"/>
  <c r="S298" i="1" a="1"/>
  <c r="T298" i="1" a="1"/>
  <c r="S298" i="1" l="1"/>
  <c r="T298" i="1"/>
  <c r="K299" i="1"/>
  <c r="L298" i="1"/>
  <c r="T299" i="1" a="1"/>
  <c r="S299" i="1" a="1"/>
  <c r="T299" i="1" l="1"/>
  <c r="S299" i="1"/>
  <c r="K300" i="1"/>
  <c r="L299" i="1"/>
  <c r="S300" i="1" a="1"/>
  <c r="T300" i="1" a="1"/>
  <c r="T300" i="1" l="1"/>
  <c r="S300" i="1"/>
  <c r="K301" i="1"/>
  <c r="L300" i="1"/>
  <c r="T301" i="1" a="1"/>
  <c r="S301" i="1" a="1"/>
  <c r="T301" i="1" l="1"/>
  <c r="S301" i="1"/>
  <c r="K302" i="1"/>
  <c r="L301" i="1"/>
  <c r="S302" i="1" a="1"/>
  <c r="T302" i="1" a="1"/>
  <c r="T302" i="1" l="1"/>
  <c r="S302" i="1"/>
  <c r="L30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<sst xmlns="http://schemas.openxmlformats.org/spreadsheetml/2006/main" count="708" uniqueCount="37">
  <si>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</si>
  <si>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</si>
  <si>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</si>
  <si>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</si>
  <si>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</si>
  <si>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</si>
  <si>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</si>
  <si>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</si>
  <si>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Petal.Lenght (razem)</t>
  </si>
  <si>
    <t>średnia</t>
  </si>
  <si>
    <t>odch</t>
  </si>
  <si>
    <t>n</t>
  </si>
  <si>
    <t xml:space="preserve">min </t>
  </si>
  <si>
    <t>max</t>
  </si>
  <si>
    <t>k</t>
  </si>
  <si>
    <t>h</t>
  </si>
  <si>
    <t>i</t>
  </si>
  <si>
    <t>x</t>
  </si>
  <si>
    <t>teor</t>
  </si>
  <si>
    <t>estymacja gaussowska (rózne szerokości pasma)</t>
  </si>
  <si>
    <t>estymacja Epanecznikowa</t>
  </si>
  <si>
    <t>Petal.Length (razem)</t>
  </si>
  <si>
    <t>min</t>
  </si>
  <si>
    <t>y_{i-1}</t>
  </si>
  <si>
    <t>y_i</t>
  </si>
  <si>
    <t>n_i</t>
  </si>
  <si>
    <t>suma</t>
  </si>
  <si>
    <t>p_i</t>
  </si>
  <si>
    <t>g_i</t>
  </si>
  <si>
    <t>s_i</t>
  </si>
  <si>
    <t>s_i/n</t>
  </si>
  <si>
    <t>F(x_i)</t>
  </si>
  <si>
    <t>f_i</t>
  </si>
  <si>
    <t>x_i</t>
  </si>
  <si>
    <t>G^(-1)(i/n)</t>
  </si>
  <si>
    <t>Dystrybuanta Gaussowska</t>
  </si>
  <si>
    <t>Dystrybuanta Epanecznikowa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</si>
</sst>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">
    <xf numFmtId="0" fontId="0" fillId="0" borderId="0" xfId="0"/>
    <xf numFmtId="0" fontId="0" fillId="0" borderId="0" xfId="0" applyProtection="1">
      <protection locked="0"/>
    </xf>
    <xf numFmtId="0" fontId="1" fillId="2" borderId="0" xfId="1" applyProtection="1">
      <protection locked="0"/>
    </xf>
  </cellXfs>
  <cellStyles count="2">
    <cellStyle name="Dobry" xfId="1" builtinId="26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histogram</c:v>
          </c:tx>
          <c:spPr>
            <a:solidFill>
              <a:schemeClr val="accent1"/>
            </a:solidFill>
            <a:ln w="12700">
              <a:solidFill>
                <a:schemeClr val="tx1"/>
              </a:solidFill>
            </a:ln>
            <a:effectLst/>
          </c:spPr>
          <c:invertIfNegative val="0"/>
          <c:cat>
            <c:numRef>
              <c:f>irysy!$K$3:$K$32</c:f>
              <c:numCache>
                <c:formatCode>General</c:formatCode>
                <c:ptCount val="30"/>
                <c:pt idx="0">
                  <c:v>0.89827586206896548</c:v>
                </c:pt>
                <c:pt idx="1">
                  <c:v>1.1017241379310345</c:v>
                </c:pt>
                <c:pt idx="2">
                  <c:v>1.3051724137931036</c:v>
                </c:pt>
                <c:pt idx="3">
                  <c:v>1.5086206896551726</c:v>
                </c:pt>
                <c:pt idx="4">
                  <c:v>1.7120689655172416</c:v>
                </c:pt>
                <c:pt idx="5">
                  <c:v>1.9155172413793107</c:v>
                </c:pt>
                <c:pt idx="6">
                  <c:v>2.1189655172413797</c:v>
                </c:pt>
                <c:pt idx="7">
                  <c:v>2.3224137931034488</c:v>
                </c:pt>
                <c:pt idx="8">
                  <c:v>2.5258620689655178</c:v>
                </c:pt>
                <c:pt idx="9">
                  <c:v>2.7293103448275868</c:v>
                </c:pt>
                <c:pt idx="10">
                  <c:v>2.9327586206896559</c:v>
                </c:pt>
                <c:pt idx="11">
                  <c:v>3.1362068965517249</c:v>
                </c:pt>
                <c:pt idx="12">
                  <c:v>3.3396551724137939</c:v>
                </c:pt>
                <c:pt idx="13">
                  <c:v>3.543103448275863</c:v>
                </c:pt>
                <c:pt idx="14">
                  <c:v>3.746551724137932</c:v>
                </c:pt>
                <c:pt idx="15">
                  <c:v>3.9500000000000011</c:v>
                </c:pt>
                <c:pt idx="16">
                  <c:v>4.1534482758620701</c:v>
                </c:pt>
                <c:pt idx="17">
                  <c:v>4.3568965517241391</c:v>
                </c:pt>
                <c:pt idx="18">
                  <c:v>4.5603448275862082</c:v>
                </c:pt>
                <c:pt idx="19">
                  <c:v>4.7637931034482772</c:v>
                </c:pt>
                <c:pt idx="20">
                  <c:v>4.9672413793103463</c:v>
                </c:pt>
                <c:pt idx="21">
                  <c:v>5.1706896551724153</c:v>
                </c:pt>
                <c:pt idx="22">
                  <c:v>5.3741379310344843</c:v>
                </c:pt>
                <c:pt idx="23">
                  <c:v>5.5775862068965534</c:v>
                </c:pt>
                <c:pt idx="24">
                  <c:v>5.7810344827586224</c:v>
                </c:pt>
                <c:pt idx="25">
                  <c:v>5.9844827586206915</c:v>
                </c:pt>
                <c:pt idx="26">
                  <c:v>6.1879310344827605</c:v>
                </c:pt>
                <c:pt idx="27">
                  <c:v>6.3913793103448295</c:v>
                </c:pt>
                <c:pt idx="28">
                  <c:v>6.5948275862068986</c:v>
                </c:pt>
                <c:pt idx="29">
                  <c:v>6.7982758620689676</c:v>
                </c:pt>
              </c:numCache>
            </c:numRef>
          </c:cat>
          <c:val>
            <c:numRef>
              <c:f>irysy!$N$3:$N$32</c:f>
              <c:numCache>
                <c:formatCode>General</c:formatCode>
                <c:ptCount val="30"/>
                <c:pt idx="0">
                  <c:v>6.5536723163841806E-2</c:v>
                </c:pt>
                <c:pt idx="1">
                  <c:v>0.29491525423728809</c:v>
                </c:pt>
                <c:pt idx="2">
                  <c:v>0.85197740112994347</c:v>
                </c:pt>
                <c:pt idx="3">
                  <c:v>0.36045197740112989</c:v>
                </c:pt>
                <c:pt idx="4">
                  <c:v>6.5536723163841806E-2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3.2768361581920903E-2</c:v>
                </c:pt>
                <c:pt idx="11">
                  <c:v>6.5536723163841806E-2</c:v>
                </c:pt>
                <c:pt idx="12">
                  <c:v>6.5536723163841806E-2</c:v>
                </c:pt>
                <c:pt idx="13">
                  <c:v>6.5536723163841806E-2</c:v>
                </c:pt>
                <c:pt idx="14">
                  <c:v>0.13107344632768361</c:v>
                </c:pt>
                <c:pt idx="15">
                  <c:v>0.26214689265536723</c:v>
                </c:pt>
                <c:pt idx="16">
                  <c:v>0.19661016949152541</c:v>
                </c:pt>
                <c:pt idx="17">
                  <c:v>0.39322033898305081</c:v>
                </c:pt>
                <c:pt idx="18">
                  <c:v>0.26214689265536723</c:v>
                </c:pt>
                <c:pt idx="19">
                  <c:v>0.29491525423728809</c:v>
                </c:pt>
                <c:pt idx="20">
                  <c:v>0.39322033898305081</c:v>
                </c:pt>
                <c:pt idx="21">
                  <c:v>0.13107344632768361</c:v>
                </c:pt>
                <c:pt idx="22">
                  <c:v>0.16384180790960451</c:v>
                </c:pt>
                <c:pt idx="23">
                  <c:v>0.29491525423728809</c:v>
                </c:pt>
                <c:pt idx="24">
                  <c:v>0.16384180790960451</c:v>
                </c:pt>
                <c:pt idx="25">
                  <c:v>0.16384180790960451</c:v>
                </c:pt>
                <c:pt idx="26">
                  <c:v>3.2768361581920903E-2</c:v>
                </c:pt>
                <c:pt idx="27">
                  <c:v>3.2768361581920903E-2</c:v>
                </c:pt>
                <c:pt idx="28">
                  <c:v>9.8305084745762703E-2</c:v>
                </c:pt>
                <c:pt idx="29">
                  <c:v>3.2768361581920903E-2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7-4F58-8F55-399EFD8A6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94701792"/>
        <c:axId val="852560128"/>
      </c:barChart>
      <c:lineChart>
        <c:grouping val="standard"/>
        <c:varyColors val="0"/>
        <c:ser>
          <c:idx val="1"/>
          <c:order val="1"/>
          <c:tx>
            <c:v>teoretyczna gęstość nominalna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irysy!$K$3:$K$32</c:f>
              <c:numCache>
                <c:formatCode>General</c:formatCode>
                <c:ptCount val="30"/>
                <c:pt idx="0">
                  <c:v>0.89827586206896548</c:v>
                </c:pt>
                <c:pt idx="1">
                  <c:v>1.1017241379310345</c:v>
                </c:pt>
                <c:pt idx="2">
                  <c:v>1.3051724137931036</c:v>
                </c:pt>
                <c:pt idx="3">
                  <c:v>1.5086206896551726</c:v>
                </c:pt>
                <c:pt idx="4">
                  <c:v>1.7120689655172416</c:v>
                </c:pt>
                <c:pt idx="5">
                  <c:v>1.9155172413793107</c:v>
                </c:pt>
                <c:pt idx="6">
                  <c:v>2.1189655172413797</c:v>
                </c:pt>
                <c:pt idx="7">
                  <c:v>2.3224137931034488</c:v>
                </c:pt>
                <c:pt idx="8">
                  <c:v>2.5258620689655178</c:v>
                </c:pt>
                <c:pt idx="9">
                  <c:v>2.7293103448275868</c:v>
                </c:pt>
                <c:pt idx="10">
                  <c:v>2.9327586206896559</c:v>
                </c:pt>
                <c:pt idx="11">
                  <c:v>3.1362068965517249</c:v>
                </c:pt>
                <c:pt idx="12">
                  <c:v>3.3396551724137939</c:v>
                </c:pt>
                <c:pt idx="13">
                  <c:v>3.543103448275863</c:v>
                </c:pt>
                <c:pt idx="14">
                  <c:v>3.746551724137932</c:v>
                </c:pt>
                <c:pt idx="15">
                  <c:v>3.9500000000000011</c:v>
                </c:pt>
                <c:pt idx="16">
                  <c:v>4.1534482758620701</c:v>
                </c:pt>
                <c:pt idx="17">
                  <c:v>4.3568965517241391</c:v>
                </c:pt>
                <c:pt idx="18">
                  <c:v>4.5603448275862082</c:v>
                </c:pt>
                <c:pt idx="19">
                  <c:v>4.7637931034482772</c:v>
                </c:pt>
                <c:pt idx="20">
                  <c:v>4.9672413793103463</c:v>
                </c:pt>
                <c:pt idx="21">
                  <c:v>5.1706896551724153</c:v>
                </c:pt>
                <c:pt idx="22">
                  <c:v>5.3741379310344843</c:v>
                </c:pt>
                <c:pt idx="23">
                  <c:v>5.5775862068965534</c:v>
                </c:pt>
                <c:pt idx="24">
                  <c:v>5.7810344827586224</c:v>
                </c:pt>
                <c:pt idx="25">
                  <c:v>5.9844827586206915</c:v>
                </c:pt>
                <c:pt idx="26">
                  <c:v>6.1879310344827605</c:v>
                </c:pt>
                <c:pt idx="27">
                  <c:v>6.3913793103448295</c:v>
                </c:pt>
                <c:pt idx="28">
                  <c:v>6.5948275862068986</c:v>
                </c:pt>
                <c:pt idx="29">
                  <c:v>6.7982758620689676</c:v>
                </c:pt>
              </c:numCache>
            </c:numRef>
          </c:cat>
          <c:val>
            <c:numRef>
              <c:f>irysy!$O$3:$O$32</c:f>
              <c:numCache>
                <c:formatCode>General</c:formatCode>
                <c:ptCount val="30"/>
                <c:pt idx="0">
                  <c:v>6.6689029091961977E-2</c:v>
                </c:pt>
                <c:pt idx="1">
                  <c:v>7.931737406002394E-2</c:v>
                </c:pt>
                <c:pt idx="2">
                  <c:v>9.3092319229378898E-2</c:v>
                </c:pt>
                <c:pt idx="3">
                  <c:v>0.10781792314766429</c:v>
                </c:pt>
                <c:pt idx="4">
                  <c:v>0.12322523730078648</c:v>
                </c:pt>
                <c:pt idx="5">
                  <c:v>0.13897604676128952</c:v>
                </c:pt>
                <c:pt idx="6">
                  <c:v>0.15467204722770772</c:v>
                </c:pt>
                <c:pt idx="7">
                  <c:v>0.16986945886846291</c:v>
                </c:pt>
                <c:pt idx="8">
                  <c:v>0.18409854756427901</c:v>
                </c:pt>
                <c:pt idx="9">
                  <c:v>0.19688698587124326</c:v>
                </c:pt>
                <c:pt idx="10">
                  <c:v>0.20778550499191067</c:v>
                </c:pt>
                <c:pt idx="11">
                  <c:v>0.21639393043034447</c:v>
                </c:pt>
                <c:pt idx="12">
                  <c:v>0.22238551268685328</c:v>
                </c:pt>
                <c:pt idx="13">
                  <c:v>0.22552749578016168</c:v>
                </c:pt>
                <c:pt idx="14">
                  <c:v>0.22569611991396837</c:v>
                </c:pt>
                <c:pt idx="15">
                  <c:v>0.22288471048004041</c:v>
                </c:pt>
                <c:pt idx="16">
                  <c:v>0.21720411645392834</c:v>
                </c:pt>
                <c:pt idx="17">
                  <c:v>0.20887545804808244</c:v>
                </c:pt>
                <c:pt idx="18">
                  <c:v>0.1982158449993866</c:v>
                </c:pt>
                <c:pt idx="19">
                  <c:v>0.18561835117192865</c:v>
                </c:pt>
                <c:pt idx="20">
                  <c:v>0.17152800730743623</c:v>
                </c:pt>
                <c:pt idx="21">
                  <c:v>0.15641585158523014</c:v>
                </c:pt>
                <c:pt idx="22">
                  <c:v>0.14075313414275742</c:v>
                </c:pt>
                <c:pt idx="23">
                  <c:v>0.12498761299718594</c:v>
                </c:pt>
                <c:pt idx="24">
                  <c:v>0.10952353769576433</c:v>
                </c:pt>
                <c:pt idx="25">
                  <c:v>9.4706446615378512E-2</c:v>
                </c:pt>
                <c:pt idx="26">
                  <c:v>8.0813368646533462E-2</c:v>
                </c:pt>
                <c:pt idx="27">
                  <c:v>6.804848614126438E-2</c:v>
                </c:pt>
                <c:pt idx="28">
                  <c:v>5.6543842095060741E-2</c:v>
                </c:pt>
                <c:pt idx="29">
                  <c:v>4.6364304715173534E-2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27-4F58-8F55-399EFD8A670D}"/>
            </c:ext>
          </c:extLst>
        </c:ser>
        <c:ser>
          <c:idx val="2"/>
          <c:order val="2"/>
          <c:tx>
            <c:v>estymacja gęstości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irysy!$K$3:$K$32</c:f>
              <c:numCache>
                <c:formatCode>General</c:formatCode>
                <c:ptCount val="30"/>
                <c:pt idx="0">
                  <c:v>0.89827586206896548</c:v>
                </c:pt>
                <c:pt idx="1">
                  <c:v>1.1017241379310345</c:v>
                </c:pt>
                <c:pt idx="2">
                  <c:v>1.3051724137931036</c:v>
                </c:pt>
                <c:pt idx="3">
                  <c:v>1.5086206896551726</c:v>
                </c:pt>
                <c:pt idx="4">
                  <c:v>1.7120689655172416</c:v>
                </c:pt>
                <c:pt idx="5">
                  <c:v>1.9155172413793107</c:v>
                </c:pt>
                <c:pt idx="6">
                  <c:v>2.1189655172413797</c:v>
                </c:pt>
                <c:pt idx="7">
                  <c:v>2.3224137931034488</c:v>
                </c:pt>
                <c:pt idx="8">
                  <c:v>2.5258620689655178</c:v>
                </c:pt>
                <c:pt idx="9">
                  <c:v>2.7293103448275868</c:v>
                </c:pt>
                <c:pt idx="10">
                  <c:v>2.9327586206896559</c:v>
                </c:pt>
                <c:pt idx="11">
                  <c:v>3.1362068965517249</c:v>
                </c:pt>
                <c:pt idx="12">
                  <c:v>3.3396551724137939</c:v>
                </c:pt>
                <c:pt idx="13">
                  <c:v>3.543103448275863</c:v>
                </c:pt>
                <c:pt idx="14">
                  <c:v>3.746551724137932</c:v>
                </c:pt>
                <c:pt idx="15">
                  <c:v>3.9500000000000011</c:v>
                </c:pt>
                <c:pt idx="16">
                  <c:v>4.1534482758620701</c:v>
                </c:pt>
                <c:pt idx="17">
                  <c:v>4.3568965517241391</c:v>
                </c:pt>
                <c:pt idx="18">
                  <c:v>4.5603448275862082</c:v>
                </c:pt>
                <c:pt idx="19">
                  <c:v>4.7637931034482772</c:v>
                </c:pt>
                <c:pt idx="20">
                  <c:v>4.9672413793103463</c:v>
                </c:pt>
                <c:pt idx="21">
                  <c:v>5.1706896551724153</c:v>
                </c:pt>
                <c:pt idx="22">
                  <c:v>5.3741379310344843</c:v>
                </c:pt>
                <c:pt idx="23">
                  <c:v>5.5775862068965534</c:v>
                </c:pt>
                <c:pt idx="24">
                  <c:v>5.7810344827586224</c:v>
                </c:pt>
                <c:pt idx="25">
                  <c:v>5.9844827586206915</c:v>
                </c:pt>
                <c:pt idx="26">
                  <c:v>6.1879310344827605</c:v>
                </c:pt>
                <c:pt idx="27">
                  <c:v>6.3913793103448295</c:v>
                </c:pt>
                <c:pt idx="28">
                  <c:v>6.5948275862068986</c:v>
                </c:pt>
                <c:pt idx="29">
                  <c:v>6.7982758620689676</c:v>
                </c:pt>
              </c:numCache>
            </c:numRef>
          </c:cat>
          <c:val>
            <c:numRef>
              <c:f>irysy!$P$3:$P$32</c:f>
              <c:numCache>
                <c:formatCode>General</c:formatCode>
                <c:ptCount val="30"/>
                <c:pt idx="0">
                  <c:v>0.15197430392932543</c:v>
                </c:pt>
                <c:pt idx="1">
                  <c:v>0.17604284421074076</c:v>
                </c:pt>
                <c:pt idx="2">
                  <c:v>0.18791413283096797</c:v>
                </c:pt>
                <c:pt idx="3">
                  <c:v>0.1850614480897407</c:v>
                </c:pt>
                <c:pt idx="4">
                  <c:v>0.16861424038725314</c:v>
                </c:pt>
                <c:pt idx="5">
                  <c:v>0.14305175875682727</c:v>
                </c:pt>
                <c:pt idx="6">
                  <c:v>0.1146984331545351</c:v>
                </c:pt>
                <c:pt idx="7">
                  <c:v>8.9777725963558416E-2</c:v>
                </c:pt>
                <c:pt idx="8">
                  <c:v>7.2886004812263899E-2</c:v>
                </c:pt>
                <c:pt idx="9">
                  <c:v>6.6364825758659943E-2</c:v>
                </c:pt>
                <c:pt idx="10">
                  <c:v>7.0503277058756808E-2</c:v>
                </c:pt>
                <c:pt idx="11">
                  <c:v>8.4152221702907065E-2</c:v>
                </c:pt>
                <c:pt idx="12">
                  <c:v>0.10532133933477385</c:v>
                </c:pt>
                <c:pt idx="13">
                  <c:v>0.1315500596885876</c:v>
                </c:pt>
                <c:pt idx="14">
                  <c:v>0.16008626471155066</c:v>
                </c:pt>
                <c:pt idx="15">
                  <c:v>0.18802500634149871</c:v>
                </c:pt>
                <c:pt idx="16">
                  <c:v>0.21253052953241247</c:v>
                </c:pt>
                <c:pt idx="17">
                  <c:v>0.23115536089253139</c:v>
                </c:pt>
                <c:pt idx="18">
                  <c:v>0.24216844212145125</c:v>
                </c:pt>
                <c:pt idx="19">
                  <c:v>0.24476954585285035</c:v>
                </c:pt>
                <c:pt idx="20">
                  <c:v>0.23911039146258706</c:v>
                </c:pt>
                <c:pt idx="21">
                  <c:v>0.22613065831463147</c:v>
                </c:pt>
                <c:pt idx="22">
                  <c:v>0.2072929544348755</c:v>
                </c:pt>
                <c:pt idx="23">
                  <c:v>0.18431896266127104</c:v>
                </c:pt>
                <c:pt idx="24">
                  <c:v>0.15898623481919558</c:v>
                </c:pt>
                <c:pt idx="25">
                  <c:v>0.13298367062360048</c:v>
                </c:pt>
                <c:pt idx="26">
                  <c:v>0.1077948132689204</c:v>
                </c:pt>
                <c:pt idx="27">
                  <c:v>8.4595844978729087E-2</c:v>
                </c:pt>
                <c:pt idx="28">
                  <c:v>6.4187555583544886E-2</c:v>
                </c:pt>
                <c:pt idx="29">
                  <c:v>4.6987187373193975E-2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27-4F58-8F55-399EFD8A6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4701792"/>
        <c:axId val="852560128"/>
      </c:lineChart>
      <c:catAx>
        <c:axId val="89470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52560128"/>
        <c:crosses val="autoZero"/>
        <c:auto val="1"/>
        <c:lblAlgn val="ctr"/>
        <c:lblOffset val="100"/>
        <c:noMultiLvlLbl val="0"/>
      </c:catAx>
      <c:valAx>
        <c:axId val="852560128"/>
        <c:scaling>
          <c:orientation val="minMax"/>
          <c:max val="0.85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9470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667235345581804"/>
          <c:y val="0.89409667541557303"/>
          <c:w val="0.74665529308836409"/>
          <c:h val="7.8125546806649168E-2"/>
        </c:manualLayout>
      </c:layout>
      <c:overlay val="0"/>
      <c:spPr>
        <a:noFill/>
        <a:ln>
          <a:noFill/>
        </a:ln>
        <a:effectLst>
          <a:outerShdw blurRad="50800" dist="50800" dir="5400000" sx="1000" sy="1000" algn="ctr" rotWithShape="0">
            <a:srgbClr val="000000">
              <a:alpha val="43137"/>
            </a:srgbClr>
          </a:outerShdw>
          <a:softEdge rad="0"/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Histogram skumulowany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skumulowana częstość</c:v>
          </c:tx>
          <c:spPr>
            <a:solidFill>
              <a:schemeClr val="accent1"/>
            </a:solidFill>
            <a:ln w="12700">
              <a:solidFill>
                <a:schemeClr val="tx1"/>
              </a:solidFill>
            </a:ln>
            <a:effectLst/>
          </c:spPr>
          <c:invertIfNegative val="0"/>
          <c:cat>
            <c:numRef>
              <c:f>irysy!$K$3:$K$32</c:f>
              <c:numCache>
                <c:formatCode>General</c:formatCode>
                <c:ptCount val="30"/>
                <c:pt idx="0">
                  <c:v>0.89827586206896548</c:v>
                </c:pt>
                <c:pt idx="1">
                  <c:v>1.1017241379310345</c:v>
                </c:pt>
                <c:pt idx="2">
                  <c:v>1.3051724137931036</c:v>
                </c:pt>
                <c:pt idx="3">
                  <c:v>1.5086206896551726</c:v>
                </c:pt>
                <c:pt idx="4">
                  <c:v>1.7120689655172416</c:v>
                </c:pt>
                <c:pt idx="5">
                  <c:v>1.9155172413793107</c:v>
                </c:pt>
                <c:pt idx="6">
                  <c:v>2.1189655172413797</c:v>
                </c:pt>
                <c:pt idx="7">
                  <c:v>2.3224137931034488</c:v>
                </c:pt>
                <c:pt idx="8">
                  <c:v>2.5258620689655178</c:v>
                </c:pt>
                <c:pt idx="9">
                  <c:v>2.7293103448275868</c:v>
                </c:pt>
                <c:pt idx="10">
                  <c:v>2.9327586206896559</c:v>
                </c:pt>
                <c:pt idx="11">
                  <c:v>3.1362068965517249</c:v>
                </c:pt>
                <c:pt idx="12">
                  <c:v>3.3396551724137939</c:v>
                </c:pt>
                <c:pt idx="13">
                  <c:v>3.543103448275863</c:v>
                </c:pt>
                <c:pt idx="14">
                  <c:v>3.746551724137932</c:v>
                </c:pt>
                <c:pt idx="15">
                  <c:v>3.9500000000000011</c:v>
                </c:pt>
                <c:pt idx="16">
                  <c:v>4.1534482758620701</c:v>
                </c:pt>
                <c:pt idx="17">
                  <c:v>4.3568965517241391</c:v>
                </c:pt>
                <c:pt idx="18">
                  <c:v>4.5603448275862082</c:v>
                </c:pt>
                <c:pt idx="19">
                  <c:v>4.7637931034482772</c:v>
                </c:pt>
                <c:pt idx="20">
                  <c:v>4.9672413793103463</c:v>
                </c:pt>
                <c:pt idx="21">
                  <c:v>5.1706896551724153</c:v>
                </c:pt>
                <c:pt idx="22">
                  <c:v>5.3741379310344843</c:v>
                </c:pt>
                <c:pt idx="23">
                  <c:v>5.5775862068965534</c:v>
                </c:pt>
                <c:pt idx="24">
                  <c:v>5.7810344827586224</c:v>
                </c:pt>
                <c:pt idx="25">
                  <c:v>5.9844827586206915</c:v>
                </c:pt>
                <c:pt idx="26">
                  <c:v>6.1879310344827605</c:v>
                </c:pt>
                <c:pt idx="27">
                  <c:v>6.3913793103448295</c:v>
                </c:pt>
                <c:pt idx="28">
                  <c:v>6.5948275862068986</c:v>
                </c:pt>
                <c:pt idx="29">
                  <c:v>6.7982758620689676</c:v>
                </c:pt>
              </c:numCache>
            </c:numRef>
          </c:cat>
          <c:val>
            <c:numRef>
              <c:f>irysy!$R$3:$R$32</c:f>
              <c:numCache>
                <c:formatCode>General</c:formatCode>
                <c:ptCount val="30"/>
                <c:pt idx="0">
                  <c:v>1.3333333333333334E-2</c:v>
                </c:pt>
                <c:pt idx="1">
                  <c:v>7.3333333333333334E-2</c:v>
                </c:pt>
                <c:pt idx="2">
                  <c:v>0.24666666666666667</c:v>
                </c:pt>
                <c:pt idx="3">
                  <c:v>0.32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0.34</c:v>
                </c:pt>
                <c:pt idx="11">
                  <c:v>0.35333333333333333</c:v>
                </c:pt>
                <c:pt idx="12">
                  <c:v>0.36666666666666664</c:v>
                </c:pt>
                <c:pt idx="13">
                  <c:v>0.38</c:v>
                </c:pt>
                <c:pt idx="14">
                  <c:v>0.40666666666666668</c:v>
                </c:pt>
                <c:pt idx="15">
                  <c:v>0.46</c:v>
                </c:pt>
                <c:pt idx="16">
                  <c:v>0.5</c:v>
                </c:pt>
                <c:pt idx="17">
                  <c:v>0.57999999999999996</c:v>
                </c:pt>
                <c:pt idx="18">
                  <c:v>0.6333333333333333</c:v>
                </c:pt>
                <c:pt idx="19">
                  <c:v>0.69333333333333336</c:v>
                </c:pt>
                <c:pt idx="20">
                  <c:v>0.77333333333333332</c:v>
                </c:pt>
                <c:pt idx="21">
                  <c:v>0.8</c:v>
                </c:pt>
                <c:pt idx="22">
                  <c:v>0.83333333333333337</c:v>
                </c:pt>
                <c:pt idx="23">
                  <c:v>0.89333333333333331</c:v>
                </c:pt>
                <c:pt idx="24">
                  <c:v>0.92666666666666664</c:v>
                </c:pt>
                <c:pt idx="25">
                  <c:v>0.96</c:v>
                </c:pt>
                <c:pt idx="26">
                  <c:v>0.96666666666666667</c:v>
                </c:pt>
                <c:pt idx="27">
                  <c:v>0.97333333333333338</c:v>
                </c:pt>
                <c:pt idx="28">
                  <c:v>0.99333333333333329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D6-4C30-B24E-29D620BAC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902728176"/>
        <c:axId val="688046624"/>
      </c:barChart>
      <c:lineChart>
        <c:grouping val="standard"/>
        <c:varyColors val="0"/>
        <c:ser>
          <c:idx val="1"/>
          <c:order val="1"/>
          <c:tx>
            <c:v>dystrybuanta rozkładu normalnego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irysy!$K$3:$K$32</c:f>
              <c:numCache>
                <c:formatCode>General</c:formatCode>
                <c:ptCount val="30"/>
                <c:pt idx="0">
                  <c:v>0.89827586206896548</c:v>
                </c:pt>
                <c:pt idx="1">
                  <c:v>1.1017241379310345</c:v>
                </c:pt>
                <c:pt idx="2">
                  <c:v>1.3051724137931036</c:v>
                </c:pt>
                <c:pt idx="3">
                  <c:v>1.5086206896551726</c:v>
                </c:pt>
                <c:pt idx="4">
                  <c:v>1.7120689655172416</c:v>
                </c:pt>
                <c:pt idx="5">
                  <c:v>1.9155172413793107</c:v>
                </c:pt>
                <c:pt idx="6">
                  <c:v>2.1189655172413797</c:v>
                </c:pt>
                <c:pt idx="7">
                  <c:v>2.3224137931034488</c:v>
                </c:pt>
                <c:pt idx="8">
                  <c:v>2.5258620689655178</c:v>
                </c:pt>
                <c:pt idx="9">
                  <c:v>2.7293103448275868</c:v>
                </c:pt>
                <c:pt idx="10">
                  <c:v>2.9327586206896559</c:v>
                </c:pt>
                <c:pt idx="11">
                  <c:v>3.1362068965517249</c:v>
                </c:pt>
                <c:pt idx="12">
                  <c:v>3.3396551724137939</c:v>
                </c:pt>
                <c:pt idx="13">
                  <c:v>3.543103448275863</c:v>
                </c:pt>
                <c:pt idx="14">
                  <c:v>3.746551724137932</c:v>
                </c:pt>
                <c:pt idx="15">
                  <c:v>3.9500000000000011</c:v>
                </c:pt>
                <c:pt idx="16">
                  <c:v>4.1534482758620701</c:v>
                </c:pt>
                <c:pt idx="17">
                  <c:v>4.3568965517241391</c:v>
                </c:pt>
                <c:pt idx="18">
                  <c:v>4.5603448275862082</c:v>
                </c:pt>
                <c:pt idx="19">
                  <c:v>4.7637931034482772</c:v>
                </c:pt>
                <c:pt idx="20">
                  <c:v>4.9672413793103463</c:v>
                </c:pt>
                <c:pt idx="21">
                  <c:v>5.1706896551724153</c:v>
                </c:pt>
                <c:pt idx="22">
                  <c:v>5.3741379310344843</c:v>
                </c:pt>
                <c:pt idx="23">
                  <c:v>5.5775862068965534</c:v>
                </c:pt>
                <c:pt idx="24">
                  <c:v>5.7810344827586224</c:v>
                </c:pt>
                <c:pt idx="25">
                  <c:v>5.9844827586206915</c:v>
                </c:pt>
                <c:pt idx="26">
                  <c:v>6.1879310344827605</c:v>
                </c:pt>
                <c:pt idx="27">
                  <c:v>6.3913793103448295</c:v>
                </c:pt>
                <c:pt idx="28">
                  <c:v>6.5948275862068986</c:v>
                </c:pt>
                <c:pt idx="29">
                  <c:v>6.7982758620689676</c:v>
                </c:pt>
              </c:numCache>
            </c:numRef>
          </c:cat>
          <c:val>
            <c:numRef>
              <c:f>irysy!$S$3:$S$32</c:f>
              <c:numCache>
                <c:formatCode>General</c:formatCode>
                <c:ptCount val="30"/>
                <c:pt idx="0">
                  <c:v>5.9103692836246752E-2</c:v>
                </c:pt>
                <c:pt idx="1">
                  <c:v>7.3935359205173218E-2</c:v>
                </c:pt>
                <c:pt idx="2">
                  <c:v>9.1455580156060853E-2</c:v>
                </c:pt>
                <c:pt idx="3">
                  <c:v>0.11187893924072326</c:v>
                </c:pt>
                <c:pt idx="4">
                  <c:v>0.13537271028457545</c:v>
                </c:pt>
                <c:pt idx="5">
                  <c:v>0.16204229521275762</c:v>
                </c:pt>
                <c:pt idx="6">
                  <c:v>0.19191797169463518</c:v>
                </c:pt>
                <c:pt idx="7">
                  <c:v>0.22494406525643032</c:v>
                </c:pt>
                <c:pt idx="8">
                  <c:v>0.26097160736762659</c:v>
                </c:pt>
                <c:pt idx="9">
                  <c:v>0.29975537814460251</c:v>
                </c:pt>
                <c:pt idx="10">
                  <c:v>0.34095596462516509</c:v>
                </c:pt>
                <c:pt idx="11">
                  <c:v>0.38414711141740687</c:v>
                </c:pt>
                <c:pt idx="12">
                  <c:v>0.42882823066068765</c:v>
                </c:pt>
                <c:pt idx="13">
                  <c:v>0.47444151272810547</c:v>
                </c:pt>
                <c:pt idx="14">
                  <c:v>0.52039268266446048</c:v>
                </c:pt>
                <c:pt idx="15">
                  <c:v>0.56607412366260668</c:v>
                </c:pt>
                <c:pt idx="16">
                  <c:v>0.61088887471457565</c:v>
                </c:pt>
                <c:pt idx="17">
                  <c:v>0.65427392973700149</c:v>
                </c:pt>
                <c:pt idx="18">
                  <c:v>0.6957213292968718</c:v>
                </c:pt>
                <c:pt idx="19">
                  <c:v>0.73479573608788729</c:v>
                </c:pt>
                <c:pt idx="20">
                  <c:v>0.77114749832753016</c:v>
                </c:pt>
                <c:pt idx="21">
                  <c:v>0.80452059559664191</c:v>
                </c:pt>
                <c:pt idx="22">
                  <c:v>0.83475528614539551</c:v>
                </c:pt>
                <c:pt idx="23">
                  <c:v>0.86178568844876935</c:v>
                </c:pt>
                <c:pt idx="24">
                  <c:v>0.88563289195684447</c:v>
                </c:pt>
                <c:pt idx="25">
                  <c:v>0.90639447056898381</c:v>
                </c:pt>
                <c:pt idx="26">
                  <c:v>0.92423144751398456</c:v>
                </c:pt>
                <c:pt idx="27">
                  <c:v>0.93935382564107139</c:v>
                </c:pt>
                <c:pt idx="28">
                  <c:v>0.95200575904675278</c:v>
                </c:pt>
                <c:pt idx="29">
                  <c:v>0.96245131745616397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D6-4C30-B24E-29D620BACC9C}"/>
            </c:ext>
          </c:extLst>
        </c:ser>
        <c:ser>
          <c:idx val="2"/>
          <c:order val="2"/>
          <c:tx>
            <c:v>Dystrybuanta Gaussowska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irysy!$K$3:$K$32</c:f>
              <c:numCache>
                <c:formatCode>General</c:formatCode>
                <c:ptCount val="30"/>
                <c:pt idx="0">
                  <c:v>0.89827586206896548</c:v>
                </c:pt>
                <c:pt idx="1">
                  <c:v>1.1017241379310345</c:v>
                </c:pt>
                <c:pt idx="2">
                  <c:v>1.3051724137931036</c:v>
                </c:pt>
                <c:pt idx="3">
                  <c:v>1.5086206896551726</c:v>
                </c:pt>
                <c:pt idx="4">
                  <c:v>1.7120689655172416</c:v>
                </c:pt>
                <c:pt idx="5">
                  <c:v>1.9155172413793107</c:v>
                </c:pt>
                <c:pt idx="6">
                  <c:v>2.1189655172413797</c:v>
                </c:pt>
                <c:pt idx="7">
                  <c:v>2.3224137931034488</c:v>
                </c:pt>
                <c:pt idx="8">
                  <c:v>2.5258620689655178</c:v>
                </c:pt>
                <c:pt idx="9">
                  <c:v>2.7293103448275868</c:v>
                </c:pt>
                <c:pt idx="10">
                  <c:v>2.9327586206896559</c:v>
                </c:pt>
                <c:pt idx="11">
                  <c:v>3.1362068965517249</c:v>
                </c:pt>
                <c:pt idx="12">
                  <c:v>3.3396551724137939</c:v>
                </c:pt>
                <c:pt idx="13">
                  <c:v>3.543103448275863</c:v>
                </c:pt>
                <c:pt idx="14">
                  <c:v>3.746551724137932</c:v>
                </c:pt>
                <c:pt idx="15">
                  <c:v>3.9500000000000011</c:v>
                </c:pt>
                <c:pt idx="16">
                  <c:v>4.1534482758620701</c:v>
                </c:pt>
                <c:pt idx="17">
                  <c:v>4.3568965517241391</c:v>
                </c:pt>
                <c:pt idx="18">
                  <c:v>4.5603448275862082</c:v>
                </c:pt>
                <c:pt idx="19">
                  <c:v>4.7637931034482772</c:v>
                </c:pt>
                <c:pt idx="20">
                  <c:v>4.9672413793103463</c:v>
                </c:pt>
                <c:pt idx="21">
                  <c:v>5.1706896551724153</c:v>
                </c:pt>
                <c:pt idx="22">
                  <c:v>5.3741379310344843</c:v>
                </c:pt>
                <c:pt idx="23">
                  <c:v>5.5775862068965534</c:v>
                </c:pt>
                <c:pt idx="24">
                  <c:v>5.7810344827586224</c:v>
                </c:pt>
                <c:pt idx="25">
                  <c:v>5.9844827586206915</c:v>
                </c:pt>
                <c:pt idx="26">
                  <c:v>6.1879310344827605</c:v>
                </c:pt>
                <c:pt idx="27">
                  <c:v>6.3913793103448295</c:v>
                </c:pt>
                <c:pt idx="28">
                  <c:v>6.5948275862068986</c:v>
                </c:pt>
                <c:pt idx="29">
                  <c:v>6.7982758620689676</c:v>
                </c:pt>
              </c:numCache>
            </c:numRef>
          </c:cat>
          <c:val>
            <c:numRef>
              <c:f>irysy!$U$3:$U$32</c:f>
              <c:numCache>
                <c:formatCode>General</c:formatCode>
                <c:ptCount val="30"/>
                <c:pt idx="0">
                  <c:v>7.0994104977745165E-2</c:v>
                </c:pt>
                <c:pt idx="1">
                  <c:v>0.10185264693883665</c:v>
                </c:pt>
                <c:pt idx="2">
                  <c:v>0.13756323491192779</c:v>
                </c:pt>
                <c:pt idx="3">
                  <c:v>0.17566691558828032</c:v>
                </c:pt>
                <c:pt idx="4">
                  <c:v>0.21319999519067143</c:v>
                </c:pt>
                <c:pt idx="5">
                  <c:v>0.24742585812994175</c:v>
                </c:pt>
                <c:pt idx="6">
                  <c:v>0.27650593234558607</c:v>
                </c:pt>
                <c:pt idx="7">
                  <c:v>0.29987128304586608</c:v>
                </c:pt>
                <c:pt idx="8">
                  <c:v>0.31820589095085017</c:v>
                </c:pt>
                <c:pt idx="9">
                  <c:v>0.33312359818989135</c:v>
                </c:pt>
                <c:pt idx="10">
                  <c:v>0.34671662842888357</c:v>
                </c:pt>
                <c:pt idx="11">
                  <c:v>0.36114150349450325</c:v>
                </c:pt>
                <c:pt idx="12">
                  <c:v>0.3783261425609854</c:v>
                </c:pt>
                <c:pt idx="13">
                  <c:v>0.3997966502755817</c:v>
                </c:pt>
                <c:pt idx="14">
                  <c:v>0.4265799434257237</c:v>
                </c:pt>
                <c:pt idx="15">
                  <c:v>0.45914412058488541</c:v>
                </c:pt>
                <c:pt idx="16">
                  <c:v>0.49736814850914401</c:v>
                </c:pt>
                <c:pt idx="17">
                  <c:v>0.54055682806195815</c:v>
                </c:pt>
                <c:pt idx="18">
                  <c:v>0.5875198877540162</c:v>
                </c:pt>
                <c:pt idx="19">
                  <c:v>0.63671674441862813</c:v>
                </c:pt>
                <c:pt idx="20">
                  <c:v>0.68644418304067711</c:v>
                </c:pt>
                <c:pt idx="21">
                  <c:v>0.735028410019957</c:v>
                </c:pt>
                <c:pt idx="22">
                  <c:v>0.78098449448850293</c:v>
                </c:pt>
                <c:pt idx="23">
                  <c:v>0.82312279667579058</c:v>
                </c:pt>
                <c:pt idx="24">
                  <c:v>0.86060223187787999</c:v>
                </c:pt>
                <c:pt idx="25">
                  <c:v>0.89294215296473678</c:v>
                </c:pt>
                <c:pt idx="26">
                  <c:v>0.92000453635614998</c:v>
                </c:pt>
                <c:pt idx="27">
                  <c:v>0.9419523039947103</c:v>
                </c:pt>
                <c:pt idx="28">
                  <c:v>0.95918707479425769</c:v>
                </c:pt>
                <c:pt idx="29">
                  <c:v>0.97227331742910905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B-44BF-9235-69712C61258C}"/>
            </c:ext>
          </c:extLst>
        </c:ser>
        <c:ser>
          <c:idx val="3"/>
          <c:order val="3"/>
          <c:tx>
            <c:v>Coś chyba nie tak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irysy!$X$3:$X$32</c:f>
              <c:numCache>
                <c:formatCode>General</c:formatCode>
                <c:ptCount val="30"/>
                <c:pt idx="0">
                  <c:v>-8.6471085323624561E-2</c:v>
                </c:pt>
                <c:pt idx="1">
                  <c:v>-5.6816711133812689E-2</c:v>
                </c:pt>
                <c:pt idx="2">
                  <c:v>-2.5104831034243186E-2</c:v>
                </c:pt>
                <c:pt idx="3">
                  <c:v>4.1735235230725082E-3</c:v>
                </c:pt>
                <c:pt idx="4">
                  <c:v>3.6634001973968322E-2</c:v>
                </c:pt>
                <c:pt idx="5">
                  <c:v>6.1240900664526213E-2</c:v>
                </c:pt>
                <c:pt idx="6">
                  <c:v>8.045772731252393E-2</c:v>
                </c:pt>
                <c:pt idx="7">
                  <c:v>0.10011126682317607</c:v>
                </c:pt>
                <c:pt idx="8">
                  <c:v>9.6043201559847927E-2</c:v>
                </c:pt>
                <c:pt idx="9">
                  <c:v>8.4809193985657991E-2</c:v>
                </c:pt>
                <c:pt idx="10">
                  <c:v>4.9927091205048207E-2</c:v>
                </c:pt>
                <c:pt idx="11">
                  <c:v>-8.2880099301068169E-2</c:v>
                </c:pt>
                <c:pt idx="12">
                  <c:v>-0.10937915759964054</c:v>
                </c:pt>
                <c:pt idx="13">
                  <c:v>-0.12436995316920994</c:v>
                </c:pt>
                <c:pt idx="14">
                  <c:v>-0.13035899729632561</c:v>
                </c:pt>
                <c:pt idx="15">
                  <c:v>-0.11074973824502221</c:v>
                </c:pt>
                <c:pt idx="16">
                  <c:v>-0.10299252724591275</c:v>
                </c:pt>
                <c:pt idx="17">
                  <c:v>-8.078854264194886E-2</c:v>
                </c:pt>
                <c:pt idx="18">
                  <c:v>-5.1725867533458217E-2</c:v>
                </c:pt>
                <c:pt idx="19">
                  <c:v>-1.3668182349271255E-2</c:v>
                </c:pt>
                <c:pt idx="20">
                  <c:v>2.1804283043317881E-2</c:v>
                </c:pt>
                <c:pt idx="21">
                  <c:v>4.9775043338563689E-2</c:v>
                </c:pt>
                <c:pt idx="22">
                  <c:v>8.5537094272655656E-2</c:v>
                </c:pt>
                <c:pt idx="23">
                  <c:v>0.10103483674414949</c:v>
                </c:pt>
                <c:pt idx="24">
                  <c:v>0.11546704644267244</c:v>
                </c:pt>
                <c:pt idx="25">
                  <c:v>0.12820643703077128</c:v>
                </c:pt>
                <c:pt idx="26">
                  <c:v>0.11889489390546273</c:v>
                </c:pt>
                <c:pt idx="27">
                  <c:v>0.11119522758187611</c:v>
                </c:pt>
                <c:pt idx="28">
                  <c:v>9.8736521835558033E-2</c:v>
                </c:pt>
                <c:pt idx="29">
                  <c:v>7.8880968208845159E-2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FE-4CAA-9DBF-F83BCC088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2728176"/>
        <c:axId val="688046624"/>
      </c:lineChart>
      <c:catAx>
        <c:axId val="90272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88046624"/>
        <c:crosses val="autoZero"/>
        <c:auto val="1"/>
        <c:lblAlgn val="ctr"/>
        <c:lblOffset val="100"/>
        <c:noMultiLvlLbl val="0"/>
      </c:catAx>
      <c:valAx>
        <c:axId val="68804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0272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 normalności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irysy_wykresnorm!$K$2:$K$151</c:f>
              <c:numCache>
                <c:formatCode>General</c:formatCode>
                <c:ptCount val="150"/>
                <c:pt idx="0">
                  <c:v>1</c:v>
                </c:pt>
                <c:pt idx="1">
                  <c:v>1.1000000000000001</c:v>
                </c:pt>
                <c:pt idx="2">
                  <c:v>1.2</c:v>
                </c:pt>
                <c:pt idx="3">
                  <c:v>1.2</c:v>
                </c:pt>
                <c:pt idx="4">
                  <c:v>1.3</c:v>
                </c:pt>
                <c:pt idx="5">
                  <c:v>1.3</c:v>
                </c:pt>
                <c:pt idx="6">
                  <c:v>1.3</c:v>
                </c:pt>
                <c:pt idx="7">
                  <c:v>1.3</c:v>
                </c:pt>
                <c:pt idx="8">
                  <c:v>1.3</c:v>
                </c:pt>
                <c:pt idx="9">
                  <c:v>1.3</c:v>
                </c:pt>
                <c:pt idx="10">
                  <c:v>1.3</c:v>
                </c:pt>
                <c:pt idx="11">
                  <c:v>1.4</c:v>
                </c:pt>
                <c:pt idx="12">
                  <c:v>1.4</c:v>
                </c:pt>
                <c:pt idx="13">
                  <c:v>1.4</c:v>
                </c:pt>
                <c:pt idx="14">
                  <c:v>1.4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1.4</c:v>
                </c:pt>
                <c:pt idx="20">
                  <c:v>1.4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1.5</c:v>
                </c:pt>
                <c:pt idx="25">
                  <c:v>1.5</c:v>
                </c:pt>
                <c:pt idx="26">
                  <c:v>1.5</c:v>
                </c:pt>
                <c:pt idx="27">
                  <c:v>1.5</c:v>
                </c:pt>
                <c:pt idx="28">
                  <c:v>1.5</c:v>
                </c:pt>
                <c:pt idx="29">
                  <c:v>1.5</c:v>
                </c:pt>
                <c:pt idx="30">
                  <c:v>1.5</c:v>
                </c:pt>
                <c:pt idx="31">
                  <c:v>1.5</c:v>
                </c:pt>
                <c:pt idx="32">
                  <c:v>1.5</c:v>
                </c:pt>
                <c:pt idx="33">
                  <c:v>1.5</c:v>
                </c:pt>
                <c:pt idx="34">
                  <c:v>1.5</c:v>
                </c:pt>
                <c:pt idx="35">
                  <c:v>1.5</c:v>
                </c:pt>
                <c:pt idx="36">
                  <c:v>1.5</c:v>
                </c:pt>
                <c:pt idx="37">
                  <c:v>1.6</c:v>
                </c:pt>
                <c:pt idx="38">
                  <c:v>1.6</c:v>
                </c:pt>
                <c:pt idx="39">
                  <c:v>1.6</c:v>
                </c:pt>
                <c:pt idx="40">
                  <c:v>1.6</c:v>
                </c:pt>
                <c:pt idx="41">
                  <c:v>1.6</c:v>
                </c:pt>
                <c:pt idx="42">
                  <c:v>1.6</c:v>
                </c:pt>
                <c:pt idx="43">
                  <c:v>1.6</c:v>
                </c:pt>
                <c:pt idx="44">
                  <c:v>1.7</c:v>
                </c:pt>
                <c:pt idx="45">
                  <c:v>1.7</c:v>
                </c:pt>
                <c:pt idx="46">
                  <c:v>1.7</c:v>
                </c:pt>
                <c:pt idx="47">
                  <c:v>1.7</c:v>
                </c:pt>
                <c:pt idx="48">
                  <c:v>1.9</c:v>
                </c:pt>
                <c:pt idx="49">
                  <c:v>1.9</c:v>
                </c:pt>
                <c:pt idx="50">
                  <c:v>3</c:v>
                </c:pt>
                <c:pt idx="51">
                  <c:v>3.3</c:v>
                </c:pt>
                <c:pt idx="52">
                  <c:v>3.3</c:v>
                </c:pt>
                <c:pt idx="53">
                  <c:v>3.5</c:v>
                </c:pt>
                <c:pt idx="54">
                  <c:v>3.5</c:v>
                </c:pt>
                <c:pt idx="55">
                  <c:v>3.6</c:v>
                </c:pt>
                <c:pt idx="56">
                  <c:v>3.7</c:v>
                </c:pt>
                <c:pt idx="57">
                  <c:v>3.8</c:v>
                </c:pt>
                <c:pt idx="58">
                  <c:v>3.9</c:v>
                </c:pt>
                <c:pt idx="59">
                  <c:v>3.9</c:v>
                </c:pt>
                <c:pt idx="60">
                  <c:v>3.9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4.0999999999999996</c:v>
                </c:pt>
                <c:pt idx="67">
                  <c:v>4.0999999999999996</c:v>
                </c:pt>
                <c:pt idx="68">
                  <c:v>4.0999999999999996</c:v>
                </c:pt>
                <c:pt idx="69">
                  <c:v>4.2</c:v>
                </c:pt>
                <c:pt idx="70">
                  <c:v>4.2</c:v>
                </c:pt>
                <c:pt idx="71">
                  <c:v>4.2</c:v>
                </c:pt>
                <c:pt idx="72">
                  <c:v>4.2</c:v>
                </c:pt>
                <c:pt idx="73">
                  <c:v>4.3</c:v>
                </c:pt>
                <c:pt idx="74">
                  <c:v>4.3</c:v>
                </c:pt>
                <c:pt idx="75">
                  <c:v>4.4000000000000004</c:v>
                </c:pt>
                <c:pt idx="76">
                  <c:v>4.4000000000000004</c:v>
                </c:pt>
                <c:pt idx="77">
                  <c:v>4.4000000000000004</c:v>
                </c:pt>
                <c:pt idx="78">
                  <c:v>4.4000000000000004</c:v>
                </c:pt>
                <c:pt idx="79">
                  <c:v>4.5</c:v>
                </c:pt>
                <c:pt idx="80">
                  <c:v>4.5</c:v>
                </c:pt>
                <c:pt idx="81">
                  <c:v>4.5</c:v>
                </c:pt>
                <c:pt idx="82">
                  <c:v>4.5</c:v>
                </c:pt>
                <c:pt idx="83">
                  <c:v>4.5</c:v>
                </c:pt>
                <c:pt idx="84">
                  <c:v>4.5</c:v>
                </c:pt>
                <c:pt idx="85">
                  <c:v>4.5</c:v>
                </c:pt>
                <c:pt idx="86">
                  <c:v>4.5</c:v>
                </c:pt>
                <c:pt idx="87">
                  <c:v>4.5999999999999996</c:v>
                </c:pt>
                <c:pt idx="88">
                  <c:v>4.5999999999999996</c:v>
                </c:pt>
                <c:pt idx="89">
                  <c:v>4.5999999999999996</c:v>
                </c:pt>
                <c:pt idx="90">
                  <c:v>4.7</c:v>
                </c:pt>
                <c:pt idx="91">
                  <c:v>4.7</c:v>
                </c:pt>
                <c:pt idx="92">
                  <c:v>4.7</c:v>
                </c:pt>
                <c:pt idx="93">
                  <c:v>4.7</c:v>
                </c:pt>
                <c:pt idx="94">
                  <c:v>4.7</c:v>
                </c:pt>
                <c:pt idx="95">
                  <c:v>4.8</c:v>
                </c:pt>
                <c:pt idx="96">
                  <c:v>4.8</c:v>
                </c:pt>
                <c:pt idx="97">
                  <c:v>4.8</c:v>
                </c:pt>
                <c:pt idx="98">
                  <c:v>4.8</c:v>
                </c:pt>
                <c:pt idx="99">
                  <c:v>4.9000000000000004</c:v>
                </c:pt>
                <c:pt idx="100">
                  <c:v>4.9000000000000004</c:v>
                </c:pt>
                <c:pt idx="101">
                  <c:v>4.9000000000000004</c:v>
                </c:pt>
                <c:pt idx="102">
                  <c:v>4.9000000000000004</c:v>
                </c:pt>
                <c:pt idx="103">
                  <c:v>4.9000000000000004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5.0999999999999996</c:v>
                </c:pt>
                <c:pt idx="109">
                  <c:v>5.0999999999999996</c:v>
                </c:pt>
                <c:pt idx="110">
                  <c:v>5.0999999999999996</c:v>
                </c:pt>
                <c:pt idx="111">
                  <c:v>5.0999999999999996</c:v>
                </c:pt>
                <c:pt idx="112">
                  <c:v>5.0999999999999996</c:v>
                </c:pt>
                <c:pt idx="113">
                  <c:v>5.0999999999999996</c:v>
                </c:pt>
                <c:pt idx="114">
                  <c:v>5.0999999999999996</c:v>
                </c:pt>
                <c:pt idx="115">
                  <c:v>5.0999999999999996</c:v>
                </c:pt>
                <c:pt idx="116">
                  <c:v>5.2</c:v>
                </c:pt>
                <c:pt idx="117">
                  <c:v>5.2</c:v>
                </c:pt>
                <c:pt idx="118">
                  <c:v>5.3</c:v>
                </c:pt>
                <c:pt idx="119">
                  <c:v>5.3</c:v>
                </c:pt>
                <c:pt idx="120">
                  <c:v>5.4</c:v>
                </c:pt>
                <c:pt idx="121">
                  <c:v>5.4</c:v>
                </c:pt>
                <c:pt idx="122">
                  <c:v>5.5</c:v>
                </c:pt>
                <c:pt idx="123">
                  <c:v>5.5</c:v>
                </c:pt>
                <c:pt idx="124">
                  <c:v>5.5</c:v>
                </c:pt>
                <c:pt idx="125">
                  <c:v>5.6</c:v>
                </c:pt>
                <c:pt idx="126">
                  <c:v>5.6</c:v>
                </c:pt>
                <c:pt idx="127">
                  <c:v>5.6</c:v>
                </c:pt>
                <c:pt idx="128">
                  <c:v>5.6</c:v>
                </c:pt>
                <c:pt idx="129">
                  <c:v>5.6</c:v>
                </c:pt>
                <c:pt idx="130">
                  <c:v>5.6</c:v>
                </c:pt>
                <c:pt idx="131">
                  <c:v>5.7</c:v>
                </c:pt>
                <c:pt idx="132">
                  <c:v>5.7</c:v>
                </c:pt>
                <c:pt idx="133">
                  <c:v>5.7</c:v>
                </c:pt>
                <c:pt idx="134">
                  <c:v>5.8</c:v>
                </c:pt>
                <c:pt idx="135">
                  <c:v>5.8</c:v>
                </c:pt>
                <c:pt idx="136">
                  <c:v>5.8</c:v>
                </c:pt>
                <c:pt idx="137">
                  <c:v>5.9</c:v>
                </c:pt>
                <c:pt idx="138">
                  <c:v>5.9</c:v>
                </c:pt>
                <c:pt idx="139">
                  <c:v>6</c:v>
                </c:pt>
                <c:pt idx="140">
                  <c:v>6</c:v>
                </c:pt>
                <c:pt idx="141">
                  <c:v>6.1</c:v>
                </c:pt>
                <c:pt idx="142">
                  <c:v>6.1</c:v>
                </c:pt>
                <c:pt idx="143">
                  <c:v>6.1</c:v>
                </c:pt>
                <c:pt idx="144">
                  <c:v>6.3</c:v>
                </c:pt>
                <c:pt idx="145">
                  <c:v>6.4</c:v>
                </c:pt>
                <c:pt idx="146">
                  <c:v>6.6</c:v>
                </c:pt>
                <c:pt idx="147">
                  <c:v>6.7</c:v>
                </c:pt>
                <c:pt idx="148">
                  <c:v>6.7</c:v>
                </c:pt>
                <c:pt idx="149">
                  <c:v>6.9</c:v>
                </c:pt>
              </c:numCache>
            </c:numRef>
          </c:xVal>
          <c:yVal>
            <c:numRef>
              <c:f>irysy_wykresnorm!$L$2:$L$151</c:f>
              <c:numCache>
                <c:formatCode>General</c:formatCode>
                <c:ptCount val="150"/>
                <c:pt idx="0">
                  <c:v>-1.0313457054621331</c:v>
                </c:pt>
                <c:pt idx="1">
                  <c:v>-0.34869779199120021</c:v>
                </c:pt>
                <c:pt idx="2">
                  <c:v>1.3655077970313734E-3</c:v>
                </c:pt>
                <c:pt idx="3">
                  <c:v>0.24626929179357449</c:v>
                </c:pt>
                <c:pt idx="4">
                  <c:v>0.4378383664049097</c:v>
                </c:pt>
                <c:pt idx="5">
                  <c:v>0.59679121228072152</c:v>
                </c:pt>
                <c:pt idx="6">
                  <c:v>0.73360385817313523</c:v>
                </c:pt>
                <c:pt idx="7">
                  <c:v>0.85434279837214921</c:v>
                </c:pt>
                <c:pt idx="8">
                  <c:v>0.9628501072388751</c:v>
                </c:pt>
                <c:pt idx="9">
                  <c:v>1.0617196361989234</c:v>
                </c:pt>
                <c:pt idx="10">
                  <c:v>1.1527887052951482</c:v>
                </c:pt>
                <c:pt idx="11">
                  <c:v>1.2374084665879637</c:v>
                </c:pt>
                <c:pt idx="12">
                  <c:v>1.316602910821032</c:v>
                </c:pt>
                <c:pt idx="13">
                  <c:v>1.3911675077929333</c:v>
                </c:pt>
                <c:pt idx="14">
                  <c:v>1.4617331143759746</c:v>
                </c:pt>
                <c:pt idx="15">
                  <c:v>1.5288089009272441</c:v>
                </c:pt>
                <c:pt idx="16">
                  <c:v>1.5928120766563243</c:v>
                </c:pt>
                <c:pt idx="17">
                  <c:v>1.6540890177607808</c:v>
                </c:pt>
                <c:pt idx="18">
                  <c:v>1.712930628121049</c:v>
                </c:pt>
                <c:pt idx="19">
                  <c:v>1.7695837299486754</c:v>
                </c:pt>
                <c:pt idx="20">
                  <c:v>1.8242596591596529</c:v>
                </c:pt>
                <c:pt idx="21">
                  <c:v>1.8771408528647411</c:v>
                </c:pt>
                <c:pt idx="22">
                  <c:v>1.9283859686354992</c:v>
                </c:pt>
                <c:pt idx="23">
                  <c:v>1.9781339128598949</c:v>
                </c:pt>
                <c:pt idx="24">
                  <c:v>2.0265070467625348</c:v>
                </c:pt>
                <c:pt idx="25">
                  <c:v>2.073613764383456</c:v>
                </c:pt>
                <c:pt idx="26">
                  <c:v>2.1195505851550402</c:v>
                </c:pt>
                <c:pt idx="27">
                  <c:v>2.1644038672092414</c:v>
                </c:pt>
                <c:pt idx="28">
                  <c:v>2.2082512213610412</c:v>
                </c:pt>
                <c:pt idx="29">
                  <c:v>2.251162686673271</c:v>
                </c:pt>
                <c:pt idx="30">
                  <c:v>2.2932017144889603</c:v>
                </c:pt>
                <c:pt idx="31">
                  <c:v>2.3344259973758099</c:v>
                </c:pt>
                <c:pt idx="32">
                  <c:v>2.3748881715663082</c:v>
                </c:pt>
                <c:pt idx="33">
                  <c:v>2.4146364154996123</c:v>
                </c:pt>
                <c:pt idx="34">
                  <c:v>2.4537149624840238</c:v>
                </c:pt>
                <c:pt idx="35">
                  <c:v>2.4921645419474756</c:v>
                </c:pt>
                <c:pt idx="36">
                  <c:v>2.5300227609718364</c:v>
                </c:pt>
                <c:pt idx="37">
                  <c:v>2.5673244356272429</c:v>
                </c:pt>
                <c:pt idx="38">
                  <c:v>2.6041018798961963</c:v>
                </c:pt>
                <c:pt idx="39">
                  <c:v>2.6403851586005729</c:v>
                </c:pt>
                <c:pt idx="40">
                  <c:v>2.6762023096399039</c:v>
                </c:pt>
                <c:pt idx="41">
                  <c:v>2.7115795399573859</c:v>
                </c:pt>
                <c:pt idx="42">
                  <c:v>2.7465413989259551</c:v>
                </c:pt>
                <c:pt idx="43">
                  <c:v>2.78111093225559</c:v>
                </c:pt>
                <c:pt idx="44">
                  <c:v>2.8153098190380268</c:v>
                </c:pt>
                <c:pt idx="45">
                  <c:v>2.849158494145192</c:v>
                </c:pt>
                <c:pt idx="46">
                  <c:v>2.8826762578664522</c:v>
                </c:pt>
                <c:pt idx="47">
                  <c:v>2.9158813743942509</c:v>
                </c:pt>
                <c:pt idx="48">
                  <c:v>2.9487911605375521</c:v>
                </c:pt>
                <c:pt idx="49">
                  <c:v>2.9814220658494657</c:v>
                </c:pt>
                <c:pt idx="50">
                  <c:v>3.0137897451929239</c:v>
                </c:pt>
                <c:pt idx="51">
                  <c:v>3.0459091246309935</c:v>
                </c:pt>
                <c:pt idx="52">
                  <c:v>3.0777944614120112</c:v>
                </c:pt>
                <c:pt idx="53">
                  <c:v>3.1094593987207544</c:v>
                </c:pt>
                <c:pt idx="54">
                  <c:v>3.1409170157824042</c:v>
                </c:pt>
                <c:pt idx="55">
                  <c:v>3.17217987383385</c:v>
                </c:pt>
                <c:pt idx="56">
                  <c:v>3.2032600584148829</c:v>
                </c:pt>
                <c:pt idx="57">
                  <c:v>3.2341692183785726</c:v>
                </c:pt>
                <c:pt idx="58">
                  <c:v>3.2649186019741729</c:v>
                </c:pt>
                <c:pt idx="59">
                  <c:v>3.2955190903162555</c:v>
                </c:pt>
                <c:pt idx="60">
                  <c:v>3.3259812285194332</c:v>
                </c:pt>
                <c:pt idx="61">
                  <c:v>3.3563152547483157</c:v>
                </c:pt>
                <c:pt idx="62">
                  <c:v>3.3865311274065157</c:v>
                </c:pt>
                <c:pt idx="63">
                  <c:v>3.4166385506661405</c:v>
                </c:pt>
                <c:pt idx="64">
                  <c:v>3.4466469985197348</c:v>
                </c:pt>
                <c:pt idx="65">
                  <c:v>3.4765657375197243</c:v>
                </c:pt>
                <c:pt idx="66">
                  <c:v>3.5064038483557738</c:v>
                </c:pt>
                <c:pt idx="67">
                  <c:v>3.5361702464077358</c:v>
                </c:pt>
                <c:pt idx="68">
                  <c:v>3.565873701400923</c:v>
                </c:pt>
                <c:pt idx="69">
                  <c:v>3.5955228562809665</c:v>
                </c:pt>
                <c:pt idx="70">
                  <c:v>3.6251262454174897</c:v>
                </c:pt>
                <c:pt idx="71">
                  <c:v>3.654692312238971</c:v>
                </c:pt>
                <c:pt idx="72">
                  <c:v>3.6842294263954631</c:v>
                </c:pt>
                <c:pt idx="73">
                  <c:v>3.7137459005411566</c:v>
                </c:pt>
                <c:pt idx="74">
                  <c:v>3.7432500068250278</c:v>
                </c:pt>
                <c:pt idx="75">
                  <c:v>3.7727499931749775</c:v>
                </c:pt>
                <c:pt idx="76">
                  <c:v>3.8022540994588487</c:v>
                </c:pt>
                <c:pt idx="77">
                  <c:v>3.8317705736045422</c:v>
                </c:pt>
                <c:pt idx="78">
                  <c:v>3.8613076877610344</c:v>
                </c:pt>
                <c:pt idx="79">
                  <c:v>3.8908737545825156</c:v>
                </c:pt>
                <c:pt idx="80">
                  <c:v>3.9204771437190389</c:v>
                </c:pt>
                <c:pt idx="81">
                  <c:v>3.9501262985990824</c:v>
                </c:pt>
                <c:pt idx="82">
                  <c:v>3.9798297535922695</c:v>
                </c:pt>
                <c:pt idx="83">
                  <c:v>4.0095961516442316</c:v>
                </c:pt>
                <c:pt idx="84">
                  <c:v>4.039434262480281</c:v>
                </c:pt>
                <c:pt idx="85">
                  <c:v>4.0693530014802706</c:v>
                </c:pt>
                <c:pt idx="86">
                  <c:v>4.0993614493338644</c:v>
                </c:pt>
                <c:pt idx="87">
                  <c:v>4.12946887259349</c:v>
                </c:pt>
                <c:pt idx="88">
                  <c:v>4.1596847452516892</c:v>
                </c:pt>
                <c:pt idx="89">
                  <c:v>4.1900187714805721</c:v>
                </c:pt>
                <c:pt idx="90">
                  <c:v>4.2204809096837499</c:v>
                </c:pt>
                <c:pt idx="91">
                  <c:v>4.251081398025832</c:v>
                </c:pt>
                <c:pt idx="92">
                  <c:v>4.2818307816214327</c:v>
                </c:pt>
                <c:pt idx="93">
                  <c:v>4.3127399415851224</c:v>
                </c:pt>
                <c:pt idx="94">
                  <c:v>4.3438201261661558</c:v>
                </c:pt>
                <c:pt idx="95">
                  <c:v>4.3750829842176016</c:v>
                </c:pt>
                <c:pt idx="96">
                  <c:v>4.406540601279251</c:v>
                </c:pt>
                <c:pt idx="97">
                  <c:v>4.4382055385879946</c:v>
                </c:pt>
                <c:pt idx="98">
                  <c:v>4.4700908753690118</c:v>
                </c:pt>
                <c:pt idx="99">
                  <c:v>4.5022102548070819</c:v>
                </c:pt>
                <c:pt idx="100">
                  <c:v>4.5345779341505397</c:v>
                </c:pt>
                <c:pt idx="101">
                  <c:v>4.5672088394624524</c:v>
                </c:pt>
                <c:pt idx="102">
                  <c:v>4.600118625605754</c:v>
                </c:pt>
                <c:pt idx="103">
                  <c:v>4.6333237421335527</c:v>
                </c:pt>
                <c:pt idx="104">
                  <c:v>4.6668415058548129</c:v>
                </c:pt>
                <c:pt idx="105">
                  <c:v>4.7006901809619794</c:v>
                </c:pt>
                <c:pt idx="106">
                  <c:v>4.7348890677444144</c:v>
                </c:pt>
                <c:pt idx="107">
                  <c:v>4.7694586010740503</c:v>
                </c:pt>
                <c:pt idx="108">
                  <c:v>4.8044204600426195</c:v>
                </c:pt>
                <c:pt idx="109">
                  <c:v>4.8397976903601014</c:v>
                </c:pt>
                <c:pt idx="110">
                  <c:v>4.8756148413994325</c:v>
                </c:pt>
                <c:pt idx="111">
                  <c:v>4.9118981201038086</c:v>
                </c:pt>
                <c:pt idx="112">
                  <c:v>4.9486755643727625</c:v>
                </c:pt>
                <c:pt idx="113">
                  <c:v>4.9859772390281689</c:v>
                </c:pt>
                <c:pt idx="114">
                  <c:v>5.0238354580525293</c:v>
                </c:pt>
                <c:pt idx="115">
                  <c:v>5.0622850375159816</c:v>
                </c:pt>
                <c:pt idx="116">
                  <c:v>5.1013635845003931</c:v>
                </c:pt>
                <c:pt idx="117">
                  <c:v>5.1411118284336972</c:v>
                </c:pt>
                <c:pt idx="118">
                  <c:v>5.1815740026241954</c:v>
                </c:pt>
                <c:pt idx="119">
                  <c:v>5.2227982855110451</c:v>
                </c:pt>
                <c:pt idx="120">
                  <c:v>5.2648373133267343</c:v>
                </c:pt>
                <c:pt idx="121">
                  <c:v>5.3077487786389641</c:v>
                </c:pt>
                <c:pt idx="122">
                  <c:v>5.351596132790764</c:v>
                </c:pt>
                <c:pt idx="123">
                  <c:v>5.3964494148449651</c:v>
                </c:pt>
                <c:pt idx="124">
                  <c:v>5.4423862356165493</c:v>
                </c:pt>
                <c:pt idx="125">
                  <c:v>5.4894929532374706</c:v>
                </c:pt>
                <c:pt idx="126">
                  <c:v>5.5378660871401086</c:v>
                </c:pt>
                <c:pt idx="127">
                  <c:v>5.587614031364506</c:v>
                </c:pt>
                <c:pt idx="128">
                  <c:v>5.638859147135264</c:v>
                </c:pt>
                <c:pt idx="129">
                  <c:v>5.6917403408403526</c:v>
                </c:pt>
                <c:pt idx="130">
                  <c:v>5.7464162700513297</c:v>
                </c:pt>
                <c:pt idx="131">
                  <c:v>5.8030693718789568</c:v>
                </c:pt>
                <c:pt idx="132">
                  <c:v>5.861910982239225</c:v>
                </c:pt>
                <c:pt idx="133">
                  <c:v>5.923187923343681</c:v>
                </c:pt>
                <c:pt idx="134">
                  <c:v>5.987191099072759</c:v>
                </c:pt>
                <c:pt idx="135">
                  <c:v>6.0542668856240311</c:v>
                </c:pt>
                <c:pt idx="136">
                  <c:v>6.124832492207072</c:v>
                </c:pt>
                <c:pt idx="137">
                  <c:v>6.1993970891789694</c:v>
                </c:pt>
                <c:pt idx="138">
                  <c:v>6.2785915334120421</c:v>
                </c:pt>
                <c:pt idx="139">
                  <c:v>6.3632112947048594</c:v>
                </c:pt>
                <c:pt idx="140">
                  <c:v>6.4542803638010824</c:v>
                </c:pt>
                <c:pt idx="141">
                  <c:v>6.5531498927611302</c:v>
                </c:pt>
                <c:pt idx="142">
                  <c:v>6.6616572016278539</c:v>
                </c:pt>
                <c:pt idx="143">
                  <c:v>6.7823961418268706</c:v>
                </c:pt>
                <c:pt idx="144">
                  <c:v>6.9192087877192847</c:v>
                </c:pt>
                <c:pt idx="145">
                  <c:v>7.0781616335950943</c:v>
                </c:pt>
                <c:pt idx="146">
                  <c:v>7.2697307082064313</c:v>
                </c:pt>
                <c:pt idx="147">
                  <c:v>7.5146344922029744</c:v>
                </c:pt>
                <c:pt idx="148">
                  <c:v>7.8646977919912056</c:v>
                </c:pt>
                <c:pt idx="149">
                  <c:v>8.5473457054621438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6D-4DAC-A5F8-5016C35A4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604592"/>
        <c:axId val="98187467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irysy_wykresnorm!$K$2:$K$151</c:f>
              <c:numCache>
                <c:formatCode>General</c:formatCode>
                <c:ptCount val="150"/>
                <c:pt idx="0">
                  <c:v>1</c:v>
                </c:pt>
                <c:pt idx="1">
                  <c:v>1.1000000000000001</c:v>
                </c:pt>
                <c:pt idx="2">
                  <c:v>1.2</c:v>
                </c:pt>
                <c:pt idx="3">
                  <c:v>1.2</c:v>
                </c:pt>
                <c:pt idx="4">
                  <c:v>1.3</c:v>
                </c:pt>
                <c:pt idx="5">
                  <c:v>1.3</c:v>
                </c:pt>
                <c:pt idx="6">
                  <c:v>1.3</c:v>
                </c:pt>
                <c:pt idx="7">
                  <c:v>1.3</c:v>
                </c:pt>
                <c:pt idx="8">
                  <c:v>1.3</c:v>
                </c:pt>
                <c:pt idx="9">
                  <c:v>1.3</c:v>
                </c:pt>
                <c:pt idx="10">
                  <c:v>1.3</c:v>
                </c:pt>
                <c:pt idx="11">
                  <c:v>1.4</c:v>
                </c:pt>
                <c:pt idx="12">
                  <c:v>1.4</c:v>
                </c:pt>
                <c:pt idx="13">
                  <c:v>1.4</c:v>
                </c:pt>
                <c:pt idx="14">
                  <c:v>1.4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1.4</c:v>
                </c:pt>
                <c:pt idx="20">
                  <c:v>1.4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1.5</c:v>
                </c:pt>
                <c:pt idx="25">
                  <c:v>1.5</c:v>
                </c:pt>
                <c:pt idx="26">
                  <c:v>1.5</c:v>
                </c:pt>
                <c:pt idx="27">
                  <c:v>1.5</c:v>
                </c:pt>
                <c:pt idx="28">
                  <c:v>1.5</c:v>
                </c:pt>
                <c:pt idx="29">
                  <c:v>1.5</c:v>
                </c:pt>
                <c:pt idx="30">
                  <c:v>1.5</c:v>
                </c:pt>
                <c:pt idx="31">
                  <c:v>1.5</c:v>
                </c:pt>
                <c:pt idx="32">
                  <c:v>1.5</c:v>
                </c:pt>
                <c:pt idx="33">
                  <c:v>1.5</c:v>
                </c:pt>
                <c:pt idx="34">
                  <c:v>1.5</c:v>
                </c:pt>
                <c:pt idx="35">
                  <c:v>1.5</c:v>
                </c:pt>
                <c:pt idx="36">
                  <c:v>1.5</c:v>
                </c:pt>
                <c:pt idx="37">
                  <c:v>1.6</c:v>
                </c:pt>
                <c:pt idx="38">
                  <c:v>1.6</c:v>
                </c:pt>
                <c:pt idx="39">
                  <c:v>1.6</c:v>
                </c:pt>
                <c:pt idx="40">
                  <c:v>1.6</c:v>
                </c:pt>
                <c:pt idx="41">
                  <c:v>1.6</c:v>
                </c:pt>
                <c:pt idx="42">
                  <c:v>1.6</c:v>
                </c:pt>
                <c:pt idx="43">
                  <c:v>1.6</c:v>
                </c:pt>
                <c:pt idx="44">
                  <c:v>1.7</c:v>
                </c:pt>
                <c:pt idx="45">
                  <c:v>1.7</c:v>
                </c:pt>
                <c:pt idx="46">
                  <c:v>1.7</c:v>
                </c:pt>
                <c:pt idx="47">
                  <c:v>1.7</c:v>
                </c:pt>
                <c:pt idx="48">
                  <c:v>1.9</c:v>
                </c:pt>
                <c:pt idx="49">
                  <c:v>1.9</c:v>
                </c:pt>
                <c:pt idx="50">
                  <c:v>3</c:v>
                </c:pt>
                <c:pt idx="51">
                  <c:v>3.3</c:v>
                </c:pt>
                <c:pt idx="52">
                  <c:v>3.3</c:v>
                </c:pt>
                <c:pt idx="53">
                  <c:v>3.5</c:v>
                </c:pt>
                <c:pt idx="54">
                  <c:v>3.5</c:v>
                </c:pt>
                <c:pt idx="55">
                  <c:v>3.6</c:v>
                </c:pt>
                <c:pt idx="56">
                  <c:v>3.7</c:v>
                </c:pt>
                <c:pt idx="57">
                  <c:v>3.8</c:v>
                </c:pt>
                <c:pt idx="58">
                  <c:v>3.9</c:v>
                </c:pt>
                <c:pt idx="59">
                  <c:v>3.9</c:v>
                </c:pt>
                <c:pt idx="60">
                  <c:v>3.9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4.0999999999999996</c:v>
                </c:pt>
                <c:pt idx="67">
                  <c:v>4.0999999999999996</c:v>
                </c:pt>
                <c:pt idx="68">
                  <c:v>4.0999999999999996</c:v>
                </c:pt>
                <c:pt idx="69">
                  <c:v>4.2</c:v>
                </c:pt>
                <c:pt idx="70">
                  <c:v>4.2</c:v>
                </c:pt>
                <c:pt idx="71">
                  <c:v>4.2</c:v>
                </c:pt>
                <c:pt idx="72">
                  <c:v>4.2</c:v>
                </c:pt>
                <c:pt idx="73">
                  <c:v>4.3</c:v>
                </c:pt>
                <c:pt idx="74">
                  <c:v>4.3</c:v>
                </c:pt>
                <c:pt idx="75">
                  <c:v>4.4000000000000004</c:v>
                </c:pt>
                <c:pt idx="76">
                  <c:v>4.4000000000000004</c:v>
                </c:pt>
                <c:pt idx="77">
                  <c:v>4.4000000000000004</c:v>
                </c:pt>
                <c:pt idx="78">
                  <c:v>4.4000000000000004</c:v>
                </c:pt>
                <c:pt idx="79">
                  <c:v>4.5</c:v>
                </c:pt>
                <c:pt idx="80">
                  <c:v>4.5</c:v>
                </c:pt>
                <c:pt idx="81">
                  <c:v>4.5</c:v>
                </c:pt>
                <c:pt idx="82">
                  <c:v>4.5</c:v>
                </c:pt>
                <c:pt idx="83">
                  <c:v>4.5</c:v>
                </c:pt>
                <c:pt idx="84">
                  <c:v>4.5</c:v>
                </c:pt>
                <c:pt idx="85">
                  <c:v>4.5</c:v>
                </c:pt>
                <c:pt idx="86">
                  <c:v>4.5</c:v>
                </c:pt>
                <c:pt idx="87">
                  <c:v>4.5999999999999996</c:v>
                </c:pt>
                <c:pt idx="88">
                  <c:v>4.5999999999999996</c:v>
                </c:pt>
                <c:pt idx="89">
                  <c:v>4.5999999999999996</c:v>
                </c:pt>
                <c:pt idx="90">
                  <c:v>4.7</c:v>
                </c:pt>
                <c:pt idx="91">
                  <c:v>4.7</c:v>
                </c:pt>
                <c:pt idx="92">
                  <c:v>4.7</c:v>
                </c:pt>
                <c:pt idx="93">
                  <c:v>4.7</c:v>
                </c:pt>
                <c:pt idx="94">
                  <c:v>4.7</c:v>
                </c:pt>
                <c:pt idx="95">
                  <c:v>4.8</c:v>
                </c:pt>
                <c:pt idx="96">
                  <c:v>4.8</c:v>
                </c:pt>
                <c:pt idx="97">
                  <c:v>4.8</c:v>
                </c:pt>
                <c:pt idx="98">
                  <c:v>4.8</c:v>
                </c:pt>
                <c:pt idx="99">
                  <c:v>4.9000000000000004</c:v>
                </c:pt>
                <c:pt idx="100">
                  <c:v>4.9000000000000004</c:v>
                </c:pt>
                <c:pt idx="101">
                  <c:v>4.9000000000000004</c:v>
                </c:pt>
                <c:pt idx="102">
                  <c:v>4.9000000000000004</c:v>
                </c:pt>
                <c:pt idx="103">
                  <c:v>4.9000000000000004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5.0999999999999996</c:v>
                </c:pt>
                <c:pt idx="109">
                  <c:v>5.0999999999999996</c:v>
                </c:pt>
                <c:pt idx="110">
                  <c:v>5.0999999999999996</c:v>
                </c:pt>
                <c:pt idx="111">
                  <c:v>5.0999999999999996</c:v>
                </c:pt>
                <c:pt idx="112">
                  <c:v>5.0999999999999996</c:v>
                </c:pt>
                <c:pt idx="113">
                  <c:v>5.0999999999999996</c:v>
                </c:pt>
                <c:pt idx="114">
                  <c:v>5.0999999999999996</c:v>
                </c:pt>
                <c:pt idx="115">
                  <c:v>5.0999999999999996</c:v>
                </c:pt>
                <c:pt idx="116">
                  <c:v>5.2</c:v>
                </c:pt>
                <c:pt idx="117">
                  <c:v>5.2</c:v>
                </c:pt>
                <c:pt idx="118">
                  <c:v>5.3</c:v>
                </c:pt>
                <c:pt idx="119">
                  <c:v>5.3</c:v>
                </c:pt>
                <c:pt idx="120">
                  <c:v>5.4</c:v>
                </c:pt>
                <c:pt idx="121">
                  <c:v>5.4</c:v>
                </c:pt>
                <c:pt idx="122">
                  <c:v>5.5</c:v>
                </c:pt>
                <c:pt idx="123">
                  <c:v>5.5</c:v>
                </c:pt>
                <c:pt idx="124">
                  <c:v>5.5</c:v>
                </c:pt>
                <c:pt idx="125">
                  <c:v>5.6</c:v>
                </c:pt>
                <c:pt idx="126">
                  <c:v>5.6</c:v>
                </c:pt>
                <c:pt idx="127">
                  <c:v>5.6</c:v>
                </c:pt>
                <c:pt idx="128">
                  <c:v>5.6</c:v>
                </c:pt>
                <c:pt idx="129">
                  <c:v>5.6</c:v>
                </c:pt>
                <c:pt idx="130">
                  <c:v>5.6</c:v>
                </c:pt>
                <c:pt idx="131">
                  <c:v>5.7</c:v>
                </c:pt>
                <c:pt idx="132">
                  <c:v>5.7</c:v>
                </c:pt>
                <c:pt idx="133">
                  <c:v>5.7</c:v>
                </c:pt>
                <c:pt idx="134">
                  <c:v>5.8</c:v>
                </c:pt>
                <c:pt idx="135">
                  <c:v>5.8</c:v>
                </c:pt>
                <c:pt idx="136">
                  <c:v>5.8</c:v>
                </c:pt>
                <c:pt idx="137">
                  <c:v>5.9</c:v>
                </c:pt>
                <c:pt idx="138">
                  <c:v>5.9</c:v>
                </c:pt>
                <c:pt idx="139">
                  <c:v>6</c:v>
                </c:pt>
                <c:pt idx="140">
                  <c:v>6</c:v>
                </c:pt>
                <c:pt idx="141">
                  <c:v>6.1</c:v>
                </c:pt>
                <c:pt idx="142">
                  <c:v>6.1</c:v>
                </c:pt>
                <c:pt idx="143">
                  <c:v>6.1</c:v>
                </c:pt>
                <c:pt idx="144">
                  <c:v>6.3</c:v>
                </c:pt>
                <c:pt idx="145">
                  <c:v>6.4</c:v>
                </c:pt>
                <c:pt idx="146">
                  <c:v>6.6</c:v>
                </c:pt>
                <c:pt idx="147">
                  <c:v>6.7</c:v>
                </c:pt>
                <c:pt idx="148">
                  <c:v>6.7</c:v>
                </c:pt>
                <c:pt idx="149">
                  <c:v>6.9</c:v>
                </c:pt>
              </c:numCache>
            </c:numRef>
          </c:xVal>
          <c:yVal>
            <c:numRef>
              <c:f>irysy_wykresnorm!$K$2:$K$151</c:f>
              <c:numCache>
                <c:formatCode>General</c:formatCode>
                <c:ptCount val="150"/>
                <c:pt idx="0">
                  <c:v>1</c:v>
                </c:pt>
                <c:pt idx="1">
                  <c:v>1.1000000000000001</c:v>
                </c:pt>
                <c:pt idx="2">
                  <c:v>1.2</c:v>
                </c:pt>
                <c:pt idx="3">
                  <c:v>1.2</c:v>
                </c:pt>
                <c:pt idx="4">
                  <c:v>1.3</c:v>
                </c:pt>
                <c:pt idx="5">
                  <c:v>1.3</c:v>
                </c:pt>
                <c:pt idx="6">
                  <c:v>1.3</c:v>
                </c:pt>
                <c:pt idx="7">
                  <c:v>1.3</c:v>
                </c:pt>
                <c:pt idx="8">
                  <c:v>1.3</c:v>
                </c:pt>
                <c:pt idx="9">
                  <c:v>1.3</c:v>
                </c:pt>
                <c:pt idx="10">
                  <c:v>1.3</c:v>
                </c:pt>
                <c:pt idx="11">
                  <c:v>1.4</c:v>
                </c:pt>
                <c:pt idx="12">
                  <c:v>1.4</c:v>
                </c:pt>
                <c:pt idx="13">
                  <c:v>1.4</c:v>
                </c:pt>
                <c:pt idx="14">
                  <c:v>1.4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1.4</c:v>
                </c:pt>
                <c:pt idx="20">
                  <c:v>1.4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1.5</c:v>
                </c:pt>
                <c:pt idx="25">
                  <c:v>1.5</c:v>
                </c:pt>
                <c:pt idx="26">
                  <c:v>1.5</c:v>
                </c:pt>
                <c:pt idx="27">
                  <c:v>1.5</c:v>
                </c:pt>
                <c:pt idx="28">
                  <c:v>1.5</c:v>
                </c:pt>
                <c:pt idx="29">
                  <c:v>1.5</c:v>
                </c:pt>
                <c:pt idx="30">
                  <c:v>1.5</c:v>
                </c:pt>
                <c:pt idx="31">
                  <c:v>1.5</c:v>
                </c:pt>
                <c:pt idx="32">
                  <c:v>1.5</c:v>
                </c:pt>
                <c:pt idx="33">
                  <c:v>1.5</c:v>
                </c:pt>
                <c:pt idx="34">
                  <c:v>1.5</c:v>
                </c:pt>
                <c:pt idx="35">
                  <c:v>1.5</c:v>
                </c:pt>
                <c:pt idx="36">
                  <c:v>1.5</c:v>
                </c:pt>
                <c:pt idx="37">
                  <c:v>1.6</c:v>
                </c:pt>
                <c:pt idx="38">
                  <c:v>1.6</c:v>
                </c:pt>
                <c:pt idx="39">
                  <c:v>1.6</c:v>
                </c:pt>
                <c:pt idx="40">
                  <c:v>1.6</c:v>
                </c:pt>
                <c:pt idx="41">
                  <c:v>1.6</c:v>
                </c:pt>
                <c:pt idx="42">
                  <c:v>1.6</c:v>
                </c:pt>
                <c:pt idx="43">
                  <c:v>1.6</c:v>
                </c:pt>
                <c:pt idx="44">
                  <c:v>1.7</c:v>
                </c:pt>
                <c:pt idx="45">
                  <c:v>1.7</c:v>
                </c:pt>
                <c:pt idx="46">
                  <c:v>1.7</c:v>
                </c:pt>
                <c:pt idx="47">
                  <c:v>1.7</c:v>
                </c:pt>
                <c:pt idx="48">
                  <c:v>1.9</c:v>
                </c:pt>
                <c:pt idx="49">
                  <c:v>1.9</c:v>
                </c:pt>
                <c:pt idx="50">
                  <c:v>3</c:v>
                </c:pt>
                <c:pt idx="51">
                  <c:v>3.3</c:v>
                </c:pt>
                <c:pt idx="52">
                  <c:v>3.3</c:v>
                </c:pt>
                <c:pt idx="53">
                  <c:v>3.5</c:v>
                </c:pt>
                <c:pt idx="54">
                  <c:v>3.5</c:v>
                </c:pt>
                <c:pt idx="55">
                  <c:v>3.6</c:v>
                </c:pt>
                <c:pt idx="56">
                  <c:v>3.7</c:v>
                </c:pt>
                <c:pt idx="57">
                  <c:v>3.8</c:v>
                </c:pt>
                <c:pt idx="58">
                  <c:v>3.9</c:v>
                </c:pt>
                <c:pt idx="59">
                  <c:v>3.9</c:v>
                </c:pt>
                <c:pt idx="60">
                  <c:v>3.9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4.0999999999999996</c:v>
                </c:pt>
                <c:pt idx="67">
                  <c:v>4.0999999999999996</c:v>
                </c:pt>
                <c:pt idx="68">
                  <c:v>4.0999999999999996</c:v>
                </c:pt>
                <c:pt idx="69">
                  <c:v>4.2</c:v>
                </c:pt>
                <c:pt idx="70">
                  <c:v>4.2</c:v>
                </c:pt>
                <c:pt idx="71">
                  <c:v>4.2</c:v>
                </c:pt>
                <c:pt idx="72">
                  <c:v>4.2</c:v>
                </c:pt>
                <c:pt idx="73">
                  <c:v>4.3</c:v>
                </c:pt>
                <c:pt idx="74">
                  <c:v>4.3</c:v>
                </c:pt>
                <c:pt idx="75">
                  <c:v>4.4000000000000004</c:v>
                </c:pt>
                <c:pt idx="76">
                  <c:v>4.4000000000000004</c:v>
                </c:pt>
                <c:pt idx="77">
                  <c:v>4.4000000000000004</c:v>
                </c:pt>
                <c:pt idx="78">
                  <c:v>4.4000000000000004</c:v>
                </c:pt>
                <c:pt idx="79">
                  <c:v>4.5</c:v>
                </c:pt>
                <c:pt idx="80">
                  <c:v>4.5</c:v>
                </c:pt>
                <c:pt idx="81">
                  <c:v>4.5</c:v>
                </c:pt>
                <c:pt idx="82">
                  <c:v>4.5</c:v>
                </c:pt>
                <c:pt idx="83">
                  <c:v>4.5</c:v>
                </c:pt>
                <c:pt idx="84">
                  <c:v>4.5</c:v>
                </c:pt>
                <c:pt idx="85">
                  <c:v>4.5</c:v>
                </c:pt>
                <c:pt idx="86">
                  <c:v>4.5</c:v>
                </c:pt>
                <c:pt idx="87">
                  <c:v>4.5999999999999996</c:v>
                </c:pt>
                <c:pt idx="88">
                  <c:v>4.5999999999999996</c:v>
                </c:pt>
                <c:pt idx="89">
                  <c:v>4.5999999999999996</c:v>
                </c:pt>
                <c:pt idx="90">
                  <c:v>4.7</c:v>
                </c:pt>
                <c:pt idx="91">
                  <c:v>4.7</c:v>
                </c:pt>
                <c:pt idx="92">
                  <c:v>4.7</c:v>
                </c:pt>
                <c:pt idx="93">
                  <c:v>4.7</c:v>
                </c:pt>
                <c:pt idx="94">
                  <c:v>4.7</c:v>
                </c:pt>
                <c:pt idx="95">
                  <c:v>4.8</c:v>
                </c:pt>
                <c:pt idx="96">
                  <c:v>4.8</c:v>
                </c:pt>
                <c:pt idx="97">
                  <c:v>4.8</c:v>
                </c:pt>
                <c:pt idx="98">
                  <c:v>4.8</c:v>
                </c:pt>
                <c:pt idx="99">
                  <c:v>4.9000000000000004</c:v>
                </c:pt>
                <c:pt idx="100">
                  <c:v>4.9000000000000004</c:v>
                </c:pt>
                <c:pt idx="101">
                  <c:v>4.9000000000000004</c:v>
                </c:pt>
                <c:pt idx="102">
                  <c:v>4.9000000000000004</c:v>
                </c:pt>
                <c:pt idx="103">
                  <c:v>4.9000000000000004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5.0999999999999996</c:v>
                </c:pt>
                <c:pt idx="109">
                  <c:v>5.0999999999999996</c:v>
                </c:pt>
                <c:pt idx="110">
                  <c:v>5.0999999999999996</c:v>
                </c:pt>
                <c:pt idx="111">
                  <c:v>5.0999999999999996</c:v>
                </c:pt>
                <c:pt idx="112">
                  <c:v>5.0999999999999996</c:v>
                </c:pt>
                <c:pt idx="113">
                  <c:v>5.0999999999999996</c:v>
                </c:pt>
                <c:pt idx="114">
                  <c:v>5.0999999999999996</c:v>
                </c:pt>
                <c:pt idx="115">
                  <c:v>5.0999999999999996</c:v>
                </c:pt>
                <c:pt idx="116">
                  <c:v>5.2</c:v>
                </c:pt>
                <c:pt idx="117">
                  <c:v>5.2</c:v>
                </c:pt>
                <c:pt idx="118">
                  <c:v>5.3</c:v>
                </c:pt>
                <c:pt idx="119">
                  <c:v>5.3</c:v>
                </c:pt>
                <c:pt idx="120">
                  <c:v>5.4</c:v>
                </c:pt>
                <c:pt idx="121">
                  <c:v>5.4</c:v>
                </c:pt>
                <c:pt idx="122">
                  <c:v>5.5</c:v>
                </c:pt>
                <c:pt idx="123">
                  <c:v>5.5</c:v>
                </c:pt>
                <c:pt idx="124">
                  <c:v>5.5</c:v>
                </c:pt>
                <c:pt idx="125">
                  <c:v>5.6</c:v>
                </c:pt>
                <c:pt idx="126">
                  <c:v>5.6</c:v>
                </c:pt>
                <c:pt idx="127">
                  <c:v>5.6</c:v>
                </c:pt>
                <c:pt idx="128">
                  <c:v>5.6</c:v>
                </c:pt>
                <c:pt idx="129">
                  <c:v>5.6</c:v>
                </c:pt>
                <c:pt idx="130">
                  <c:v>5.6</c:v>
                </c:pt>
                <c:pt idx="131">
                  <c:v>5.7</c:v>
                </c:pt>
                <c:pt idx="132">
                  <c:v>5.7</c:v>
                </c:pt>
                <c:pt idx="133">
                  <c:v>5.7</c:v>
                </c:pt>
                <c:pt idx="134">
                  <c:v>5.8</c:v>
                </c:pt>
                <c:pt idx="135">
                  <c:v>5.8</c:v>
                </c:pt>
                <c:pt idx="136">
                  <c:v>5.8</c:v>
                </c:pt>
                <c:pt idx="137">
                  <c:v>5.9</c:v>
                </c:pt>
                <c:pt idx="138">
                  <c:v>5.9</c:v>
                </c:pt>
                <c:pt idx="139">
                  <c:v>6</c:v>
                </c:pt>
                <c:pt idx="140">
                  <c:v>6</c:v>
                </c:pt>
                <c:pt idx="141">
                  <c:v>6.1</c:v>
                </c:pt>
                <c:pt idx="142">
                  <c:v>6.1</c:v>
                </c:pt>
                <c:pt idx="143">
                  <c:v>6.1</c:v>
                </c:pt>
                <c:pt idx="144">
                  <c:v>6.3</c:v>
                </c:pt>
                <c:pt idx="145">
                  <c:v>6.4</c:v>
                </c:pt>
                <c:pt idx="146">
                  <c:v>6.6</c:v>
                </c:pt>
                <c:pt idx="147">
                  <c:v>6.7</c:v>
                </c:pt>
                <c:pt idx="148">
                  <c:v>6.7</c:v>
                </c:pt>
                <c:pt idx="149">
                  <c:v>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6D-4DAC-A5F8-5016C35A4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848432"/>
        <c:axId val="980857584"/>
      </c:scatterChart>
      <c:valAx>
        <c:axId val="80060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81874672"/>
        <c:crosses val="autoZero"/>
        <c:crossBetween val="midCat"/>
      </c:valAx>
      <c:valAx>
        <c:axId val="98187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00604592"/>
        <c:crosses val="autoZero"/>
        <c:crossBetween val="midCat"/>
      </c:valAx>
      <c:valAx>
        <c:axId val="9808575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980848432"/>
        <c:crosses val="max"/>
        <c:crossBetween val="midCat"/>
      </c:valAx>
      <c:valAx>
        <c:axId val="98084843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980857584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Estymacja gęstości - wpływ szerokości pasma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8.5483814523184598E-2"/>
          <c:y val="0.12078703703703704"/>
          <c:w val="0.89150196850393704"/>
          <c:h val="0.60116542723826183"/>
        </c:manualLayout>
      </c:layout>
      <c:lineChart>
        <c:grouping val="standard"/>
        <c:varyColors val="0"/>
        <c:ser>
          <c:idx val="0"/>
          <c:order val="0"/>
          <c:tx>
            <c:v>Normalny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irysy_estymacjagęstości!$K$3:$K$302</c:f>
              <c:numCache>
                <c:formatCode>General</c:formatCode>
                <c:ptCount val="300"/>
                <c:pt idx="0">
                  <c:v>1</c:v>
                </c:pt>
                <c:pt idx="1">
                  <c:v>1.0197324414715718</c:v>
                </c:pt>
                <c:pt idx="2">
                  <c:v>1.0394648829431437</c:v>
                </c:pt>
                <c:pt idx="3">
                  <c:v>1.0591973244147155</c:v>
                </c:pt>
                <c:pt idx="4">
                  <c:v>1.0789297658862873</c:v>
                </c:pt>
                <c:pt idx="5">
                  <c:v>1.0986622073578591</c:v>
                </c:pt>
                <c:pt idx="6">
                  <c:v>1.118394648829431</c:v>
                </c:pt>
                <c:pt idx="7">
                  <c:v>1.1381270903010028</c:v>
                </c:pt>
                <c:pt idx="8">
                  <c:v>1.1578595317725746</c:v>
                </c:pt>
                <c:pt idx="9">
                  <c:v>1.1775919732441464</c:v>
                </c:pt>
                <c:pt idx="10">
                  <c:v>1.1973244147157183</c:v>
                </c:pt>
                <c:pt idx="11">
                  <c:v>1.2170568561872901</c:v>
                </c:pt>
                <c:pt idx="12">
                  <c:v>1.2367892976588619</c:v>
                </c:pt>
                <c:pt idx="13">
                  <c:v>1.2565217391304337</c:v>
                </c:pt>
                <c:pt idx="14">
                  <c:v>1.2762541806020056</c:v>
                </c:pt>
                <c:pt idx="15">
                  <c:v>1.2959866220735774</c:v>
                </c:pt>
                <c:pt idx="16">
                  <c:v>1.3157190635451492</c:v>
                </c:pt>
                <c:pt idx="17">
                  <c:v>1.3354515050167211</c:v>
                </c:pt>
                <c:pt idx="18">
                  <c:v>1.3551839464882929</c:v>
                </c:pt>
                <c:pt idx="19">
                  <c:v>1.3749163879598647</c:v>
                </c:pt>
                <c:pt idx="20">
                  <c:v>1.3946488294314365</c:v>
                </c:pt>
                <c:pt idx="21">
                  <c:v>1.4143812709030084</c:v>
                </c:pt>
                <c:pt idx="22">
                  <c:v>1.4341137123745802</c:v>
                </c:pt>
                <c:pt idx="23">
                  <c:v>1.453846153846152</c:v>
                </c:pt>
                <c:pt idx="24">
                  <c:v>1.4735785953177238</c:v>
                </c:pt>
                <c:pt idx="25">
                  <c:v>1.4933110367892957</c:v>
                </c:pt>
                <c:pt idx="26">
                  <c:v>1.5130434782608675</c:v>
                </c:pt>
                <c:pt idx="27">
                  <c:v>1.5327759197324393</c:v>
                </c:pt>
                <c:pt idx="28">
                  <c:v>1.5525083612040111</c:v>
                </c:pt>
                <c:pt idx="29">
                  <c:v>1.572240802675583</c:v>
                </c:pt>
                <c:pt idx="30">
                  <c:v>1.5919732441471548</c:v>
                </c:pt>
                <c:pt idx="31">
                  <c:v>1.6117056856187266</c:v>
                </c:pt>
                <c:pt idx="32">
                  <c:v>1.6314381270902985</c:v>
                </c:pt>
                <c:pt idx="33">
                  <c:v>1.6511705685618703</c:v>
                </c:pt>
                <c:pt idx="34">
                  <c:v>1.6709030100334421</c:v>
                </c:pt>
                <c:pt idx="35">
                  <c:v>1.6906354515050139</c:v>
                </c:pt>
                <c:pt idx="36">
                  <c:v>1.7103678929765858</c:v>
                </c:pt>
                <c:pt idx="37">
                  <c:v>1.7301003344481576</c:v>
                </c:pt>
                <c:pt idx="38">
                  <c:v>1.7498327759197294</c:v>
                </c:pt>
                <c:pt idx="39">
                  <c:v>1.7695652173913012</c:v>
                </c:pt>
                <c:pt idx="40">
                  <c:v>1.7892976588628731</c:v>
                </c:pt>
                <c:pt idx="41">
                  <c:v>1.8090301003344449</c:v>
                </c:pt>
                <c:pt idx="42">
                  <c:v>1.8287625418060167</c:v>
                </c:pt>
                <c:pt idx="43">
                  <c:v>1.8484949832775885</c:v>
                </c:pt>
                <c:pt idx="44">
                  <c:v>1.8682274247491604</c:v>
                </c:pt>
                <c:pt idx="45">
                  <c:v>1.8879598662207322</c:v>
                </c:pt>
                <c:pt idx="46">
                  <c:v>1.907692307692304</c:v>
                </c:pt>
                <c:pt idx="47">
                  <c:v>1.9274247491638759</c:v>
                </c:pt>
                <c:pt idx="48">
                  <c:v>1.9471571906354477</c:v>
                </c:pt>
                <c:pt idx="49">
                  <c:v>1.9668896321070195</c:v>
                </c:pt>
                <c:pt idx="50">
                  <c:v>1.9866220735785913</c:v>
                </c:pt>
                <c:pt idx="51">
                  <c:v>2.0063545150501634</c:v>
                </c:pt>
                <c:pt idx="52">
                  <c:v>2.0260869565217354</c:v>
                </c:pt>
                <c:pt idx="53">
                  <c:v>2.0458193979933075</c:v>
                </c:pt>
                <c:pt idx="54">
                  <c:v>2.0655518394648795</c:v>
                </c:pt>
                <c:pt idx="55">
                  <c:v>2.0852842809364516</c:v>
                </c:pt>
                <c:pt idx="56">
                  <c:v>2.1050167224080236</c:v>
                </c:pt>
                <c:pt idx="57">
                  <c:v>2.1247491638795957</c:v>
                </c:pt>
                <c:pt idx="58">
                  <c:v>2.1444816053511677</c:v>
                </c:pt>
                <c:pt idx="59">
                  <c:v>2.1642140468227398</c:v>
                </c:pt>
                <c:pt idx="60">
                  <c:v>2.1839464882943118</c:v>
                </c:pt>
                <c:pt idx="61">
                  <c:v>2.2036789297658839</c:v>
                </c:pt>
                <c:pt idx="62">
                  <c:v>2.2234113712374559</c:v>
                </c:pt>
                <c:pt idx="63">
                  <c:v>2.243143812709028</c:v>
                </c:pt>
                <c:pt idx="64">
                  <c:v>2.2628762541806</c:v>
                </c:pt>
                <c:pt idx="65">
                  <c:v>2.2826086956521721</c:v>
                </c:pt>
                <c:pt idx="66">
                  <c:v>2.3023411371237441</c:v>
                </c:pt>
                <c:pt idx="67">
                  <c:v>2.3220735785953162</c:v>
                </c:pt>
                <c:pt idx="68">
                  <c:v>2.3418060200668882</c:v>
                </c:pt>
                <c:pt idx="69">
                  <c:v>2.3615384615384603</c:v>
                </c:pt>
                <c:pt idx="70">
                  <c:v>2.3812709030100323</c:v>
                </c:pt>
                <c:pt idx="71">
                  <c:v>2.4010033444816044</c:v>
                </c:pt>
                <c:pt idx="72">
                  <c:v>2.4207357859531764</c:v>
                </c:pt>
                <c:pt idx="73">
                  <c:v>2.4404682274247484</c:v>
                </c:pt>
                <c:pt idx="74">
                  <c:v>2.4602006688963205</c:v>
                </c:pt>
                <c:pt idx="75">
                  <c:v>2.4799331103678925</c:v>
                </c:pt>
                <c:pt idx="76">
                  <c:v>2.4996655518394646</c:v>
                </c:pt>
                <c:pt idx="77">
                  <c:v>2.5193979933110366</c:v>
                </c:pt>
                <c:pt idx="78">
                  <c:v>2.5391304347826087</c:v>
                </c:pt>
                <c:pt idx="79">
                  <c:v>2.5588628762541807</c:v>
                </c:pt>
                <c:pt idx="80">
                  <c:v>2.5785953177257528</c:v>
                </c:pt>
                <c:pt idx="81">
                  <c:v>2.5983277591973248</c:v>
                </c:pt>
                <c:pt idx="82">
                  <c:v>2.6180602006688969</c:v>
                </c:pt>
                <c:pt idx="83">
                  <c:v>2.6377926421404689</c:v>
                </c:pt>
                <c:pt idx="84">
                  <c:v>2.657525083612041</c:v>
                </c:pt>
                <c:pt idx="85">
                  <c:v>2.677257525083613</c:v>
                </c:pt>
                <c:pt idx="86">
                  <c:v>2.6969899665551851</c:v>
                </c:pt>
                <c:pt idx="87">
                  <c:v>2.7167224080267571</c:v>
                </c:pt>
                <c:pt idx="88">
                  <c:v>2.7364548494983292</c:v>
                </c:pt>
                <c:pt idx="89">
                  <c:v>2.7561872909699012</c:v>
                </c:pt>
                <c:pt idx="90">
                  <c:v>2.7759197324414733</c:v>
                </c:pt>
                <c:pt idx="91">
                  <c:v>2.7956521739130453</c:v>
                </c:pt>
                <c:pt idx="92">
                  <c:v>2.8153846153846174</c:v>
                </c:pt>
                <c:pt idx="93">
                  <c:v>2.8351170568561894</c:v>
                </c:pt>
                <c:pt idx="94">
                  <c:v>2.8548494983277615</c:v>
                </c:pt>
                <c:pt idx="95">
                  <c:v>2.8745819397993335</c:v>
                </c:pt>
                <c:pt idx="96">
                  <c:v>2.8943143812709056</c:v>
                </c:pt>
                <c:pt idx="97">
                  <c:v>2.9140468227424776</c:v>
                </c:pt>
                <c:pt idx="98">
                  <c:v>2.9337792642140497</c:v>
                </c:pt>
                <c:pt idx="99">
                  <c:v>2.9535117056856217</c:v>
                </c:pt>
                <c:pt idx="100">
                  <c:v>2.9732441471571938</c:v>
                </c:pt>
                <c:pt idx="101">
                  <c:v>2.9929765886287658</c:v>
                </c:pt>
                <c:pt idx="102">
                  <c:v>3.0127090301003379</c:v>
                </c:pt>
                <c:pt idx="103">
                  <c:v>3.0324414715719099</c:v>
                </c:pt>
                <c:pt idx="104">
                  <c:v>3.052173913043482</c:v>
                </c:pt>
                <c:pt idx="105">
                  <c:v>3.071906354515054</c:v>
                </c:pt>
                <c:pt idx="106">
                  <c:v>3.0916387959866261</c:v>
                </c:pt>
                <c:pt idx="107">
                  <c:v>3.1113712374581981</c:v>
                </c:pt>
                <c:pt idx="108">
                  <c:v>3.1311036789297702</c:v>
                </c:pt>
                <c:pt idx="109">
                  <c:v>3.1508361204013422</c:v>
                </c:pt>
                <c:pt idx="110">
                  <c:v>3.1705685618729142</c:v>
                </c:pt>
                <c:pt idx="111">
                  <c:v>3.1903010033444863</c:v>
                </c:pt>
                <c:pt idx="112">
                  <c:v>3.2100334448160583</c:v>
                </c:pt>
                <c:pt idx="113">
                  <c:v>3.2297658862876304</c:v>
                </c:pt>
                <c:pt idx="114">
                  <c:v>3.2494983277592024</c:v>
                </c:pt>
                <c:pt idx="115">
                  <c:v>3.2692307692307745</c:v>
                </c:pt>
                <c:pt idx="116">
                  <c:v>3.2889632107023465</c:v>
                </c:pt>
                <c:pt idx="117">
                  <c:v>3.3086956521739186</c:v>
                </c:pt>
                <c:pt idx="118">
                  <c:v>3.3284280936454906</c:v>
                </c:pt>
                <c:pt idx="119">
                  <c:v>3.3481605351170627</c:v>
                </c:pt>
                <c:pt idx="120">
                  <c:v>3.3678929765886347</c:v>
                </c:pt>
                <c:pt idx="121">
                  <c:v>3.3876254180602068</c:v>
                </c:pt>
                <c:pt idx="122">
                  <c:v>3.4073578595317788</c:v>
                </c:pt>
                <c:pt idx="123">
                  <c:v>3.4270903010033509</c:v>
                </c:pt>
                <c:pt idx="124">
                  <c:v>3.4468227424749229</c:v>
                </c:pt>
                <c:pt idx="125">
                  <c:v>3.466555183946495</c:v>
                </c:pt>
                <c:pt idx="126">
                  <c:v>3.486287625418067</c:v>
                </c:pt>
                <c:pt idx="127">
                  <c:v>3.5060200668896391</c:v>
                </c:pt>
                <c:pt idx="128">
                  <c:v>3.5257525083612111</c:v>
                </c:pt>
                <c:pt idx="129">
                  <c:v>3.5454849498327832</c:v>
                </c:pt>
                <c:pt idx="130">
                  <c:v>3.5652173913043552</c:v>
                </c:pt>
                <c:pt idx="131">
                  <c:v>3.5849498327759273</c:v>
                </c:pt>
                <c:pt idx="132">
                  <c:v>3.6046822742474993</c:v>
                </c:pt>
                <c:pt idx="133">
                  <c:v>3.6244147157190714</c:v>
                </c:pt>
                <c:pt idx="134">
                  <c:v>3.6441471571906434</c:v>
                </c:pt>
                <c:pt idx="135">
                  <c:v>3.6638795986622155</c:v>
                </c:pt>
                <c:pt idx="136">
                  <c:v>3.6836120401337875</c:v>
                </c:pt>
                <c:pt idx="137">
                  <c:v>3.7033444816053596</c:v>
                </c:pt>
                <c:pt idx="138">
                  <c:v>3.7230769230769316</c:v>
                </c:pt>
                <c:pt idx="139">
                  <c:v>3.7428093645485037</c:v>
                </c:pt>
                <c:pt idx="140">
                  <c:v>3.7625418060200757</c:v>
                </c:pt>
                <c:pt idx="141">
                  <c:v>3.7822742474916478</c:v>
                </c:pt>
                <c:pt idx="142">
                  <c:v>3.8020066889632198</c:v>
                </c:pt>
                <c:pt idx="143">
                  <c:v>3.8217391304347919</c:v>
                </c:pt>
                <c:pt idx="144">
                  <c:v>3.8414715719063639</c:v>
                </c:pt>
                <c:pt idx="145">
                  <c:v>3.861204013377936</c:v>
                </c:pt>
                <c:pt idx="146">
                  <c:v>3.880936454849508</c:v>
                </c:pt>
                <c:pt idx="147">
                  <c:v>3.90066889632108</c:v>
                </c:pt>
                <c:pt idx="148">
                  <c:v>3.9204013377926521</c:v>
                </c:pt>
                <c:pt idx="149">
                  <c:v>3.9401337792642241</c:v>
                </c:pt>
                <c:pt idx="150">
                  <c:v>3.9598662207357962</c:v>
                </c:pt>
                <c:pt idx="151">
                  <c:v>3.9795986622073682</c:v>
                </c:pt>
                <c:pt idx="152">
                  <c:v>3.9993311036789403</c:v>
                </c:pt>
                <c:pt idx="153">
                  <c:v>4.0190635451505123</c:v>
                </c:pt>
                <c:pt idx="154">
                  <c:v>4.0387959866220839</c:v>
                </c:pt>
                <c:pt idx="155">
                  <c:v>4.0585284280936555</c:v>
                </c:pt>
                <c:pt idx="156">
                  <c:v>4.0782608695652272</c:v>
                </c:pt>
                <c:pt idx="157">
                  <c:v>4.0979933110367988</c:v>
                </c:pt>
                <c:pt idx="158">
                  <c:v>4.1177257525083704</c:v>
                </c:pt>
                <c:pt idx="159">
                  <c:v>4.137458193979942</c:v>
                </c:pt>
                <c:pt idx="160">
                  <c:v>4.1571906354515136</c:v>
                </c:pt>
                <c:pt idx="161">
                  <c:v>4.1769230769230852</c:v>
                </c:pt>
                <c:pt idx="162">
                  <c:v>4.1966555183946568</c:v>
                </c:pt>
                <c:pt idx="163">
                  <c:v>4.2163879598662284</c:v>
                </c:pt>
                <c:pt idx="164">
                  <c:v>4.2361204013378</c:v>
                </c:pt>
                <c:pt idx="165">
                  <c:v>4.2558528428093716</c:v>
                </c:pt>
                <c:pt idx="166">
                  <c:v>4.2755852842809432</c:v>
                </c:pt>
                <c:pt idx="167">
                  <c:v>4.2953177257525148</c:v>
                </c:pt>
                <c:pt idx="168">
                  <c:v>4.3150501672240864</c:v>
                </c:pt>
                <c:pt idx="169">
                  <c:v>4.334782608695658</c:v>
                </c:pt>
                <c:pt idx="170">
                  <c:v>4.3545150501672296</c:v>
                </c:pt>
                <c:pt idx="171">
                  <c:v>4.3742474916388012</c:v>
                </c:pt>
                <c:pt idx="172">
                  <c:v>4.3939799331103728</c:v>
                </c:pt>
                <c:pt idx="173">
                  <c:v>4.4137123745819444</c:v>
                </c:pt>
                <c:pt idx="174">
                  <c:v>4.433444816053516</c:v>
                </c:pt>
                <c:pt idx="175">
                  <c:v>4.4531772575250876</c:v>
                </c:pt>
                <c:pt idx="176">
                  <c:v>4.4729096989966592</c:v>
                </c:pt>
                <c:pt idx="177">
                  <c:v>4.4926421404682308</c:v>
                </c:pt>
                <c:pt idx="178">
                  <c:v>4.5123745819398025</c:v>
                </c:pt>
                <c:pt idx="179">
                  <c:v>4.5321070234113741</c:v>
                </c:pt>
                <c:pt idx="180">
                  <c:v>4.5518394648829457</c:v>
                </c:pt>
                <c:pt idx="181">
                  <c:v>4.5715719063545173</c:v>
                </c:pt>
                <c:pt idx="182">
                  <c:v>4.5913043478260889</c:v>
                </c:pt>
                <c:pt idx="183">
                  <c:v>4.6110367892976605</c:v>
                </c:pt>
                <c:pt idx="184">
                  <c:v>4.6307692307692321</c:v>
                </c:pt>
                <c:pt idx="185">
                  <c:v>4.6505016722408037</c:v>
                </c:pt>
                <c:pt idx="186">
                  <c:v>4.6702341137123753</c:v>
                </c:pt>
                <c:pt idx="187">
                  <c:v>4.6899665551839469</c:v>
                </c:pt>
                <c:pt idx="188">
                  <c:v>4.7096989966555185</c:v>
                </c:pt>
                <c:pt idx="189">
                  <c:v>4.7294314381270901</c:v>
                </c:pt>
                <c:pt idx="190">
                  <c:v>4.7491638795986617</c:v>
                </c:pt>
                <c:pt idx="191">
                  <c:v>4.7688963210702333</c:v>
                </c:pt>
                <c:pt idx="192">
                  <c:v>4.7886287625418049</c:v>
                </c:pt>
                <c:pt idx="193">
                  <c:v>4.8083612040133765</c:v>
                </c:pt>
                <c:pt idx="194">
                  <c:v>4.8280936454849481</c:v>
                </c:pt>
                <c:pt idx="195">
                  <c:v>4.8478260869565197</c:v>
                </c:pt>
                <c:pt idx="196">
                  <c:v>4.8675585284280913</c:v>
                </c:pt>
                <c:pt idx="197">
                  <c:v>4.8872909698996629</c:v>
                </c:pt>
                <c:pt idx="198">
                  <c:v>4.9070234113712345</c:v>
                </c:pt>
                <c:pt idx="199">
                  <c:v>4.9267558528428061</c:v>
                </c:pt>
                <c:pt idx="200">
                  <c:v>4.9464882943143778</c:v>
                </c:pt>
                <c:pt idx="201">
                  <c:v>4.9662207357859494</c:v>
                </c:pt>
                <c:pt idx="202">
                  <c:v>4.985953177257521</c:v>
                </c:pt>
                <c:pt idx="203">
                  <c:v>5.0056856187290926</c:v>
                </c:pt>
                <c:pt idx="204">
                  <c:v>5.0254180602006642</c:v>
                </c:pt>
                <c:pt idx="205">
                  <c:v>5.0451505016722358</c:v>
                </c:pt>
                <c:pt idx="206">
                  <c:v>5.0648829431438074</c:v>
                </c:pt>
                <c:pt idx="207">
                  <c:v>5.084615384615379</c:v>
                </c:pt>
                <c:pt idx="208">
                  <c:v>5.1043478260869506</c:v>
                </c:pt>
                <c:pt idx="209">
                  <c:v>5.1240802675585222</c:v>
                </c:pt>
                <c:pt idx="210">
                  <c:v>5.1438127090300938</c:v>
                </c:pt>
                <c:pt idx="211">
                  <c:v>5.1635451505016654</c:v>
                </c:pt>
                <c:pt idx="212">
                  <c:v>5.183277591973237</c:v>
                </c:pt>
                <c:pt idx="213">
                  <c:v>5.2030100334448086</c:v>
                </c:pt>
                <c:pt idx="214">
                  <c:v>5.2227424749163802</c:v>
                </c:pt>
                <c:pt idx="215">
                  <c:v>5.2424749163879518</c:v>
                </c:pt>
                <c:pt idx="216">
                  <c:v>5.2622073578595234</c:v>
                </c:pt>
                <c:pt idx="217">
                  <c:v>5.281939799331095</c:v>
                </c:pt>
                <c:pt idx="218">
                  <c:v>5.3016722408026666</c:v>
                </c:pt>
                <c:pt idx="219">
                  <c:v>5.3214046822742382</c:v>
                </c:pt>
                <c:pt idx="220">
                  <c:v>5.3411371237458098</c:v>
                </c:pt>
                <c:pt idx="221">
                  <c:v>5.3608695652173814</c:v>
                </c:pt>
                <c:pt idx="222">
                  <c:v>5.3806020066889531</c:v>
                </c:pt>
                <c:pt idx="223">
                  <c:v>5.4003344481605247</c:v>
                </c:pt>
                <c:pt idx="224">
                  <c:v>5.4200668896320963</c:v>
                </c:pt>
                <c:pt idx="225">
                  <c:v>5.4397993311036679</c:v>
                </c:pt>
                <c:pt idx="226">
                  <c:v>5.4595317725752395</c:v>
                </c:pt>
                <c:pt idx="227">
                  <c:v>5.4792642140468111</c:v>
                </c:pt>
                <c:pt idx="228">
                  <c:v>5.4989966555183827</c:v>
                </c:pt>
                <c:pt idx="229">
                  <c:v>5.5187290969899543</c:v>
                </c:pt>
                <c:pt idx="230">
                  <c:v>5.5384615384615259</c:v>
                </c:pt>
                <c:pt idx="231">
                  <c:v>5.5581939799330975</c:v>
                </c:pt>
                <c:pt idx="232">
                  <c:v>5.5779264214046691</c:v>
                </c:pt>
                <c:pt idx="233">
                  <c:v>5.5976588628762407</c:v>
                </c:pt>
                <c:pt idx="234">
                  <c:v>5.6173913043478123</c:v>
                </c:pt>
                <c:pt idx="235">
                  <c:v>5.6371237458193839</c:v>
                </c:pt>
                <c:pt idx="236">
                  <c:v>5.6568561872909555</c:v>
                </c:pt>
                <c:pt idx="237">
                  <c:v>5.6765886287625271</c:v>
                </c:pt>
                <c:pt idx="238">
                  <c:v>5.6963210702340987</c:v>
                </c:pt>
                <c:pt idx="239">
                  <c:v>5.7160535117056703</c:v>
                </c:pt>
                <c:pt idx="240">
                  <c:v>5.7357859531772419</c:v>
                </c:pt>
                <c:pt idx="241">
                  <c:v>5.7555183946488135</c:v>
                </c:pt>
                <c:pt idx="242">
                  <c:v>5.7752508361203851</c:v>
                </c:pt>
                <c:pt idx="243">
                  <c:v>5.7949832775919567</c:v>
                </c:pt>
                <c:pt idx="244">
                  <c:v>5.8147157190635284</c:v>
                </c:pt>
                <c:pt idx="245">
                  <c:v>5.8344481605351</c:v>
                </c:pt>
                <c:pt idx="246">
                  <c:v>5.8541806020066716</c:v>
                </c:pt>
                <c:pt idx="247">
                  <c:v>5.8739130434782432</c:v>
                </c:pt>
                <c:pt idx="248">
                  <c:v>5.8936454849498148</c:v>
                </c:pt>
                <c:pt idx="249">
                  <c:v>5.9133779264213864</c:v>
                </c:pt>
                <c:pt idx="250">
                  <c:v>5.933110367892958</c:v>
                </c:pt>
                <c:pt idx="251">
                  <c:v>5.9528428093645296</c:v>
                </c:pt>
                <c:pt idx="252">
                  <c:v>5.9725752508361012</c:v>
                </c:pt>
                <c:pt idx="253">
                  <c:v>5.9923076923076728</c:v>
                </c:pt>
                <c:pt idx="254">
                  <c:v>6.0120401337792444</c:v>
                </c:pt>
                <c:pt idx="255">
                  <c:v>6.031772575250816</c:v>
                </c:pt>
                <c:pt idx="256">
                  <c:v>6.0515050167223876</c:v>
                </c:pt>
                <c:pt idx="257">
                  <c:v>6.0712374581939592</c:v>
                </c:pt>
                <c:pt idx="258">
                  <c:v>6.0909698996655308</c:v>
                </c:pt>
                <c:pt idx="259">
                  <c:v>6.1107023411371024</c:v>
                </c:pt>
                <c:pt idx="260">
                  <c:v>6.130434782608674</c:v>
                </c:pt>
                <c:pt idx="261">
                  <c:v>6.1501672240802456</c:v>
                </c:pt>
                <c:pt idx="262">
                  <c:v>6.1698996655518172</c:v>
                </c:pt>
                <c:pt idx="263">
                  <c:v>6.1896321070233888</c:v>
                </c:pt>
                <c:pt idx="264">
                  <c:v>6.2093645484949604</c:v>
                </c:pt>
                <c:pt idx="265">
                  <c:v>6.229096989966532</c:v>
                </c:pt>
                <c:pt idx="266">
                  <c:v>6.2488294314381037</c:v>
                </c:pt>
                <c:pt idx="267">
                  <c:v>6.2685618729096753</c:v>
                </c:pt>
                <c:pt idx="268">
                  <c:v>6.2882943143812469</c:v>
                </c:pt>
                <c:pt idx="269">
                  <c:v>6.3080267558528185</c:v>
                </c:pt>
                <c:pt idx="270">
                  <c:v>6.3277591973243901</c:v>
                </c:pt>
                <c:pt idx="271">
                  <c:v>6.3474916387959617</c:v>
                </c:pt>
                <c:pt idx="272">
                  <c:v>6.3672240802675333</c:v>
                </c:pt>
                <c:pt idx="273">
                  <c:v>6.3869565217391049</c:v>
                </c:pt>
                <c:pt idx="274">
                  <c:v>6.4066889632106765</c:v>
                </c:pt>
                <c:pt idx="275">
                  <c:v>6.4264214046822481</c:v>
                </c:pt>
                <c:pt idx="276">
                  <c:v>6.4461538461538197</c:v>
                </c:pt>
                <c:pt idx="277">
                  <c:v>6.4658862876253913</c:v>
                </c:pt>
                <c:pt idx="278">
                  <c:v>6.4856187290969629</c:v>
                </c:pt>
                <c:pt idx="279">
                  <c:v>6.5053511705685345</c:v>
                </c:pt>
                <c:pt idx="280">
                  <c:v>6.5250836120401061</c:v>
                </c:pt>
                <c:pt idx="281">
                  <c:v>6.5448160535116777</c:v>
                </c:pt>
                <c:pt idx="282">
                  <c:v>6.5645484949832493</c:v>
                </c:pt>
                <c:pt idx="283">
                  <c:v>6.5842809364548209</c:v>
                </c:pt>
                <c:pt idx="284">
                  <c:v>6.6040133779263925</c:v>
                </c:pt>
                <c:pt idx="285">
                  <c:v>6.6237458193979641</c:v>
                </c:pt>
                <c:pt idx="286">
                  <c:v>6.6434782608695357</c:v>
                </c:pt>
                <c:pt idx="287">
                  <c:v>6.6632107023411073</c:v>
                </c:pt>
                <c:pt idx="288">
                  <c:v>6.682943143812679</c:v>
                </c:pt>
                <c:pt idx="289">
                  <c:v>6.7026755852842506</c:v>
                </c:pt>
                <c:pt idx="290">
                  <c:v>6.7224080267558222</c:v>
                </c:pt>
                <c:pt idx="291">
                  <c:v>6.7421404682273938</c:v>
                </c:pt>
                <c:pt idx="292">
                  <c:v>6.7618729096989654</c:v>
                </c:pt>
                <c:pt idx="293">
                  <c:v>6.781605351170537</c:v>
                </c:pt>
                <c:pt idx="294">
                  <c:v>6.8013377926421086</c:v>
                </c:pt>
                <c:pt idx="295">
                  <c:v>6.8210702341136802</c:v>
                </c:pt>
                <c:pt idx="296">
                  <c:v>6.8408026755852518</c:v>
                </c:pt>
                <c:pt idx="297">
                  <c:v>6.8605351170568234</c:v>
                </c:pt>
                <c:pt idx="298">
                  <c:v>6.880267558528395</c:v>
                </c:pt>
                <c:pt idx="299">
                  <c:v>6.8999999999999666</c:v>
                </c:pt>
              </c:numCache>
            </c:numRef>
          </c:cat>
          <c:val>
            <c:numRef>
              <c:f>irysy_estymacjagęstości!$L$3:$L$302</c:f>
              <c:numCache>
                <c:formatCode>General</c:formatCode>
                <c:ptCount val="300"/>
                <c:pt idx="0">
                  <c:v>6.6689029091961977E-2</c:v>
                </c:pt>
                <c:pt idx="1">
                  <c:v>6.7859662856187955E-2</c:v>
                </c:pt>
                <c:pt idx="2">
                  <c:v>6.904221832886101E-2</c:v>
                </c:pt>
                <c:pt idx="3">
                  <c:v>7.0236605193938123E-2</c:v>
                </c:pt>
                <c:pt idx="4">
                  <c:v>7.1442727094323963E-2</c:v>
                </c:pt>
                <c:pt idx="5">
                  <c:v>7.2660481575937852E-2</c:v>
                </c:pt>
                <c:pt idx="6">
                  <c:v>7.3889760034657886E-2</c:v>
                </c:pt>
                <c:pt idx="7">
                  <c:v>7.5130447666231712E-2</c:v>
                </c:pt>
                <c:pt idx="8">
                  <c:v>7.6382423419242923E-2</c:v>
                </c:pt>
                <c:pt idx="9">
                  <c:v>7.7645559951219675E-2</c:v>
                </c:pt>
                <c:pt idx="10">
                  <c:v>7.8919723587971752E-2</c:v>
                </c:pt>
                <c:pt idx="11">
                  <c:v>8.0204774286240427E-2</c:v>
                </c:pt>
                <c:pt idx="12">
                  <c:v>8.1500565599744501E-2</c:v>
                </c:pt>
                <c:pt idx="13">
                  <c:v>8.2806944648703737E-2</c:v>
                </c:pt>
                <c:pt idx="14">
                  <c:v>8.4123752092918891E-2</c:v>
                </c:pt>
                <c:pt idx="15">
                  <c:v>8.5450822108486826E-2</c:v>
                </c:pt>
                <c:pt idx="16">
                  <c:v>8.6787982368226144E-2</c:v>
                </c:pt>
                <c:pt idx="17">
                  <c:v>8.8135054025887463E-2</c:v>
                </c:pt>
                <c:pt idx="18">
                  <c:v>8.9491851704219416E-2</c:v>
                </c:pt>
                <c:pt idx="19">
                  <c:v>9.0858183486960217E-2</c:v>
                </c:pt>
                <c:pt idx="20">
                  <c:v>9.2233850914821544E-2</c:v>
                </c:pt>
                <c:pt idx="21">
                  <c:v>9.3618648985529546E-2</c:v>
                </c:pt>
                <c:pt idx="22">
                  <c:v>9.5012366157984307E-2</c:v>
                </c:pt>
                <c:pt idx="23">
                  <c:v>9.6414784360597264E-2</c:v>
                </c:pt>
                <c:pt idx="24">
                  <c:v>9.7825679003863381E-2</c:v>
                </c:pt>
                <c:pt idx="25">
                  <c:v>9.9244818997221124E-2</c:v>
                </c:pt>
                <c:pt idx="26">
                  <c:v>0.1006719667702507</c:v>
                </c:pt>
                <c:pt idx="27">
                  <c:v>0.10210687829825871</c:v>
                </c:pt>
                <c:pt idx="28">
                  <c:v>0.1035493031322927</c:v>
                </c:pt>
                <c:pt idx="29">
                  <c:v>0.10499898443362743</c:v>
                </c:pt>
                <c:pt idx="30">
                  <c:v>0.10645565901275997</c:v>
                </c:pt>
                <c:pt idx="31">
                  <c:v>0.10791905737294794</c:v>
                </c:pt>
                <c:pt idx="32">
                  <c:v>0.10938890375832212</c:v>
                </c:pt>
                <c:pt idx="33">
                  <c:v>0.11086491620660013</c:v>
                </c:pt>
                <c:pt idx="34">
                  <c:v>0.11234680660642457</c:v>
                </c:pt>
                <c:pt idx="35">
                  <c:v>0.11383428075934557</c:v>
                </c:pt>
                <c:pt idx="36">
                  <c:v>0.11532703844646371</c:v>
                </c:pt>
                <c:pt idx="37">
                  <c:v>0.11682477349974517</c:v>
                </c:pt>
                <c:pt idx="38">
                  <c:v>0.11832717387801696</c:v>
                </c:pt>
                <c:pt idx="39">
                  <c:v>0.11983392174764658</c:v>
                </c:pt>
                <c:pt idx="40">
                  <c:v>0.12134469356790603</c:v>
                </c:pt>
                <c:pt idx="41">
                  <c:v>0.12285916018101586</c:v>
                </c:pt>
                <c:pt idx="42">
                  <c:v>0.12437698690686111</c:v>
                </c:pt>
                <c:pt idx="43">
                  <c:v>0.12589783364236617</c:v>
                </c:pt>
                <c:pt idx="44">
                  <c:v>0.12742135496551252</c:v>
                </c:pt>
                <c:pt idx="45">
                  <c:v>0.12894720024397746</c:v>
                </c:pt>
                <c:pt idx="46">
                  <c:v>0.13047501374836898</c:v>
                </c:pt>
                <c:pt idx="47">
                  <c:v>0.13200443477002655</c:v>
                </c:pt>
                <c:pt idx="48">
                  <c:v>0.13353509774335393</c:v>
                </c:pt>
                <c:pt idx="49">
                  <c:v>0.13506663237264566</c:v>
                </c:pt>
                <c:pt idx="50">
                  <c:v>0.13659866376336349</c:v>
                </c:pt>
                <c:pt idx="51">
                  <c:v>0.13813081255781662</c:v>
                </c:pt>
                <c:pt idx="52">
                  <c:v>0.13966269507519247</c:v>
                </c:pt>
                <c:pt idx="53">
                  <c:v>0.14119392345588336</c:v>
                </c:pt>
                <c:pt idx="54">
                  <c:v>0.14272410581004683</c:v>
                </c:pt>
                <c:pt idx="55">
                  <c:v>0.14425284637033628</c:v>
                </c:pt>
                <c:pt idx="56">
                  <c:v>0.1457797456487312</c:v>
                </c:pt>
                <c:pt idx="57">
                  <c:v>0.1473044005973935</c:v>
                </c:pt>
                <c:pt idx="58">
                  <c:v>0.14882640477347284</c:v>
                </c:pt>
                <c:pt idx="59">
                  <c:v>0.15034534850777684</c:v>
                </c:pt>
                <c:pt idx="60">
                  <c:v>0.15186081907722129</c:v>
                </c:pt>
                <c:pt idx="61">
                  <c:v>0.15337240088096793</c:v>
                </c:pt>
                <c:pt idx="62">
                  <c:v>0.15487967562015595</c:v>
                </c:pt>
                <c:pt idx="63">
                  <c:v>0.15638222248112726</c:v>
                </c:pt>
                <c:pt idx="64">
                  <c:v>0.15787961832204256</c:v>
                </c:pt>
                <c:pt idx="65">
                  <c:v>0.1593714378627811</c:v>
                </c:pt>
                <c:pt idx="66">
                  <c:v>0.16085725387801245</c:v>
                </c:pt>
                <c:pt idx="67">
                  <c:v>0.16233663739332596</c:v>
                </c:pt>
                <c:pt idx="68">
                  <c:v>0.16380915788429851</c:v>
                </c:pt>
                <c:pt idx="69">
                  <c:v>0.16527438347837803</c:v>
                </c:pt>
                <c:pt idx="70">
                  <c:v>0.16673188115945753</c:v>
                </c:pt>
                <c:pt idx="71">
                  <c:v>0.16818121697500837</c:v>
                </c:pt>
                <c:pt idx="72">
                  <c:v>0.16962195624564144</c:v>
                </c:pt>
                <c:pt idx="73">
                  <c:v>0.17105366377695891</c:v>
                </c:pt>
                <c:pt idx="74">
                  <c:v>0.17247590407355692</c:v>
                </c:pt>
                <c:pt idx="75">
                  <c:v>0.17388824155503707</c:v>
                </c:pt>
                <c:pt idx="76">
                  <c:v>0.17529024077388078</c:v>
                </c:pt>
                <c:pt idx="77">
                  <c:v>0.17668146663503767</c:v>
                </c:pt>
                <c:pt idx="78">
                  <c:v>0.17806148461707771</c:v>
                </c:pt>
                <c:pt idx="79">
                  <c:v>0.17942986099475203</c:v>
                </c:pt>
                <c:pt idx="80">
                  <c:v>0.18078616306280695</c:v>
                </c:pt>
                <c:pt idx="81">
                  <c:v>0.18212995936089266</c:v>
                </c:pt>
                <c:pt idx="82">
                  <c:v>0.18346081989940494</c:v>
                </c:pt>
                <c:pt idx="83">
                  <c:v>0.18477831638609798</c:v>
                </c:pt>
                <c:pt idx="84">
                  <c:v>0.1860820224533028</c:v>
                </c:pt>
                <c:pt idx="85">
                  <c:v>0.18737151388558512</c:v>
                </c:pt>
                <c:pt idx="86">
                  <c:v>0.18864636884767472</c:v>
                </c:pt>
                <c:pt idx="87">
                  <c:v>0.18990616811249619</c:v>
                </c:pt>
                <c:pt idx="88">
                  <c:v>0.19115049528913103</c:v>
                </c:pt>
                <c:pt idx="89">
                  <c:v>0.19237893705053832</c:v>
                </c:pt>
                <c:pt idx="90">
                  <c:v>0.19359108336086178</c:v>
                </c:pt>
                <c:pt idx="91">
                  <c:v>0.19478652770214927</c:v>
                </c:pt>
                <c:pt idx="92">
                  <c:v>0.19596486730031054</c:v>
                </c:pt>
                <c:pt idx="93">
                  <c:v>0.19712570335013824</c:v>
                </c:pt>
                <c:pt idx="94">
                  <c:v>0.19826864123921784</c:v>
                </c:pt>
                <c:pt idx="95">
                  <c:v>0.19939329077055065</c:v>
                </c:pt>
                <c:pt idx="96">
                  <c:v>0.20049926638371562</c:v>
                </c:pt>
                <c:pt idx="97">
                  <c:v>0.20158618737439463</c:v>
                </c:pt>
                <c:pt idx="98">
                  <c:v>0.20265367811208726</c:v>
                </c:pt>
                <c:pt idx="99">
                  <c:v>0.20370136825584165</c:v>
                </c:pt>
                <c:pt idx="100">
                  <c:v>0.2047288929678277</c:v>
                </c:pt>
                <c:pt idx="101">
                  <c:v>0.2057358931245814</c:v>
                </c:pt>
                <c:pt idx="102">
                  <c:v>0.20672201552574951</c:v>
                </c:pt>
                <c:pt idx="103">
                  <c:v>0.20768691310016449</c:v>
                </c:pt>
                <c:pt idx="104">
                  <c:v>0.20863024510908254</c:v>
                </c:pt>
                <c:pt idx="105">
                  <c:v>0.20955167734641747</c:v>
                </c:pt>
                <c:pt idx="106">
                  <c:v>0.21045088233580697</c:v>
                </c:pt>
                <c:pt idx="107">
                  <c:v>0.21132753952434796</c:v>
                </c:pt>
                <c:pt idx="108">
                  <c:v>0.21218133547284151</c:v>
                </c:pt>
                <c:pt idx="109">
                  <c:v>0.21301196404238881</c:v>
                </c:pt>
                <c:pt idx="110">
                  <c:v>0.21381912657718322</c:v>
                </c:pt>
                <c:pt idx="111">
                  <c:v>0.21460253208334548</c:v>
                </c:pt>
                <c:pt idx="112">
                  <c:v>0.2153618974036528</c:v>
                </c:pt>
                <c:pt idx="113">
                  <c:v>0.2160969473880141</c:v>
                </c:pt>
                <c:pt idx="114">
                  <c:v>0.21680741505954898</c:v>
                </c:pt>
                <c:pt idx="115">
                  <c:v>0.21749304177612908</c:v>
                </c:pt>
                <c:pt idx="116">
                  <c:v>0.2181535773872457</c:v>
                </c:pt>
                <c:pt idx="117">
                  <c:v>0.21878878038607041</c:v>
                </c:pt>
                <c:pt idx="118">
                  <c:v>0.21939841805657898</c:v>
                </c:pt>
                <c:pt idx="119">
                  <c:v>0.21998226661561399</c:v>
                </c:pt>
                <c:pt idx="120">
                  <c:v>0.22054011134976337</c:v>
                </c:pt>
                <c:pt idx="121">
                  <c:v>0.22107174674693908</c:v>
                </c:pt>
                <c:pt idx="122">
                  <c:v>0.22157697662254275</c:v>
                </c:pt>
                <c:pt idx="123">
                  <c:v>0.22205561424010847</c:v>
                </c:pt>
                <c:pt idx="124">
                  <c:v>0.22250748242632135</c:v>
                </c:pt>
                <c:pt idx="125">
                  <c:v>0.2229324136803105</c:v>
                </c:pt>
                <c:pt idx="126">
                  <c:v>0.22333025027712314</c:v>
                </c:pt>
                <c:pt idx="127">
                  <c:v>0.2237008443652902</c:v>
                </c:pt>
                <c:pt idx="128">
                  <c:v>0.22404405805839844</c:v>
                </c:pt>
                <c:pt idx="129">
                  <c:v>0.22435976352059081</c:v>
                </c:pt>
                <c:pt idx="130">
                  <c:v>0.22464784304591942</c:v>
                </c:pt>
                <c:pt idx="131">
                  <c:v>0.22490818913148308</c:v>
                </c:pt>
                <c:pt idx="132">
                  <c:v>0.22514070454428567</c:v>
                </c:pt>
                <c:pt idx="133">
                  <c:v>0.22534530238175715</c:v>
                </c:pt>
                <c:pt idx="134">
                  <c:v>0.22552190612588383</c:v>
                </c:pt>
                <c:pt idx="135">
                  <c:v>0.22567044969090166</c:v>
                </c:pt>
                <c:pt idx="136">
                  <c:v>0.22579087746451051</c:v>
                </c:pt>
                <c:pt idx="137">
                  <c:v>0.22588314434257303</c:v>
                </c:pt>
                <c:pt idx="138">
                  <c:v>0.2259472157572687</c:v>
                </c:pt>
                <c:pt idx="139">
                  <c:v>0.22598306769867735</c:v>
                </c:pt>
                <c:pt idx="140">
                  <c:v>0.22599068672977446</c:v>
                </c:pt>
                <c:pt idx="141">
                  <c:v>0.22597006999482433</c:v>
                </c:pt>
                <c:pt idx="142">
                  <c:v>0.2259212252211637</c:v>
                </c:pt>
                <c:pt idx="143">
                  <c:v>0.22584417071437499</c:v>
                </c:pt>
                <c:pt idx="144">
                  <c:v>0.22573893534685288</c:v>
                </c:pt>
                <c:pt idx="145">
                  <c:v>0.22560555853977399</c:v>
                </c:pt>
                <c:pt idx="146">
                  <c:v>0.22544409023848616</c:v>
                </c:pt>
                <c:pt idx="147">
                  <c:v>0.22525459088133806</c:v>
                </c:pt>
                <c:pt idx="148">
                  <c:v>0.22503713136197689</c:v>
                </c:pt>
                <c:pt idx="149">
                  <c:v>0.22479179298514687</c:v>
                </c:pt>
                <c:pt idx="150">
                  <c:v>0.22451866741602722</c:v>
                </c:pt>
                <c:pt idx="151">
                  <c:v>0.22421785662315363</c:v>
                </c:pt>
                <c:pt idx="152">
                  <c:v>0.22388947281497326</c:v>
                </c:pt>
                <c:pt idx="153">
                  <c:v>0.22353363837008813</c:v>
                </c:pt>
                <c:pt idx="154">
                  <c:v>0.22315048576124816</c:v>
                </c:pt>
                <c:pt idx="155">
                  <c:v>0.22274015747315945</c:v>
                </c:pt>
                <c:pt idx="156">
                  <c:v>0.22230280591417936</c:v>
                </c:pt>
                <c:pt idx="157">
                  <c:v>0.22183859332197506</c:v>
                </c:pt>
                <c:pt idx="158">
                  <c:v>0.22134769166322743</c:v>
                </c:pt>
                <c:pt idx="159">
                  <c:v>0.22083028252746659</c:v>
                </c:pt>
                <c:pt idx="160">
                  <c:v>0.22028655701513136</c:v>
                </c:pt>
                <c:pt idx="161">
                  <c:v>0.21971671561994932</c:v>
                </c:pt>
                <c:pt idx="162">
                  <c:v>0.21912096810573778</c:v>
                </c:pt>
                <c:pt idx="163">
                  <c:v>0.21849953337773326</c:v>
                </c:pt>
                <c:pt idx="164">
                  <c:v>0.21785263934855839</c:v>
                </c:pt>
                <c:pt idx="165">
                  <c:v>0.21718052279894223</c:v>
                </c:pt>
                <c:pt idx="166">
                  <c:v>0.2164834292333124</c:v>
                </c:pt>
                <c:pt idx="167">
                  <c:v>0.21576161273038291</c:v>
                </c:pt>
                <c:pt idx="168">
                  <c:v>0.2150153357888642</c:v>
                </c:pt>
                <c:pt idx="169">
                  <c:v>0.21424486916842728</c:v>
                </c:pt>
                <c:pt idx="170">
                  <c:v>0.21345049172605662</c:v>
                </c:pt>
                <c:pt idx="171">
                  <c:v>0.21263249024792935</c:v>
                </c:pt>
                <c:pt idx="172">
                  <c:v>0.21179115927696393</c:v>
                </c:pt>
                <c:pt idx="173">
                  <c:v>0.21092680093618266</c:v>
                </c:pt>
                <c:pt idx="174">
                  <c:v>0.21003972474803589</c:v>
                </c:pt>
                <c:pt idx="175">
                  <c:v>0.20913024744983988</c:v>
                </c:pt>
                <c:pt idx="176">
                  <c:v>0.20819869280548162</c:v>
                </c:pt>
                <c:pt idx="177">
                  <c:v>0.20724539141354736</c:v>
                </c:pt>
                <c:pt idx="178">
                  <c:v>0.20627068051203393</c:v>
                </c:pt>
                <c:pt idx="179">
                  <c:v>0.20527490377980387</c:v>
                </c:pt>
                <c:pt idx="180">
                  <c:v>0.20425841113494814</c:v>
                </c:pt>
                <c:pt idx="181">
                  <c:v>0.20322155853022145</c:v>
                </c:pt>
                <c:pt idx="182">
                  <c:v>0.20216470774571718</c:v>
                </c:pt>
                <c:pt idx="183">
                  <c:v>0.20108822617895122</c:v>
                </c:pt>
                <c:pt idx="184">
                  <c:v>0.19999248663252395</c:v>
                </c:pt>
                <c:pt idx="185">
                  <c:v>0.19887786709953256</c:v>
                </c:pt>
                <c:pt idx="186">
                  <c:v>0.19774475054690527</c:v>
                </c:pt>
                <c:pt idx="187">
                  <c:v>0.19659352469683158</c:v>
                </c:pt>
                <c:pt idx="188">
                  <c:v>0.19542458180646191</c:v>
                </c:pt>
                <c:pt idx="189">
                  <c:v>0.19423831844605152</c:v>
                </c:pt>
                <c:pt idx="190">
                  <c:v>0.19303513527572308</c:v>
                </c:pt>
                <c:pt idx="191">
                  <c:v>0.19181543682102384</c:v>
                </c:pt>
                <c:pt idx="192">
                  <c:v>0.19057963124745139</c:v>
                </c:pt>
                <c:pt idx="193">
                  <c:v>0.18932813013412392</c:v>
                </c:pt>
                <c:pt idx="194">
                  <c:v>0.18806134824676815</c:v>
                </c:pt>
                <c:pt idx="195">
                  <c:v>0.18677970331020091</c:v>
                </c:pt>
                <c:pt idx="196">
                  <c:v>0.18548361578047537</c:v>
                </c:pt>
                <c:pt idx="197">
                  <c:v>0.18417350861686638</c:v>
                </c:pt>
                <c:pt idx="198">
                  <c:v>0.18284980705386519</c:v>
                </c:pt>
                <c:pt idx="199">
                  <c:v>0.18151293837335405</c:v>
                </c:pt>
                <c:pt idx="200">
                  <c:v>0.18016333167712983</c:v>
                </c:pt>
                <c:pt idx="201">
                  <c:v>0.17880141765994387</c:v>
                </c:pt>
                <c:pt idx="202">
                  <c:v>0.17742762838322362</c:v>
                </c:pt>
                <c:pt idx="203">
                  <c:v>0.17604239704964061</c:v>
                </c:pt>
                <c:pt idx="204">
                  <c:v>0.17464615777868553</c:v>
                </c:pt>
                <c:pt idx="205">
                  <c:v>0.17323934538341174</c:v>
                </c:pt>
                <c:pt idx="206">
                  <c:v>0.17182239514850345</c:v>
                </c:pt>
                <c:pt idx="207">
                  <c:v>0.17039574260982485</c:v>
                </c:pt>
                <c:pt idx="208">
                  <c:v>0.16895982333560164</c:v>
                </c:pt>
                <c:pt idx="209">
                  <c:v>0.16751507270938634</c:v>
                </c:pt>
                <c:pt idx="210">
                  <c:v>0.16606192571495354</c:v>
                </c:pt>
                <c:pt idx="211">
                  <c:v>0.16460081672326954</c:v>
                </c:pt>
                <c:pt idx="212">
                  <c:v>0.16313217928167834</c:v>
                </c:pt>
                <c:pt idx="213">
                  <c:v>0.16165644590544109</c:v>
                </c:pt>
                <c:pt idx="214">
                  <c:v>0.16017404787176465</c:v>
                </c:pt>
                <c:pt idx="215">
                  <c:v>0.15868541501645037</c:v>
                </c:pt>
                <c:pt idx="216">
                  <c:v>0.15719097553329103</c:v>
                </c:pt>
                <c:pt idx="217">
                  <c:v>0.15569115577634107</c:v>
                </c:pt>
                <c:pt idx="218">
                  <c:v>0.15418638006517985</c:v>
                </c:pt>
                <c:pt idx="219">
                  <c:v>0.15267707049328619</c:v>
                </c:pt>
                <c:pt idx="220">
                  <c:v>0.15116364673963667</c:v>
                </c:pt>
                <c:pt idx="221">
                  <c:v>0.14964652588363728</c:v>
                </c:pt>
                <c:pt idx="222">
                  <c:v>0.14812612222349394</c:v>
                </c:pt>
                <c:pt idx="223">
                  <c:v>0.1466028470981233</c:v>
                </c:pt>
                <c:pt idx="224">
                  <c:v>0.14507710871270088</c:v>
                </c:pt>
                <c:pt idx="225">
                  <c:v>0.14354931196793994</c:v>
                </c:pt>
                <c:pt idx="226">
                  <c:v>0.14201985829318986</c:v>
                </c:pt>
                <c:pt idx="227">
                  <c:v>0.14048914548343888</c:v>
                </c:pt>
                <c:pt idx="228">
                  <c:v>0.13895756754030139</c:v>
                </c:pt>
                <c:pt idx="229">
                  <c:v>0.13742551451706631</c:v>
                </c:pt>
                <c:pt idx="230">
                  <c:v>0.13589337236787774</c:v>
                </c:pt>
                <c:pt idx="231">
                  <c:v>0.13436152280111568</c:v>
                </c:pt>
                <c:pt idx="232">
                  <c:v>0.13283034313703981</c:v>
                </c:pt>
                <c:pt idx="233">
                  <c:v>0.13130020616975444</c:v>
                </c:pt>
                <c:pt idx="234">
                  <c:v>0.12977148003354974</c:v>
                </c:pt>
                <c:pt idx="235">
                  <c:v>0.1282445280736679</c:v>
                </c:pt>
                <c:pt idx="236">
                  <c:v>0.12671970872154026</c:v>
                </c:pt>
                <c:pt idx="237">
                  <c:v>0.12519737537453621</c:v>
                </c:pt>
                <c:pt idx="238">
                  <c:v>0.1236778762802604</c:v>
                </c:pt>
                <c:pt idx="239">
                  <c:v>0.12216155442543009</c:v>
                </c:pt>
                <c:pt idx="240">
                  <c:v>0.12064874742936081</c:v>
                </c:pt>
                <c:pt idx="241">
                  <c:v>0.11913978744208356</c:v>
                </c:pt>
                <c:pt idx="242">
                  <c:v>0.11763500104711279</c:v>
                </c:pt>
                <c:pt idx="243">
                  <c:v>0.11613470916887986</c:v>
                </c:pt>
                <c:pt idx="244">
                  <c:v>0.11463922698484244</c:v>
                </c:pt>
                <c:pt idx="245">
                  <c:v>0.11314886384227693</c:v>
                </c:pt>
                <c:pt idx="246">
                  <c:v>0.11166392317975507</c:v>
                </c:pt>
                <c:pt idx="247">
                  <c:v>0.11018470245330431</c:v>
                </c:pt>
                <c:pt idx="248">
                  <c:v>0.10871149306724434</c:v>
                </c:pt>
                <c:pt idx="249">
                  <c:v>0.10724458030969151</c:v>
                </c:pt>
                <c:pt idx="250">
                  <c:v>0.10578424329271631</c:v>
                </c:pt>
                <c:pt idx="251">
                  <c:v>0.10433075489713682</c:v>
                </c:pt>
                <c:pt idx="252">
                  <c:v>0.1028843817219262</c:v>
                </c:pt>
                <c:pt idx="253">
                  <c:v>0.10144538403820945</c:v>
                </c:pt>
                <c:pt idx="254">
                  <c:v>0.1000140157478205</c:v>
                </c:pt>
                <c:pt idx="255">
                  <c:v>9.8590524346387362E-2</c:v>
                </c:pt>
                <c:pt idx="256">
                  <c:v>9.7175150890908987E-2</c:v>
                </c:pt>
                <c:pt idx="257">
                  <c:v>9.5768129971785521E-2</c:v>
                </c:pt>
                <c:pt idx="258">
                  <c:v>9.4369689689258421E-2</c:v>
                </c:pt>
                <c:pt idx="259">
                  <c:v>9.2980051634215424E-2</c:v>
                </c:pt>
                <c:pt idx="260">
                  <c:v>9.159943087331085E-2</c:v>
                </c:pt>
                <c:pt idx="261">
                  <c:v>9.0228035938349785E-2</c:v>
                </c:pt>
                <c:pt idx="262">
                  <c:v>8.8866068819881044E-2</c:v>
                </c:pt>
                <c:pt idx="263">
                  <c:v>8.7513724964941003E-2</c:v>
                </c:pt>
                <c:pt idx="264">
                  <c:v>8.6171193278888267E-2</c:v>
                </c:pt>
                <c:pt idx="265">
                  <c:v>8.4838656131265719E-2</c:v>
                </c:pt>
                <c:pt idx="266">
                  <c:v>8.3516289365624524E-2</c:v>
                </c:pt>
                <c:pt idx="267">
                  <c:v>8.2204262313241669E-2</c:v>
                </c:pt>
                <c:pt idx="268">
                  <c:v>8.0902737810661138E-2</c:v>
                </c:pt>
                <c:pt idx="269">
                  <c:v>7.9611872220985605E-2</c:v>
                </c:pt>
                <c:pt idx="270">
                  <c:v>7.8331815458844253E-2</c:v>
                </c:pt>
                <c:pt idx="271">
                  <c:v>7.7062711018959618E-2</c:v>
                </c:pt>
                <c:pt idx="272">
                  <c:v>7.5804696008235112E-2</c:v>
                </c:pt>
                <c:pt idx="273">
                  <c:v>7.4557901181282485E-2</c:v>
                </c:pt>
                <c:pt idx="274">
                  <c:v>7.3322450979307563E-2</c:v>
                </c:pt>
                <c:pt idx="275">
                  <c:v>7.2098463572269567E-2</c:v>
                </c:pt>
                <c:pt idx="276">
                  <c:v>7.0886050904230127E-2</c:v>
                </c:pt>
                <c:pt idx="277">
                  <c:v>6.9685318741804225E-2</c:v>
                </c:pt>
                <c:pt idx="278">
                  <c:v>6.8496366725626215E-2</c:v>
                </c:pt>
                <c:pt idx="279">
                  <c:v>6.7319288424741261E-2</c:v>
                </c:pt>
                <c:pt idx="280">
                  <c:v>6.6154171393832645E-2</c:v>
                </c:pt>
                <c:pt idx="281">
                  <c:v>6.5001097233193944E-2</c:v>
                </c:pt>
                <c:pt idx="282">
                  <c:v>6.3860141651354271E-2</c:v>
                </c:pt>
                <c:pt idx="283">
                  <c:v>6.2731374530264075E-2</c:v>
                </c:pt>
                <c:pt idx="284">
                  <c:v>6.161485999294871E-2</c:v>
                </c:pt>
                <c:pt idx="285">
                  <c:v>6.0510656473535783E-2</c:v>
                </c:pt>
                <c:pt idx="286">
                  <c:v>5.941881678956281E-2</c:v>
                </c:pt>
                <c:pt idx="287">
                  <c:v>5.8339388216470278E-2</c:v>
                </c:pt>
                <c:pt idx="288">
                  <c:v>5.7272412564186276E-2</c:v>
                </c:pt>
                <c:pt idx="289">
                  <c:v>5.6217926255707366E-2</c:v>
                </c:pt>
                <c:pt idx="290">
                  <c:v>5.5175960407581784E-2</c:v>
                </c:pt>
                <c:pt idx="291">
                  <c:v>5.4146540912199781E-2</c:v>
                </c:pt>
                <c:pt idx="292">
                  <c:v>5.3129688521797065E-2</c:v>
                </c:pt>
                <c:pt idx="293">
                  <c:v>5.2125418934077253E-2</c:v>
                </c:pt>
                <c:pt idx="294">
                  <c:v>5.1133742879359352E-2</c:v>
                </c:pt>
                <c:pt idx="295">
                  <c:v>5.0154666209156859E-2</c:v>
                </c:pt>
                <c:pt idx="296">
                  <c:v>4.9188189986096024E-2</c:v>
                </c:pt>
                <c:pt idx="297">
                  <c:v>4.8234310575080756E-2</c:v>
                </c:pt>
                <c:pt idx="298">
                  <c:v>4.7293019735612639E-2</c:v>
                </c:pt>
                <c:pt idx="299">
                  <c:v>4.6364304715175199E-2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99-4895-9D19-8D54FDAE56CE}"/>
            </c:ext>
          </c:extLst>
        </c:ser>
        <c:ser>
          <c:idx val="2"/>
          <c:order val="1"/>
          <c:tx>
            <c:v>Domyślna szerokość pasma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irysy_estymacjagęstości!$K$3:$K$302</c:f>
              <c:numCache>
                <c:formatCode>General</c:formatCode>
                <c:ptCount val="300"/>
                <c:pt idx="0">
                  <c:v>1</c:v>
                </c:pt>
                <c:pt idx="1">
                  <c:v>1.0197324414715718</c:v>
                </c:pt>
                <c:pt idx="2">
                  <c:v>1.0394648829431437</c:v>
                </c:pt>
                <c:pt idx="3">
                  <c:v>1.0591973244147155</c:v>
                </c:pt>
                <c:pt idx="4">
                  <c:v>1.0789297658862873</c:v>
                </c:pt>
                <c:pt idx="5">
                  <c:v>1.0986622073578591</c:v>
                </c:pt>
                <c:pt idx="6">
                  <c:v>1.118394648829431</c:v>
                </c:pt>
                <c:pt idx="7">
                  <c:v>1.1381270903010028</c:v>
                </c:pt>
                <c:pt idx="8">
                  <c:v>1.1578595317725746</c:v>
                </c:pt>
                <c:pt idx="9">
                  <c:v>1.1775919732441464</c:v>
                </c:pt>
                <c:pt idx="10">
                  <c:v>1.1973244147157183</c:v>
                </c:pt>
                <c:pt idx="11">
                  <c:v>1.2170568561872901</c:v>
                </c:pt>
                <c:pt idx="12">
                  <c:v>1.2367892976588619</c:v>
                </c:pt>
                <c:pt idx="13">
                  <c:v>1.2565217391304337</c:v>
                </c:pt>
                <c:pt idx="14">
                  <c:v>1.2762541806020056</c:v>
                </c:pt>
                <c:pt idx="15">
                  <c:v>1.2959866220735774</c:v>
                </c:pt>
                <c:pt idx="16">
                  <c:v>1.3157190635451492</c:v>
                </c:pt>
                <c:pt idx="17">
                  <c:v>1.3354515050167211</c:v>
                </c:pt>
                <c:pt idx="18">
                  <c:v>1.3551839464882929</c:v>
                </c:pt>
                <c:pt idx="19">
                  <c:v>1.3749163879598647</c:v>
                </c:pt>
                <c:pt idx="20">
                  <c:v>1.3946488294314365</c:v>
                </c:pt>
                <c:pt idx="21">
                  <c:v>1.4143812709030084</c:v>
                </c:pt>
                <c:pt idx="22">
                  <c:v>1.4341137123745802</c:v>
                </c:pt>
                <c:pt idx="23">
                  <c:v>1.453846153846152</c:v>
                </c:pt>
                <c:pt idx="24">
                  <c:v>1.4735785953177238</c:v>
                </c:pt>
                <c:pt idx="25">
                  <c:v>1.4933110367892957</c:v>
                </c:pt>
                <c:pt idx="26">
                  <c:v>1.5130434782608675</c:v>
                </c:pt>
                <c:pt idx="27">
                  <c:v>1.5327759197324393</c:v>
                </c:pt>
                <c:pt idx="28">
                  <c:v>1.5525083612040111</c:v>
                </c:pt>
                <c:pt idx="29">
                  <c:v>1.572240802675583</c:v>
                </c:pt>
                <c:pt idx="30">
                  <c:v>1.5919732441471548</c:v>
                </c:pt>
                <c:pt idx="31">
                  <c:v>1.6117056856187266</c:v>
                </c:pt>
                <c:pt idx="32">
                  <c:v>1.6314381270902985</c:v>
                </c:pt>
                <c:pt idx="33">
                  <c:v>1.6511705685618703</c:v>
                </c:pt>
                <c:pt idx="34">
                  <c:v>1.6709030100334421</c:v>
                </c:pt>
                <c:pt idx="35">
                  <c:v>1.6906354515050139</c:v>
                </c:pt>
                <c:pt idx="36">
                  <c:v>1.7103678929765858</c:v>
                </c:pt>
                <c:pt idx="37">
                  <c:v>1.7301003344481576</c:v>
                </c:pt>
                <c:pt idx="38">
                  <c:v>1.7498327759197294</c:v>
                </c:pt>
                <c:pt idx="39">
                  <c:v>1.7695652173913012</c:v>
                </c:pt>
                <c:pt idx="40">
                  <c:v>1.7892976588628731</c:v>
                </c:pt>
                <c:pt idx="41">
                  <c:v>1.8090301003344449</c:v>
                </c:pt>
                <c:pt idx="42">
                  <c:v>1.8287625418060167</c:v>
                </c:pt>
                <c:pt idx="43">
                  <c:v>1.8484949832775885</c:v>
                </c:pt>
                <c:pt idx="44">
                  <c:v>1.8682274247491604</c:v>
                </c:pt>
                <c:pt idx="45">
                  <c:v>1.8879598662207322</c:v>
                </c:pt>
                <c:pt idx="46">
                  <c:v>1.907692307692304</c:v>
                </c:pt>
                <c:pt idx="47">
                  <c:v>1.9274247491638759</c:v>
                </c:pt>
                <c:pt idx="48">
                  <c:v>1.9471571906354477</c:v>
                </c:pt>
                <c:pt idx="49">
                  <c:v>1.9668896321070195</c:v>
                </c:pt>
                <c:pt idx="50">
                  <c:v>1.9866220735785913</c:v>
                </c:pt>
                <c:pt idx="51">
                  <c:v>2.0063545150501634</c:v>
                </c:pt>
                <c:pt idx="52">
                  <c:v>2.0260869565217354</c:v>
                </c:pt>
                <c:pt idx="53">
                  <c:v>2.0458193979933075</c:v>
                </c:pt>
                <c:pt idx="54">
                  <c:v>2.0655518394648795</c:v>
                </c:pt>
                <c:pt idx="55">
                  <c:v>2.0852842809364516</c:v>
                </c:pt>
                <c:pt idx="56">
                  <c:v>2.1050167224080236</c:v>
                </c:pt>
                <c:pt idx="57">
                  <c:v>2.1247491638795957</c:v>
                </c:pt>
                <c:pt idx="58">
                  <c:v>2.1444816053511677</c:v>
                </c:pt>
                <c:pt idx="59">
                  <c:v>2.1642140468227398</c:v>
                </c:pt>
                <c:pt idx="60">
                  <c:v>2.1839464882943118</c:v>
                </c:pt>
                <c:pt idx="61">
                  <c:v>2.2036789297658839</c:v>
                </c:pt>
                <c:pt idx="62">
                  <c:v>2.2234113712374559</c:v>
                </c:pt>
                <c:pt idx="63">
                  <c:v>2.243143812709028</c:v>
                </c:pt>
                <c:pt idx="64">
                  <c:v>2.2628762541806</c:v>
                </c:pt>
                <c:pt idx="65">
                  <c:v>2.2826086956521721</c:v>
                </c:pt>
                <c:pt idx="66">
                  <c:v>2.3023411371237441</c:v>
                </c:pt>
                <c:pt idx="67">
                  <c:v>2.3220735785953162</c:v>
                </c:pt>
                <c:pt idx="68">
                  <c:v>2.3418060200668882</c:v>
                </c:pt>
                <c:pt idx="69">
                  <c:v>2.3615384615384603</c:v>
                </c:pt>
                <c:pt idx="70">
                  <c:v>2.3812709030100323</c:v>
                </c:pt>
                <c:pt idx="71">
                  <c:v>2.4010033444816044</c:v>
                </c:pt>
                <c:pt idx="72">
                  <c:v>2.4207357859531764</c:v>
                </c:pt>
                <c:pt idx="73">
                  <c:v>2.4404682274247484</c:v>
                </c:pt>
                <c:pt idx="74">
                  <c:v>2.4602006688963205</c:v>
                </c:pt>
                <c:pt idx="75">
                  <c:v>2.4799331103678925</c:v>
                </c:pt>
                <c:pt idx="76">
                  <c:v>2.4996655518394646</c:v>
                </c:pt>
                <c:pt idx="77">
                  <c:v>2.5193979933110366</c:v>
                </c:pt>
                <c:pt idx="78">
                  <c:v>2.5391304347826087</c:v>
                </c:pt>
                <c:pt idx="79">
                  <c:v>2.5588628762541807</c:v>
                </c:pt>
                <c:pt idx="80">
                  <c:v>2.5785953177257528</c:v>
                </c:pt>
                <c:pt idx="81">
                  <c:v>2.5983277591973248</c:v>
                </c:pt>
                <c:pt idx="82">
                  <c:v>2.6180602006688969</c:v>
                </c:pt>
                <c:pt idx="83">
                  <c:v>2.6377926421404689</c:v>
                </c:pt>
                <c:pt idx="84">
                  <c:v>2.657525083612041</c:v>
                </c:pt>
                <c:pt idx="85">
                  <c:v>2.677257525083613</c:v>
                </c:pt>
                <c:pt idx="86">
                  <c:v>2.6969899665551851</c:v>
                </c:pt>
                <c:pt idx="87">
                  <c:v>2.7167224080267571</c:v>
                </c:pt>
                <c:pt idx="88">
                  <c:v>2.7364548494983292</c:v>
                </c:pt>
                <c:pt idx="89">
                  <c:v>2.7561872909699012</c:v>
                </c:pt>
                <c:pt idx="90">
                  <c:v>2.7759197324414733</c:v>
                </c:pt>
                <c:pt idx="91">
                  <c:v>2.7956521739130453</c:v>
                </c:pt>
                <c:pt idx="92">
                  <c:v>2.8153846153846174</c:v>
                </c:pt>
                <c:pt idx="93">
                  <c:v>2.8351170568561894</c:v>
                </c:pt>
                <c:pt idx="94">
                  <c:v>2.8548494983277615</c:v>
                </c:pt>
                <c:pt idx="95">
                  <c:v>2.8745819397993335</c:v>
                </c:pt>
                <c:pt idx="96">
                  <c:v>2.8943143812709056</c:v>
                </c:pt>
                <c:pt idx="97">
                  <c:v>2.9140468227424776</c:v>
                </c:pt>
                <c:pt idx="98">
                  <c:v>2.9337792642140497</c:v>
                </c:pt>
                <c:pt idx="99">
                  <c:v>2.9535117056856217</c:v>
                </c:pt>
                <c:pt idx="100">
                  <c:v>2.9732441471571938</c:v>
                </c:pt>
                <c:pt idx="101">
                  <c:v>2.9929765886287658</c:v>
                </c:pt>
                <c:pt idx="102">
                  <c:v>3.0127090301003379</c:v>
                </c:pt>
                <c:pt idx="103">
                  <c:v>3.0324414715719099</c:v>
                </c:pt>
                <c:pt idx="104">
                  <c:v>3.052173913043482</c:v>
                </c:pt>
                <c:pt idx="105">
                  <c:v>3.071906354515054</c:v>
                </c:pt>
                <c:pt idx="106">
                  <c:v>3.0916387959866261</c:v>
                </c:pt>
                <c:pt idx="107">
                  <c:v>3.1113712374581981</c:v>
                </c:pt>
                <c:pt idx="108">
                  <c:v>3.1311036789297702</c:v>
                </c:pt>
                <c:pt idx="109">
                  <c:v>3.1508361204013422</c:v>
                </c:pt>
                <c:pt idx="110">
                  <c:v>3.1705685618729142</c:v>
                </c:pt>
                <c:pt idx="111">
                  <c:v>3.1903010033444863</c:v>
                </c:pt>
                <c:pt idx="112">
                  <c:v>3.2100334448160583</c:v>
                </c:pt>
                <c:pt idx="113">
                  <c:v>3.2297658862876304</c:v>
                </c:pt>
                <c:pt idx="114">
                  <c:v>3.2494983277592024</c:v>
                </c:pt>
                <c:pt idx="115">
                  <c:v>3.2692307692307745</c:v>
                </c:pt>
                <c:pt idx="116">
                  <c:v>3.2889632107023465</c:v>
                </c:pt>
                <c:pt idx="117">
                  <c:v>3.3086956521739186</c:v>
                </c:pt>
                <c:pt idx="118">
                  <c:v>3.3284280936454906</c:v>
                </c:pt>
                <c:pt idx="119">
                  <c:v>3.3481605351170627</c:v>
                </c:pt>
                <c:pt idx="120">
                  <c:v>3.3678929765886347</c:v>
                </c:pt>
                <c:pt idx="121">
                  <c:v>3.3876254180602068</c:v>
                </c:pt>
                <c:pt idx="122">
                  <c:v>3.4073578595317788</c:v>
                </c:pt>
                <c:pt idx="123">
                  <c:v>3.4270903010033509</c:v>
                </c:pt>
                <c:pt idx="124">
                  <c:v>3.4468227424749229</c:v>
                </c:pt>
                <c:pt idx="125">
                  <c:v>3.466555183946495</c:v>
                </c:pt>
                <c:pt idx="126">
                  <c:v>3.486287625418067</c:v>
                </c:pt>
                <c:pt idx="127">
                  <c:v>3.5060200668896391</c:v>
                </c:pt>
                <c:pt idx="128">
                  <c:v>3.5257525083612111</c:v>
                </c:pt>
                <c:pt idx="129">
                  <c:v>3.5454849498327832</c:v>
                </c:pt>
                <c:pt idx="130">
                  <c:v>3.5652173913043552</c:v>
                </c:pt>
                <c:pt idx="131">
                  <c:v>3.5849498327759273</c:v>
                </c:pt>
                <c:pt idx="132">
                  <c:v>3.6046822742474993</c:v>
                </c:pt>
                <c:pt idx="133">
                  <c:v>3.6244147157190714</c:v>
                </c:pt>
                <c:pt idx="134">
                  <c:v>3.6441471571906434</c:v>
                </c:pt>
                <c:pt idx="135">
                  <c:v>3.6638795986622155</c:v>
                </c:pt>
                <c:pt idx="136">
                  <c:v>3.6836120401337875</c:v>
                </c:pt>
                <c:pt idx="137">
                  <c:v>3.7033444816053596</c:v>
                </c:pt>
                <c:pt idx="138">
                  <c:v>3.7230769230769316</c:v>
                </c:pt>
                <c:pt idx="139">
                  <c:v>3.7428093645485037</c:v>
                </c:pt>
                <c:pt idx="140">
                  <c:v>3.7625418060200757</c:v>
                </c:pt>
                <c:pt idx="141">
                  <c:v>3.7822742474916478</c:v>
                </c:pt>
                <c:pt idx="142">
                  <c:v>3.8020066889632198</c:v>
                </c:pt>
                <c:pt idx="143">
                  <c:v>3.8217391304347919</c:v>
                </c:pt>
                <c:pt idx="144">
                  <c:v>3.8414715719063639</c:v>
                </c:pt>
                <c:pt idx="145">
                  <c:v>3.861204013377936</c:v>
                </c:pt>
                <c:pt idx="146">
                  <c:v>3.880936454849508</c:v>
                </c:pt>
                <c:pt idx="147">
                  <c:v>3.90066889632108</c:v>
                </c:pt>
                <c:pt idx="148">
                  <c:v>3.9204013377926521</c:v>
                </c:pt>
                <c:pt idx="149">
                  <c:v>3.9401337792642241</c:v>
                </c:pt>
                <c:pt idx="150">
                  <c:v>3.9598662207357962</c:v>
                </c:pt>
                <c:pt idx="151">
                  <c:v>3.9795986622073682</c:v>
                </c:pt>
                <c:pt idx="152">
                  <c:v>3.9993311036789403</c:v>
                </c:pt>
                <c:pt idx="153">
                  <c:v>4.0190635451505123</c:v>
                </c:pt>
                <c:pt idx="154">
                  <c:v>4.0387959866220839</c:v>
                </c:pt>
                <c:pt idx="155">
                  <c:v>4.0585284280936555</c:v>
                </c:pt>
                <c:pt idx="156">
                  <c:v>4.0782608695652272</c:v>
                </c:pt>
                <c:pt idx="157">
                  <c:v>4.0979933110367988</c:v>
                </c:pt>
                <c:pt idx="158">
                  <c:v>4.1177257525083704</c:v>
                </c:pt>
                <c:pt idx="159">
                  <c:v>4.137458193979942</c:v>
                </c:pt>
                <c:pt idx="160">
                  <c:v>4.1571906354515136</c:v>
                </c:pt>
                <c:pt idx="161">
                  <c:v>4.1769230769230852</c:v>
                </c:pt>
                <c:pt idx="162">
                  <c:v>4.1966555183946568</c:v>
                </c:pt>
                <c:pt idx="163">
                  <c:v>4.2163879598662284</c:v>
                </c:pt>
                <c:pt idx="164">
                  <c:v>4.2361204013378</c:v>
                </c:pt>
                <c:pt idx="165">
                  <c:v>4.2558528428093716</c:v>
                </c:pt>
                <c:pt idx="166">
                  <c:v>4.2755852842809432</c:v>
                </c:pt>
                <c:pt idx="167">
                  <c:v>4.2953177257525148</c:v>
                </c:pt>
                <c:pt idx="168">
                  <c:v>4.3150501672240864</c:v>
                </c:pt>
                <c:pt idx="169">
                  <c:v>4.334782608695658</c:v>
                </c:pt>
                <c:pt idx="170">
                  <c:v>4.3545150501672296</c:v>
                </c:pt>
                <c:pt idx="171">
                  <c:v>4.3742474916388012</c:v>
                </c:pt>
                <c:pt idx="172">
                  <c:v>4.3939799331103728</c:v>
                </c:pt>
                <c:pt idx="173">
                  <c:v>4.4137123745819444</c:v>
                </c:pt>
                <c:pt idx="174">
                  <c:v>4.433444816053516</c:v>
                </c:pt>
                <c:pt idx="175">
                  <c:v>4.4531772575250876</c:v>
                </c:pt>
                <c:pt idx="176">
                  <c:v>4.4729096989966592</c:v>
                </c:pt>
                <c:pt idx="177">
                  <c:v>4.4926421404682308</c:v>
                </c:pt>
                <c:pt idx="178">
                  <c:v>4.5123745819398025</c:v>
                </c:pt>
                <c:pt idx="179">
                  <c:v>4.5321070234113741</c:v>
                </c:pt>
                <c:pt idx="180">
                  <c:v>4.5518394648829457</c:v>
                </c:pt>
                <c:pt idx="181">
                  <c:v>4.5715719063545173</c:v>
                </c:pt>
                <c:pt idx="182">
                  <c:v>4.5913043478260889</c:v>
                </c:pt>
                <c:pt idx="183">
                  <c:v>4.6110367892976605</c:v>
                </c:pt>
                <c:pt idx="184">
                  <c:v>4.6307692307692321</c:v>
                </c:pt>
                <c:pt idx="185">
                  <c:v>4.6505016722408037</c:v>
                </c:pt>
                <c:pt idx="186">
                  <c:v>4.6702341137123753</c:v>
                </c:pt>
                <c:pt idx="187">
                  <c:v>4.6899665551839469</c:v>
                </c:pt>
                <c:pt idx="188">
                  <c:v>4.7096989966555185</c:v>
                </c:pt>
                <c:pt idx="189">
                  <c:v>4.7294314381270901</c:v>
                </c:pt>
                <c:pt idx="190">
                  <c:v>4.7491638795986617</c:v>
                </c:pt>
                <c:pt idx="191">
                  <c:v>4.7688963210702333</c:v>
                </c:pt>
                <c:pt idx="192">
                  <c:v>4.7886287625418049</c:v>
                </c:pt>
                <c:pt idx="193">
                  <c:v>4.8083612040133765</c:v>
                </c:pt>
                <c:pt idx="194">
                  <c:v>4.8280936454849481</c:v>
                </c:pt>
                <c:pt idx="195">
                  <c:v>4.8478260869565197</c:v>
                </c:pt>
                <c:pt idx="196">
                  <c:v>4.8675585284280913</c:v>
                </c:pt>
                <c:pt idx="197">
                  <c:v>4.8872909698996629</c:v>
                </c:pt>
                <c:pt idx="198">
                  <c:v>4.9070234113712345</c:v>
                </c:pt>
                <c:pt idx="199">
                  <c:v>4.9267558528428061</c:v>
                </c:pt>
                <c:pt idx="200">
                  <c:v>4.9464882943143778</c:v>
                </c:pt>
                <c:pt idx="201">
                  <c:v>4.9662207357859494</c:v>
                </c:pt>
                <c:pt idx="202">
                  <c:v>4.985953177257521</c:v>
                </c:pt>
                <c:pt idx="203">
                  <c:v>5.0056856187290926</c:v>
                </c:pt>
                <c:pt idx="204">
                  <c:v>5.0254180602006642</c:v>
                </c:pt>
                <c:pt idx="205">
                  <c:v>5.0451505016722358</c:v>
                </c:pt>
                <c:pt idx="206">
                  <c:v>5.0648829431438074</c:v>
                </c:pt>
                <c:pt idx="207">
                  <c:v>5.084615384615379</c:v>
                </c:pt>
                <c:pt idx="208">
                  <c:v>5.1043478260869506</c:v>
                </c:pt>
                <c:pt idx="209">
                  <c:v>5.1240802675585222</c:v>
                </c:pt>
                <c:pt idx="210">
                  <c:v>5.1438127090300938</c:v>
                </c:pt>
                <c:pt idx="211">
                  <c:v>5.1635451505016654</c:v>
                </c:pt>
                <c:pt idx="212">
                  <c:v>5.183277591973237</c:v>
                </c:pt>
                <c:pt idx="213">
                  <c:v>5.2030100334448086</c:v>
                </c:pt>
                <c:pt idx="214">
                  <c:v>5.2227424749163802</c:v>
                </c:pt>
                <c:pt idx="215">
                  <c:v>5.2424749163879518</c:v>
                </c:pt>
                <c:pt idx="216">
                  <c:v>5.2622073578595234</c:v>
                </c:pt>
                <c:pt idx="217">
                  <c:v>5.281939799331095</c:v>
                </c:pt>
                <c:pt idx="218">
                  <c:v>5.3016722408026666</c:v>
                </c:pt>
                <c:pt idx="219">
                  <c:v>5.3214046822742382</c:v>
                </c:pt>
                <c:pt idx="220">
                  <c:v>5.3411371237458098</c:v>
                </c:pt>
                <c:pt idx="221">
                  <c:v>5.3608695652173814</c:v>
                </c:pt>
                <c:pt idx="222">
                  <c:v>5.3806020066889531</c:v>
                </c:pt>
                <c:pt idx="223">
                  <c:v>5.4003344481605247</c:v>
                </c:pt>
                <c:pt idx="224">
                  <c:v>5.4200668896320963</c:v>
                </c:pt>
                <c:pt idx="225">
                  <c:v>5.4397993311036679</c:v>
                </c:pt>
                <c:pt idx="226">
                  <c:v>5.4595317725752395</c:v>
                </c:pt>
                <c:pt idx="227">
                  <c:v>5.4792642140468111</c:v>
                </c:pt>
                <c:pt idx="228">
                  <c:v>5.4989966555183827</c:v>
                </c:pt>
                <c:pt idx="229">
                  <c:v>5.5187290969899543</c:v>
                </c:pt>
                <c:pt idx="230">
                  <c:v>5.5384615384615259</c:v>
                </c:pt>
                <c:pt idx="231">
                  <c:v>5.5581939799330975</c:v>
                </c:pt>
                <c:pt idx="232">
                  <c:v>5.5779264214046691</c:v>
                </c:pt>
                <c:pt idx="233">
                  <c:v>5.5976588628762407</c:v>
                </c:pt>
                <c:pt idx="234">
                  <c:v>5.6173913043478123</c:v>
                </c:pt>
                <c:pt idx="235">
                  <c:v>5.6371237458193839</c:v>
                </c:pt>
                <c:pt idx="236">
                  <c:v>5.6568561872909555</c:v>
                </c:pt>
                <c:pt idx="237">
                  <c:v>5.6765886287625271</c:v>
                </c:pt>
                <c:pt idx="238">
                  <c:v>5.6963210702340987</c:v>
                </c:pt>
                <c:pt idx="239">
                  <c:v>5.7160535117056703</c:v>
                </c:pt>
                <c:pt idx="240">
                  <c:v>5.7357859531772419</c:v>
                </c:pt>
                <c:pt idx="241">
                  <c:v>5.7555183946488135</c:v>
                </c:pt>
                <c:pt idx="242">
                  <c:v>5.7752508361203851</c:v>
                </c:pt>
                <c:pt idx="243">
                  <c:v>5.7949832775919567</c:v>
                </c:pt>
                <c:pt idx="244">
                  <c:v>5.8147157190635284</c:v>
                </c:pt>
                <c:pt idx="245">
                  <c:v>5.8344481605351</c:v>
                </c:pt>
                <c:pt idx="246">
                  <c:v>5.8541806020066716</c:v>
                </c:pt>
                <c:pt idx="247">
                  <c:v>5.8739130434782432</c:v>
                </c:pt>
                <c:pt idx="248">
                  <c:v>5.8936454849498148</c:v>
                </c:pt>
                <c:pt idx="249">
                  <c:v>5.9133779264213864</c:v>
                </c:pt>
                <c:pt idx="250">
                  <c:v>5.933110367892958</c:v>
                </c:pt>
                <c:pt idx="251">
                  <c:v>5.9528428093645296</c:v>
                </c:pt>
                <c:pt idx="252">
                  <c:v>5.9725752508361012</c:v>
                </c:pt>
                <c:pt idx="253">
                  <c:v>5.9923076923076728</c:v>
                </c:pt>
                <c:pt idx="254">
                  <c:v>6.0120401337792444</c:v>
                </c:pt>
                <c:pt idx="255">
                  <c:v>6.031772575250816</c:v>
                </c:pt>
                <c:pt idx="256">
                  <c:v>6.0515050167223876</c:v>
                </c:pt>
                <c:pt idx="257">
                  <c:v>6.0712374581939592</c:v>
                </c:pt>
                <c:pt idx="258">
                  <c:v>6.0909698996655308</c:v>
                </c:pt>
                <c:pt idx="259">
                  <c:v>6.1107023411371024</c:v>
                </c:pt>
                <c:pt idx="260">
                  <c:v>6.130434782608674</c:v>
                </c:pt>
                <c:pt idx="261">
                  <c:v>6.1501672240802456</c:v>
                </c:pt>
                <c:pt idx="262">
                  <c:v>6.1698996655518172</c:v>
                </c:pt>
                <c:pt idx="263">
                  <c:v>6.1896321070233888</c:v>
                </c:pt>
                <c:pt idx="264">
                  <c:v>6.2093645484949604</c:v>
                </c:pt>
                <c:pt idx="265">
                  <c:v>6.229096989966532</c:v>
                </c:pt>
                <c:pt idx="266">
                  <c:v>6.2488294314381037</c:v>
                </c:pt>
                <c:pt idx="267">
                  <c:v>6.2685618729096753</c:v>
                </c:pt>
                <c:pt idx="268">
                  <c:v>6.2882943143812469</c:v>
                </c:pt>
                <c:pt idx="269">
                  <c:v>6.3080267558528185</c:v>
                </c:pt>
                <c:pt idx="270">
                  <c:v>6.3277591973243901</c:v>
                </c:pt>
                <c:pt idx="271">
                  <c:v>6.3474916387959617</c:v>
                </c:pt>
                <c:pt idx="272">
                  <c:v>6.3672240802675333</c:v>
                </c:pt>
                <c:pt idx="273">
                  <c:v>6.3869565217391049</c:v>
                </c:pt>
                <c:pt idx="274">
                  <c:v>6.4066889632106765</c:v>
                </c:pt>
                <c:pt idx="275">
                  <c:v>6.4264214046822481</c:v>
                </c:pt>
                <c:pt idx="276">
                  <c:v>6.4461538461538197</c:v>
                </c:pt>
                <c:pt idx="277">
                  <c:v>6.4658862876253913</c:v>
                </c:pt>
                <c:pt idx="278">
                  <c:v>6.4856187290969629</c:v>
                </c:pt>
                <c:pt idx="279">
                  <c:v>6.5053511705685345</c:v>
                </c:pt>
                <c:pt idx="280">
                  <c:v>6.5250836120401061</c:v>
                </c:pt>
                <c:pt idx="281">
                  <c:v>6.5448160535116777</c:v>
                </c:pt>
                <c:pt idx="282">
                  <c:v>6.5645484949832493</c:v>
                </c:pt>
                <c:pt idx="283">
                  <c:v>6.5842809364548209</c:v>
                </c:pt>
                <c:pt idx="284">
                  <c:v>6.6040133779263925</c:v>
                </c:pt>
                <c:pt idx="285">
                  <c:v>6.6237458193979641</c:v>
                </c:pt>
                <c:pt idx="286">
                  <c:v>6.6434782608695357</c:v>
                </c:pt>
                <c:pt idx="287">
                  <c:v>6.6632107023411073</c:v>
                </c:pt>
                <c:pt idx="288">
                  <c:v>6.682943143812679</c:v>
                </c:pt>
                <c:pt idx="289">
                  <c:v>6.7026755852842506</c:v>
                </c:pt>
                <c:pt idx="290">
                  <c:v>6.7224080267558222</c:v>
                </c:pt>
                <c:pt idx="291">
                  <c:v>6.7421404682273938</c:v>
                </c:pt>
                <c:pt idx="292">
                  <c:v>6.7618729096989654</c:v>
                </c:pt>
                <c:pt idx="293">
                  <c:v>6.781605351170537</c:v>
                </c:pt>
                <c:pt idx="294">
                  <c:v>6.8013377926421086</c:v>
                </c:pt>
                <c:pt idx="295">
                  <c:v>6.8210702341136802</c:v>
                </c:pt>
                <c:pt idx="296">
                  <c:v>6.8408026755852518</c:v>
                </c:pt>
                <c:pt idx="297">
                  <c:v>6.8605351170568234</c:v>
                </c:pt>
                <c:pt idx="298">
                  <c:v>6.880267558528395</c:v>
                </c:pt>
                <c:pt idx="299">
                  <c:v>6.8999999999999666</c:v>
                </c:pt>
              </c:numCache>
            </c:numRef>
          </c:cat>
          <c:val>
            <c:numRef>
              <c:f>irysy_estymacjagęstości!$M$3:$M$302</c:f>
              <c:numCache>
                <c:formatCode>General</c:formatCode>
                <c:ptCount val="300"/>
                <c:pt idx="0">
                  <c:v>0.15197430392932543</c:v>
                </c:pt>
                <c:pt idx="1">
                  <c:v>0.15471246117398849</c:v>
                </c:pt>
                <c:pt idx="2">
                  <c:v>0.15737811095297358</c:v>
                </c:pt>
                <c:pt idx="3">
                  <c:v>0.15996589496650446</c:v>
                </c:pt>
                <c:pt idx="4">
                  <c:v>0.16247055403533858</c:v>
                </c:pt>
                <c:pt idx="5">
                  <c:v>0.1648869466219462</c:v>
                </c:pt>
                <c:pt idx="6">
                  <c:v>0.16721006720631976</c:v>
                </c:pt>
                <c:pt idx="7">
                  <c:v>0.16943506442829293</c:v>
                </c:pt>
                <c:pt idx="8">
                  <c:v>0.17155725890820728</c:v>
                </c:pt>
                <c:pt idx="9">
                  <c:v>0.17357216065825859</c:v>
                </c:pt>
                <c:pt idx="10">
                  <c:v>0.1754754859979176</c:v>
                </c:pt>
                <c:pt idx="11">
                  <c:v>0.17726317388842733</c:v>
                </c:pt>
                <c:pt idx="12">
                  <c:v>0.17893140160354795</c:v>
                </c:pt>
                <c:pt idx="13">
                  <c:v>0.18047659965643009</c:v>
                </c:pt>
                <c:pt idx="14">
                  <c:v>0.18189546590572059</c:v>
                </c:pt>
                <c:pt idx="15">
                  <c:v>0.18318497876777112</c:v>
                </c:pt>
                <c:pt idx="16">
                  <c:v>0.18434240946605079</c:v>
                </c:pt>
                <c:pt idx="17">
                  <c:v>0.18536533325355734</c:v>
                </c:pt>
                <c:pt idx="18">
                  <c:v>0.18625163954917784</c:v>
                </c:pt>
                <c:pt idx="19">
                  <c:v>0.1869995409344837</c:v>
                </c:pt>
                <c:pt idx="20">
                  <c:v>0.1876075809633386</c:v>
                </c:pt>
                <c:pt idx="21">
                  <c:v>0.18807464074295036</c:v>
                </c:pt>
                <c:pt idx="22">
                  <c:v>0.18839994425149281</c:v>
                </c:pt>
                <c:pt idx="23">
                  <c:v>0.18858306236419484</c:v>
                </c:pt>
                <c:pt idx="24">
                  <c:v>0.1886239155667179</c:v>
                </c:pt>
                <c:pt idx="25">
                  <c:v>0.18852277534175568</c:v>
                </c:pt>
                <c:pt idx="26">
                  <c:v>0.1882802642219491</c:v>
                </c:pt>
                <c:pt idx="27">
                  <c:v>0.18789735450945227</c:v>
                </c:pt>
                <c:pt idx="28">
                  <c:v>0.18737536566968926</c:v>
                </c:pt>
                <c:pt idx="29">
                  <c:v>0.18671596041401134</c:v>
                </c:pt>
                <c:pt idx="30">
                  <c:v>0.18592113949300748</c:v>
                </c:pt>
                <c:pt idx="31">
                  <c:v>0.18499323522912384</c:v>
                </c:pt>
                <c:pt idx="32">
                  <c:v>0.18393490382391167</c:v>
                </c:pt>
                <c:pt idx="33">
                  <c:v>0.18274911648170025</c:v>
                </c:pt>
                <c:pt idx="34">
                  <c:v>0.18143914939758532</c:v>
                </c:pt>
                <c:pt idx="35">
                  <c:v>0.18000857266345455</c:v>
                </c:pt>
                <c:pt idx="36">
                  <c:v>0.17846123815119785</c:v>
                </c:pt>
                <c:pt idx="37">
                  <c:v>0.17680126643725103</c:v>
                </c:pt>
                <c:pt idx="38">
                  <c:v>0.17503303283720223</c:v>
                </c:pt>
                <c:pt idx="39">
                  <c:v>0.17316115262330042</c:v>
                </c:pt>
                <c:pt idx="40">
                  <c:v>0.17119046550130107</c:v>
                </c:pt>
                <c:pt idx="41">
                  <c:v>0.16912601942616362</c:v>
                </c:pt>
                <c:pt idx="42">
                  <c:v>0.16697305383870623</c:v>
                </c:pt>
                <c:pt idx="43">
                  <c:v>0.16473698240730239</c:v>
                </c:pt>
                <c:pt idx="44">
                  <c:v>0.16242337536018706</c:v>
                </c:pt>
                <c:pt idx="45">
                  <c:v>0.16003794149485157</c:v>
                </c:pt>
                <c:pt idx="46">
                  <c:v>0.15758650995134427</c:v>
                </c:pt>
                <c:pt idx="47">
                  <c:v>0.15507501183613376</c:v>
                </c:pt>
                <c:pt idx="48">
                  <c:v>0.15250946178243824</c:v>
                </c:pt>
                <c:pt idx="49">
                  <c:v>0.1498959395316867</c:v>
                </c:pt>
                <c:pt idx="50">
                  <c:v>0.14724057161902501</c:v>
                </c:pt>
                <c:pt idx="51">
                  <c:v>0.14454951324353002</c:v>
                </c:pt>
                <c:pt idx="52">
                  <c:v>0.14182893040110225</c:v>
                </c:pt>
                <c:pt idx="53">
                  <c:v>0.13908498235487532</c:v>
                </c:pt>
                <c:pt idx="54">
                  <c:v>0.13632380451444123</c:v>
                </c:pt>
                <c:pt idx="55">
                  <c:v>0.1335514917912928</c:v>
                </c:pt>
                <c:pt idx="56">
                  <c:v>0.13077408249365013</c:v>
                </c:pt>
                <c:pt idx="57">
                  <c:v>0.12799754281930226</c:v>
                </c:pt>
                <c:pt idx="58">
                  <c:v>0.12522775200030398</c:v>
                </c:pt>
                <c:pt idx="59">
                  <c:v>0.12247048814836778</c:v>
                </c:pt>
                <c:pt idx="60">
                  <c:v>0.11973141484459411</c:v>
                </c:pt>
                <c:pt idx="61">
                  <c:v>0.11701606851186992</c:v>
                </c:pt>
                <c:pt idx="62">
                  <c:v>0.11432984660283303</c:v>
                </c:pt>
                <c:pt idx="63">
                  <c:v>0.11167799663084271</c:v>
                </c:pt>
                <c:pt idx="64">
                  <c:v>0.10906560606588311</c:v>
                </c:pt>
                <c:pt idx="65">
                  <c:v>0.10649759311187938</c:v>
                </c:pt>
                <c:pt idx="66">
                  <c:v>0.10397869837647965</c:v>
                </c:pt>
                <c:pt idx="67">
                  <c:v>0.10151347743906043</c:v>
                </c:pt>
                <c:pt idx="68">
                  <c:v>9.9106294317518315E-2</c:v>
                </c:pt>
                <c:pt idx="69">
                  <c:v>9.6761315829412886E-2</c:v>
                </c:pt>
                <c:pt idx="70">
                  <c:v>9.448250683818013E-2</c:v>
                </c:pt>
                <c:pt idx="71">
                  <c:v>9.2273626370559358E-2</c:v>
                </c:pt>
                <c:pt idx="72">
                  <c:v>9.0138224587000618E-2</c:v>
                </c:pt>
                <c:pt idx="73">
                  <c:v>8.8079640582753138E-2</c:v>
                </c:pt>
                <c:pt idx="74">
                  <c:v>8.6101000993522567E-2</c:v>
                </c:pt>
                <c:pt idx="75">
                  <c:v>8.4205219376108809E-2</c:v>
                </c:pt>
                <c:pt idx="76">
                  <c:v>8.2394996331256395E-2</c:v>
                </c:pt>
                <c:pt idx="77">
                  <c:v>8.0672820333116194E-2</c:v>
                </c:pt>
                <c:pt idx="78">
                  <c:v>7.9040969227211641E-2</c:v>
                </c:pt>
                <c:pt idx="79">
                  <c:v>7.7501512356650676E-2</c:v>
                </c:pt>
                <c:pt idx="80">
                  <c:v>7.6056313274516354E-2</c:v>
                </c:pt>
                <c:pt idx="81">
                  <c:v>7.4707032998900996E-2</c:v>
                </c:pt>
                <c:pt idx="82">
                  <c:v>7.3455133765939776E-2</c:v>
                </c:pt>
                <c:pt idx="83">
                  <c:v>7.2301883235410758E-2</c:v>
                </c:pt>
                <c:pt idx="84">
                  <c:v>7.1248359103026793E-2</c:v>
                </c:pt>
                <c:pt idx="85">
                  <c:v>7.0295454073415031E-2</c:v>
                </c:pt>
                <c:pt idx="86">
                  <c:v>6.9443881147960282E-2</c:v>
                </c:pt>
                <c:pt idx="87">
                  <c:v>6.8694179182167858E-2</c:v>
                </c:pt>
                <c:pt idx="88">
                  <c:v>6.8046718667960499E-2</c:v>
                </c:pt>
                <c:pt idx="89">
                  <c:v>6.7501707697342844E-2</c:v>
                </c:pt>
                <c:pt idx="90">
                  <c:v>6.7059198065133871E-2</c:v>
                </c:pt>
                <c:pt idx="91">
                  <c:v>6.6719091469962341E-2</c:v>
                </c:pt>
                <c:pt idx="92">
                  <c:v>6.6481145774416203E-2</c:v>
                </c:pt>
                <c:pt idx="93">
                  <c:v>6.6344981287122642E-2</c:v>
                </c:pt>
                <c:pt idx="94">
                  <c:v>6.6310087031581852E-2</c:v>
                </c:pt>
                <c:pt idx="95">
                  <c:v>6.6375826968769105E-2</c:v>
                </c:pt>
                <c:pt idx="96">
                  <c:v>6.6541446142828531E-2</c:v>
                </c:pt>
                <c:pt idx="97">
                  <c:v>6.6806076721595303E-2</c:v>
                </c:pt>
                <c:pt idx="98">
                  <c:v>6.7168743906165201E-2</c:v>
                </c:pt>
                <c:pt idx="99">
                  <c:v>6.7628371686282454E-2</c:v>
                </c:pt>
                <c:pt idx="100">
                  <c:v>6.8183788420889818E-2</c:v>
                </c:pt>
                <c:pt idx="101">
                  <c:v>6.8833732225787106E-2</c:v>
                </c:pt>
                <c:pt idx="102">
                  <c:v>6.9576856152936684E-2</c:v>
                </c:pt>
                <c:pt idx="103">
                  <c:v>7.041173314852664E-2</c:v>
                </c:pt>
                <c:pt idx="104">
                  <c:v>7.1336860779441708E-2</c:v>
                </c:pt>
                <c:pt idx="105">
                  <c:v>7.2350665720267271E-2</c:v>
                </c:pt>
                <c:pt idx="106">
                  <c:v>7.34515079953688E-2</c:v>
                </c:pt>
                <c:pt idx="107">
                  <c:v>7.4637684972914481E-2</c:v>
                </c:pt>
                <c:pt idx="108">
                  <c:v>7.5907435109943605E-2</c:v>
                </c:pt>
                <c:pt idx="109">
                  <c:v>7.7258941449705812E-2</c:v>
                </c:pt>
                <c:pt idx="110">
                  <c:v>7.8690334874511408E-2</c:v>
                </c:pt>
                <c:pt idx="111">
                  <c:v>8.0199697119205618E-2</c:v>
                </c:pt>
                <c:pt idx="112">
                  <c:v>8.1785063552139908E-2</c:v>
                </c:pt>
                <c:pt idx="113">
                  <c:v>8.34444257321139E-2</c:v>
                </c:pt>
                <c:pt idx="114">
                  <c:v>8.5175733751232538E-2</c:v>
                </c:pt>
                <c:pt idx="115">
                  <c:v>8.69768983749344E-2</c:v>
                </c:pt>
                <c:pt idx="116">
                  <c:v>8.8845792991617031E-2</c:v>
                </c:pt>
                <c:pt idx="117">
                  <c:v>9.078025538529659E-2</c:v>
                </c:pt>
                <c:pt idx="118">
                  <c:v>9.2778089345600043E-2</c:v>
                </c:pt>
                <c:pt idx="119">
                  <c:v>9.4837066130094475E-2</c:v>
                </c:pt>
                <c:pt idx="120">
                  <c:v>9.6954925794521557E-2</c:v>
                </c:pt>
                <c:pt idx="121">
                  <c:v>9.9129378406915228E-2</c:v>
                </c:pt>
                <c:pt idx="122">
                  <c:v>0.10135810516184154</c:v>
                </c:pt>
                <c:pt idx="123">
                  <c:v>0.10363875941113888</c:v>
                </c:pt>
                <c:pt idx="124">
                  <c:v>0.10596896762752023</c:v>
                </c:pt>
                <c:pt idx="125">
                  <c:v>0.10834633031726787</c:v>
                </c:pt>
                <c:pt idx="126">
                  <c:v>0.11076842289799252</c:v>
                </c:pt>
                <c:pt idx="127">
                  <c:v>0.11323279655705401</c:v>
                </c:pt>
                <c:pt idx="128">
                  <c:v>0.11573697910575764</c:v>
                </c:pt>
                <c:pt idx="129">
                  <c:v>0.11827847584385891</c:v>
                </c:pt>
                <c:pt idx="130">
                  <c:v>0.1208547704482283</c:v>
                </c:pt>
                <c:pt idx="131">
                  <c:v>0.12346332589877124</c:v>
                </c:pt>
                <c:pt idx="132">
                  <c:v>0.1261015854538558</c:v>
                </c:pt>
                <c:pt idx="133">
                  <c:v>0.12876697368659748</c:v>
                </c:pt>
                <c:pt idx="134">
                  <c:v>0.13145689759238025</c:v>
                </c:pt>
                <c:pt idx="135">
                  <c:v>0.13416874777698012</c:v>
                </c:pt>
                <c:pt idx="136">
                  <c:v>0.1368998997335949</c:v>
                </c:pt>
                <c:pt idx="137">
                  <c:v>0.13964771521598959</c:v>
                </c:pt>
                <c:pt idx="138">
                  <c:v>0.14240954371384831</c:v>
                </c:pt>
                <c:pt idx="139">
                  <c:v>0.14518272403528429</c:v>
                </c:pt>
                <c:pt idx="140">
                  <c:v>0.14796458600031068</c:v>
                </c:pt>
                <c:pt idx="141">
                  <c:v>0.15075245224792863</c:v>
                </c:pt>
                <c:pt idx="142">
                  <c:v>0.15354364015833866</c:v>
                </c:pt>
                <c:pt idx="143">
                  <c:v>0.15633546389065231</c:v>
                </c:pt>
                <c:pt idx="144">
                  <c:v>0.15912523653536573</c:v>
                </c:pt>
                <c:pt idx="145">
                  <c:v>0.16191027237976924</c:v>
                </c:pt>
                <c:pt idx="146">
                  <c:v>0.16468788928340827</c:v>
                </c:pt>
                <c:pt idx="147">
                  <c:v>0.16745541115969587</c:v>
                </c:pt>
                <c:pt idx="148">
                  <c:v>0.17021017055879328</c:v>
                </c:pt>
                <c:pt idx="149">
                  <c:v>0.17294951134595335</c:v>
                </c:pt>
                <c:pt idx="150">
                  <c:v>0.17567079146863837</c:v>
                </c:pt>
                <c:pt idx="151">
                  <c:v>0.17837138580490805</c:v>
                </c:pt>
                <c:pt idx="152">
                  <c:v>0.18104868908480914</c:v>
                </c:pt>
                <c:pt idx="153">
                  <c:v>0.18370011887580029</c:v>
                </c:pt>
                <c:pt idx="154">
                  <c:v>0.18632311862262063</c:v>
                </c:pt>
                <c:pt idx="155">
                  <c:v>0.18891516073143819</c:v>
                </c:pt>
                <c:pt idx="156">
                  <c:v>0.19147374968763586</c:v>
                </c:pt>
                <c:pt idx="157">
                  <c:v>0.19399642519615837</c:v>
                </c:pt>
                <c:pt idx="158">
                  <c:v>0.19648076533301398</c:v>
                </c:pt>
                <c:pt idx="159">
                  <c:v>0.19892438969624116</c:v>
                </c:pt>
                <c:pt idx="160">
                  <c:v>0.20132496254446255</c:v>
                </c:pt>
                <c:pt idx="161">
                  <c:v>0.20368019591103217</c:v>
                </c:pt>
                <c:pt idx="162">
                  <c:v>0.20598785268171993</c:v>
                </c:pt>
                <c:pt idx="163">
                  <c:v>0.20824574962392808</c:v>
                </c:pt>
                <c:pt idx="164">
                  <c:v>0.21045176035552327</c:v>
                </c:pt>
                <c:pt idx="165">
                  <c:v>0.21260381824154184</c:v>
                </c:pt>
                <c:pt idx="166">
                  <c:v>0.21469991920727793</c:v>
                </c:pt>
                <c:pt idx="167">
                  <c:v>0.21673812445656734</c:v>
                </c:pt>
                <c:pt idx="168">
                  <c:v>0.21871656308446463</c:v>
                </c:pt>
                <c:pt idx="169">
                  <c:v>0.22063343457394455</c:v>
                </c:pt>
                <c:pt idx="170">
                  <c:v>0.22248701116676445</c:v>
                </c:pt>
                <c:pt idx="171">
                  <c:v>0.22427564009917866</c:v>
                </c:pt>
                <c:pt idx="172">
                  <c:v>0.22599774569379605</c:v>
                </c:pt>
                <c:pt idx="173">
                  <c:v>0.22765183129954969</c:v>
                </c:pt>
                <c:pt idx="174">
                  <c:v>0.22923648107241917</c:v>
                </c:pt>
                <c:pt idx="175">
                  <c:v>0.23075036159032236</c:v>
                </c:pt>
                <c:pt idx="176">
                  <c:v>0.23219222329633632</c:v>
                </c:pt>
                <c:pt idx="177">
                  <c:v>0.23356090176524222</c:v>
                </c:pt>
                <c:pt idx="178">
                  <c:v>0.2348553187892066</c:v>
                </c:pt>
                <c:pt idx="179">
                  <c:v>0.23607448327926797</c:v>
                </c:pt>
                <c:pt idx="180">
                  <c:v>0.23721749198016789</c:v>
                </c:pt>
                <c:pt idx="181">
                  <c:v>0.23828352999694916</c:v>
                </c:pt>
                <c:pt idx="182">
                  <c:v>0.23927187113261086</c:v>
                </c:pt>
                <c:pt idx="183">
                  <c:v>0.24018187803701066</c:v>
                </c:pt>
                <c:pt idx="184">
                  <c:v>0.2410130021680639</c:v>
                </c:pt>
                <c:pt idx="185">
                  <c:v>0.24176478356716222</c:v>
                </c:pt>
                <c:pt idx="186">
                  <c:v>0.24243685045157093</c:v>
                </c:pt>
                <c:pt idx="187">
                  <c:v>0.24302891862739365</c:v>
                </c:pt>
                <c:pt idx="188">
                  <c:v>0.24354079072748125</c:v>
                </c:pt>
                <c:pt idx="189">
                  <c:v>0.24397235527942657</c:v>
                </c:pt>
                <c:pt idx="190">
                  <c:v>0.24432358560950848</c:v>
                </c:pt>
                <c:pt idx="191">
                  <c:v>0.24459453858912367</c:v>
                </c:pt>
                <c:pt idx="192">
                  <c:v>0.24478535323089221</c:v>
                </c:pt>
                <c:pt idx="193">
                  <c:v>0.24489624914218783</c:v>
                </c:pt>
                <c:pt idx="194">
                  <c:v>0.2449275248443859</c:v>
                </c:pt>
                <c:pt idx="195">
                  <c:v>0.24487955596659056</c:v>
                </c:pt>
                <c:pt idx="196">
                  <c:v>0.24475279332300284</c:v>
                </c:pt>
                <c:pt idx="197">
                  <c:v>0.24454776088345523</c:v>
                </c:pt>
                <c:pt idx="198">
                  <c:v>0.24426505364690621</c:v>
                </c:pt>
                <c:pt idx="199">
                  <c:v>0.24390533542791115</c:v>
                </c:pt>
                <c:pt idx="200">
                  <c:v>0.2434693365662349</c:v>
                </c:pt>
                <c:pt idx="201">
                  <c:v>0.24295785156984853</c:v>
                </c:pt>
                <c:pt idx="202">
                  <c:v>0.24237173670156781</c:v>
                </c:pt>
                <c:pt idx="203">
                  <c:v>0.24171190751953908</c:v>
                </c:pt>
                <c:pt idx="204">
                  <c:v>0.24097933638165145</c:v>
                </c:pt>
                <c:pt idx="205">
                  <c:v>0.24017504992377459</c:v>
                </c:pt>
                <c:pt idx="206">
                  <c:v>0.23930012652147617</c:v>
                </c:pt>
                <c:pt idx="207">
                  <c:v>0.23835569374455937</c:v>
                </c:pt>
                <c:pt idx="208">
                  <c:v>0.23734292581340241</c:v>
                </c:pt>
                <c:pt idx="209">
                  <c:v>0.23626304106566948</c:v>
                </c:pt>
                <c:pt idx="210">
                  <c:v>0.23511729944148943</c:v>
                </c:pt>
                <c:pt idx="211">
                  <c:v>0.23390699999469816</c:v>
                </c:pt>
                <c:pt idx="212">
                  <c:v>0.23263347843718879</c:v>
                </c:pt>
                <c:pt idx="213">
                  <c:v>0.23129810472283308</c:v>
                </c:pt>
                <c:pt idx="214">
                  <c:v>0.22990228067682131</c:v>
                </c:pt>
                <c:pt idx="215">
                  <c:v>0.22844743767564593</c:v>
                </c:pt>
                <c:pt idx="216">
                  <c:v>0.22693503438228996</c:v>
                </c:pt>
                <c:pt idx="217">
                  <c:v>0.22536655454052443</c:v>
                </c:pt>
                <c:pt idx="218">
                  <c:v>0.22374350483155514</c:v>
                </c:pt>
                <c:pt idx="219">
                  <c:v>0.22206741279558331</c:v>
                </c:pt>
                <c:pt idx="220">
                  <c:v>0.22033982482019393</c:v>
                </c:pt>
                <c:pt idx="221">
                  <c:v>0.21856230419683123</c:v>
                </c:pt>
                <c:pt idx="222">
                  <c:v>0.2167364292459944</c:v>
                </c:pt>
                <c:pt idx="223">
                  <c:v>0.21486379151118298</c:v>
                </c:pt>
                <c:pt idx="224">
                  <c:v>0.21294599402104206</c:v>
                </c:pt>
                <c:pt idx="225">
                  <c:v>0.21098464961861463</c:v>
                </c:pt>
                <c:pt idx="226">
                  <c:v>0.208981379356111</c:v>
                </c:pt>
                <c:pt idx="227">
                  <c:v>0.2069378109531336</c:v>
                </c:pt>
                <c:pt idx="228">
                  <c:v>0.20485557731588594</c:v>
                </c:pt>
                <c:pt idx="229">
                  <c:v>0.20273631511452833</c:v>
                </c:pt>
                <c:pt idx="230">
                  <c:v>0.20058166341552236</c:v>
                </c:pt>
                <c:pt idx="231">
                  <c:v>0.19839326236554955</c:v>
                </c:pt>
                <c:pt idx="232">
                  <c:v>0.19617275192337699</c:v>
                </c:pt>
                <c:pt idx="233">
                  <c:v>0.19392177063589816</c:v>
                </c:pt>
                <c:pt idx="234">
                  <c:v>0.19164195445447274</c:v>
                </c:pt>
                <c:pt idx="235">
                  <c:v>0.18933493558765577</c:v>
                </c:pt>
                <c:pt idx="236">
                  <c:v>0.18700234138641436</c:v>
                </c:pt>
                <c:pt idx="237">
                  <c:v>0.18464579325800243</c:v>
                </c:pt>
                <c:pt idx="238">
                  <c:v>0.18226690560477407</c:v>
                </c:pt>
                <c:pt idx="239">
                  <c:v>0.17986728478438704</c:v>
                </c:pt>
                <c:pt idx="240">
                  <c:v>0.17744852808805353</c:v>
                </c:pt>
                <c:pt idx="241">
                  <c:v>0.17501222273374775</c:v>
                </c:pt>
                <c:pt idx="242">
                  <c:v>0.17255994487156637</c:v>
                </c:pt>
                <c:pt idx="243">
                  <c:v>0.17009325859876134</c:v>
                </c:pt>
                <c:pt idx="244">
                  <c:v>0.16761371498230954</c:v>
                </c:pt>
                <c:pt idx="245">
                  <c:v>0.16512285108725852</c:v>
                </c:pt>
                <c:pt idx="246">
                  <c:v>0.16262218900947595</c:v>
                </c:pt>
                <c:pt idx="247">
                  <c:v>0.16011323491183524</c:v>
                </c:pt>
                <c:pt idx="248">
                  <c:v>0.15759747806327717</c:v>
                </c:pt>
                <c:pt idx="249">
                  <c:v>0.15507638988060377</c:v>
                </c:pt>
                <c:pt idx="250">
                  <c:v>0.15255142297326577</c:v>
                </c:pt>
                <c:pt idx="251">
                  <c:v>0.15002401019181139</c:v>
                </c:pt>
                <c:pt idx="252">
                  <c:v>0.14749556368104824</c:v>
                </c:pt>
                <c:pt idx="253">
                  <c:v>0.14496747393934298</c:v>
                </c:pt>
                <c:pt idx="254">
                  <c:v>0.14244110888583125</c:v>
                </c:pt>
                <c:pt idx="255">
                  <c:v>0.13991781293763031</c:v>
                </c:pt>
                <c:pt idx="256">
                  <c:v>0.13739890609944258</c:v>
                </c:pt>
                <c:pt idx="257">
                  <c:v>0.13488568306819076</c:v>
                </c:pt>
                <c:pt idx="258">
                  <c:v>0.1323794123555519</c:v>
                </c:pt>
                <c:pt idx="259">
                  <c:v>0.12988133543143957</c:v>
                </c:pt>
                <c:pt idx="260">
                  <c:v>0.1273926658916236</c:v>
                </c:pt>
                <c:pt idx="261">
                  <c:v>0.12491458865278095</c:v>
                </c:pt>
                <c:pt idx="262">
                  <c:v>0.12244825917832786</c:v>
                </c:pt>
                <c:pt idx="263">
                  <c:v>0.11999480273839661</c:v>
                </c:pt>
                <c:pt idx="264">
                  <c:v>0.1175553137072948</c:v>
                </c:pt>
                <c:pt idx="265">
                  <c:v>0.1151308549017139</c:v>
                </c:pt>
                <c:pt idx="266">
                  <c:v>0.11272245696284137</c:v>
                </c:pt>
                <c:pt idx="267">
                  <c:v>0.1103311177853827</c:v>
                </c:pt>
                <c:pt idx="268">
                  <c:v>0.10795780199631004</c:v>
                </c:pt>
                <c:pt idx="269">
                  <c:v>0.10560344048593427</c:v>
                </c:pt>
                <c:pt idx="270">
                  <c:v>0.10326892999364129</c:v>
                </c:pt>
                <c:pt idx="271">
                  <c:v>0.10095513275035416</c:v>
                </c:pt>
                <c:pt idx="272">
                  <c:v>9.866287617947285E-2</c:v>
                </c:pt>
                <c:pt idx="273">
                  <c:v>9.6392952657719397E-2</c:v>
                </c:pt>
                <c:pt idx="274">
                  <c:v>9.4146119336966969E-2</c:v>
                </c:pt>
                <c:pt idx="275">
                  <c:v>9.1923098027777206E-2</c:v>
                </c:pt>
                <c:pt idx="276">
                  <c:v>8.9724575145002414E-2</c:v>
                </c:pt>
                <c:pt idx="277">
                  <c:v>8.7551201715436427E-2</c:v>
                </c:pt>
                <c:pt idx="278">
                  <c:v>8.5403593447130305E-2</c:v>
                </c:pt>
                <c:pt idx="279">
                  <c:v>8.3282330859616824E-2</c:v>
                </c:pt>
                <c:pt idx="280">
                  <c:v>8.1187959473932383E-2</c:v>
                </c:pt>
                <c:pt idx="281">
                  <c:v>7.9120990060973409E-2</c:v>
                </c:pt>
                <c:pt idx="282">
                  <c:v>7.7081898946393806E-2</c:v>
                </c:pt>
                <c:pt idx="283">
                  <c:v>7.5071128369934986E-2</c:v>
                </c:pt>
                <c:pt idx="284">
                  <c:v>7.3089086896787864E-2</c:v>
                </c:pt>
                <c:pt idx="285">
                  <c:v>7.1136149878319538E-2</c:v>
                </c:pt>
                <c:pt idx="286">
                  <c:v>6.9212659959255268E-2</c:v>
                </c:pt>
                <c:pt idx="287">
                  <c:v>6.7318927628197217E-2</c:v>
                </c:pt>
                <c:pt idx="288">
                  <c:v>6.5455231808179248E-2</c:v>
                </c:pt>
                <c:pt idx="289">
                  <c:v>6.3621820483809849E-2</c:v>
                </c:pt>
                <c:pt idx="290">
                  <c:v>6.1818911361439577E-2</c:v>
                </c:pt>
                <c:pt idx="291">
                  <c:v>6.004669255870887E-2</c:v>
                </c:pt>
                <c:pt idx="292">
                  <c:v>5.830532331978338E-2</c:v>
                </c:pt>
                <c:pt idx="293">
                  <c:v>5.6594934752569735E-2</c:v>
                </c:pt>
                <c:pt idx="294">
                  <c:v>5.4915630584224023E-2</c:v>
                </c:pt>
                <c:pt idx="295">
                  <c:v>5.3267487931314639E-2</c:v>
                </c:pt>
                <c:pt idx="296">
                  <c:v>5.1650558081081412E-2</c:v>
                </c:pt>
                <c:pt idx="297">
                  <c:v>5.0064867280344441E-2</c:v>
                </c:pt>
                <c:pt idx="298">
                  <c:v>4.8510417528749065E-2</c:v>
                </c:pt>
                <c:pt idx="299">
                  <c:v>4.6987187373196654E-2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99-4895-9D19-8D54FDAE56CE}"/>
            </c:ext>
          </c:extLst>
        </c:ser>
        <c:ser>
          <c:idx val="3"/>
          <c:order val="2"/>
          <c:tx>
            <c:v>Mała szerokość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irysy_estymacjagęstości!$K$3:$K$302</c:f>
              <c:numCache>
                <c:formatCode>General</c:formatCode>
                <c:ptCount val="300"/>
                <c:pt idx="0">
                  <c:v>1</c:v>
                </c:pt>
                <c:pt idx="1">
                  <c:v>1.0197324414715718</c:v>
                </c:pt>
                <c:pt idx="2">
                  <c:v>1.0394648829431437</c:v>
                </c:pt>
                <c:pt idx="3">
                  <c:v>1.0591973244147155</c:v>
                </c:pt>
                <c:pt idx="4">
                  <c:v>1.0789297658862873</c:v>
                </c:pt>
                <c:pt idx="5">
                  <c:v>1.0986622073578591</c:v>
                </c:pt>
                <c:pt idx="6">
                  <c:v>1.118394648829431</c:v>
                </c:pt>
                <c:pt idx="7">
                  <c:v>1.1381270903010028</c:v>
                </c:pt>
                <c:pt idx="8">
                  <c:v>1.1578595317725746</c:v>
                </c:pt>
                <c:pt idx="9">
                  <c:v>1.1775919732441464</c:v>
                </c:pt>
                <c:pt idx="10">
                  <c:v>1.1973244147157183</c:v>
                </c:pt>
                <c:pt idx="11">
                  <c:v>1.2170568561872901</c:v>
                </c:pt>
                <c:pt idx="12">
                  <c:v>1.2367892976588619</c:v>
                </c:pt>
                <c:pt idx="13">
                  <c:v>1.2565217391304337</c:v>
                </c:pt>
                <c:pt idx="14">
                  <c:v>1.2762541806020056</c:v>
                </c:pt>
                <c:pt idx="15">
                  <c:v>1.2959866220735774</c:v>
                </c:pt>
                <c:pt idx="16">
                  <c:v>1.3157190635451492</c:v>
                </c:pt>
                <c:pt idx="17">
                  <c:v>1.3354515050167211</c:v>
                </c:pt>
                <c:pt idx="18">
                  <c:v>1.3551839464882929</c:v>
                </c:pt>
                <c:pt idx="19">
                  <c:v>1.3749163879598647</c:v>
                </c:pt>
                <c:pt idx="20">
                  <c:v>1.3946488294314365</c:v>
                </c:pt>
                <c:pt idx="21">
                  <c:v>1.4143812709030084</c:v>
                </c:pt>
                <c:pt idx="22">
                  <c:v>1.4341137123745802</c:v>
                </c:pt>
                <c:pt idx="23">
                  <c:v>1.453846153846152</c:v>
                </c:pt>
                <c:pt idx="24">
                  <c:v>1.4735785953177238</c:v>
                </c:pt>
                <c:pt idx="25">
                  <c:v>1.4933110367892957</c:v>
                </c:pt>
                <c:pt idx="26">
                  <c:v>1.5130434782608675</c:v>
                </c:pt>
                <c:pt idx="27">
                  <c:v>1.5327759197324393</c:v>
                </c:pt>
                <c:pt idx="28">
                  <c:v>1.5525083612040111</c:v>
                </c:pt>
                <c:pt idx="29">
                  <c:v>1.572240802675583</c:v>
                </c:pt>
                <c:pt idx="30">
                  <c:v>1.5919732441471548</c:v>
                </c:pt>
                <c:pt idx="31">
                  <c:v>1.6117056856187266</c:v>
                </c:pt>
                <c:pt idx="32">
                  <c:v>1.6314381270902985</c:v>
                </c:pt>
                <c:pt idx="33">
                  <c:v>1.6511705685618703</c:v>
                </c:pt>
                <c:pt idx="34">
                  <c:v>1.6709030100334421</c:v>
                </c:pt>
                <c:pt idx="35">
                  <c:v>1.6906354515050139</c:v>
                </c:pt>
                <c:pt idx="36">
                  <c:v>1.7103678929765858</c:v>
                </c:pt>
                <c:pt idx="37">
                  <c:v>1.7301003344481576</c:v>
                </c:pt>
                <c:pt idx="38">
                  <c:v>1.7498327759197294</c:v>
                </c:pt>
                <c:pt idx="39">
                  <c:v>1.7695652173913012</c:v>
                </c:pt>
                <c:pt idx="40">
                  <c:v>1.7892976588628731</c:v>
                </c:pt>
                <c:pt idx="41">
                  <c:v>1.8090301003344449</c:v>
                </c:pt>
                <c:pt idx="42">
                  <c:v>1.8287625418060167</c:v>
                </c:pt>
                <c:pt idx="43">
                  <c:v>1.8484949832775885</c:v>
                </c:pt>
                <c:pt idx="44">
                  <c:v>1.8682274247491604</c:v>
                </c:pt>
                <c:pt idx="45">
                  <c:v>1.8879598662207322</c:v>
                </c:pt>
                <c:pt idx="46">
                  <c:v>1.907692307692304</c:v>
                </c:pt>
                <c:pt idx="47">
                  <c:v>1.9274247491638759</c:v>
                </c:pt>
                <c:pt idx="48">
                  <c:v>1.9471571906354477</c:v>
                </c:pt>
                <c:pt idx="49">
                  <c:v>1.9668896321070195</c:v>
                </c:pt>
                <c:pt idx="50">
                  <c:v>1.9866220735785913</c:v>
                </c:pt>
                <c:pt idx="51">
                  <c:v>2.0063545150501634</c:v>
                </c:pt>
                <c:pt idx="52">
                  <c:v>2.0260869565217354</c:v>
                </c:pt>
                <c:pt idx="53">
                  <c:v>2.0458193979933075</c:v>
                </c:pt>
                <c:pt idx="54">
                  <c:v>2.0655518394648795</c:v>
                </c:pt>
                <c:pt idx="55">
                  <c:v>2.0852842809364516</c:v>
                </c:pt>
                <c:pt idx="56">
                  <c:v>2.1050167224080236</c:v>
                </c:pt>
                <c:pt idx="57">
                  <c:v>2.1247491638795957</c:v>
                </c:pt>
                <c:pt idx="58">
                  <c:v>2.1444816053511677</c:v>
                </c:pt>
                <c:pt idx="59">
                  <c:v>2.1642140468227398</c:v>
                </c:pt>
                <c:pt idx="60">
                  <c:v>2.1839464882943118</c:v>
                </c:pt>
                <c:pt idx="61">
                  <c:v>2.2036789297658839</c:v>
                </c:pt>
                <c:pt idx="62">
                  <c:v>2.2234113712374559</c:v>
                </c:pt>
                <c:pt idx="63">
                  <c:v>2.243143812709028</c:v>
                </c:pt>
                <c:pt idx="64">
                  <c:v>2.2628762541806</c:v>
                </c:pt>
                <c:pt idx="65">
                  <c:v>2.2826086956521721</c:v>
                </c:pt>
                <c:pt idx="66">
                  <c:v>2.3023411371237441</c:v>
                </c:pt>
                <c:pt idx="67">
                  <c:v>2.3220735785953162</c:v>
                </c:pt>
                <c:pt idx="68">
                  <c:v>2.3418060200668882</c:v>
                </c:pt>
                <c:pt idx="69">
                  <c:v>2.3615384615384603</c:v>
                </c:pt>
                <c:pt idx="70">
                  <c:v>2.3812709030100323</c:v>
                </c:pt>
                <c:pt idx="71">
                  <c:v>2.4010033444816044</c:v>
                </c:pt>
                <c:pt idx="72">
                  <c:v>2.4207357859531764</c:v>
                </c:pt>
                <c:pt idx="73">
                  <c:v>2.4404682274247484</c:v>
                </c:pt>
                <c:pt idx="74">
                  <c:v>2.4602006688963205</c:v>
                </c:pt>
                <c:pt idx="75">
                  <c:v>2.4799331103678925</c:v>
                </c:pt>
                <c:pt idx="76">
                  <c:v>2.4996655518394646</c:v>
                </c:pt>
                <c:pt idx="77">
                  <c:v>2.5193979933110366</c:v>
                </c:pt>
                <c:pt idx="78">
                  <c:v>2.5391304347826087</c:v>
                </c:pt>
                <c:pt idx="79">
                  <c:v>2.5588628762541807</c:v>
                </c:pt>
                <c:pt idx="80">
                  <c:v>2.5785953177257528</c:v>
                </c:pt>
                <c:pt idx="81">
                  <c:v>2.5983277591973248</c:v>
                </c:pt>
                <c:pt idx="82">
                  <c:v>2.6180602006688969</c:v>
                </c:pt>
                <c:pt idx="83">
                  <c:v>2.6377926421404689</c:v>
                </c:pt>
                <c:pt idx="84">
                  <c:v>2.657525083612041</c:v>
                </c:pt>
                <c:pt idx="85">
                  <c:v>2.677257525083613</c:v>
                </c:pt>
                <c:pt idx="86">
                  <c:v>2.6969899665551851</c:v>
                </c:pt>
                <c:pt idx="87">
                  <c:v>2.7167224080267571</c:v>
                </c:pt>
                <c:pt idx="88">
                  <c:v>2.7364548494983292</c:v>
                </c:pt>
                <c:pt idx="89">
                  <c:v>2.7561872909699012</c:v>
                </c:pt>
                <c:pt idx="90">
                  <c:v>2.7759197324414733</c:v>
                </c:pt>
                <c:pt idx="91">
                  <c:v>2.7956521739130453</c:v>
                </c:pt>
                <c:pt idx="92">
                  <c:v>2.8153846153846174</c:v>
                </c:pt>
                <c:pt idx="93">
                  <c:v>2.8351170568561894</c:v>
                </c:pt>
                <c:pt idx="94">
                  <c:v>2.8548494983277615</c:v>
                </c:pt>
                <c:pt idx="95">
                  <c:v>2.8745819397993335</c:v>
                </c:pt>
                <c:pt idx="96">
                  <c:v>2.8943143812709056</c:v>
                </c:pt>
                <c:pt idx="97">
                  <c:v>2.9140468227424776</c:v>
                </c:pt>
                <c:pt idx="98">
                  <c:v>2.9337792642140497</c:v>
                </c:pt>
                <c:pt idx="99">
                  <c:v>2.9535117056856217</c:v>
                </c:pt>
                <c:pt idx="100">
                  <c:v>2.9732441471571938</c:v>
                </c:pt>
                <c:pt idx="101">
                  <c:v>2.9929765886287658</c:v>
                </c:pt>
                <c:pt idx="102">
                  <c:v>3.0127090301003379</c:v>
                </c:pt>
                <c:pt idx="103">
                  <c:v>3.0324414715719099</c:v>
                </c:pt>
                <c:pt idx="104">
                  <c:v>3.052173913043482</c:v>
                </c:pt>
                <c:pt idx="105">
                  <c:v>3.071906354515054</c:v>
                </c:pt>
                <c:pt idx="106">
                  <c:v>3.0916387959866261</c:v>
                </c:pt>
                <c:pt idx="107">
                  <c:v>3.1113712374581981</c:v>
                </c:pt>
                <c:pt idx="108">
                  <c:v>3.1311036789297702</c:v>
                </c:pt>
                <c:pt idx="109">
                  <c:v>3.1508361204013422</c:v>
                </c:pt>
                <c:pt idx="110">
                  <c:v>3.1705685618729142</c:v>
                </c:pt>
                <c:pt idx="111">
                  <c:v>3.1903010033444863</c:v>
                </c:pt>
                <c:pt idx="112">
                  <c:v>3.2100334448160583</c:v>
                </c:pt>
                <c:pt idx="113">
                  <c:v>3.2297658862876304</c:v>
                </c:pt>
                <c:pt idx="114">
                  <c:v>3.2494983277592024</c:v>
                </c:pt>
                <c:pt idx="115">
                  <c:v>3.2692307692307745</c:v>
                </c:pt>
                <c:pt idx="116">
                  <c:v>3.2889632107023465</c:v>
                </c:pt>
                <c:pt idx="117">
                  <c:v>3.3086956521739186</c:v>
                </c:pt>
                <c:pt idx="118">
                  <c:v>3.3284280936454906</c:v>
                </c:pt>
                <c:pt idx="119">
                  <c:v>3.3481605351170627</c:v>
                </c:pt>
                <c:pt idx="120">
                  <c:v>3.3678929765886347</c:v>
                </c:pt>
                <c:pt idx="121">
                  <c:v>3.3876254180602068</c:v>
                </c:pt>
                <c:pt idx="122">
                  <c:v>3.4073578595317788</c:v>
                </c:pt>
                <c:pt idx="123">
                  <c:v>3.4270903010033509</c:v>
                </c:pt>
                <c:pt idx="124">
                  <c:v>3.4468227424749229</c:v>
                </c:pt>
                <c:pt idx="125">
                  <c:v>3.466555183946495</c:v>
                </c:pt>
                <c:pt idx="126">
                  <c:v>3.486287625418067</c:v>
                </c:pt>
                <c:pt idx="127">
                  <c:v>3.5060200668896391</c:v>
                </c:pt>
                <c:pt idx="128">
                  <c:v>3.5257525083612111</c:v>
                </c:pt>
                <c:pt idx="129">
                  <c:v>3.5454849498327832</c:v>
                </c:pt>
                <c:pt idx="130">
                  <c:v>3.5652173913043552</c:v>
                </c:pt>
                <c:pt idx="131">
                  <c:v>3.5849498327759273</c:v>
                </c:pt>
                <c:pt idx="132">
                  <c:v>3.6046822742474993</c:v>
                </c:pt>
                <c:pt idx="133">
                  <c:v>3.6244147157190714</c:v>
                </c:pt>
                <c:pt idx="134">
                  <c:v>3.6441471571906434</c:v>
                </c:pt>
                <c:pt idx="135">
                  <c:v>3.6638795986622155</c:v>
                </c:pt>
                <c:pt idx="136">
                  <c:v>3.6836120401337875</c:v>
                </c:pt>
                <c:pt idx="137">
                  <c:v>3.7033444816053596</c:v>
                </c:pt>
                <c:pt idx="138">
                  <c:v>3.7230769230769316</c:v>
                </c:pt>
                <c:pt idx="139">
                  <c:v>3.7428093645485037</c:v>
                </c:pt>
                <c:pt idx="140">
                  <c:v>3.7625418060200757</c:v>
                </c:pt>
                <c:pt idx="141">
                  <c:v>3.7822742474916478</c:v>
                </c:pt>
                <c:pt idx="142">
                  <c:v>3.8020066889632198</c:v>
                </c:pt>
                <c:pt idx="143">
                  <c:v>3.8217391304347919</c:v>
                </c:pt>
                <c:pt idx="144">
                  <c:v>3.8414715719063639</c:v>
                </c:pt>
                <c:pt idx="145">
                  <c:v>3.861204013377936</c:v>
                </c:pt>
                <c:pt idx="146">
                  <c:v>3.880936454849508</c:v>
                </c:pt>
                <c:pt idx="147">
                  <c:v>3.90066889632108</c:v>
                </c:pt>
                <c:pt idx="148">
                  <c:v>3.9204013377926521</c:v>
                </c:pt>
                <c:pt idx="149">
                  <c:v>3.9401337792642241</c:v>
                </c:pt>
                <c:pt idx="150">
                  <c:v>3.9598662207357962</c:v>
                </c:pt>
                <c:pt idx="151">
                  <c:v>3.9795986622073682</c:v>
                </c:pt>
                <c:pt idx="152">
                  <c:v>3.9993311036789403</c:v>
                </c:pt>
                <c:pt idx="153">
                  <c:v>4.0190635451505123</c:v>
                </c:pt>
                <c:pt idx="154">
                  <c:v>4.0387959866220839</c:v>
                </c:pt>
                <c:pt idx="155">
                  <c:v>4.0585284280936555</c:v>
                </c:pt>
                <c:pt idx="156">
                  <c:v>4.0782608695652272</c:v>
                </c:pt>
                <c:pt idx="157">
                  <c:v>4.0979933110367988</c:v>
                </c:pt>
                <c:pt idx="158">
                  <c:v>4.1177257525083704</c:v>
                </c:pt>
                <c:pt idx="159">
                  <c:v>4.137458193979942</c:v>
                </c:pt>
                <c:pt idx="160">
                  <c:v>4.1571906354515136</c:v>
                </c:pt>
                <c:pt idx="161">
                  <c:v>4.1769230769230852</c:v>
                </c:pt>
                <c:pt idx="162">
                  <c:v>4.1966555183946568</c:v>
                </c:pt>
                <c:pt idx="163">
                  <c:v>4.2163879598662284</c:v>
                </c:pt>
                <c:pt idx="164">
                  <c:v>4.2361204013378</c:v>
                </c:pt>
                <c:pt idx="165">
                  <c:v>4.2558528428093716</c:v>
                </c:pt>
                <c:pt idx="166">
                  <c:v>4.2755852842809432</c:v>
                </c:pt>
                <c:pt idx="167">
                  <c:v>4.2953177257525148</c:v>
                </c:pt>
                <c:pt idx="168">
                  <c:v>4.3150501672240864</c:v>
                </c:pt>
                <c:pt idx="169">
                  <c:v>4.334782608695658</c:v>
                </c:pt>
                <c:pt idx="170">
                  <c:v>4.3545150501672296</c:v>
                </c:pt>
                <c:pt idx="171">
                  <c:v>4.3742474916388012</c:v>
                </c:pt>
                <c:pt idx="172">
                  <c:v>4.3939799331103728</c:v>
                </c:pt>
                <c:pt idx="173">
                  <c:v>4.4137123745819444</c:v>
                </c:pt>
                <c:pt idx="174">
                  <c:v>4.433444816053516</c:v>
                </c:pt>
                <c:pt idx="175">
                  <c:v>4.4531772575250876</c:v>
                </c:pt>
                <c:pt idx="176">
                  <c:v>4.4729096989966592</c:v>
                </c:pt>
                <c:pt idx="177">
                  <c:v>4.4926421404682308</c:v>
                </c:pt>
                <c:pt idx="178">
                  <c:v>4.5123745819398025</c:v>
                </c:pt>
                <c:pt idx="179">
                  <c:v>4.5321070234113741</c:v>
                </c:pt>
                <c:pt idx="180">
                  <c:v>4.5518394648829457</c:v>
                </c:pt>
                <c:pt idx="181">
                  <c:v>4.5715719063545173</c:v>
                </c:pt>
                <c:pt idx="182">
                  <c:v>4.5913043478260889</c:v>
                </c:pt>
                <c:pt idx="183">
                  <c:v>4.6110367892976605</c:v>
                </c:pt>
                <c:pt idx="184">
                  <c:v>4.6307692307692321</c:v>
                </c:pt>
                <c:pt idx="185">
                  <c:v>4.6505016722408037</c:v>
                </c:pt>
                <c:pt idx="186">
                  <c:v>4.6702341137123753</c:v>
                </c:pt>
                <c:pt idx="187">
                  <c:v>4.6899665551839469</c:v>
                </c:pt>
                <c:pt idx="188">
                  <c:v>4.7096989966555185</c:v>
                </c:pt>
                <c:pt idx="189">
                  <c:v>4.7294314381270901</c:v>
                </c:pt>
                <c:pt idx="190">
                  <c:v>4.7491638795986617</c:v>
                </c:pt>
                <c:pt idx="191">
                  <c:v>4.7688963210702333</c:v>
                </c:pt>
                <c:pt idx="192">
                  <c:v>4.7886287625418049</c:v>
                </c:pt>
                <c:pt idx="193">
                  <c:v>4.8083612040133765</c:v>
                </c:pt>
                <c:pt idx="194">
                  <c:v>4.8280936454849481</c:v>
                </c:pt>
                <c:pt idx="195">
                  <c:v>4.8478260869565197</c:v>
                </c:pt>
                <c:pt idx="196">
                  <c:v>4.8675585284280913</c:v>
                </c:pt>
                <c:pt idx="197">
                  <c:v>4.8872909698996629</c:v>
                </c:pt>
                <c:pt idx="198">
                  <c:v>4.9070234113712345</c:v>
                </c:pt>
                <c:pt idx="199">
                  <c:v>4.9267558528428061</c:v>
                </c:pt>
                <c:pt idx="200">
                  <c:v>4.9464882943143778</c:v>
                </c:pt>
                <c:pt idx="201">
                  <c:v>4.9662207357859494</c:v>
                </c:pt>
                <c:pt idx="202">
                  <c:v>4.985953177257521</c:v>
                </c:pt>
                <c:pt idx="203">
                  <c:v>5.0056856187290926</c:v>
                </c:pt>
                <c:pt idx="204">
                  <c:v>5.0254180602006642</c:v>
                </c:pt>
                <c:pt idx="205">
                  <c:v>5.0451505016722358</c:v>
                </c:pt>
                <c:pt idx="206">
                  <c:v>5.0648829431438074</c:v>
                </c:pt>
                <c:pt idx="207">
                  <c:v>5.084615384615379</c:v>
                </c:pt>
                <c:pt idx="208">
                  <c:v>5.1043478260869506</c:v>
                </c:pt>
                <c:pt idx="209">
                  <c:v>5.1240802675585222</c:v>
                </c:pt>
                <c:pt idx="210">
                  <c:v>5.1438127090300938</c:v>
                </c:pt>
                <c:pt idx="211">
                  <c:v>5.1635451505016654</c:v>
                </c:pt>
                <c:pt idx="212">
                  <c:v>5.183277591973237</c:v>
                </c:pt>
                <c:pt idx="213">
                  <c:v>5.2030100334448086</c:v>
                </c:pt>
                <c:pt idx="214">
                  <c:v>5.2227424749163802</c:v>
                </c:pt>
                <c:pt idx="215">
                  <c:v>5.2424749163879518</c:v>
                </c:pt>
                <c:pt idx="216">
                  <c:v>5.2622073578595234</c:v>
                </c:pt>
                <c:pt idx="217">
                  <c:v>5.281939799331095</c:v>
                </c:pt>
                <c:pt idx="218">
                  <c:v>5.3016722408026666</c:v>
                </c:pt>
                <c:pt idx="219">
                  <c:v>5.3214046822742382</c:v>
                </c:pt>
                <c:pt idx="220">
                  <c:v>5.3411371237458098</c:v>
                </c:pt>
                <c:pt idx="221">
                  <c:v>5.3608695652173814</c:v>
                </c:pt>
                <c:pt idx="222">
                  <c:v>5.3806020066889531</c:v>
                </c:pt>
                <c:pt idx="223">
                  <c:v>5.4003344481605247</c:v>
                </c:pt>
                <c:pt idx="224">
                  <c:v>5.4200668896320963</c:v>
                </c:pt>
                <c:pt idx="225">
                  <c:v>5.4397993311036679</c:v>
                </c:pt>
                <c:pt idx="226">
                  <c:v>5.4595317725752395</c:v>
                </c:pt>
                <c:pt idx="227">
                  <c:v>5.4792642140468111</c:v>
                </c:pt>
                <c:pt idx="228">
                  <c:v>5.4989966555183827</c:v>
                </c:pt>
                <c:pt idx="229">
                  <c:v>5.5187290969899543</c:v>
                </c:pt>
                <c:pt idx="230">
                  <c:v>5.5384615384615259</c:v>
                </c:pt>
                <c:pt idx="231">
                  <c:v>5.5581939799330975</c:v>
                </c:pt>
                <c:pt idx="232">
                  <c:v>5.5779264214046691</c:v>
                </c:pt>
                <c:pt idx="233">
                  <c:v>5.5976588628762407</c:v>
                </c:pt>
                <c:pt idx="234">
                  <c:v>5.6173913043478123</c:v>
                </c:pt>
                <c:pt idx="235">
                  <c:v>5.6371237458193839</c:v>
                </c:pt>
                <c:pt idx="236">
                  <c:v>5.6568561872909555</c:v>
                </c:pt>
                <c:pt idx="237">
                  <c:v>5.6765886287625271</c:v>
                </c:pt>
                <c:pt idx="238">
                  <c:v>5.6963210702340987</c:v>
                </c:pt>
                <c:pt idx="239">
                  <c:v>5.7160535117056703</c:v>
                </c:pt>
                <c:pt idx="240">
                  <c:v>5.7357859531772419</c:v>
                </c:pt>
                <c:pt idx="241">
                  <c:v>5.7555183946488135</c:v>
                </c:pt>
                <c:pt idx="242">
                  <c:v>5.7752508361203851</c:v>
                </c:pt>
                <c:pt idx="243">
                  <c:v>5.7949832775919567</c:v>
                </c:pt>
                <c:pt idx="244">
                  <c:v>5.8147157190635284</c:v>
                </c:pt>
                <c:pt idx="245">
                  <c:v>5.8344481605351</c:v>
                </c:pt>
                <c:pt idx="246">
                  <c:v>5.8541806020066716</c:v>
                </c:pt>
                <c:pt idx="247">
                  <c:v>5.8739130434782432</c:v>
                </c:pt>
                <c:pt idx="248">
                  <c:v>5.8936454849498148</c:v>
                </c:pt>
                <c:pt idx="249">
                  <c:v>5.9133779264213864</c:v>
                </c:pt>
                <c:pt idx="250">
                  <c:v>5.933110367892958</c:v>
                </c:pt>
                <c:pt idx="251">
                  <c:v>5.9528428093645296</c:v>
                </c:pt>
                <c:pt idx="252">
                  <c:v>5.9725752508361012</c:v>
                </c:pt>
                <c:pt idx="253">
                  <c:v>5.9923076923076728</c:v>
                </c:pt>
                <c:pt idx="254">
                  <c:v>6.0120401337792444</c:v>
                </c:pt>
                <c:pt idx="255">
                  <c:v>6.031772575250816</c:v>
                </c:pt>
                <c:pt idx="256">
                  <c:v>6.0515050167223876</c:v>
                </c:pt>
                <c:pt idx="257">
                  <c:v>6.0712374581939592</c:v>
                </c:pt>
                <c:pt idx="258">
                  <c:v>6.0909698996655308</c:v>
                </c:pt>
                <c:pt idx="259">
                  <c:v>6.1107023411371024</c:v>
                </c:pt>
                <c:pt idx="260">
                  <c:v>6.130434782608674</c:v>
                </c:pt>
                <c:pt idx="261">
                  <c:v>6.1501672240802456</c:v>
                </c:pt>
                <c:pt idx="262">
                  <c:v>6.1698996655518172</c:v>
                </c:pt>
                <c:pt idx="263">
                  <c:v>6.1896321070233888</c:v>
                </c:pt>
                <c:pt idx="264">
                  <c:v>6.2093645484949604</c:v>
                </c:pt>
                <c:pt idx="265">
                  <c:v>6.229096989966532</c:v>
                </c:pt>
                <c:pt idx="266">
                  <c:v>6.2488294314381037</c:v>
                </c:pt>
                <c:pt idx="267">
                  <c:v>6.2685618729096753</c:v>
                </c:pt>
                <c:pt idx="268">
                  <c:v>6.2882943143812469</c:v>
                </c:pt>
                <c:pt idx="269">
                  <c:v>6.3080267558528185</c:v>
                </c:pt>
                <c:pt idx="270">
                  <c:v>6.3277591973243901</c:v>
                </c:pt>
                <c:pt idx="271">
                  <c:v>6.3474916387959617</c:v>
                </c:pt>
                <c:pt idx="272">
                  <c:v>6.3672240802675333</c:v>
                </c:pt>
                <c:pt idx="273">
                  <c:v>6.3869565217391049</c:v>
                </c:pt>
                <c:pt idx="274">
                  <c:v>6.4066889632106765</c:v>
                </c:pt>
                <c:pt idx="275">
                  <c:v>6.4264214046822481</c:v>
                </c:pt>
                <c:pt idx="276">
                  <c:v>6.4461538461538197</c:v>
                </c:pt>
                <c:pt idx="277">
                  <c:v>6.4658862876253913</c:v>
                </c:pt>
                <c:pt idx="278">
                  <c:v>6.4856187290969629</c:v>
                </c:pt>
                <c:pt idx="279">
                  <c:v>6.5053511705685345</c:v>
                </c:pt>
                <c:pt idx="280">
                  <c:v>6.5250836120401061</c:v>
                </c:pt>
                <c:pt idx="281">
                  <c:v>6.5448160535116777</c:v>
                </c:pt>
                <c:pt idx="282">
                  <c:v>6.5645484949832493</c:v>
                </c:pt>
                <c:pt idx="283">
                  <c:v>6.5842809364548209</c:v>
                </c:pt>
                <c:pt idx="284">
                  <c:v>6.6040133779263925</c:v>
                </c:pt>
                <c:pt idx="285">
                  <c:v>6.6237458193979641</c:v>
                </c:pt>
                <c:pt idx="286">
                  <c:v>6.6434782608695357</c:v>
                </c:pt>
                <c:pt idx="287">
                  <c:v>6.6632107023411073</c:v>
                </c:pt>
                <c:pt idx="288">
                  <c:v>6.682943143812679</c:v>
                </c:pt>
                <c:pt idx="289">
                  <c:v>6.7026755852842506</c:v>
                </c:pt>
                <c:pt idx="290">
                  <c:v>6.7224080267558222</c:v>
                </c:pt>
                <c:pt idx="291">
                  <c:v>6.7421404682273938</c:v>
                </c:pt>
                <c:pt idx="292">
                  <c:v>6.7618729096989654</c:v>
                </c:pt>
                <c:pt idx="293">
                  <c:v>6.781605351170537</c:v>
                </c:pt>
                <c:pt idx="294">
                  <c:v>6.8013377926421086</c:v>
                </c:pt>
                <c:pt idx="295">
                  <c:v>6.8210702341136802</c:v>
                </c:pt>
                <c:pt idx="296">
                  <c:v>6.8408026755852518</c:v>
                </c:pt>
                <c:pt idx="297">
                  <c:v>6.8605351170568234</c:v>
                </c:pt>
                <c:pt idx="298">
                  <c:v>6.880267558528395</c:v>
                </c:pt>
                <c:pt idx="299">
                  <c:v>6.8999999999999666</c:v>
                </c:pt>
              </c:numCache>
            </c:numRef>
          </c:cat>
          <c:val>
            <c:numRef>
              <c:f>irysy_estymacjagęstości!$N$3:$N$302</c:f>
              <c:numCache>
                <c:formatCode>General</c:formatCode>
                <c:ptCount val="300"/>
                <c:pt idx="0">
                  <c:v>5.2111802645791412E-2</c:v>
                </c:pt>
                <c:pt idx="1">
                  <c:v>5.9751008830328509E-2</c:v>
                </c:pt>
                <c:pt idx="2">
                  <c:v>6.8190034593182611E-2</c:v>
                </c:pt>
                <c:pt idx="3">
                  <c:v>7.7844435482014265E-2</c:v>
                </c:pt>
                <c:pt idx="4">
                  <c:v>8.9263872232943714E-2</c:v>
                </c:pt>
                <c:pt idx="5">
                  <c:v>0.10310060816253883</c:v>
                </c:pt>
                <c:pt idx="6">
                  <c:v>0.12006036675042273</c:v>
                </c:pt>
                <c:pt idx="7">
                  <c:v>0.14083914520863863</c:v>
                </c:pt>
                <c:pt idx="8">
                  <c:v>0.16605086147545847</c:v>
                </c:pt>
                <c:pt idx="9">
                  <c:v>0.19615186035230703</c:v>
                </c:pt>
                <c:pt idx="10">
                  <c:v>0.23136921498357818</c:v>
                </c:pt>
                <c:pt idx="11">
                  <c:v>0.27164008409697193</c:v>
                </c:pt>
                <c:pt idx="12">
                  <c:v>0.31656880206948473</c:v>
                </c:pt>
                <c:pt idx="13">
                  <c:v>0.36540688801921989</c:v>
                </c:pt>
                <c:pt idx="14">
                  <c:v>0.41705914501800678</c:v>
                </c:pt>
                <c:pt idx="15">
                  <c:v>0.47011699590210443</c:v>
                </c:pt>
                <c:pt idx="16">
                  <c:v>0.52291843594154352</c:v>
                </c:pt>
                <c:pt idx="17">
                  <c:v>0.5736323169048716</c:v>
                </c:pt>
                <c:pt idx="18">
                  <c:v>0.62036273533584507</c:v>
                </c:pt>
                <c:pt idx="19">
                  <c:v>0.66126693265261627</c:v>
                </c:pt>
                <c:pt idx="20">
                  <c:v>0.69467770531899686</c:v>
                </c:pt>
                <c:pt idx="21">
                  <c:v>0.71921962546963836</c:v>
                </c:pt>
                <c:pt idx="22">
                  <c:v>0.73390800970603032</c:v>
                </c:pt>
                <c:pt idx="23">
                  <c:v>0.73822061370185355</c:v>
                </c:pt>
                <c:pt idx="24">
                  <c:v>0.73213404951220751</c:v>
                </c:pt>
                <c:pt idx="25">
                  <c:v>0.716119530479702</c:v>
                </c:pt>
                <c:pt idx="26">
                  <c:v>0.69109587135292616</c:v>
                </c:pt>
                <c:pt idx="27">
                  <c:v>0.65834225820131953</c:v>
                </c:pt>
                <c:pt idx="28">
                  <c:v>0.61937939575892853</c:v>
                </c:pt>
                <c:pt idx="29">
                  <c:v>0.57583434993684712</c:v>
                </c:pt>
                <c:pt idx="30">
                  <c:v>0.52930954275740105</c:v>
                </c:pt>
                <c:pt idx="31">
                  <c:v>0.48127726215777256</c:v>
                </c:pt>
                <c:pt idx="32">
                  <c:v>0.43301601323955285</c:v>
                </c:pt>
                <c:pt idx="33">
                  <c:v>0.38559451031246517</c:v>
                </c:pt>
                <c:pt idx="34">
                  <c:v>0.33989593134177387</c:v>
                </c:pt>
                <c:pt idx="35">
                  <c:v>0.29666355693723639</c:v>
                </c:pt>
                <c:pt idx="36">
                  <c:v>0.25654328597120274</c:v>
                </c:pt>
                <c:pt idx="37">
                  <c:v>0.22010116548286432</c:v>
                </c:pt>
                <c:pt idx="38">
                  <c:v>0.18780457966400427</c:v>
                </c:pt>
                <c:pt idx="39">
                  <c:v>0.15997082318298345</c:v>
                </c:pt>
                <c:pt idx="40">
                  <c:v>0.13670125813633019</c:v>
                </c:pt>
                <c:pt idx="41">
                  <c:v>0.11782780842747924</c:v>
                </c:pt>
                <c:pt idx="42">
                  <c:v>0.10289770836306268</c:v>
                </c:pt>
                <c:pt idx="43">
                  <c:v>9.1212012312201607E-2</c:v>
                </c:pt>
                <c:pt idx="44">
                  <c:v>8.1916768065013204E-2</c:v>
                </c:pt>
                <c:pt idx="45">
                  <c:v>7.4128750860316672E-2</c:v>
                </c:pt>
                <c:pt idx="46">
                  <c:v>6.7066273074470217E-2</c:v>
                </c:pt>
                <c:pt idx="47">
                  <c:v>6.0153753685518119E-2</c:v>
                </c:pt>
                <c:pt idx="48">
                  <c:v>5.3076802908257309E-2</c:v>
                </c:pt>
                <c:pt idx="49">
                  <c:v>4.5779327554826311E-2</c:v>
                </c:pt>
                <c:pt idx="50">
                  <c:v>3.8410230159074098E-2</c:v>
                </c:pt>
                <c:pt idx="51">
                  <c:v>3.1239344503162396E-2</c:v>
                </c:pt>
                <c:pt idx="52">
                  <c:v>2.4567013108479543E-2</c:v>
                </c:pt>
                <c:pt idx="53">
                  <c:v>1.864881216760652E-2</c:v>
                </c:pt>
                <c:pt idx="54">
                  <c:v>1.3648633665768179E-2</c:v>
                </c:pt>
                <c:pt idx="55">
                  <c:v>9.623255472401001E-3</c:v>
                </c:pt>
                <c:pt idx="56">
                  <c:v>6.5330783419929872E-3</c:v>
                </c:pt>
                <c:pt idx="57">
                  <c:v>4.2689497524322972E-3</c:v>
                </c:pt>
                <c:pt idx="58">
                  <c:v>2.6842756397674459E-3</c:v>
                </c:pt>
                <c:pt idx="59">
                  <c:v>1.6239252562635672E-3</c:v>
                </c:pt>
                <c:pt idx="60">
                  <c:v>9.4512849365199476E-4</c:v>
                </c:pt>
                <c:pt idx="61">
                  <c:v>5.2913935521841445E-4</c:v>
                </c:pt>
                <c:pt idx="62">
                  <c:v>2.8495908796554283E-4</c:v>
                </c:pt>
                <c:pt idx="63">
                  <c:v>1.4760939561551397E-4</c:v>
                </c:pt>
                <c:pt idx="64">
                  <c:v>7.3545311919018976E-5</c:v>
                </c:pt>
                <c:pt idx="65">
                  <c:v>3.5245126904378965E-5</c:v>
                </c:pt>
                <c:pt idx="66">
                  <c:v>1.6245831986984218E-5</c:v>
                </c:pt>
                <c:pt idx="67">
                  <c:v>7.2024598803051684E-6</c:v>
                </c:pt>
                <c:pt idx="68">
                  <c:v>3.0712475447730823E-6</c:v>
                </c:pt>
                <c:pt idx="69">
                  <c:v>1.2596547801286459E-6</c:v>
                </c:pt>
                <c:pt idx="70">
                  <c:v>4.9701411127368747E-7</c:v>
                </c:pt>
                <c:pt idx="71">
                  <c:v>1.8895293804520572E-7</c:v>
                </c:pt>
                <c:pt idx="72">
                  <c:v>7.0171570852565359E-8</c:v>
                </c:pt>
                <c:pt idx="73">
                  <c:v>2.837758623905359E-8</c:v>
                </c:pt>
                <c:pt idx="74">
                  <c:v>2.0668684330628802E-8</c:v>
                </c:pt>
                <c:pt idx="75">
                  <c:v>3.8262810196111542E-8</c:v>
                </c:pt>
                <c:pt idx="76">
                  <c:v>9.8296970936067062E-8</c:v>
                </c:pt>
                <c:pt idx="77">
                  <c:v>2.568082927905632E-7</c:v>
                </c:pt>
                <c:pt idx="78">
                  <c:v>6.4959541685182968E-7</c:v>
                </c:pt>
                <c:pt idx="79">
                  <c:v>1.5815990093996485E-6</c:v>
                </c:pt>
                <c:pt idx="80">
                  <c:v>3.7040544656907076E-6</c:v>
                </c:pt>
                <c:pt idx="81">
                  <c:v>8.343582379068972E-6</c:v>
                </c:pt>
                <c:pt idx="82">
                  <c:v>1.8076659241156535E-5</c:v>
                </c:pt>
                <c:pt idx="83">
                  <c:v>3.7668106147129605E-5</c:v>
                </c:pt>
                <c:pt idx="84">
                  <c:v>7.5495207159424632E-5</c:v>
                </c:pt>
                <c:pt idx="85">
                  <c:v>1.4553082995250272E-4</c:v>
                </c:pt>
                <c:pt idx="86">
                  <c:v>2.6982411219813408E-4</c:v>
                </c:pt>
                <c:pt idx="87">
                  <c:v>4.811680792464187E-4</c:v>
                </c:pt>
                <c:pt idx="88">
                  <c:v>8.2528410024695735E-4</c:v>
                </c:pt>
                <c:pt idx="89">
                  <c:v>1.3614488794293125E-3</c:v>
                </c:pt>
                <c:pt idx="90">
                  <c:v>2.1601873873756759E-3</c:v>
                </c:pt>
                <c:pt idx="91">
                  <c:v>3.296671030563217E-3</c:v>
                </c:pt>
                <c:pt idx="92">
                  <c:v>4.8390184647274124E-3</c:v>
                </c:pt>
                <c:pt idx="93">
                  <c:v>6.8319164004775109E-3</c:v>
                </c:pt>
                <c:pt idx="94">
                  <c:v>9.2777454867545191E-3</c:v>
                </c:pt>
                <c:pt idx="95">
                  <c:v>1.211928443870533E-2</c:v>
                </c:pt>
                <c:pt idx="96">
                  <c:v>1.5229378411540508E-2</c:v>
                </c:pt>
                <c:pt idx="97">
                  <c:v>1.8412940494657738E-2</c:v>
                </c:pt>
                <c:pt idx="98">
                  <c:v>2.1424824310501314E-2</c:v>
                </c:pt>
                <c:pt idx="99">
                  <c:v>2.4003565144406363E-2</c:v>
                </c:pt>
                <c:pt idx="100">
                  <c:v>2.5916555537075392E-2</c:v>
                </c:pt>
                <c:pt idx="101">
                  <c:v>2.7008244628281972E-2</c:v>
                </c:pt>
                <c:pt idx="102">
                  <c:v>2.7240822280087378E-2</c:v>
                </c:pt>
                <c:pt idx="103">
                  <c:v>2.671743345880178E-2</c:v>
                </c:pt>
                <c:pt idx="104">
                  <c:v>2.5681211065975814E-2</c:v>
                </c:pt>
                <c:pt idx="105">
                  <c:v>2.4488360072156563E-2</c:v>
                </c:pt>
                <c:pt idx="106">
                  <c:v>2.3558748142314512E-2</c:v>
                </c:pt>
                <c:pt idx="107">
                  <c:v>2.3311688094532098E-2</c:v>
                </c:pt>
                <c:pt idx="108">
                  <c:v>2.4097183556922031E-2</c:v>
                </c:pt>
                <c:pt idx="109">
                  <c:v>2.6133865151695971E-2</c:v>
                </c:pt>
                <c:pt idx="110">
                  <c:v>2.946448833973624E-2</c:v>
                </c:pt>
                <c:pt idx="111">
                  <c:v>3.3938324722382021E-2</c:v>
                </c:pt>
                <c:pt idx="112">
                  <c:v>3.9226758493789815E-2</c:v>
                </c:pt>
                <c:pt idx="113">
                  <c:v>4.4873426164391376E-2</c:v>
                </c:pt>
                <c:pt idx="114">
                  <c:v>5.0373304355167577E-2</c:v>
                </c:pt>
                <c:pt idx="115">
                  <c:v>5.526733630849779E-2</c:v>
                </c:pt>
                <c:pt idx="116">
                  <c:v>5.9232759784193789E-2</c:v>
                </c:pt>
                <c:pt idx="117">
                  <c:v>6.2147043328026771E-2</c:v>
                </c:pt>
                <c:pt idx="118">
                  <c:v>6.4107307977334729E-2</c:v>
                </c:pt>
                <c:pt idx="119">
                  <c:v>6.5397383337428089E-2</c:v>
                </c:pt>
                <c:pt idx="120">
                  <c:v>6.6408777732599414E-2</c:v>
                </c:pt>
                <c:pt idx="121">
                  <c:v>6.753544702155774E-2</c:v>
                </c:pt>
                <c:pt idx="122">
                  <c:v>6.9070568895283374E-2</c:v>
                </c:pt>
                <c:pt idx="123">
                  <c:v>7.113335870419242E-2</c:v>
                </c:pt>
                <c:pt idx="124">
                  <c:v>7.3645039365376641E-2</c:v>
                </c:pt>
                <c:pt idx="125">
                  <c:v>7.6358322259846526E-2</c:v>
                </c:pt>
                <c:pt idx="126">
                  <c:v>7.8929189525919319E-2</c:v>
                </c:pt>
                <c:pt idx="127">
                  <c:v>8.1008579466680525E-2</c:v>
                </c:pt>
                <c:pt idx="128">
                  <c:v>8.2328163756111891E-2</c:v>
                </c:pt>
                <c:pt idx="129">
                  <c:v>8.275920782291718E-2</c:v>
                </c:pt>
                <c:pt idx="130">
                  <c:v>8.2334068795221038E-2</c:v>
                </c:pt>
                <c:pt idx="131">
                  <c:v>8.1232033973736101E-2</c:v>
                </c:pt>
                <c:pt idx="132">
                  <c:v>7.9740754458624274E-2</c:v>
                </c:pt>
                <c:pt idx="133">
                  <c:v>7.8208795387110369E-2</c:v>
                </c:pt>
                <c:pt idx="134">
                  <c:v>7.7003342305157943E-2</c:v>
                </c:pt>
                <c:pt idx="135">
                  <c:v>7.6481427657259501E-2</c:v>
                </c:pt>
                <c:pt idx="136">
                  <c:v>7.6975852241451162E-2</c:v>
                </c:pt>
                <c:pt idx="137">
                  <c:v>7.8790962294614603E-2</c:v>
                </c:pt>
                <c:pt idx="138">
                  <c:v>8.220040839418058E-2</c:v>
                </c:pt>
                <c:pt idx="139">
                  <c:v>8.7439463841481754E-2</c:v>
                </c:pt>
                <c:pt idx="140">
                  <c:v>9.4687712435953697E-2</c:v>
                </c:pt>
                <c:pt idx="141">
                  <c:v>0.10404246133480644</c:v>
                </c:pt>
                <c:pt idx="142">
                  <c:v>0.11548746843965445</c:v>
                </c:pt>
                <c:pt idx="143">
                  <c:v>0.12886426078092025</c:v>
                </c:pt>
                <c:pt idx="144">
                  <c:v>0.14385394102192145</c:v>
                </c:pt>
                <c:pt idx="145">
                  <c:v>0.15997613156495899</c:v>
                </c:pt>
                <c:pt idx="146">
                  <c:v>0.17660921100974683</c:v>
                </c:pt>
                <c:pt idx="147">
                  <c:v>0.1930328751775415</c:v>
                </c:pt>
                <c:pt idx="148">
                  <c:v>0.20849062370245061</c:v>
                </c:pt>
                <c:pt idx="149">
                  <c:v>0.2222660874374805</c:v>
                </c:pt>
                <c:pt idx="150">
                  <c:v>0.23376332668382716</c:v>
                </c:pt>
                <c:pt idx="151">
                  <c:v>0.2425780336969636</c:v>
                </c:pt>
                <c:pt idx="152">
                  <c:v>0.24854529412948559</c:v>
                </c:pt>
                <c:pt idx="153">
                  <c:v>0.2517517094848265</c:v>
                </c:pt>
                <c:pt idx="154">
                  <c:v>0.25250604050637449</c:v>
                </c:pt>
                <c:pt idx="155">
                  <c:v>0.25127230772165771</c:v>
                </c:pt>
                <c:pt idx="156">
                  <c:v>0.24857989632561089</c:v>
                </c:pt>
                <c:pt idx="157">
                  <c:v>0.24493300049053554</c:v>
                </c:pt>
                <c:pt idx="158">
                  <c:v>0.24074340936230287</c:v>
                </c:pt>
                <c:pt idx="159">
                  <c:v>0.2363047493848128</c:v>
                </c:pt>
                <c:pt idx="160">
                  <c:v>0.23181412344611468</c:v>
                </c:pt>
                <c:pt idx="161">
                  <c:v>0.22743233294262924</c:v>
                </c:pt>
                <c:pt idx="162">
                  <c:v>0.22336138051275065</c:v>
                </c:pt>
                <c:pt idx="163">
                  <c:v>0.21991191338596927</c:v>
                </c:pt>
                <c:pt idx="164">
                  <c:v>0.2175356412645095</c:v>
                </c:pt>
                <c:pt idx="165">
                  <c:v>0.21680760612404712</c:v>
                </c:pt>
                <c:pt idx="166">
                  <c:v>0.21835712107754299</c:v>
                </c:pt>
                <c:pt idx="167">
                  <c:v>0.22275983351831125</c:v>
                </c:pt>
                <c:pt idx="168">
                  <c:v>0.23041298849961359</c:v>
                </c:pt>
                <c:pt idx="169">
                  <c:v>0.24141977310575255</c:v>
                </c:pt>
                <c:pt idx="170">
                  <c:v>0.25550695094683662</c:v>
                </c:pt>
                <c:pt idx="171">
                  <c:v>0.27199451875589836</c:v>
                </c:pt>
                <c:pt idx="172">
                  <c:v>0.28982855155886383</c:v>
                </c:pt>
                <c:pt idx="173">
                  <c:v>0.30767957559344744</c:v>
                </c:pt>
                <c:pt idx="174">
                  <c:v>0.32409868124910285</c:v>
                </c:pt>
                <c:pt idx="175">
                  <c:v>0.3377122367715153</c:v>
                </c:pt>
                <c:pt idx="176">
                  <c:v>0.34742490176007673</c:v>
                </c:pt>
                <c:pt idx="177">
                  <c:v>0.35259289652912568</c:v>
                </c:pt>
                <c:pt idx="178">
                  <c:v>0.35312927958731993</c:v>
                </c:pt>
                <c:pt idx="179">
                  <c:v>0.34951323376008353</c:v>
                </c:pt>
                <c:pt idx="180">
                  <c:v>0.34269558354949142</c:v>
                </c:pt>
                <c:pt idx="181">
                  <c:v>0.33391819665078681</c:v>
                </c:pt>
                <c:pt idx="182">
                  <c:v>0.32448770859600529</c:v>
                </c:pt>
                <c:pt idx="183">
                  <c:v>0.31555618627712062</c:v>
                </c:pt>
                <c:pt idx="184">
                  <c:v>0.3079582313916665</c:v>
                </c:pt>
                <c:pt idx="185">
                  <c:v>0.3021363728976888</c:v>
                </c:pt>
                <c:pt idx="186">
                  <c:v>0.29816044383818613</c:v>
                </c:pt>
                <c:pt idx="187">
                  <c:v>0.29582090926055493</c:v>
                </c:pt>
                <c:pt idx="188">
                  <c:v>0.29475912467423554</c:v>
                </c:pt>
                <c:pt idx="189">
                  <c:v>0.29459390151504505</c:v>
                </c:pt>
                <c:pt idx="190">
                  <c:v>0.29501310590455376</c:v>
                </c:pt>
                <c:pt idx="191">
                  <c:v>0.29581646525619715</c:v>
                </c:pt>
                <c:pt idx="192">
                  <c:v>0.29691424082345141</c:v>
                </c:pt>
                <c:pt idx="193">
                  <c:v>0.29829941719988656</c:v>
                </c:pt>
                <c:pt idx="194">
                  <c:v>0.30001478654804875</c:v>
                </c:pt>
                <c:pt idx="195">
                  <c:v>0.30213073448299843</c:v>
                </c:pt>
                <c:pt idx="196">
                  <c:v>0.30473800818479024</c:v>
                </c:pt>
                <c:pt idx="197">
                  <c:v>0.30794755683036357</c:v>
                </c:pt>
                <c:pt idx="198">
                  <c:v>0.31188199115292348</c:v>
                </c:pt>
                <c:pt idx="199">
                  <c:v>0.31664379611845861</c:v>
                </c:pt>
                <c:pt idx="200">
                  <c:v>0.32225454353607574</c:v>
                </c:pt>
                <c:pt idx="201">
                  <c:v>0.32857399415338678</c:v>
                </c:pt>
                <c:pt idx="202">
                  <c:v>0.33522258716877623</c:v>
                </c:pt>
                <c:pt idx="203">
                  <c:v>0.34153908112028014</c:v>
                </c:pt>
                <c:pt idx="204">
                  <c:v>0.3466023309894945</c:v>
                </c:pt>
                <c:pt idx="205">
                  <c:v>0.34933135258195636</c:v>
                </c:pt>
                <c:pt idx="206">
                  <c:v>0.34865457375620224</c:v>
                </c:pt>
                <c:pt idx="207">
                  <c:v>0.34371499759633356</c:v>
                </c:pt>
                <c:pt idx="208">
                  <c:v>0.33406174789176496</c:v>
                </c:pt>
                <c:pt idx="209">
                  <c:v>0.3197769022541862</c:v>
                </c:pt>
                <c:pt idx="210">
                  <c:v>0.3015013985326454</c:v>
                </c:pt>
                <c:pt idx="211">
                  <c:v>0.2803507908396356</c:v>
                </c:pt>
                <c:pt idx="212">
                  <c:v>0.25774175862994331</c:v>
                </c:pt>
                <c:pt idx="213">
                  <c:v>0.23517339976882956</c:v>
                </c:pt>
                <c:pt idx="214">
                  <c:v>0.21401615121951878</c:v>
                </c:pt>
                <c:pt idx="215">
                  <c:v>0.1953538790169031</c:v>
                </c:pt>
                <c:pt idx="216">
                  <c:v>0.17990523466949052</c:v>
                </c:pt>
                <c:pt idx="217">
                  <c:v>0.16802641783640979</c:v>
                </c:pt>
                <c:pt idx="218">
                  <c:v>0.15977698753431352</c:v>
                </c:pt>
                <c:pt idx="219">
                  <c:v>0.1550187091557331</c:v>
                </c:pt>
                <c:pt idx="220">
                  <c:v>0.15351602812912063</c:v>
                </c:pt>
                <c:pt idx="221">
                  <c:v>0.15501351771952568</c:v>
                </c:pt>
                <c:pt idx="222">
                  <c:v>0.15927661029619136</c:v>
                </c:pt>
                <c:pt idx="223">
                  <c:v>0.16609321256067103</c:v>
                </c:pt>
                <c:pt idx="224">
                  <c:v>0.17524291012081861</c:v>
                </c:pt>
                <c:pt idx="225">
                  <c:v>0.1864465145548449</c:v>
                </c:pt>
                <c:pt idx="226">
                  <c:v>0.1993119136814589</c:v>
                </c:pt>
                <c:pt idx="227">
                  <c:v>0.2132929741729985</c:v>
                </c:pt>
                <c:pt idx="228">
                  <c:v>0.22767660646201149</c:v>
                </c:pt>
                <c:pt idx="229">
                  <c:v>0.24160858252712988</c:v>
                </c:pt>
                <c:pt idx="230">
                  <c:v>0.25416100139996994</c:v>
                </c:pt>
                <c:pt idx="231">
                  <c:v>0.26443411937584671</c:v>
                </c:pt>
                <c:pt idx="232">
                  <c:v>0.27167477158548192</c:v>
                </c:pt>
                <c:pt idx="233">
                  <c:v>0.27538611871568097</c:v>
                </c:pt>
                <c:pt idx="234">
                  <c:v>0.2754022047526265</c:v>
                </c:pt>
                <c:pt idx="235">
                  <c:v>0.27190741566735438</c:v>
                </c:pt>
                <c:pt idx="236">
                  <c:v>0.26539422687067454</c:v>
                </c:pt>
                <c:pt idx="237">
                  <c:v>0.25656873401270386</c:v>
                </c:pt>
                <c:pt idx="238">
                  <c:v>0.24622710918281346</c:v>
                </c:pt>
                <c:pt idx="239">
                  <c:v>0.23513274791953614</c:v>
                </c:pt>
                <c:pt idx="240">
                  <c:v>0.22392145349985015</c:v>
                </c:pt>
                <c:pt idx="241">
                  <c:v>0.21305180566168014</c:v>
                </c:pt>
                <c:pt idx="242">
                  <c:v>0.20280375701239708</c:v>
                </c:pt>
                <c:pt idx="243">
                  <c:v>0.19331531252163447</c:v>
                </c:pt>
                <c:pt idx="244">
                  <c:v>0.18463878454378665</c:v>
                </c:pt>
                <c:pt idx="245">
                  <c:v>0.17679632163459649</c:v>
                </c:pt>
                <c:pt idx="246">
                  <c:v>0.16981852505838127</c:v>
                </c:pt>
                <c:pt idx="247">
                  <c:v>0.16375762866199731</c:v>
                </c:pt>
                <c:pt idx="248">
                  <c:v>0.15867504416633232</c:v>
                </c:pt>
                <c:pt idx="249">
                  <c:v>0.15460977512752877</c:v>
                </c:pt>
                <c:pt idx="250">
                  <c:v>0.15153817867855954</c:v>
                </c:pt>
                <c:pt idx="251">
                  <c:v>0.14933683645309156</c:v>
                </c:pt>
                <c:pt idx="252">
                  <c:v>0.14775950840938865</c:v>
                </c:pt>
                <c:pt idx="253">
                  <c:v>0.14643685899998982</c:v>
                </c:pt>
                <c:pt idx="254">
                  <c:v>0.14490403418262615</c:v>
                </c:pt>
                <c:pt idx="255">
                  <c:v>0.14265613105583455</c:v>
                </c:pt>
                <c:pt idx="256">
                  <c:v>0.13922528995935901</c:v>
                </c:pt>
                <c:pt idx="257">
                  <c:v>0.13426649121947073</c:v>
                </c:pt>
                <c:pt idx="258">
                  <c:v>0.12763401335430744</c:v>
                </c:pt>
                <c:pt idx="259">
                  <c:v>0.11942916255554875</c:v>
                </c:pt>
                <c:pt idx="260">
                  <c:v>0.11000393398102315</c:v>
                </c:pt>
                <c:pt idx="261">
                  <c:v>9.9914645693493093E-2</c:v>
                </c:pt>
                <c:pt idx="262">
                  <c:v>8.9832093387295781E-2</c:v>
                </c:pt>
                <c:pt idx="263">
                  <c:v>8.0426610522058531E-2</c:v>
                </c:pt>
                <c:pt idx="264">
                  <c:v>7.2253594507967728E-2</c:v>
                </c:pt>
                <c:pt idx="265">
                  <c:v>6.566504393719802E-2</c:v>
                </c:pt>
                <c:pt idx="266">
                  <c:v>6.0765464038368626E-2</c:v>
                </c:pt>
                <c:pt idx="267">
                  <c:v>5.741869101049292E-2</c:v>
                </c:pt>
                <c:pt idx="268">
                  <c:v>5.5299733406864317E-2</c:v>
                </c:pt>
                <c:pt idx="269">
                  <c:v>5.3976374124165852E-2</c:v>
                </c:pt>
                <c:pt idx="270">
                  <c:v>5.3001152858671692E-2</c:v>
                </c:pt>
                <c:pt idx="271">
                  <c:v>5.1995465912611123E-2</c:v>
                </c:pt>
                <c:pt idx="272">
                  <c:v>5.0712232700994953E-2</c:v>
                </c:pt>
                <c:pt idx="273">
                  <c:v>4.9069649541717275E-2</c:v>
                </c:pt>
                <c:pt idx="274">
                  <c:v>4.7154192725086218E-2</c:v>
                </c:pt>
                <c:pt idx="275">
                  <c:v>4.5195423089059286E-2</c:v>
                </c:pt>
                <c:pt idx="276">
                  <c:v>4.3518300770353187E-2</c:v>
                </c:pt>
                <c:pt idx="277">
                  <c:v>4.2480972513101144E-2</c:v>
                </c:pt>
                <c:pt idx="278">
                  <c:v>4.2407490626980508E-2</c:v>
                </c:pt>
                <c:pt idx="279">
                  <c:v>4.3525465889964976E-2</c:v>
                </c:pt>
                <c:pt idx="280">
                  <c:v>4.5917923960960408E-2</c:v>
                </c:pt>
                <c:pt idx="281">
                  <c:v>4.9496535307162907E-2</c:v>
                </c:pt>
                <c:pt idx="282">
                  <c:v>5.4000256158662482E-2</c:v>
                </c:pt>
                <c:pt idx="283">
                  <c:v>5.9019885214484841E-2</c:v>
                </c:pt>
                <c:pt idx="284">
                  <c:v>6.4045694877481435E-2</c:v>
                </c:pt>
                <c:pt idx="285">
                  <c:v>6.853239291625815E-2</c:v>
                </c:pt>
                <c:pt idx="286">
                  <c:v>7.1973151827235446E-2</c:v>
                </c:pt>
                <c:pt idx="287">
                  <c:v>7.3972266450507279E-2</c:v>
                </c:pt>
                <c:pt idx="288">
                  <c:v>7.4304537263703507E-2</c:v>
                </c:pt>
                <c:pt idx="289">
                  <c:v>7.2949623204037889E-2</c:v>
                </c:pt>
                <c:pt idx="290">
                  <c:v>7.0092407329350209E-2</c:v>
                </c:pt>
                <c:pt idx="291">
                  <c:v>6.6086330484726438E-2</c:v>
                </c:pt>
                <c:pt idx="292">
                  <c:v>6.1384887755138173E-2</c:v>
                </c:pt>
                <c:pt idx="293">
                  <c:v>5.6454905555358259E-2</c:v>
                </c:pt>
                <c:pt idx="294">
                  <c:v>5.1690958466934486E-2</c:v>
                </c:pt>
                <c:pt idx="295">
                  <c:v>4.7350932816803568E-2</c:v>
                </c:pt>
                <c:pt idx="296">
                  <c:v>4.3527494967876772E-2</c:v>
                </c:pt>
                <c:pt idx="297">
                  <c:v>4.0160418589624894E-2</c:v>
                </c:pt>
                <c:pt idx="298">
                  <c:v>3.7083466980628157E-2</c:v>
                </c:pt>
                <c:pt idx="299">
                  <c:v>3.4090503642349099E-2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99-4895-9D19-8D54FDAE56CE}"/>
            </c:ext>
          </c:extLst>
        </c:ser>
        <c:ser>
          <c:idx val="4"/>
          <c:order val="3"/>
          <c:tx>
            <c:v>Duża szerokość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irysy_estymacjagęstości!$K$3:$K$302</c:f>
              <c:numCache>
                <c:formatCode>General</c:formatCode>
                <c:ptCount val="300"/>
                <c:pt idx="0">
                  <c:v>1</c:v>
                </c:pt>
                <c:pt idx="1">
                  <c:v>1.0197324414715718</c:v>
                </c:pt>
                <c:pt idx="2">
                  <c:v>1.0394648829431437</c:v>
                </c:pt>
                <c:pt idx="3">
                  <c:v>1.0591973244147155</c:v>
                </c:pt>
                <c:pt idx="4">
                  <c:v>1.0789297658862873</c:v>
                </c:pt>
                <c:pt idx="5">
                  <c:v>1.0986622073578591</c:v>
                </c:pt>
                <c:pt idx="6">
                  <c:v>1.118394648829431</c:v>
                </c:pt>
                <c:pt idx="7">
                  <c:v>1.1381270903010028</c:v>
                </c:pt>
                <c:pt idx="8">
                  <c:v>1.1578595317725746</c:v>
                </c:pt>
                <c:pt idx="9">
                  <c:v>1.1775919732441464</c:v>
                </c:pt>
                <c:pt idx="10">
                  <c:v>1.1973244147157183</c:v>
                </c:pt>
                <c:pt idx="11">
                  <c:v>1.2170568561872901</c:v>
                </c:pt>
                <c:pt idx="12">
                  <c:v>1.2367892976588619</c:v>
                </c:pt>
                <c:pt idx="13">
                  <c:v>1.2565217391304337</c:v>
                </c:pt>
                <c:pt idx="14">
                  <c:v>1.2762541806020056</c:v>
                </c:pt>
                <c:pt idx="15">
                  <c:v>1.2959866220735774</c:v>
                </c:pt>
                <c:pt idx="16">
                  <c:v>1.3157190635451492</c:v>
                </c:pt>
                <c:pt idx="17">
                  <c:v>1.3354515050167211</c:v>
                </c:pt>
                <c:pt idx="18">
                  <c:v>1.3551839464882929</c:v>
                </c:pt>
                <c:pt idx="19">
                  <c:v>1.3749163879598647</c:v>
                </c:pt>
                <c:pt idx="20">
                  <c:v>1.3946488294314365</c:v>
                </c:pt>
                <c:pt idx="21">
                  <c:v>1.4143812709030084</c:v>
                </c:pt>
                <c:pt idx="22">
                  <c:v>1.4341137123745802</c:v>
                </c:pt>
                <c:pt idx="23">
                  <c:v>1.453846153846152</c:v>
                </c:pt>
                <c:pt idx="24">
                  <c:v>1.4735785953177238</c:v>
                </c:pt>
                <c:pt idx="25">
                  <c:v>1.4933110367892957</c:v>
                </c:pt>
                <c:pt idx="26">
                  <c:v>1.5130434782608675</c:v>
                </c:pt>
                <c:pt idx="27">
                  <c:v>1.5327759197324393</c:v>
                </c:pt>
                <c:pt idx="28">
                  <c:v>1.5525083612040111</c:v>
                </c:pt>
                <c:pt idx="29">
                  <c:v>1.572240802675583</c:v>
                </c:pt>
                <c:pt idx="30">
                  <c:v>1.5919732441471548</c:v>
                </c:pt>
                <c:pt idx="31">
                  <c:v>1.6117056856187266</c:v>
                </c:pt>
                <c:pt idx="32">
                  <c:v>1.6314381270902985</c:v>
                </c:pt>
                <c:pt idx="33">
                  <c:v>1.6511705685618703</c:v>
                </c:pt>
                <c:pt idx="34">
                  <c:v>1.6709030100334421</c:v>
                </c:pt>
                <c:pt idx="35">
                  <c:v>1.6906354515050139</c:v>
                </c:pt>
                <c:pt idx="36">
                  <c:v>1.7103678929765858</c:v>
                </c:pt>
                <c:pt idx="37">
                  <c:v>1.7301003344481576</c:v>
                </c:pt>
                <c:pt idx="38">
                  <c:v>1.7498327759197294</c:v>
                </c:pt>
                <c:pt idx="39">
                  <c:v>1.7695652173913012</c:v>
                </c:pt>
                <c:pt idx="40">
                  <c:v>1.7892976588628731</c:v>
                </c:pt>
                <c:pt idx="41">
                  <c:v>1.8090301003344449</c:v>
                </c:pt>
                <c:pt idx="42">
                  <c:v>1.8287625418060167</c:v>
                </c:pt>
                <c:pt idx="43">
                  <c:v>1.8484949832775885</c:v>
                </c:pt>
                <c:pt idx="44">
                  <c:v>1.8682274247491604</c:v>
                </c:pt>
                <c:pt idx="45">
                  <c:v>1.8879598662207322</c:v>
                </c:pt>
                <c:pt idx="46">
                  <c:v>1.907692307692304</c:v>
                </c:pt>
                <c:pt idx="47">
                  <c:v>1.9274247491638759</c:v>
                </c:pt>
                <c:pt idx="48">
                  <c:v>1.9471571906354477</c:v>
                </c:pt>
                <c:pt idx="49">
                  <c:v>1.9668896321070195</c:v>
                </c:pt>
                <c:pt idx="50">
                  <c:v>1.9866220735785913</c:v>
                </c:pt>
                <c:pt idx="51">
                  <c:v>2.0063545150501634</c:v>
                </c:pt>
                <c:pt idx="52">
                  <c:v>2.0260869565217354</c:v>
                </c:pt>
                <c:pt idx="53">
                  <c:v>2.0458193979933075</c:v>
                </c:pt>
                <c:pt idx="54">
                  <c:v>2.0655518394648795</c:v>
                </c:pt>
                <c:pt idx="55">
                  <c:v>2.0852842809364516</c:v>
                </c:pt>
                <c:pt idx="56">
                  <c:v>2.1050167224080236</c:v>
                </c:pt>
                <c:pt idx="57">
                  <c:v>2.1247491638795957</c:v>
                </c:pt>
                <c:pt idx="58">
                  <c:v>2.1444816053511677</c:v>
                </c:pt>
                <c:pt idx="59">
                  <c:v>2.1642140468227398</c:v>
                </c:pt>
                <c:pt idx="60">
                  <c:v>2.1839464882943118</c:v>
                </c:pt>
                <c:pt idx="61">
                  <c:v>2.2036789297658839</c:v>
                </c:pt>
                <c:pt idx="62">
                  <c:v>2.2234113712374559</c:v>
                </c:pt>
                <c:pt idx="63">
                  <c:v>2.243143812709028</c:v>
                </c:pt>
                <c:pt idx="64">
                  <c:v>2.2628762541806</c:v>
                </c:pt>
                <c:pt idx="65">
                  <c:v>2.2826086956521721</c:v>
                </c:pt>
                <c:pt idx="66">
                  <c:v>2.3023411371237441</c:v>
                </c:pt>
                <c:pt idx="67">
                  <c:v>2.3220735785953162</c:v>
                </c:pt>
                <c:pt idx="68">
                  <c:v>2.3418060200668882</c:v>
                </c:pt>
                <c:pt idx="69">
                  <c:v>2.3615384615384603</c:v>
                </c:pt>
                <c:pt idx="70">
                  <c:v>2.3812709030100323</c:v>
                </c:pt>
                <c:pt idx="71">
                  <c:v>2.4010033444816044</c:v>
                </c:pt>
                <c:pt idx="72">
                  <c:v>2.4207357859531764</c:v>
                </c:pt>
                <c:pt idx="73">
                  <c:v>2.4404682274247484</c:v>
                </c:pt>
                <c:pt idx="74">
                  <c:v>2.4602006688963205</c:v>
                </c:pt>
                <c:pt idx="75">
                  <c:v>2.4799331103678925</c:v>
                </c:pt>
                <c:pt idx="76">
                  <c:v>2.4996655518394646</c:v>
                </c:pt>
                <c:pt idx="77">
                  <c:v>2.5193979933110366</c:v>
                </c:pt>
                <c:pt idx="78">
                  <c:v>2.5391304347826087</c:v>
                </c:pt>
                <c:pt idx="79">
                  <c:v>2.5588628762541807</c:v>
                </c:pt>
                <c:pt idx="80">
                  <c:v>2.5785953177257528</c:v>
                </c:pt>
                <c:pt idx="81">
                  <c:v>2.5983277591973248</c:v>
                </c:pt>
                <c:pt idx="82">
                  <c:v>2.6180602006688969</c:v>
                </c:pt>
                <c:pt idx="83">
                  <c:v>2.6377926421404689</c:v>
                </c:pt>
                <c:pt idx="84">
                  <c:v>2.657525083612041</c:v>
                </c:pt>
                <c:pt idx="85">
                  <c:v>2.677257525083613</c:v>
                </c:pt>
                <c:pt idx="86">
                  <c:v>2.6969899665551851</c:v>
                </c:pt>
                <c:pt idx="87">
                  <c:v>2.7167224080267571</c:v>
                </c:pt>
                <c:pt idx="88">
                  <c:v>2.7364548494983292</c:v>
                </c:pt>
                <c:pt idx="89">
                  <c:v>2.7561872909699012</c:v>
                </c:pt>
                <c:pt idx="90">
                  <c:v>2.7759197324414733</c:v>
                </c:pt>
                <c:pt idx="91">
                  <c:v>2.7956521739130453</c:v>
                </c:pt>
                <c:pt idx="92">
                  <c:v>2.8153846153846174</c:v>
                </c:pt>
                <c:pt idx="93">
                  <c:v>2.8351170568561894</c:v>
                </c:pt>
                <c:pt idx="94">
                  <c:v>2.8548494983277615</c:v>
                </c:pt>
                <c:pt idx="95">
                  <c:v>2.8745819397993335</c:v>
                </c:pt>
                <c:pt idx="96">
                  <c:v>2.8943143812709056</c:v>
                </c:pt>
                <c:pt idx="97">
                  <c:v>2.9140468227424776</c:v>
                </c:pt>
                <c:pt idx="98">
                  <c:v>2.9337792642140497</c:v>
                </c:pt>
                <c:pt idx="99">
                  <c:v>2.9535117056856217</c:v>
                </c:pt>
                <c:pt idx="100">
                  <c:v>2.9732441471571938</c:v>
                </c:pt>
                <c:pt idx="101">
                  <c:v>2.9929765886287658</c:v>
                </c:pt>
                <c:pt idx="102">
                  <c:v>3.0127090301003379</c:v>
                </c:pt>
                <c:pt idx="103">
                  <c:v>3.0324414715719099</c:v>
                </c:pt>
                <c:pt idx="104">
                  <c:v>3.052173913043482</c:v>
                </c:pt>
                <c:pt idx="105">
                  <c:v>3.071906354515054</c:v>
                </c:pt>
                <c:pt idx="106">
                  <c:v>3.0916387959866261</c:v>
                </c:pt>
                <c:pt idx="107">
                  <c:v>3.1113712374581981</c:v>
                </c:pt>
                <c:pt idx="108">
                  <c:v>3.1311036789297702</c:v>
                </c:pt>
                <c:pt idx="109">
                  <c:v>3.1508361204013422</c:v>
                </c:pt>
                <c:pt idx="110">
                  <c:v>3.1705685618729142</c:v>
                </c:pt>
                <c:pt idx="111">
                  <c:v>3.1903010033444863</c:v>
                </c:pt>
                <c:pt idx="112">
                  <c:v>3.2100334448160583</c:v>
                </c:pt>
                <c:pt idx="113">
                  <c:v>3.2297658862876304</c:v>
                </c:pt>
                <c:pt idx="114">
                  <c:v>3.2494983277592024</c:v>
                </c:pt>
                <c:pt idx="115">
                  <c:v>3.2692307692307745</c:v>
                </c:pt>
                <c:pt idx="116">
                  <c:v>3.2889632107023465</c:v>
                </c:pt>
                <c:pt idx="117">
                  <c:v>3.3086956521739186</c:v>
                </c:pt>
                <c:pt idx="118">
                  <c:v>3.3284280936454906</c:v>
                </c:pt>
                <c:pt idx="119">
                  <c:v>3.3481605351170627</c:v>
                </c:pt>
                <c:pt idx="120">
                  <c:v>3.3678929765886347</c:v>
                </c:pt>
                <c:pt idx="121">
                  <c:v>3.3876254180602068</c:v>
                </c:pt>
                <c:pt idx="122">
                  <c:v>3.4073578595317788</c:v>
                </c:pt>
                <c:pt idx="123">
                  <c:v>3.4270903010033509</c:v>
                </c:pt>
                <c:pt idx="124">
                  <c:v>3.4468227424749229</c:v>
                </c:pt>
                <c:pt idx="125">
                  <c:v>3.466555183946495</c:v>
                </c:pt>
                <c:pt idx="126">
                  <c:v>3.486287625418067</c:v>
                </c:pt>
                <c:pt idx="127">
                  <c:v>3.5060200668896391</c:v>
                </c:pt>
                <c:pt idx="128">
                  <c:v>3.5257525083612111</c:v>
                </c:pt>
                <c:pt idx="129">
                  <c:v>3.5454849498327832</c:v>
                </c:pt>
                <c:pt idx="130">
                  <c:v>3.5652173913043552</c:v>
                </c:pt>
                <c:pt idx="131">
                  <c:v>3.5849498327759273</c:v>
                </c:pt>
                <c:pt idx="132">
                  <c:v>3.6046822742474993</c:v>
                </c:pt>
                <c:pt idx="133">
                  <c:v>3.6244147157190714</c:v>
                </c:pt>
                <c:pt idx="134">
                  <c:v>3.6441471571906434</c:v>
                </c:pt>
                <c:pt idx="135">
                  <c:v>3.6638795986622155</c:v>
                </c:pt>
                <c:pt idx="136">
                  <c:v>3.6836120401337875</c:v>
                </c:pt>
                <c:pt idx="137">
                  <c:v>3.7033444816053596</c:v>
                </c:pt>
                <c:pt idx="138">
                  <c:v>3.7230769230769316</c:v>
                </c:pt>
                <c:pt idx="139">
                  <c:v>3.7428093645485037</c:v>
                </c:pt>
                <c:pt idx="140">
                  <c:v>3.7625418060200757</c:v>
                </c:pt>
                <c:pt idx="141">
                  <c:v>3.7822742474916478</c:v>
                </c:pt>
                <c:pt idx="142">
                  <c:v>3.8020066889632198</c:v>
                </c:pt>
                <c:pt idx="143">
                  <c:v>3.8217391304347919</c:v>
                </c:pt>
                <c:pt idx="144">
                  <c:v>3.8414715719063639</c:v>
                </c:pt>
                <c:pt idx="145">
                  <c:v>3.861204013377936</c:v>
                </c:pt>
                <c:pt idx="146">
                  <c:v>3.880936454849508</c:v>
                </c:pt>
                <c:pt idx="147">
                  <c:v>3.90066889632108</c:v>
                </c:pt>
                <c:pt idx="148">
                  <c:v>3.9204013377926521</c:v>
                </c:pt>
                <c:pt idx="149">
                  <c:v>3.9401337792642241</c:v>
                </c:pt>
                <c:pt idx="150">
                  <c:v>3.9598662207357962</c:v>
                </c:pt>
                <c:pt idx="151">
                  <c:v>3.9795986622073682</c:v>
                </c:pt>
                <c:pt idx="152">
                  <c:v>3.9993311036789403</c:v>
                </c:pt>
                <c:pt idx="153">
                  <c:v>4.0190635451505123</c:v>
                </c:pt>
                <c:pt idx="154">
                  <c:v>4.0387959866220839</c:v>
                </c:pt>
                <c:pt idx="155">
                  <c:v>4.0585284280936555</c:v>
                </c:pt>
                <c:pt idx="156">
                  <c:v>4.0782608695652272</c:v>
                </c:pt>
                <c:pt idx="157">
                  <c:v>4.0979933110367988</c:v>
                </c:pt>
                <c:pt idx="158">
                  <c:v>4.1177257525083704</c:v>
                </c:pt>
                <c:pt idx="159">
                  <c:v>4.137458193979942</c:v>
                </c:pt>
                <c:pt idx="160">
                  <c:v>4.1571906354515136</c:v>
                </c:pt>
                <c:pt idx="161">
                  <c:v>4.1769230769230852</c:v>
                </c:pt>
                <c:pt idx="162">
                  <c:v>4.1966555183946568</c:v>
                </c:pt>
                <c:pt idx="163">
                  <c:v>4.2163879598662284</c:v>
                </c:pt>
                <c:pt idx="164">
                  <c:v>4.2361204013378</c:v>
                </c:pt>
                <c:pt idx="165">
                  <c:v>4.2558528428093716</c:v>
                </c:pt>
                <c:pt idx="166">
                  <c:v>4.2755852842809432</c:v>
                </c:pt>
                <c:pt idx="167">
                  <c:v>4.2953177257525148</c:v>
                </c:pt>
                <c:pt idx="168">
                  <c:v>4.3150501672240864</c:v>
                </c:pt>
                <c:pt idx="169">
                  <c:v>4.334782608695658</c:v>
                </c:pt>
                <c:pt idx="170">
                  <c:v>4.3545150501672296</c:v>
                </c:pt>
                <c:pt idx="171">
                  <c:v>4.3742474916388012</c:v>
                </c:pt>
                <c:pt idx="172">
                  <c:v>4.3939799331103728</c:v>
                </c:pt>
                <c:pt idx="173">
                  <c:v>4.4137123745819444</c:v>
                </c:pt>
                <c:pt idx="174">
                  <c:v>4.433444816053516</c:v>
                </c:pt>
                <c:pt idx="175">
                  <c:v>4.4531772575250876</c:v>
                </c:pt>
                <c:pt idx="176">
                  <c:v>4.4729096989966592</c:v>
                </c:pt>
                <c:pt idx="177">
                  <c:v>4.4926421404682308</c:v>
                </c:pt>
                <c:pt idx="178">
                  <c:v>4.5123745819398025</c:v>
                </c:pt>
                <c:pt idx="179">
                  <c:v>4.5321070234113741</c:v>
                </c:pt>
                <c:pt idx="180">
                  <c:v>4.5518394648829457</c:v>
                </c:pt>
                <c:pt idx="181">
                  <c:v>4.5715719063545173</c:v>
                </c:pt>
                <c:pt idx="182">
                  <c:v>4.5913043478260889</c:v>
                </c:pt>
                <c:pt idx="183">
                  <c:v>4.6110367892976605</c:v>
                </c:pt>
                <c:pt idx="184">
                  <c:v>4.6307692307692321</c:v>
                </c:pt>
                <c:pt idx="185">
                  <c:v>4.6505016722408037</c:v>
                </c:pt>
                <c:pt idx="186">
                  <c:v>4.6702341137123753</c:v>
                </c:pt>
                <c:pt idx="187">
                  <c:v>4.6899665551839469</c:v>
                </c:pt>
                <c:pt idx="188">
                  <c:v>4.7096989966555185</c:v>
                </c:pt>
                <c:pt idx="189">
                  <c:v>4.7294314381270901</c:v>
                </c:pt>
                <c:pt idx="190">
                  <c:v>4.7491638795986617</c:v>
                </c:pt>
                <c:pt idx="191">
                  <c:v>4.7688963210702333</c:v>
                </c:pt>
                <c:pt idx="192">
                  <c:v>4.7886287625418049</c:v>
                </c:pt>
                <c:pt idx="193">
                  <c:v>4.8083612040133765</c:v>
                </c:pt>
                <c:pt idx="194">
                  <c:v>4.8280936454849481</c:v>
                </c:pt>
                <c:pt idx="195">
                  <c:v>4.8478260869565197</c:v>
                </c:pt>
                <c:pt idx="196">
                  <c:v>4.8675585284280913</c:v>
                </c:pt>
                <c:pt idx="197">
                  <c:v>4.8872909698996629</c:v>
                </c:pt>
                <c:pt idx="198">
                  <c:v>4.9070234113712345</c:v>
                </c:pt>
                <c:pt idx="199">
                  <c:v>4.9267558528428061</c:v>
                </c:pt>
                <c:pt idx="200">
                  <c:v>4.9464882943143778</c:v>
                </c:pt>
                <c:pt idx="201">
                  <c:v>4.9662207357859494</c:v>
                </c:pt>
                <c:pt idx="202">
                  <c:v>4.985953177257521</c:v>
                </c:pt>
                <c:pt idx="203">
                  <c:v>5.0056856187290926</c:v>
                </c:pt>
                <c:pt idx="204">
                  <c:v>5.0254180602006642</c:v>
                </c:pt>
                <c:pt idx="205">
                  <c:v>5.0451505016722358</c:v>
                </c:pt>
                <c:pt idx="206">
                  <c:v>5.0648829431438074</c:v>
                </c:pt>
                <c:pt idx="207">
                  <c:v>5.084615384615379</c:v>
                </c:pt>
                <c:pt idx="208">
                  <c:v>5.1043478260869506</c:v>
                </c:pt>
                <c:pt idx="209">
                  <c:v>5.1240802675585222</c:v>
                </c:pt>
                <c:pt idx="210">
                  <c:v>5.1438127090300938</c:v>
                </c:pt>
                <c:pt idx="211">
                  <c:v>5.1635451505016654</c:v>
                </c:pt>
                <c:pt idx="212">
                  <c:v>5.183277591973237</c:v>
                </c:pt>
                <c:pt idx="213">
                  <c:v>5.2030100334448086</c:v>
                </c:pt>
                <c:pt idx="214">
                  <c:v>5.2227424749163802</c:v>
                </c:pt>
                <c:pt idx="215">
                  <c:v>5.2424749163879518</c:v>
                </c:pt>
                <c:pt idx="216">
                  <c:v>5.2622073578595234</c:v>
                </c:pt>
                <c:pt idx="217">
                  <c:v>5.281939799331095</c:v>
                </c:pt>
                <c:pt idx="218">
                  <c:v>5.3016722408026666</c:v>
                </c:pt>
                <c:pt idx="219">
                  <c:v>5.3214046822742382</c:v>
                </c:pt>
                <c:pt idx="220">
                  <c:v>5.3411371237458098</c:v>
                </c:pt>
                <c:pt idx="221">
                  <c:v>5.3608695652173814</c:v>
                </c:pt>
                <c:pt idx="222">
                  <c:v>5.3806020066889531</c:v>
                </c:pt>
                <c:pt idx="223">
                  <c:v>5.4003344481605247</c:v>
                </c:pt>
                <c:pt idx="224">
                  <c:v>5.4200668896320963</c:v>
                </c:pt>
                <c:pt idx="225">
                  <c:v>5.4397993311036679</c:v>
                </c:pt>
                <c:pt idx="226">
                  <c:v>5.4595317725752395</c:v>
                </c:pt>
                <c:pt idx="227">
                  <c:v>5.4792642140468111</c:v>
                </c:pt>
                <c:pt idx="228">
                  <c:v>5.4989966555183827</c:v>
                </c:pt>
                <c:pt idx="229">
                  <c:v>5.5187290969899543</c:v>
                </c:pt>
                <c:pt idx="230">
                  <c:v>5.5384615384615259</c:v>
                </c:pt>
                <c:pt idx="231">
                  <c:v>5.5581939799330975</c:v>
                </c:pt>
                <c:pt idx="232">
                  <c:v>5.5779264214046691</c:v>
                </c:pt>
                <c:pt idx="233">
                  <c:v>5.5976588628762407</c:v>
                </c:pt>
                <c:pt idx="234">
                  <c:v>5.6173913043478123</c:v>
                </c:pt>
                <c:pt idx="235">
                  <c:v>5.6371237458193839</c:v>
                </c:pt>
                <c:pt idx="236">
                  <c:v>5.6568561872909555</c:v>
                </c:pt>
                <c:pt idx="237">
                  <c:v>5.6765886287625271</c:v>
                </c:pt>
                <c:pt idx="238">
                  <c:v>5.6963210702340987</c:v>
                </c:pt>
                <c:pt idx="239">
                  <c:v>5.7160535117056703</c:v>
                </c:pt>
                <c:pt idx="240">
                  <c:v>5.7357859531772419</c:v>
                </c:pt>
                <c:pt idx="241">
                  <c:v>5.7555183946488135</c:v>
                </c:pt>
                <c:pt idx="242">
                  <c:v>5.7752508361203851</c:v>
                </c:pt>
                <c:pt idx="243">
                  <c:v>5.7949832775919567</c:v>
                </c:pt>
                <c:pt idx="244">
                  <c:v>5.8147157190635284</c:v>
                </c:pt>
                <c:pt idx="245">
                  <c:v>5.8344481605351</c:v>
                </c:pt>
                <c:pt idx="246">
                  <c:v>5.8541806020066716</c:v>
                </c:pt>
                <c:pt idx="247">
                  <c:v>5.8739130434782432</c:v>
                </c:pt>
                <c:pt idx="248">
                  <c:v>5.8936454849498148</c:v>
                </c:pt>
                <c:pt idx="249">
                  <c:v>5.9133779264213864</c:v>
                </c:pt>
                <c:pt idx="250">
                  <c:v>5.933110367892958</c:v>
                </c:pt>
                <c:pt idx="251">
                  <c:v>5.9528428093645296</c:v>
                </c:pt>
                <c:pt idx="252">
                  <c:v>5.9725752508361012</c:v>
                </c:pt>
                <c:pt idx="253">
                  <c:v>5.9923076923076728</c:v>
                </c:pt>
                <c:pt idx="254">
                  <c:v>6.0120401337792444</c:v>
                </c:pt>
                <c:pt idx="255">
                  <c:v>6.031772575250816</c:v>
                </c:pt>
                <c:pt idx="256">
                  <c:v>6.0515050167223876</c:v>
                </c:pt>
                <c:pt idx="257">
                  <c:v>6.0712374581939592</c:v>
                </c:pt>
                <c:pt idx="258">
                  <c:v>6.0909698996655308</c:v>
                </c:pt>
                <c:pt idx="259">
                  <c:v>6.1107023411371024</c:v>
                </c:pt>
                <c:pt idx="260">
                  <c:v>6.130434782608674</c:v>
                </c:pt>
                <c:pt idx="261">
                  <c:v>6.1501672240802456</c:v>
                </c:pt>
                <c:pt idx="262">
                  <c:v>6.1698996655518172</c:v>
                </c:pt>
                <c:pt idx="263">
                  <c:v>6.1896321070233888</c:v>
                </c:pt>
                <c:pt idx="264">
                  <c:v>6.2093645484949604</c:v>
                </c:pt>
                <c:pt idx="265">
                  <c:v>6.229096989966532</c:v>
                </c:pt>
                <c:pt idx="266">
                  <c:v>6.2488294314381037</c:v>
                </c:pt>
                <c:pt idx="267">
                  <c:v>6.2685618729096753</c:v>
                </c:pt>
                <c:pt idx="268">
                  <c:v>6.2882943143812469</c:v>
                </c:pt>
                <c:pt idx="269">
                  <c:v>6.3080267558528185</c:v>
                </c:pt>
                <c:pt idx="270">
                  <c:v>6.3277591973243901</c:v>
                </c:pt>
                <c:pt idx="271">
                  <c:v>6.3474916387959617</c:v>
                </c:pt>
                <c:pt idx="272">
                  <c:v>6.3672240802675333</c:v>
                </c:pt>
                <c:pt idx="273">
                  <c:v>6.3869565217391049</c:v>
                </c:pt>
                <c:pt idx="274">
                  <c:v>6.4066889632106765</c:v>
                </c:pt>
                <c:pt idx="275">
                  <c:v>6.4264214046822481</c:v>
                </c:pt>
                <c:pt idx="276">
                  <c:v>6.4461538461538197</c:v>
                </c:pt>
                <c:pt idx="277">
                  <c:v>6.4658862876253913</c:v>
                </c:pt>
                <c:pt idx="278">
                  <c:v>6.4856187290969629</c:v>
                </c:pt>
                <c:pt idx="279">
                  <c:v>6.5053511705685345</c:v>
                </c:pt>
                <c:pt idx="280">
                  <c:v>6.5250836120401061</c:v>
                </c:pt>
                <c:pt idx="281">
                  <c:v>6.5448160535116777</c:v>
                </c:pt>
                <c:pt idx="282">
                  <c:v>6.5645484949832493</c:v>
                </c:pt>
                <c:pt idx="283">
                  <c:v>6.5842809364548209</c:v>
                </c:pt>
                <c:pt idx="284">
                  <c:v>6.6040133779263925</c:v>
                </c:pt>
                <c:pt idx="285">
                  <c:v>6.6237458193979641</c:v>
                </c:pt>
                <c:pt idx="286">
                  <c:v>6.6434782608695357</c:v>
                </c:pt>
                <c:pt idx="287">
                  <c:v>6.6632107023411073</c:v>
                </c:pt>
                <c:pt idx="288">
                  <c:v>6.682943143812679</c:v>
                </c:pt>
                <c:pt idx="289">
                  <c:v>6.7026755852842506</c:v>
                </c:pt>
                <c:pt idx="290">
                  <c:v>6.7224080267558222</c:v>
                </c:pt>
                <c:pt idx="291">
                  <c:v>6.7421404682273938</c:v>
                </c:pt>
                <c:pt idx="292">
                  <c:v>6.7618729096989654</c:v>
                </c:pt>
                <c:pt idx="293">
                  <c:v>6.781605351170537</c:v>
                </c:pt>
                <c:pt idx="294">
                  <c:v>6.8013377926421086</c:v>
                </c:pt>
                <c:pt idx="295">
                  <c:v>6.8210702341136802</c:v>
                </c:pt>
                <c:pt idx="296">
                  <c:v>6.8408026755852518</c:v>
                </c:pt>
                <c:pt idx="297">
                  <c:v>6.8605351170568234</c:v>
                </c:pt>
                <c:pt idx="298">
                  <c:v>6.880267558528395</c:v>
                </c:pt>
                <c:pt idx="299">
                  <c:v>6.8999999999999666</c:v>
                </c:pt>
              </c:numCache>
            </c:numRef>
          </c:cat>
          <c:val>
            <c:numRef>
              <c:f>irysy_estymacjagęstości!$O$3:$O$302</c:f>
              <c:numCache>
                <c:formatCode>General</c:formatCode>
                <c:ptCount val="300"/>
                <c:pt idx="0">
                  <c:v>9.52974706548846E-2</c:v>
                </c:pt>
                <c:pt idx="1">
                  <c:v>9.593419208124819E-2</c:v>
                </c:pt>
                <c:pt idx="2">
                  <c:v>9.656443138176736E-2</c:v>
                </c:pt>
                <c:pt idx="3">
                  <c:v>9.7188122665965715E-2</c:v>
                </c:pt>
                <c:pt idx="4">
                  <c:v>9.7805205909608561E-2</c:v>
                </c:pt>
                <c:pt idx="5">
                  <c:v>9.8415627019381502E-2</c:v>
                </c:pt>
                <c:pt idx="6">
                  <c:v>9.9019337891269543E-2</c:v>
                </c:pt>
                <c:pt idx="7">
                  <c:v>9.9616296462517129E-2</c:v>
                </c:pt>
                <c:pt idx="8">
                  <c:v>0.1002064667570562</c:v>
                </c:pt>
                <c:pt idx="9">
                  <c:v>0.10078981892429283</c:v>
                </c:pt>
                <c:pt idx="10">
                  <c:v>0.10136632927115789</c:v>
                </c:pt>
                <c:pt idx="11">
                  <c:v>0.10193598028732913</c:v>
                </c:pt>
                <c:pt idx="12">
                  <c:v>0.10249876066354124</c:v>
                </c:pt>
                <c:pt idx="13">
                  <c:v>0.10305466530291445</c:v>
                </c:pt>
                <c:pt idx="14">
                  <c:v>0.10360369532523191</c:v>
                </c:pt>
                <c:pt idx="15">
                  <c:v>0.10414585806411281</c:v>
                </c:pt>
                <c:pt idx="16">
                  <c:v>0.1046811670570323</c:v>
                </c:pt>
                <c:pt idx="17">
                  <c:v>0.10520964202815153</c:v>
                </c:pt>
                <c:pt idx="18">
                  <c:v>0.10573130886392594</c:v>
                </c:pt>
                <c:pt idx="19">
                  <c:v>0.10624619958147502</c:v>
                </c:pt>
                <c:pt idx="20">
                  <c:v>0.10675435228970109</c:v>
                </c:pt>
                <c:pt idx="21">
                  <c:v>0.10725581114315715</c:v>
                </c:pt>
                <c:pt idx="22">
                  <c:v>0.10775062628867092</c:v>
                </c:pt>
                <c:pt idx="23">
                  <c:v>0.10823885380474503</c:v>
                </c:pt>
                <c:pt idx="24">
                  <c:v>0.10872055563375965</c:v>
                </c:pt>
                <c:pt idx="25">
                  <c:v>0.10919579950701402</c:v>
                </c:pt>
                <c:pt idx="26">
                  <c:v>0.10966465886265596</c:v>
                </c:pt>
                <c:pt idx="27">
                  <c:v>0.11012721275655445</c:v>
                </c:pt>
                <c:pt idx="28">
                  <c:v>0.11058354576618017</c:v>
                </c:pt>
                <c:pt idx="29">
                  <c:v>0.11103374788757253</c:v>
                </c:pt>
                <c:pt idx="30">
                  <c:v>0.11147791442547526</c:v>
                </c:pt>
                <c:pt idx="31">
                  <c:v>0.11191614587673553</c:v>
                </c:pt>
                <c:pt idx="32">
                  <c:v>0.11234854780707297</c:v>
                </c:pt>
                <c:pt idx="33">
                  <c:v>0.11277523072132821</c:v>
                </c:pt>
                <c:pt idx="34">
                  <c:v>0.11319630992731421</c:v>
                </c:pt>
                <c:pt idx="35">
                  <c:v>0.11361190539340221</c:v>
                </c:pt>
                <c:pt idx="36">
                  <c:v>0.11402214159998246</c:v>
                </c:pt>
                <c:pt idx="37">
                  <c:v>0.11442714738494665</c:v>
                </c:pt>
                <c:pt idx="38">
                  <c:v>0.11482705578334952</c:v>
                </c:pt>
                <c:pt idx="39">
                  <c:v>0.11522200386141949</c:v>
                </c:pt>
                <c:pt idx="40">
                  <c:v>0.1156121325450828</c:v>
                </c:pt>
                <c:pt idx="41">
                  <c:v>0.11599758644319423</c:v>
                </c:pt>
                <c:pt idx="42">
                  <c:v>0.11637851366565295</c:v>
                </c:pt>
                <c:pt idx="43">
                  <c:v>0.1167550656366098</c:v>
                </c:pt>
                <c:pt idx="44">
                  <c:v>0.11712739690296102</c:v>
                </c:pt>
                <c:pt idx="45">
                  <c:v>0.11749566493834827</c:v>
                </c:pt>
                <c:pt idx="46">
                  <c:v>0.11786002994287535</c:v>
                </c:pt>
                <c:pt idx="47">
                  <c:v>0.11822065463877045</c:v>
                </c:pt>
                <c:pt idx="48">
                  <c:v>0.11857770406222211</c:v>
                </c:pt>
                <c:pt idx="49">
                  <c:v>0.11893134535162668</c:v>
                </c:pt>
                <c:pt idx="50">
                  <c:v>0.11928174753248759</c:v>
                </c:pt>
                <c:pt idx="51">
                  <c:v>0.11962908129921389</c:v>
                </c:pt>
                <c:pt idx="52">
                  <c:v>0.11997351879406788</c:v>
                </c:pt>
                <c:pt idx="53">
                  <c:v>0.12031523338352627</c:v>
                </c:pt>
                <c:pt idx="54">
                  <c:v>0.12065439943230254</c:v>
                </c:pt>
                <c:pt idx="55">
                  <c:v>0.12099119207530688</c:v>
                </c:pt>
                <c:pt idx="56">
                  <c:v>0.12132578698780344</c:v>
                </c:pt>
                <c:pt idx="57">
                  <c:v>0.12165836015404291</c:v>
                </c:pt>
                <c:pt idx="58">
                  <c:v>0.12198908763463905</c:v>
                </c:pt>
                <c:pt idx="59">
                  <c:v>0.12231814533296638</c:v>
                </c:pt>
                <c:pt idx="60">
                  <c:v>0.12264570876086271</c:v>
                </c:pt>
                <c:pt idx="61">
                  <c:v>0.12297195280390592</c:v>
                </c:pt>
                <c:pt idx="62">
                  <c:v>0.12329705148656096</c:v>
                </c:pt>
                <c:pt idx="63">
                  <c:v>0.12362117773746285</c:v>
                </c:pt>
                <c:pt idx="64">
                  <c:v>0.12394450315513493</c:v>
                </c:pt>
                <c:pt idx="65">
                  <c:v>0.12426719777441127</c:v>
                </c:pt>
                <c:pt idx="66">
                  <c:v>0.12458942983385453</c:v>
                </c:pt>
                <c:pt idx="67">
                  <c:v>0.12491136554444941</c:v>
                </c:pt>
                <c:pt idx="68">
                  <c:v>0.125233168859849</c:v>
                </c:pt>
                <c:pt idx="69">
                  <c:v>0.12555500124846189</c:v>
                </c:pt>
                <c:pt idx="70">
                  <c:v>0.12587702146764537</c:v>
                </c:pt>
                <c:pt idx="71">
                  <c:v>0.12619938534029482</c:v>
                </c:pt>
                <c:pt idx="72">
                  <c:v>0.12652224553409114</c:v>
                </c:pt>
                <c:pt idx="73">
                  <c:v>0.12684575134368081</c:v>
                </c:pt>
                <c:pt idx="74">
                  <c:v>0.12717004847605604</c:v>
                </c:pt>
                <c:pt idx="75">
                  <c:v>0.12749527883939821</c:v>
                </c:pt>
                <c:pt idx="76">
                  <c:v>0.12782158033564023</c:v>
                </c:pt>
                <c:pt idx="77">
                  <c:v>0.12814908665700955</c:v>
                </c:pt>
                <c:pt idx="78">
                  <c:v>0.12847792708679404</c:v>
                </c:pt>
                <c:pt idx="79">
                  <c:v>0.12880822630458375</c:v>
                </c:pt>
                <c:pt idx="80">
                  <c:v>0.12914010419622329</c:v>
                </c:pt>
                <c:pt idx="81">
                  <c:v>0.12947367566870815</c:v>
                </c:pt>
                <c:pt idx="82">
                  <c:v>0.12980905047026034</c:v>
                </c:pt>
                <c:pt idx="83">
                  <c:v>0.13014633301579628</c:v>
                </c:pt>
                <c:pt idx="84">
                  <c:v>0.13048562221800725</c:v>
                </c:pt>
                <c:pt idx="85">
                  <c:v>0.1308270113242628</c:v>
                </c:pt>
                <c:pt idx="86">
                  <c:v>0.1311705877595308</c:v>
                </c:pt>
                <c:pt idx="87">
                  <c:v>0.13151643297551713</c:v>
                </c:pt>
                <c:pt idx="88">
                  <c:v>0.1318646223062053</c:v>
                </c:pt>
                <c:pt idx="89">
                  <c:v>0.13221522482997572</c:v>
                </c:pt>
                <c:pt idx="90">
                  <c:v>0.13256830323847504</c:v>
                </c:pt>
                <c:pt idx="91">
                  <c:v>0.13292391371240106</c:v>
                </c:pt>
                <c:pt idx="92">
                  <c:v>0.13328210580434766</c:v>
                </c:pt>
                <c:pt idx="93">
                  <c:v>0.13364292232886427</c:v>
                </c:pt>
                <c:pt idx="94">
                  <c:v>0.13400639925986055</c:v>
                </c:pt>
                <c:pt idx="95">
                  <c:v>0.13437256563548225</c:v>
                </c:pt>
                <c:pt idx="96">
                  <c:v>0.1347414434705784</c:v>
                </c:pt>
                <c:pt idx="97">
                  <c:v>0.13511304767686688</c:v>
                </c:pt>
                <c:pt idx="98">
                  <c:v>0.13548738599089608</c:v>
                </c:pt>
                <c:pt idx="99">
                  <c:v>0.13586445890989346</c:v>
                </c:pt>
                <c:pt idx="100">
                  <c:v>0.13624425963557837</c:v>
                </c:pt>
                <c:pt idx="101">
                  <c:v>0.13662677402601028</c:v>
                </c:pt>
                <c:pt idx="102">
                  <c:v>0.13701198055553035</c:v>
                </c:pt>
                <c:pt idx="103">
                  <c:v>0.13739985028285051</c:v>
                </c:pt>
                <c:pt idx="104">
                  <c:v>0.13779034682732214</c:v>
                </c:pt>
                <c:pt idx="105">
                  <c:v>0.13818342635342271</c:v>
                </c:pt>
                <c:pt idx="106">
                  <c:v>0.13857903756347598</c:v>
                </c:pt>
                <c:pt idx="107">
                  <c:v>0.13897712169861379</c:v>
                </c:pt>
                <c:pt idx="108">
                  <c:v>0.13937761254798578</c:v>
                </c:pt>
                <c:pt idx="109">
                  <c:v>0.13978043646620048</c:v>
                </c:pt>
                <c:pt idx="110">
                  <c:v>0.14018551239898347</c:v>
                </c:pt>
                <c:pt idx="111">
                  <c:v>0.14059275191701751</c:v>
                </c:pt>
                <c:pt idx="112">
                  <c:v>0.14100205925793088</c:v>
                </c:pt>
                <c:pt idx="113">
                  <c:v>0.14141333137638232</c:v>
                </c:pt>
                <c:pt idx="114">
                  <c:v>0.14182645800218135</c:v>
                </c:pt>
                <c:pt idx="115">
                  <c:v>0.14224132170638207</c:v>
                </c:pt>
                <c:pt idx="116">
                  <c:v>0.14265779797526709</c:v>
                </c:pt>
                <c:pt idx="117">
                  <c:v>0.14307575529213801</c:v>
                </c:pt>
                <c:pt idx="118">
                  <c:v>0.1434950552268171</c:v>
                </c:pt>
                <c:pt idx="119">
                  <c:v>0.14391555253275329</c:v>
                </c:pt>
                <c:pt idx="120">
                  <c:v>0.14433709525162164</c:v>
                </c:pt>
                <c:pt idx="121">
                  <c:v>0.14475952482529178</c:v>
                </c:pt>
                <c:pt idx="122">
                  <c:v>0.14518267621503875</c:v>
                </c:pt>
                <c:pt idx="123">
                  <c:v>0.14560637802785353</c:v>
                </c:pt>
                <c:pt idx="124">
                  <c:v>0.14603045264970888</c:v>
                </c:pt>
                <c:pt idx="125">
                  <c:v>0.14645471638562851</c:v>
                </c:pt>
                <c:pt idx="126">
                  <c:v>0.14687897960639226</c:v>
                </c:pt>
                <c:pt idx="127">
                  <c:v>0.14730304690171547</c:v>
                </c:pt>
                <c:pt idx="128">
                  <c:v>0.14772671723971945</c:v>
                </c:pt>
                <c:pt idx="129">
                  <c:v>0.14814978413251664</c:v>
                </c:pt>
                <c:pt idx="130">
                  <c:v>0.14857203580771536</c:v>
                </c:pt>
                <c:pt idx="131">
                  <c:v>0.14899325538565428</c:v>
                </c:pt>
                <c:pt idx="132">
                  <c:v>0.14941322106216037</c:v>
                </c:pt>
                <c:pt idx="133">
                  <c:v>0.14983170629662551</c:v>
                </c:pt>
                <c:pt idx="134">
                  <c:v>0.15024848000519003</c:v>
                </c:pt>
                <c:pt idx="135">
                  <c:v>0.15066330675881154</c:v>
                </c:pt>
                <c:pt idx="136">
                  <c:v>0.15107594698600293</c:v>
                </c:pt>
                <c:pt idx="137">
                  <c:v>0.15148615718000416</c:v>
                </c:pt>
                <c:pt idx="138">
                  <c:v>0.15189369011016587</c:v>
                </c:pt>
                <c:pt idx="139">
                  <c:v>0.15229829503730186</c:v>
                </c:pt>
                <c:pt idx="140">
                  <c:v>0.15269971793277584</c:v>
                </c:pt>
                <c:pt idx="141">
                  <c:v>0.1530977017010795</c:v>
                </c:pt>
                <c:pt idx="142">
                  <c:v>0.15349198640565773</c:v>
                </c:pt>
                <c:pt idx="143">
                  <c:v>0.15388230949773066</c:v>
                </c:pt>
                <c:pt idx="144">
                  <c:v>0.15426840604786685</c:v>
                </c:pt>
                <c:pt idx="145">
                  <c:v>0.15465000898005074</c:v>
                </c:pt>
                <c:pt idx="146">
                  <c:v>0.15502684930799682</c:v>
                </c:pt>
                <c:pt idx="147">
                  <c:v>0.15539865637344971</c:v>
                </c:pt>
                <c:pt idx="148">
                  <c:v>0.15576515808621594</c:v>
                </c:pt>
                <c:pt idx="149">
                  <c:v>0.15612608116567481</c:v>
                </c:pt>
                <c:pt idx="150">
                  <c:v>0.15648115138350496</c:v>
                </c:pt>
                <c:pt idx="151">
                  <c:v>0.15683009380737192</c:v>
                </c:pt>
                <c:pt idx="152">
                  <c:v>0.15717263304532339</c:v>
                </c:pt>
                <c:pt idx="153">
                  <c:v>0.15750849349062793</c:v>
                </c:pt>
                <c:pt idx="154">
                  <c:v>0.15783739956680881</c:v>
                </c:pt>
                <c:pt idx="155">
                  <c:v>0.15815907597261514</c:v>
                </c:pt>
                <c:pt idx="156">
                  <c:v>0.15847324792667583</c:v>
                </c:pt>
                <c:pt idx="157">
                  <c:v>0.15877964141158898</c:v>
                </c:pt>
                <c:pt idx="158">
                  <c:v>0.15907798341719323</c:v>
                </c:pt>
                <c:pt idx="159">
                  <c:v>0.15936800218277755</c:v>
                </c:pt>
                <c:pt idx="160">
                  <c:v>0.15964942743798174</c:v>
                </c:pt>
                <c:pt idx="161">
                  <c:v>0.15992199064214777</c:v>
                </c:pt>
                <c:pt idx="162">
                  <c:v>0.16018542522188448</c:v>
                </c:pt>
                <c:pt idx="163">
                  <c:v>0.16043946680660773</c:v>
                </c:pt>
                <c:pt idx="164">
                  <c:v>0.16068385346182587</c:v>
                </c:pt>
                <c:pt idx="165">
                  <c:v>0.16091832591994454</c:v>
                </c:pt>
                <c:pt idx="166">
                  <c:v>0.16114262780836336</c:v>
                </c:pt>
                <c:pt idx="167">
                  <c:v>0.16135650587464884</c:v>
                </c:pt>
                <c:pt idx="168">
                  <c:v>0.1615597102085666</c:v>
                </c:pt>
                <c:pt idx="169">
                  <c:v>0.16175199446076563</c:v>
                </c:pt>
                <c:pt idx="170">
                  <c:v>0.161933116057905</c:v>
                </c:pt>
                <c:pt idx="171">
                  <c:v>0.1621028364140292</c:v>
                </c:pt>
                <c:pt idx="172">
                  <c:v>0.16226092113799334</c:v>
                </c:pt>
                <c:pt idx="173">
                  <c:v>0.16240714023675054</c:v>
                </c:pt>
                <c:pt idx="174">
                  <c:v>0.16254126831432036</c:v>
                </c:pt>
                <c:pt idx="175">
                  <c:v>0.16266308476625849</c:v>
                </c:pt>
                <c:pt idx="176">
                  <c:v>0.16277237396945757</c:v>
                </c:pt>
                <c:pt idx="177">
                  <c:v>0.16286892546711609</c:v>
                </c:pt>
                <c:pt idx="178">
                  <c:v>0.16295253414871319</c:v>
                </c:pt>
                <c:pt idx="179">
                  <c:v>0.16302300042484091</c:v>
                </c:pt>
                <c:pt idx="180">
                  <c:v>0.16308013039674601</c:v>
                </c:pt>
                <c:pt idx="181">
                  <c:v>0.16312373602044355</c:v>
                </c:pt>
                <c:pt idx="182">
                  <c:v>0.16315363526527052</c:v>
                </c:pt>
                <c:pt idx="183">
                  <c:v>0.1631696522667534</c:v>
                </c:pt>
                <c:pt idx="184">
                  <c:v>0.1631716174736729</c:v>
                </c:pt>
                <c:pt idx="185">
                  <c:v>0.16315936778921381</c:v>
                </c:pt>
                <c:pt idx="186">
                  <c:v>0.16313274670609576</c:v>
                </c:pt>
                <c:pt idx="187">
                  <c:v>0.16309160443558904</c:v>
                </c:pt>
                <c:pt idx="188">
                  <c:v>0.16303579803032558</c:v>
                </c:pt>
                <c:pt idx="189">
                  <c:v>0.16296519150082242</c:v>
                </c:pt>
                <c:pt idx="190">
                  <c:v>0.16287965592564263</c:v>
                </c:pt>
                <c:pt idx="191">
                  <c:v>0.16277906955512514</c:v>
                </c:pt>
                <c:pt idx="192">
                  <c:v>0.16266331790862565</c:v>
                </c:pt>
                <c:pt idx="193">
                  <c:v>0.16253229386521159</c:v>
                </c:pt>
                <c:pt idx="194">
                  <c:v>0.16238589774776749</c:v>
                </c:pt>
                <c:pt idx="195">
                  <c:v>0.16222403740047206</c:v>
                </c:pt>
                <c:pt idx="196">
                  <c:v>0.162046628259614</c:v>
                </c:pt>
                <c:pt idx="197">
                  <c:v>0.16185359341772396</c:v>
                </c:pt>
                <c:pt idx="198">
                  <c:v>0.1616448636810037</c:v>
                </c:pt>
                <c:pt idx="199">
                  <c:v>0.16142037762004466</c:v>
                </c:pt>
                <c:pt idx="200">
                  <c:v>0.16118008161382993</c:v>
                </c:pt>
                <c:pt idx="201">
                  <c:v>0.16092392988702633</c:v>
                </c:pt>
                <c:pt idx="202">
                  <c:v>0.16065188454057533</c:v>
                </c:pt>
                <c:pt idx="203">
                  <c:v>0.16036391557560223</c:v>
                </c:pt>
                <c:pt idx="204">
                  <c:v>0.1600600009106658</c:v>
                </c:pt>
                <c:pt idx="205">
                  <c:v>0.15974012639238119</c:v>
                </c:pt>
                <c:pt idx="206">
                  <c:v>0.15940428579945257</c:v>
                </c:pt>
                <c:pt idx="207">
                  <c:v>0.1590524808401601</c:v>
                </c:pt>
                <c:pt idx="208">
                  <c:v>0.1586847211433495</c:v>
                </c:pt>
                <c:pt idx="209">
                  <c:v>0.1583010242429829</c:v>
                </c:pt>
                <c:pt idx="210">
                  <c:v>0.15790141555631251</c:v>
                </c:pt>
                <c:pt idx="211">
                  <c:v>0.15748592835574413</c:v>
                </c:pt>
                <c:pt idx="212">
                  <c:v>0.15705460373446534</c:v>
                </c:pt>
                <c:pt idx="213">
                  <c:v>0.15660749056591894</c:v>
                </c:pt>
                <c:pt idx="214">
                  <c:v>0.15614464545720511</c:v>
                </c:pt>
                <c:pt idx="215">
                  <c:v>0.15566613269650267</c:v>
                </c:pt>
                <c:pt idx="216">
                  <c:v>0.15517202419460757</c:v>
                </c:pt>
                <c:pt idx="217">
                  <c:v>0.15466239942068408</c:v>
                </c:pt>
                <c:pt idx="218">
                  <c:v>0.15413734533234022</c:v>
                </c:pt>
                <c:pt idx="219">
                  <c:v>0.15359695630013201</c:v>
                </c:pt>
                <c:pt idx="220">
                  <c:v>0.1530413340266133</c:v>
                </c:pt>
                <c:pt idx="221">
                  <c:v>0.15247058746005185</c:v>
                </c:pt>
                <c:pt idx="222">
                  <c:v>0.15188483270292991</c:v>
                </c:pt>
                <c:pt idx="223">
                  <c:v>0.15128419291536019</c:v>
                </c:pt>
                <c:pt idx="224">
                  <c:v>0.15066879821354609</c:v>
                </c:pt>
                <c:pt idx="225">
                  <c:v>0.15003878556342107</c:v>
                </c:pt>
                <c:pt idx="226">
                  <c:v>0.1493942986696031</c:v>
                </c:pt>
                <c:pt idx="227">
                  <c:v>0.14873548785980664</c:v>
                </c:pt>
                <c:pt idx="228">
                  <c:v>0.14806250996485615</c:v>
                </c:pt>
                <c:pt idx="229">
                  <c:v>0.14737552819444569</c:v>
                </c:pt>
                <c:pt idx="230">
                  <c:v>0.14667471200879517</c:v>
                </c:pt>
                <c:pt idx="231">
                  <c:v>0.14596023698635532</c:v>
                </c:pt>
                <c:pt idx="232">
                  <c:v>0.14523228468771365</c:v>
                </c:pt>
                <c:pt idx="233">
                  <c:v>0.14449104251585934</c:v>
                </c:pt>
                <c:pt idx="234">
                  <c:v>0.14373670357296289</c:v>
                </c:pt>
                <c:pt idx="235">
                  <c:v>0.14296946651383044</c:v>
                </c:pt>
                <c:pt idx="236">
                  <c:v>0.14218953539619555</c:v>
                </c:pt>
                <c:pt idx="237">
                  <c:v>0.14139711952800713</c:v>
                </c:pt>
                <c:pt idx="238">
                  <c:v>0.14059243331187984</c:v>
                </c:pt>
                <c:pt idx="239">
                  <c:v>0.13977569608687035</c:v>
                </c:pt>
                <c:pt idx="240">
                  <c:v>0.13894713196774225</c:v>
                </c:pt>
                <c:pt idx="241">
                  <c:v>0.13810696968188904</c:v>
                </c:pt>
                <c:pt idx="242">
                  <c:v>0.13725544240407692</c:v>
                </c:pt>
                <c:pt idx="243">
                  <c:v>0.13639278758917575</c:v>
                </c:pt>
                <c:pt idx="244">
                  <c:v>0.1355192468030442</c:v>
                </c:pt>
                <c:pt idx="245">
                  <c:v>0.13463506555173296</c:v>
                </c:pt>
                <c:pt idx="246">
                  <c:v>0.13374049310917296</c:v>
                </c:pt>
                <c:pt idx="247">
                  <c:v>0.13283578234351401</c:v>
                </c:pt>
                <c:pt idx="248">
                  <c:v>0.13192118954227625</c:v>
                </c:pt>
                <c:pt idx="249">
                  <c:v>0.1309969742364783</c:v>
                </c:pt>
                <c:pt idx="250">
                  <c:v>0.1300633990239069</c:v>
                </c:pt>
                <c:pt idx="251">
                  <c:v>0.12912072939168437</c:v>
                </c:pt>
                <c:pt idx="252">
                  <c:v>0.12816923353829895</c:v>
                </c:pt>
                <c:pt idx="253">
                  <c:v>0.12720918219525196</c:v>
                </c:pt>
                <c:pt idx="254">
                  <c:v>0.12624084844848255</c:v>
                </c:pt>
                <c:pt idx="255">
                  <c:v>0.1252645075597206</c:v>
                </c:pt>
                <c:pt idx="256">
                  <c:v>0.12428043678792584</c:v>
                </c:pt>
                <c:pt idx="257">
                  <c:v>0.12328891521095929</c:v>
                </c:pt>
                <c:pt idx="258">
                  <c:v>0.12229022354764013</c:v>
                </c:pt>
                <c:pt idx="259">
                  <c:v>0.1212846439803318</c:v>
                </c:pt>
                <c:pt idx="260">
                  <c:v>0.12027245997820279</c:v>
                </c:pt>
                <c:pt idx="261">
                  <c:v>0.11925395612130361</c:v>
                </c:pt>
                <c:pt idx="262">
                  <c:v>0.11822941792559884</c:v>
                </c:pt>
                <c:pt idx="263">
                  <c:v>0.11719913166909131</c:v>
                </c:pt>
                <c:pt idx="264">
                  <c:v>0.11616338421917012</c:v>
                </c:pt>
                <c:pt idx="265">
                  <c:v>0.11512246286131517</c:v>
                </c:pt>
                <c:pt idx="266">
                  <c:v>0.11407665512928511</c:v>
                </c:pt>
                <c:pt idx="267">
                  <c:v>0.11302624863691156</c:v>
                </c:pt>
                <c:pt idx="268">
                  <c:v>0.11197153091162261</c:v>
                </c:pt>
                <c:pt idx="269">
                  <c:v>0.11091278922981374</c:v>
                </c:pt>
                <c:pt idx="270">
                  <c:v>0.1098503104541786</c:v>
                </c:pt>
                <c:pt idx="271">
                  <c:v>0.10878438087311322</c:v>
                </c:pt>
                <c:pt idx="272">
                  <c:v>0.10771528604229957</c:v>
                </c:pt>
                <c:pt idx="273">
                  <c:v>0.10664331062857398</c:v>
                </c:pt>
                <c:pt idx="274">
                  <c:v>0.10556873825617936</c:v>
                </c:pt>
                <c:pt idx="275">
                  <c:v>0.1044918513555002</c:v>
                </c:pt>
                <c:pt idx="276">
                  <c:v>0.10341293101437134</c:v>
                </c:pt>
                <c:pt idx="277">
                  <c:v>0.10233225683205159</c:v>
                </c:pt>
                <c:pt idx="278">
                  <c:v>0.10125010677594737</c:v>
                </c:pt>
                <c:pt idx="279">
                  <c:v>0.10016675704116836</c:v>
                </c:pt>
                <c:pt idx="280">
                  <c:v>9.908248191299264E-2</c:v>
                </c:pt>
                <c:pt idx="281">
                  <c:v>9.7997553632317227E-2</c:v>
                </c:pt>
                <c:pt idx="282">
                  <c:v>9.6912242264162687E-2</c:v>
                </c:pt>
                <c:pt idx="283">
                  <c:v>9.5826815569298965E-2</c:v>
                </c:pt>
                <c:pt idx="284">
                  <c:v>9.4741538879055842E-2</c:v>
                </c:pt>
                <c:pt idx="285">
                  <c:v>9.3656674973375723E-2</c:v>
                </c:pt>
                <c:pt idx="286">
                  <c:v>9.25724839621649E-2</c:v>
                </c:pt>
                <c:pt idx="287">
                  <c:v>9.1489223169992528E-2</c:v>
                </c:pt>
                <c:pt idx="288">
                  <c:v>9.0407147024187173E-2</c:v>
                </c:pt>
                <c:pt idx="289">
                  <c:v>8.9326506946371301E-2</c:v>
                </c:pt>
                <c:pt idx="290">
                  <c:v>8.8247551247476394E-2</c:v>
                </c:pt>
                <c:pt idx="291">
                  <c:v>8.7170525026271206E-2</c:v>
                </c:pt>
                <c:pt idx="292">
                  <c:v>8.6095670071438271E-2</c:v>
                </c:pt>
                <c:pt idx="293">
                  <c:v>8.5023224767224362E-2</c:v>
                </c:pt>
                <c:pt idx="294">
                  <c:v>8.3953424002690444E-2</c:v>
                </c:pt>
                <c:pt idx="295">
                  <c:v>8.2886499084583218E-2</c:v>
                </c:pt>
                <c:pt idx="296">
                  <c:v>8.1822677653842046E-2</c:v>
                </c:pt>
                <c:pt idx="297">
                  <c:v>8.0762183605759222E-2</c:v>
                </c:pt>
                <c:pt idx="298">
                  <c:v>7.9705237013799515E-2</c:v>
                </c:pt>
                <c:pt idx="299">
                  <c:v>7.8652054057088708E-2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99-4895-9D19-8D54FDAE56CE}"/>
            </c:ext>
          </c:extLst>
        </c:ser>
        <c:ser>
          <c:idx val="1"/>
          <c:order val="4"/>
          <c:tx>
            <c:v>Za duża szerokość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irysy_estymacjagęstości!$K$3:$K$302</c:f>
              <c:numCache>
                <c:formatCode>General</c:formatCode>
                <c:ptCount val="300"/>
                <c:pt idx="0">
                  <c:v>1</c:v>
                </c:pt>
                <c:pt idx="1">
                  <c:v>1.0197324414715718</c:v>
                </c:pt>
                <c:pt idx="2">
                  <c:v>1.0394648829431437</c:v>
                </c:pt>
                <c:pt idx="3">
                  <c:v>1.0591973244147155</c:v>
                </c:pt>
                <c:pt idx="4">
                  <c:v>1.0789297658862873</c:v>
                </c:pt>
                <c:pt idx="5">
                  <c:v>1.0986622073578591</c:v>
                </c:pt>
                <c:pt idx="6">
                  <c:v>1.118394648829431</c:v>
                </c:pt>
                <c:pt idx="7">
                  <c:v>1.1381270903010028</c:v>
                </c:pt>
                <c:pt idx="8">
                  <c:v>1.1578595317725746</c:v>
                </c:pt>
                <c:pt idx="9">
                  <c:v>1.1775919732441464</c:v>
                </c:pt>
                <c:pt idx="10">
                  <c:v>1.1973244147157183</c:v>
                </c:pt>
                <c:pt idx="11">
                  <c:v>1.2170568561872901</c:v>
                </c:pt>
                <c:pt idx="12">
                  <c:v>1.2367892976588619</c:v>
                </c:pt>
                <c:pt idx="13">
                  <c:v>1.2565217391304337</c:v>
                </c:pt>
                <c:pt idx="14">
                  <c:v>1.2762541806020056</c:v>
                </c:pt>
                <c:pt idx="15">
                  <c:v>1.2959866220735774</c:v>
                </c:pt>
                <c:pt idx="16">
                  <c:v>1.3157190635451492</c:v>
                </c:pt>
                <c:pt idx="17">
                  <c:v>1.3354515050167211</c:v>
                </c:pt>
                <c:pt idx="18">
                  <c:v>1.3551839464882929</c:v>
                </c:pt>
                <c:pt idx="19">
                  <c:v>1.3749163879598647</c:v>
                </c:pt>
                <c:pt idx="20">
                  <c:v>1.3946488294314365</c:v>
                </c:pt>
                <c:pt idx="21">
                  <c:v>1.4143812709030084</c:v>
                </c:pt>
                <c:pt idx="22">
                  <c:v>1.4341137123745802</c:v>
                </c:pt>
                <c:pt idx="23">
                  <c:v>1.453846153846152</c:v>
                </c:pt>
                <c:pt idx="24">
                  <c:v>1.4735785953177238</c:v>
                </c:pt>
                <c:pt idx="25">
                  <c:v>1.4933110367892957</c:v>
                </c:pt>
                <c:pt idx="26">
                  <c:v>1.5130434782608675</c:v>
                </c:pt>
                <c:pt idx="27">
                  <c:v>1.5327759197324393</c:v>
                </c:pt>
                <c:pt idx="28">
                  <c:v>1.5525083612040111</c:v>
                </c:pt>
                <c:pt idx="29">
                  <c:v>1.572240802675583</c:v>
                </c:pt>
                <c:pt idx="30">
                  <c:v>1.5919732441471548</c:v>
                </c:pt>
                <c:pt idx="31">
                  <c:v>1.6117056856187266</c:v>
                </c:pt>
                <c:pt idx="32">
                  <c:v>1.6314381270902985</c:v>
                </c:pt>
                <c:pt idx="33">
                  <c:v>1.6511705685618703</c:v>
                </c:pt>
                <c:pt idx="34">
                  <c:v>1.6709030100334421</c:v>
                </c:pt>
                <c:pt idx="35">
                  <c:v>1.6906354515050139</c:v>
                </c:pt>
                <c:pt idx="36">
                  <c:v>1.7103678929765858</c:v>
                </c:pt>
                <c:pt idx="37">
                  <c:v>1.7301003344481576</c:v>
                </c:pt>
                <c:pt idx="38">
                  <c:v>1.7498327759197294</c:v>
                </c:pt>
                <c:pt idx="39">
                  <c:v>1.7695652173913012</c:v>
                </c:pt>
                <c:pt idx="40">
                  <c:v>1.7892976588628731</c:v>
                </c:pt>
                <c:pt idx="41">
                  <c:v>1.8090301003344449</c:v>
                </c:pt>
                <c:pt idx="42">
                  <c:v>1.8287625418060167</c:v>
                </c:pt>
                <c:pt idx="43">
                  <c:v>1.8484949832775885</c:v>
                </c:pt>
                <c:pt idx="44">
                  <c:v>1.8682274247491604</c:v>
                </c:pt>
                <c:pt idx="45">
                  <c:v>1.8879598662207322</c:v>
                </c:pt>
                <c:pt idx="46">
                  <c:v>1.907692307692304</c:v>
                </c:pt>
                <c:pt idx="47">
                  <c:v>1.9274247491638759</c:v>
                </c:pt>
                <c:pt idx="48">
                  <c:v>1.9471571906354477</c:v>
                </c:pt>
                <c:pt idx="49">
                  <c:v>1.9668896321070195</c:v>
                </c:pt>
                <c:pt idx="50">
                  <c:v>1.9866220735785913</c:v>
                </c:pt>
                <c:pt idx="51">
                  <c:v>2.0063545150501634</c:v>
                </c:pt>
                <c:pt idx="52">
                  <c:v>2.0260869565217354</c:v>
                </c:pt>
                <c:pt idx="53">
                  <c:v>2.0458193979933075</c:v>
                </c:pt>
                <c:pt idx="54">
                  <c:v>2.0655518394648795</c:v>
                </c:pt>
                <c:pt idx="55">
                  <c:v>2.0852842809364516</c:v>
                </c:pt>
                <c:pt idx="56">
                  <c:v>2.1050167224080236</c:v>
                </c:pt>
                <c:pt idx="57">
                  <c:v>2.1247491638795957</c:v>
                </c:pt>
                <c:pt idx="58">
                  <c:v>2.1444816053511677</c:v>
                </c:pt>
                <c:pt idx="59">
                  <c:v>2.1642140468227398</c:v>
                </c:pt>
                <c:pt idx="60">
                  <c:v>2.1839464882943118</c:v>
                </c:pt>
                <c:pt idx="61">
                  <c:v>2.2036789297658839</c:v>
                </c:pt>
                <c:pt idx="62">
                  <c:v>2.2234113712374559</c:v>
                </c:pt>
                <c:pt idx="63">
                  <c:v>2.243143812709028</c:v>
                </c:pt>
                <c:pt idx="64">
                  <c:v>2.2628762541806</c:v>
                </c:pt>
                <c:pt idx="65">
                  <c:v>2.2826086956521721</c:v>
                </c:pt>
                <c:pt idx="66">
                  <c:v>2.3023411371237441</c:v>
                </c:pt>
                <c:pt idx="67">
                  <c:v>2.3220735785953162</c:v>
                </c:pt>
                <c:pt idx="68">
                  <c:v>2.3418060200668882</c:v>
                </c:pt>
                <c:pt idx="69">
                  <c:v>2.3615384615384603</c:v>
                </c:pt>
                <c:pt idx="70">
                  <c:v>2.3812709030100323</c:v>
                </c:pt>
                <c:pt idx="71">
                  <c:v>2.4010033444816044</c:v>
                </c:pt>
                <c:pt idx="72">
                  <c:v>2.4207357859531764</c:v>
                </c:pt>
                <c:pt idx="73">
                  <c:v>2.4404682274247484</c:v>
                </c:pt>
                <c:pt idx="74">
                  <c:v>2.4602006688963205</c:v>
                </c:pt>
                <c:pt idx="75">
                  <c:v>2.4799331103678925</c:v>
                </c:pt>
                <c:pt idx="76">
                  <c:v>2.4996655518394646</c:v>
                </c:pt>
                <c:pt idx="77">
                  <c:v>2.5193979933110366</c:v>
                </c:pt>
                <c:pt idx="78">
                  <c:v>2.5391304347826087</c:v>
                </c:pt>
                <c:pt idx="79">
                  <c:v>2.5588628762541807</c:v>
                </c:pt>
                <c:pt idx="80">
                  <c:v>2.5785953177257528</c:v>
                </c:pt>
                <c:pt idx="81">
                  <c:v>2.5983277591973248</c:v>
                </c:pt>
                <c:pt idx="82">
                  <c:v>2.6180602006688969</c:v>
                </c:pt>
                <c:pt idx="83">
                  <c:v>2.6377926421404689</c:v>
                </c:pt>
                <c:pt idx="84">
                  <c:v>2.657525083612041</c:v>
                </c:pt>
                <c:pt idx="85">
                  <c:v>2.677257525083613</c:v>
                </c:pt>
                <c:pt idx="86">
                  <c:v>2.6969899665551851</c:v>
                </c:pt>
                <c:pt idx="87">
                  <c:v>2.7167224080267571</c:v>
                </c:pt>
                <c:pt idx="88">
                  <c:v>2.7364548494983292</c:v>
                </c:pt>
                <c:pt idx="89">
                  <c:v>2.7561872909699012</c:v>
                </c:pt>
                <c:pt idx="90">
                  <c:v>2.7759197324414733</c:v>
                </c:pt>
                <c:pt idx="91">
                  <c:v>2.7956521739130453</c:v>
                </c:pt>
                <c:pt idx="92">
                  <c:v>2.8153846153846174</c:v>
                </c:pt>
                <c:pt idx="93">
                  <c:v>2.8351170568561894</c:v>
                </c:pt>
                <c:pt idx="94">
                  <c:v>2.8548494983277615</c:v>
                </c:pt>
                <c:pt idx="95">
                  <c:v>2.8745819397993335</c:v>
                </c:pt>
                <c:pt idx="96">
                  <c:v>2.8943143812709056</c:v>
                </c:pt>
                <c:pt idx="97">
                  <c:v>2.9140468227424776</c:v>
                </c:pt>
                <c:pt idx="98">
                  <c:v>2.9337792642140497</c:v>
                </c:pt>
                <c:pt idx="99">
                  <c:v>2.9535117056856217</c:v>
                </c:pt>
                <c:pt idx="100">
                  <c:v>2.9732441471571938</c:v>
                </c:pt>
                <c:pt idx="101">
                  <c:v>2.9929765886287658</c:v>
                </c:pt>
                <c:pt idx="102">
                  <c:v>3.0127090301003379</c:v>
                </c:pt>
                <c:pt idx="103">
                  <c:v>3.0324414715719099</c:v>
                </c:pt>
                <c:pt idx="104">
                  <c:v>3.052173913043482</c:v>
                </c:pt>
                <c:pt idx="105">
                  <c:v>3.071906354515054</c:v>
                </c:pt>
                <c:pt idx="106">
                  <c:v>3.0916387959866261</c:v>
                </c:pt>
                <c:pt idx="107">
                  <c:v>3.1113712374581981</c:v>
                </c:pt>
                <c:pt idx="108">
                  <c:v>3.1311036789297702</c:v>
                </c:pt>
                <c:pt idx="109">
                  <c:v>3.1508361204013422</c:v>
                </c:pt>
                <c:pt idx="110">
                  <c:v>3.1705685618729142</c:v>
                </c:pt>
                <c:pt idx="111">
                  <c:v>3.1903010033444863</c:v>
                </c:pt>
                <c:pt idx="112">
                  <c:v>3.2100334448160583</c:v>
                </c:pt>
                <c:pt idx="113">
                  <c:v>3.2297658862876304</c:v>
                </c:pt>
                <c:pt idx="114">
                  <c:v>3.2494983277592024</c:v>
                </c:pt>
                <c:pt idx="115">
                  <c:v>3.2692307692307745</c:v>
                </c:pt>
                <c:pt idx="116">
                  <c:v>3.2889632107023465</c:v>
                </c:pt>
                <c:pt idx="117">
                  <c:v>3.3086956521739186</c:v>
                </c:pt>
                <c:pt idx="118">
                  <c:v>3.3284280936454906</c:v>
                </c:pt>
                <c:pt idx="119">
                  <c:v>3.3481605351170627</c:v>
                </c:pt>
                <c:pt idx="120">
                  <c:v>3.3678929765886347</c:v>
                </c:pt>
                <c:pt idx="121">
                  <c:v>3.3876254180602068</c:v>
                </c:pt>
                <c:pt idx="122">
                  <c:v>3.4073578595317788</c:v>
                </c:pt>
                <c:pt idx="123">
                  <c:v>3.4270903010033509</c:v>
                </c:pt>
                <c:pt idx="124">
                  <c:v>3.4468227424749229</c:v>
                </c:pt>
                <c:pt idx="125">
                  <c:v>3.466555183946495</c:v>
                </c:pt>
                <c:pt idx="126">
                  <c:v>3.486287625418067</c:v>
                </c:pt>
                <c:pt idx="127">
                  <c:v>3.5060200668896391</c:v>
                </c:pt>
                <c:pt idx="128">
                  <c:v>3.5257525083612111</c:v>
                </c:pt>
                <c:pt idx="129">
                  <c:v>3.5454849498327832</c:v>
                </c:pt>
                <c:pt idx="130">
                  <c:v>3.5652173913043552</c:v>
                </c:pt>
                <c:pt idx="131">
                  <c:v>3.5849498327759273</c:v>
                </c:pt>
                <c:pt idx="132">
                  <c:v>3.6046822742474993</c:v>
                </c:pt>
                <c:pt idx="133">
                  <c:v>3.6244147157190714</c:v>
                </c:pt>
                <c:pt idx="134">
                  <c:v>3.6441471571906434</c:v>
                </c:pt>
                <c:pt idx="135">
                  <c:v>3.6638795986622155</c:v>
                </c:pt>
                <c:pt idx="136">
                  <c:v>3.6836120401337875</c:v>
                </c:pt>
                <c:pt idx="137">
                  <c:v>3.7033444816053596</c:v>
                </c:pt>
                <c:pt idx="138">
                  <c:v>3.7230769230769316</c:v>
                </c:pt>
                <c:pt idx="139">
                  <c:v>3.7428093645485037</c:v>
                </c:pt>
                <c:pt idx="140">
                  <c:v>3.7625418060200757</c:v>
                </c:pt>
                <c:pt idx="141">
                  <c:v>3.7822742474916478</c:v>
                </c:pt>
                <c:pt idx="142">
                  <c:v>3.8020066889632198</c:v>
                </c:pt>
                <c:pt idx="143">
                  <c:v>3.8217391304347919</c:v>
                </c:pt>
                <c:pt idx="144">
                  <c:v>3.8414715719063639</c:v>
                </c:pt>
                <c:pt idx="145">
                  <c:v>3.861204013377936</c:v>
                </c:pt>
                <c:pt idx="146">
                  <c:v>3.880936454849508</c:v>
                </c:pt>
                <c:pt idx="147">
                  <c:v>3.90066889632108</c:v>
                </c:pt>
                <c:pt idx="148">
                  <c:v>3.9204013377926521</c:v>
                </c:pt>
                <c:pt idx="149">
                  <c:v>3.9401337792642241</c:v>
                </c:pt>
                <c:pt idx="150">
                  <c:v>3.9598662207357962</c:v>
                </c:pt>
                <c:pt idx="151">
                  <c:v>3.9795986622073682</c:v>
                </c:pt>
                <c:pt idx="152">
                  <c:v>3.9993311036789403</c:v>
                </c:pt>
                <c:pt idx="153">
                  <c:v>4.0190635451505123</c:v>
                </c:pt>
                <c:pt idx="154">
                  <c:v>4.0387959866220839</c:v>
                </c:pt>
                <c:pt idx="155">
                  <c:v>4.0585284280936555</c:v>
                </c:pt>
                <c:pt idx="156">
                  <c:v>4.0782608695652272</c:v>
                </c:pt>
                <c:pt idx="157">
                  <c:v>4.0979933110367988</c:v>
                </c:pt>
                <c:pt idx="158">
                  <c:v>4.1177257525083704</c:v>
                </c:pt>
                <c:pt idx="159">
                  <c:v>4.137458193979942</c:v>
                </c:pt>
                <c:pt idx="160">
                  <c:v>4.1571906354515136</c:v>
                </c:pt>
                <c:pt idx="161">
                  <c:v>4.1769230769230852</c:v>
                </c:pt>
                <c:pt idx="162">
                  <c:v>4.1966555183946568</c:v>
                </c:pt>
                <c:pt idx="163">
                  <c:v>4.2163879598662284</c:v>
                </c:pt>
                <c:pt idx="164">
                  <c:v>4.2361204013378</c:v>
                </c:pt>
                <c:pt idx="165">
                  <c:v>4.2558528428093716</c:v>
                </c:pt>
                <c:pt idx="166">
                  <c:v>4.2755852842809432</c:v>
                </c:pt>
                <c:pt idx="167">
                  <c:v>4.2953177257525148</c:v>
                </c:pt>
                <c:pt idx="168">
                  <c:v>4.3150501672240864</c:v>
                </c:pt>
                <c:pt idx="169">
                  <c:v>4.334782608695658</c:v>
                </c:pt>
                <c:pt idx="170">
                  <c:v>4.3545150501672296</c:v>
                </c:pt>
                <c:pt idx="171">
                  <c:v>4.3742474916388012</c:v>
                </c:pt>
                <c:pt idx="172">
                  <c:v>4.3939799331103728</c:v>
                </c:pt>
                <c:pt idx="173">
                  <c:v>4.4137123745819444</c:v>
                </c:pt>
                <c:pt idx="174">
                  <c:v>4.433444816053516</c:v>
                </c:pt>
                <c:pt idx="175">
                  <c:v>4.4531772575250876</c:v>
                </c:pt>
                <c:pt idx="176">
                  <c:v>4.4729096989966592</c:v>
                </c:pt>
                <c:pt idx="177">
                  <c:v>4.4926421404682308</c:v>
                </c:pt>
                <c:pt idx="178">
                  <c:v>4.5123745819398025</c:v>
                </c:pt>
                <c:pt idx="179">
                  <c:v>4.5321070234113741</c:v>
                </c:pt>
                <c:pt idx="180">
                  <c:v>4.5518394648829457</c:v>
                </c:pt>
                <c:pt idx="181">
                  <c:v>4.5715719063545173</c:v>
                </c:pt>
                <c:pt idx="182">
                  <c:v>4.5913043478260889</c:v>
                </c:pt>
                <c:pt idx="183">
                  <c:v>4.6110367892976605</c:v>
                </c:pt>
                <c:pt idx="184">
                  <c:v>4.6307692307692321</c:v>
                </c:pt>
                <c:pt idx="185">
                  <c:v>4.6505016722408037</c:v>
                </c:pt>
                <c:pt idx="186">
                  <c:v>4.6702341137123753</c:v>
                </c:pt>
                <c:pt idx="187">
                  <c:v>4.6899665551839469</c:v>
                </c:pt>
                <c:pt idx="188">
                  <c:v>4.7096989966555185</c:v>
                </c:pt>
                <c:pt idx="189">
                  <c:v>4.7294314381270901</c:v>
                </c:pt>
                <c:pt idx="190">
                  <c:v>4.7491638795986617</c:v>
                </c:pt>
                <c:pt idx="191">
                  <c:v>4.7688963210702333</c:v>
                </c:pt>
                <c:pt idx="192">
                  <c:v>4.7886287625418049</c:v>
                </c:pt>
                <c:pt idx="193">
                  <c:v>4.8083612040133765</c:v>
                </c:pt>
                <c:pt idx="194">
                  <c:v>4.8280936454849481</c:v>
                </c:pt>
                <c:pt idx="195">
                  <c:v>4.8478260869565197</c:v>
                </c:pt>
                <c:pt idx="196">
                  <c:v>4.8675585284280913</c:v>
                </c:pt>
                <c:pt idx="197">
                  <c:v>4.8872909698996629</c:v>
                </c:pt>
                <c:pt idx="198">
                  <c:v>4.9070234113712345</c:v>
                </c:pt>
                <c:pt idx="199">
                  <c:v>4.9267558528428061</c:v>
                </c:pt>
                <c:pt idx="200">
                  <c:v>4.9464882943143778</c:v>
                </c:pt>
                <c:pt idx="201">
                  <c:v>4.9662207357859494</c:v>
                </c:pt>
                <c:pt idx="202">
                  <c:v>4.985953177257521</c:v>
                </c:pt>
                <c:pt idx="203">
                  <c:v>5.0056856187290926</c:v>
                </c:pt>
                <c:pt idx="204">
                  <c:v>5.0254180602006642</c:v>
                </c:pt>
                <c:pt idx="205">
                  <c:v>5.0451505016722358</c:v>
                </c:pt>
                <c:pt idx="206">
                  <c:v>5.0648829431438074</c:v>
                </c:pt>
                <c:pt idx="207">
                  <c:v>5.084615384615379</c:v>
                </c:pt>
                <c:pt idx="208">
                  <c:v>5.1043478260869506</c:v>
                </c:pt>
                <c:pt idx="209">
                  <c:v>5.1240802675585222</c:v>
                </c:pt>
                <c:pt idx="210">
                  <c:v>5.1438127090300938</c:v>
                </c:pt>
                <c:pt idx="211">
                  <c:v>5.1635451505016654</c:v>
                </c:pt>
                <c:pt idx="212">
                  <c:v>5.183277591973237</c:v>
                </c:pt>
                <c:pt idx="213">
                  <c:v>5.2030100334448086</c:v>
                </c:pt>
                <c:pt idx="214">
                  <c:v>5.2227424749163802</c:v>
                </c:pt>
                <c:pt idx="215">
                  <c:v>5.2424749163879518</c:v>
                </c:pt>
                <c:pt idx="216">
                  <c:v>5.2622073578595234</c:v>
                </c:pt>
                <c:pt idx="217">
                  <c:v>5.281939799331095</c:v>
                </c:pt>
                <c:pt idx="218">
                  <c:v>5.3016722408026666</c:v>
                </c:pt>
                <c:pt idx="219">
                  <c:v>5.3214046822742382</c:v>
                </c:pt>
                <c:pt idx="220">
                  <c:v>5.3411371237458098</c:v>
                </c:pt>
                <c:pt idx="221">
                  <c:v>5.3608695652173814</c:v>
                </c:pt>
                <c:pt idx="222">
                  <c:v>5.3806020066889531</c:v>
                </c:pt>
                <c:pt idx="223">
                  <c:v>5.4003344481605247</c:v>
                </c:pt>
                <c:pt idx="224">
                  <c:v>5.4200668896320963</c:v>
                </c:pt>
                <c:pt idx="225">
                  <c:v>5.4397993311036679</c:v>
                </c:pt>
                <c:pt idx="226">
                  <c:v>5.4595317725752395</c:v>
                </c:pt>
                <c:pt idx="227">
                  <c:v>5.4792642140468111</c:v>
                </c:pt>
                <c:pt idx="228">
                  <c:v>5.4989966555183827</c:v>
                </c:pt>
                <c:pt idx="229">
                  <c:v>5.5187290969899543</c:v>
                </c:pt>
                <c:pt idx="230">
                  <c:v>5.5384615384615259</c:v>
                </c:pt>
                <c:pt idx="231">
                  <c:v>5.5581939799330975</c:v>
                </c:pt>
                <c:pt idx="232">
                  <c:v>5.5779264214046691</c:v>
                </c:pt>
                <c:pt idx="233">
                  <c:v>5.5976588628762407</c:v>
                </c:pt>
                <c:pt idx="234">
                  <c:v>5.6173913043478123</c:v>
                </c:pt>
                <c:pt idx="235">
                  <c:v>5.6371237458193839</c:v>
                </c:pt>
                <c:pt idx="236">
                  <c:v>5.6568561872909555</c:v>
                </c:pt>
                <c:pt idx="237">
                  <c:v>5.6765886287625271</c:v>
                </c:pt>
                <c:pt idx="238">
                  <c:v>5.6963210702340987</c:v>
                </c:pt>
                <c:pt idx="239">
                  <c:v>5.7160535117056703</c:v>
                </c:pt>
                <c:pt idx="240">
                  <c:v>5.7357859531772419</c:v>
                </c:pt>
                <c:pt idx="241">
                  <c:v>5.7555183946488135</c:v>
                </c:pt>
                <c:pt idx="242">
                  <c:v>5.7752508361203851</c:v>
                </c:pt>
                <c:pt idx="243">
                  <c:v>5.7949832775919567</c:v>
                </c:pt>
                <c:pt idx="244">
                  <c:v>5.8147157190635284</c:v>
                </c:pt>
                <c:pt idx="245">
                  <c:v>5.8344481605351</c:v>
                </c:pt>
                <c:pt idx="246">
                  <c:v>5.8541806020066716</c:v>
                </c:pt>
                <c:pt idx="247">
                  <c:v>5.8739130434782432</c:v>
                </c:pt>
                <c:pt idx="248">
                  <c:v>5.8936454849498148</c:v>
                </c:pt>
                <c:pt idx="249">
                  <c:v>5.9133779264213864</c:v>
                </c:pt>
                <c:pt idx="250">
                  <c:v>5.933110367892958</c:v>
                </c:pt>
                <c:pt idx="251">
                  <c:v>5.9528428093645296</c:v>
                </c:pt>
                <c:pt idx="252">
                  <c:v>5.9725752508361012</c:v>
                </c:pt>
                <c:pt idx="253">
                  <c:v>5.9923076923076728</c:v>
                </c:pt>
                <c:pt idx="254">
                  <c:v>6.0120401337792444</c:v>
                </c:pt>
                <c:pt idx="255">
                  <c:v>6.031772575250816</c:v>
                </c:pt>
                <c:pt idx="256">
                  <c:v>6.0515050167223876</c:v>
                </c:pt>
                <c:pt idx="257">
                  <c:v>6.0712374581939592</c:v>
                </c:pt>
                <c:pt idx="258">
                  <c:v>6.0909698996655308</c:v>
                </c:pt>
                <c:pt idx="259">
                  <c:v>6.1107023411371024</c:v>
                </c:pt>
                <c:pt idx="260">
                  <c:v>6.130434782608674</c:v>
                </c:pt>
                <c:pt idx="261">
                  <c:v>6.1501672240802456</c:v>
                </c:pt>
                <c:pt idx="262">
                  <c:v>6.1698996655518172</c:v>
                </c:pt>
                <c:pt idx="263">
                  <c:v>6.1896321070233888</c:v>
                </c:pt>
                <c:pt idx="264">
                  <c:v>6.2093645484949604</c:v>
                </c:pt>
                <c:pt idx="265">
                  <c:v>6.229096989966532</c:v>
                </c:pt>
                <c:pt idx="266">
                  <c:v>6.2488294314381037</c:v>
                </c:pt>
                <c:pt idx="267">
                  <c:v>6.2685618729096753</c:v>
                </c:pt>
                <c:pt idx="268">
                  <c:v>6.2882943143812469</c:v>
                </c:pt>
                <c:pt idx="269">
                  <c:v>6.3080267558528185</c:v>
                </c:pt>
                <c:pt idx="270">
                  <c:v>6.3277591973243901</c:v>
                </c:pt>
                <c:pt idx="271">
                  <c:v>6.3474916387959617</c:v>
                </c:pt>
                <c:pt idx="272">
                  <c:v>6.3672240802675333</c:v>
                </c:pt>
                <c:pt idx="273">
                  <c:v>6.3869565217391049</c:v>
                </c:pt>
                <c:pt idx="274">
                  <c:v>6.4066889632106765</c:v>
                </c:pt>
                <c:pt idx="275">
                  <c:v>6.4264214046822481</c:v>
                </c:pt>
                <c:pt idx="276">
                  <c:v>6.4461538461538197</c:v>
                </c:pt>
                <c:pt idx="277">
                  <c:v>6.4658862876253913</c:v>
                </c:pt>
                <c:pt idx="278">
                  <c:v>6.4856187290969629</c:v>
                </c:pt>
                <c:pt idx="279">
                  <c:v>6.5053511705685345</c:v>
                </c:pt>
                <c:pt idx="280">
                  <c:v>6.5250836120401061</c:v>
                </c:pt>
                <c:pt idx="281">
                  <c:v>6.5448160535116777</c:v>
                </c:pt>
                <c:pt idx="282">
                  <c:v>6.5645484949832493</c:v>
                </c:pt>
                <c:pt idx="283">
                  <c:v>6.5842809364548209</c:v>
                </c:pt>
                <c:pt idx="284">
                  <c:v>6.6040133779263925</c:v>
                </c:pt>
                <c:pt idx="285">
                  <c:v>6.6237458193979641</c:v>
                </c:pt>
                <c:pt idx="286">
                  <c:v>6.6434782608695357</c:v>
                </c:pt>
                <c:pt idx="287">
                  <c:v>6.6632107023411073</c:v>
                </c:pt>
                <c:pt idx="288">
                  <c:v>6.682943143812679</c:v>
                </c:pt>
                <c:pt idx="289">
                  <c:v>6.7026755852842506</c:v>
                </c:pt>
                <c:pt idx="290">
                  <c:v>6.7224080267558222</c:v>
                </c:pt>
                <c:pt idx="291">
                  <c:v>6.7421404682273938</c:v>
                </c:pt>
                <c:pt idx="292">
                  <c:v>6.7618729096989654</c:v>
                </c:pt>
                <c:pt idx="293">
                  <c:v>6.781605351170537</c:v>
                </c:pt>
                <c:pt idx="294">
                  <c:v>6.8013377926421086</c:v>
                </c:pt>
                <c:pt idx="295">
                  <c:v>6.8210702341136802</c:v>
                </c:pt>
                <c:pt idx="296">
                  <c:v>6.8408026755852518</c:v>
                </c:pt>
                <c:pt idx="297">
                  <c:v>6.8605351170568234</c:v>
                </c:pt>
                <c:pt idx="298">
                  <c:v>6.880267558528395</c:v>
                </c:pt>
                <c:pt idx="299">
                  <c:v>6.8999999999999666</c:v>
                </c:pt>
              </c:numCache>
            </c:numRef>
          </c:cat>
          <c:val>
            <c:numRef>
              <c:f>irysy_estymacjagęstości!$P$3:$P$302</c:f>
              <c:numCache>
                <c:formatCode>General</c:formatCode>
                <c:ptCount val="300"/>
                <c:pt idx="0">
                  <c:v>3.2048557772357773E-2</c:v>
                </c:pt>
                <c:pt idx="1">
                  <c:v>3.2060392489361593E-2</c:v>
                </c:pt>
                <c:pt idx="2">
                  <c:v>3.2072146722935693E-2</c:v>
                </c:pt>
                <c:pt idx="3">
                  <c:v>3.2083820381260626E-2</c:v>
                </c:pt>
                <c:pt idx="4">
                  <c:v>3.2095413373122827E-2</c:v>
                </c:pt>
                <c:pt idx="5">
                  <c:v>3.2106925607915761E-2</c:v>
                </c:pt>
                <c:pt idx="6">
                  <c:v>3.2118356995641077E-2</c:v>
                </c:pt>
                <c:pt idx="7">
                  <c:v>3.2129707446909808E-2</c:v>
                </c:pt>
                <c:pt idx="8">
                  <c:v>3.2140976872943552E-2</c:v>
                </c:pt>
                <c:pt idx="9">
                  <c:v>3.2152165185575572E-2</c:v>
                </c:pt>
                <c:pt idx="10">
                  <c:v>3.2163272297252035E-2</c:v>
                </c:pt>
                <c:pt idx="11">
                  <c:v>3.2174298121033056E-2</c:v>
                </c:pt>
                <c:pt idx="12">
                  <c:v>3.2185242570593874E-2</c:v>
                </c:pt>
                <c:pt idx="13">
                  <c:v>3.2196105560226007E-2</c:v>
                </c:pt>
                <c:pt idx="14">
                  <c:v>3.2206887004838293E-2</c:v>
                </c:pt>
                <c:pt idx="15">
                  <c:v>3.2217586819958198E-2</c:v>
                </c:pt>
                <c:pt idx="16">
                  <c:v>3.2228204921732555E-2</c:v>
                </c:pt>
                <c:pt idx="17">
                  <c:v>3.2238741226929005E-2</c:v>
                </c:pt>
                <c:pt idx="18">
                  <c:v>3.2249195652936997E-2</c:v>
                </c:pt>
                <c:pt idx="19">
                  <c:v>3.2259568117768686E-2</c:v>
                </c:pt>
                <c:pt idx="20">
                  <c:v>3.2269858540060183E-2</c:v>
                </c:pt>
                <c:pt idx="21">
                  <c:v>3.2280066839072773E-2</c:v>
                </c:pt>
                <c:pt idx="22">
                  <c:v>3.2290192934693471E-2</c:v>
                </c:pt>
                <c:pt idx="23">
                  <c:v>3.2300236747436595E-2</c:v>
                </c:pt>
                <c:pt idx="24">
                  <c:v>3.2310198198444433E-2</c:v>
                </c:pt>
                <c:pt idx="25">
                  <c:v>3.232007720948854E-2</c:v>
                </c:pt>
                <c:pt idx="26">
                  <c:v>3.2329873702970663E-2</c:v>
                </c:pt>
                <c:pt idx="27">
                  <c:v>3.2339587601923576E-2</c:v>
                </c:pt>
                <c:pt idx="28">
                  <c:v>3.234921883001244E-2</c:v>
                </c:pt>
                <c:pt idx="29">
                  <c:v>3.2358767311535613E-2</c:v>
                </c:pt>
                <c:pt idx="30">
                  <c:v>3.2368232971425423E-2</c:v>
                </c:pt>
                <c:pt idx="31">
                  <c:v>3.2377615735249519E-2</c:v>
                </c:pt>
                <c:pt idx="32">
                  <c:v>3.2386915529211892E-2</c:v>
                </c:pt>
                <c:pt idx="33">
                  <c:v>3.2396132280153284E-2</c:v>
                </c:pt>
                <c:pt idx="34">
                  <c:v>3.2405265915552726E-2</c:v>
                </c:pt>
                <c:pt idx="35">
                  <c:v>3.2414316363528241E-2</c:v>
                </c:pt>
                <c:pt idx="36">
                  <c:v>3.242328355283778E-2</c:v>
                </c:pt>
                <c:pt idx="37">
                  <c:v>3.2432167412880318E-2</c:v>
                </c:pt>
                <c:pt idx="38">
                  <c:v>3.2440967873696477E-2</c:v>
                </c:pt>
                <c:pt idx="39">
                  <c:v>3.2449684865969851E-2</c:v>
                </c:pt>
                <c:pt idx="40">
                  <c:v>3.2458318321027468E-2</c:v>
                </c:pt>
                <c:pt idx="41">
                  <c:v>3.2466868170840969E-2</c:v>
                </c:pt>
                <c:pt idx="42">
                  <c:v>3.2475334348027574E-2</c:v>
                </c:pt>
                <c:pt idx="43">
                  <c:v>3.2483716785850707E-2</c:v>
                </c:pt>
                <c:pt idx="44">
                  <c:v>3.2492015418221082E-2</c:v>
                </c:pt>
                <c:pt idx="45">
                  <c:v>3.2500230179697422E-2</c:v>
                </c:pt>
                <c:pt idx="46">
                  <c:v>3.2508361005487436E-2</c:v>
                </c:pt>
                <c:pt idx="47">
                  <c:v>3.2516407831448706E-2</c:v>
                </c:pt>
                <c:pt idx="48">
                  <c:v>3.2524370594089309E-2</c:v>
                </c:pt>
                <c:pt idx="49">
                  <c:v>3.2532249230568779E-2</c:v>
                </c:pt>
                <c:pt idx="50">
                  <c:v>3.2540043678699074E-2</c:v>
                </c:pt>
                <c:pt idx="51">
                  <c:v>3.254775387694523E-2</c:v>
                </c:pt>
                <c:pt idx="52">
                  <c:v>3.2555379764426177E-2</c:v>
                </c:pt>
                <c:pt idx="53">
                  <c:v>3.2562921280915508E-2</c:v>
                </c:pt>
                <c:pt idx="54">
                  <c:v>3.2570378366842526E-2</c:v>
                </c:pt>
                <c:pt idx="55">
                  <c:v>3.2577750963292594E-2</c:v>
                </c:pt>
                <c:pt idx="56">
                  <c:v>3.2585039012008384E-2</c:v>
                </c:pt>
                <c:pt idx="57">
                  <c:v>3.2592242455390212E-2</c:v>
                </c:pt>
                <c:pt idx="58">
                  <c:v>3.2599361236497142E-2</c:v>
                </c:pt>
                <c:pt idx="59">
                  <c:v>3.2606395299047526E-2</c:v>
                </c:pt>
                <c:pt idx="60">
                  <c:v>3.2613344587419761E-2</c:v>
                </c:pt>
                <c:pt idx="61">
                  <c:v>3.2620209046653234E-2</c:v>
                </c:pt>
                <c:pt idx="62">
                  <c:v>3.2626988622448672E-2</c:v>
                </c:pt>
                <c:pt idx="63">
                  <c:v>3.2633683261169256E-2</c:v>
                </c:pt>
                <c:pt idx="64">
                  <c:v>3.2640292909841037E-2</c:v>
                </c:pt>
                <c:pt idx="65">
                  <c:v>3.264681751615376E-2</c:v>
                </c:pt>
                <c:pt idx="66">
                  <c:v>3.2653257028461537E-2</c:v>
                </c:pt>
                <c:pt idx="67">
                  <c:v>3.2659611395783501E-2</c:v>
                </c:pt>
                <c:pt idx="68">
                  <c:v>3.2665880567804569E-2</c:v>
                </c:pt>
                <c:pt idx="69">
                  <c:v>3.2672064494875953E-2</c:v>
                </c:pt>
                <c:pt idx="70">
                  <c:v>3.267816312801599E-2</c:v>
                </c:pt>
                <c:pt idx="71">
                  <c:v>3.2684176418910561E-2</c:v>
                </c:pt>
                <c:pt idx="72">
                  <c:v>3.2690104319914072E-2</c:v>
                </c:pt>
                <c:pt idx="73">
                  <c:v>3.2695946784049676E-2</c:v>
                </c:pt>
                <c:pt idx="74">
                  <c:v>3.2701703765010227E-2</c:v>
                </c:pt>
                <c:pt idx="75">
                  <c:v>3.2707375217158698E-2</c:v>
                </c:pt>
                <c:pt idx="76">
                  <c:v>3.2712961095528854E-2</c:v>
                </c:pt>
                <c:pt idx="77">
                  <c:v>3.2718461355825817E-2</c:v>
                </c:pt>
                <c:pt idx="78">
                  <c:v>3.2723875954426773E-2</c:v>
                </c:pt>
                <c:pt idx="79">
                  <c:v>3.2729204848381349E-2</c:v>
                </c:pt>
                <c:pt idx="80">
                  <c:v>3.2734447995412232E-2</c:v>
                </c:pt>
                <c:pt idx="81">
                  <c:v>3.2739605353915978E-2</c:v>
                </c:pt>
                <c:pt idx="82">
                  <c:v>3.2744676882963099E-2</c:v>
                </c:pt>
                <c:pt idx="83">
                  <c:v>3.2749662542299107E-2</c:v>
                </c:pt>
                <c:pt idx="84">
                  <c:v>3.2754562292344601E-2</c:v>
                </c:pt>
                <c:pt idx="85">
                  <c:v>3.2759376094196165E-2</c:v>
                </c:pt>
                <c:pt idx="86">
                  <c:v>3.2764103909626557E-2</c:v>
                </c:pt>
                <c:pt idx="87">
                  <c:v>3.2768745701085525E-2</c:v>
                </c:pt>
                <c:pt idx="88">
                  <c:v>3.2773301431699965E-2</c:v>
                </c:pt>
                <c:pt idx="89">
                  <c:v>3.2777771065274804E-2</c:v>
                </c:pt>
                <c:pt idx="90">
                  <c:v>3.2782154566293069E-2</c:v>
                </c:pt>
                <c:pt idx="91">
                  <c:v>3.2786451899916712E-2</c:v>
                </c:pt>
                <c:pt idx="92">
                  <c:v>3.2790663031986765E-2</c:v>
                </c:pt>
                <c:pt idx="93">
                  <c:v>3.2794787929024176E-2</c:v>
                </c:pt>
                <c:pt idx="94">
                  <c:v>3.2798826558229653E-2</c:v>
                </c:pt>
                <c:pt idx="95">
                  <c:v>3.2802778887484896E-2</c:v>
                </c:pt>
                <c:pt idx="96">
                  <c:v>3.2806644885352239E-2</c:v>
                </c:pt>
                <c:pt idx="97">
                  <c:v>3.2810424521075576E-2</c:v>
                </c:pt>
                <c:pt idx="98">
                  <c:v>3.2814117764580618E-2</c:v>
                </c:pt>
                <c:pt idx="99">
                  <c:v>3.2817724586475285E-2</c:v>
                </c:pt>
                <c:pt idx="100">
                  <c:v>3.2821244958050007E-2</c:v>
                </c:pt>
                <c:pt idx="101">
                  <c:v>3.2824678851278342E-2</c:v>
                </c:pt>
                <c:pt idx="102">
                  <c:v>3.2828026238817039E-2</c:v>
                </c:pt>
                <c:pt idx="103">
                  <c:v>3.2831287094006636E-2</c:v>
                </c:pt>
                <c:pt idx="104">
                  <c:v>3.2834461390871851E-2</c:v>
                </c:pt>
                <c:pt idx="105">
                  <c:v>3.2837549104121587E-2</c:v>
                </c:pt>
                <c:pt idx="106">
                  <c:v>3.2840550209149673E-2</c:v>
                </c:pt>
                <c:pt idx="107">
                  <c:v>3.2843464682034966E-2</c:v>
                </c:pt>
                <c:pt idx="108">
                  <c:v>3.2846292499541734E-2</c:v>
                </c:pt>
                <c:pt idx="109">
                  <c:v>3.2849033639119882E-2</c:v>
                </c:pt>
                <c:pt idx="110">
                  <c:v>3.2851688078905358E-2</c:v>
                </c:pt>
                <c:pt idx="111">
                  <c:v>3.2854255797720409E-2</c:v>
                </c:pt>
                <c:pt idx="112">
                  <c:v>3.2856736775073905E-2</c:v>
                </c:pt>
                <c:pt idx="113">
                  <c:v>3.2859130991161424E-2</c:v>
                </c:pt>
                <c:pt idx="114">
                  <c:v>3.286143842686582E-2</c:v>
                </c:pt>
                <c:pt idx="115">
                  <c:v>3.2863659063757225E-2</c:v>
                </c:pt>
                <c:pt idx="116">
                  <c:v>3.2865792884093331E-2</c:v>
                </c:pt>
                <c:pt idx="117">
                  <c:v>3.286783987081978E-2</c:v>
                </c:pt>
                <c:pt idx="118">
                  <c:v>3.2869800007570296E-2</c:v>
                </c:pt>
                <c:pt idx="119">
                  <c:v>3.2871673278666767E-2</c:v>
                </c:pt>
                <c:pt idx="120">
                  <c:v>3.2873459669119663E-2</c:v>
                </c:pt>
                <c:pt idx="121">
                  <c:v>3.2875159164628166E-2</c:v>
                </c:pt>
                <c:pt idx="122">
                  <c:v>3.2876771751580353E-2</c:v>
                </c:pt>
                <c:pt idx="123">
                  <c:v>3.2878297417053302E-2</c:v>
                </c:pt>
                <c:pt idx="124">
                  <c:v>3.287973614881342E-2</c:v>
                </c:pt>
                <c:pt idx="125">
                  <c:v>3.2881087935316571E-2</c:v>
                </c:pt>
                <c:pt idx="126">
                  <c:v>3.2882352765707994E-2</c:v>
                </c:pt>
                <c:pt idx="127">
                  <c:v>3.2883530629822764E-2</c:v>
                </c:pt>
                <c:pt idx="128">
                  <c:v>3.288462151818583E-2</c:v>
                </c:pt>
                <c:pt idx="129">
                  <c:v>3.2885625422012059E-2</c:v>
                </c:pt>
                <c:pt idx="130">
                  <c:v>3.2886542333206432E-2</c:v>
                </c:pt>
                <c:pt idx="131">
                  <c:v>3.2887372244364076E-2</c:v>
                </c:pt>
                <c:pt idx="132">
                  <c:v>3.2888115148770443E-2</c:v>
                </c:pt>
                <c:pt idx="133">
                  <c:v>3.2888771040401422E-2</c:v>
                </c:pt>
                <c:pt idx="134">
                  <c:v>3.288933991392335E-2</c:v>
                </c:pt>
                <c:pt idx="135">
                  <c:v>3.2889821764693059E-2</c:v>
                </c:pt>
                <c:pt idx="136">
                  <c:v>3.2890216588758049E-2</c:v>
                </c:pt>
                <c:pt idx="137">
                  <c:v>3.289052438285648E-2</c:v>
                </c:pt>
                <c:pt idx="138">
                  <c:v>3.2890745144417109E-2</c:v>
                </c:pt>
                <c:pt idx="139">
                  <c:v>3.2890878871559601E-2</c:v>
                </c:pt>
                <c:pt idx="140">
                  <c:v>3.2890925563094239E-2</c:v>
                </c:pt>
                <c:pt idx="141">
                  <c:v>3.2890885218522202E-2</c:v>
                </c:pt>
                <c:pt idx="142">
                  <c:v>3.2890757838035432E-2</c:v>
                </c:pt>
                <c:pt idx="143">
                  <c:v>3.2890543422516537E-2</c:v>
                </c:pt>
                <c:pt idx="144">
                  <c:v>3.2890241973539153E-2</c:v>
                </c:pt>
                <c:pt idx="145">
                  <c:v>3.2889853493367441E-2</c:v>
                </c:pt>
                <c:pt idx="146">
                  <c:v>3.2889377984956496E-2</c:v>
                </c:pt>
                <c:pt idx="147">
                  <c:v>3.288881545195195E-2</c:v>
                </c:pt>
                <c:pt idx="148">
                  <c:v>3.2888165898690168E-2</c:v>
                </c:pt>
                <c:pt idx="149">
                  <c:v>3.2887429330198073E-2</c:v>
                </c:pt>
                <c:pt idx="150">
                  <c:v>3.2886605752193161E-2</c:v>
                </c:pt>
                <c:pt idx="151">
                  <c:v>3.2885695171083376E-2</c:v>
                </c:pt>
                <c:pt idx="152">
                  <c:v>3.288469759396704E-2</c:v>
                </c:pt>
                <c:pt idx="153">
                  <c:v>3.2883613028632755E-2</c:v>
                </c:pt>
                <c:pt idx="154">
                  <c:v>3.2882441483559212E-2</c:v>
                </c:pt>
                <c:pt idx="155">
                  <c:v>3.2881182967915264E-2</c:v>
                </c:pt>
                <c:pt idx="156">
                  <c:v>3.2879837491559823E-2</c:v>
                </c:pt>
                <c:pt idx="157">
                  <c:v>3.2878405065041395E-2</c:v>
                </c:pt>
                <c:pt idx="158">
                  <c:v>3.287688569959827E-2</c:v>
                </c:pt>
                <c:pt idx="159">
                  <c:v>3.2875279407158384E-2</c:v>
                </c:pt>
                <c:pt idx="160">
                  <c:v>3.2873586200338888E-2</c:v>
                </c:pt>
                <c:pt idx="161">
                  <c:v>3.2871806092446207E-2</c:v>
                </c:pt>
                <c:pt idx="162">
                  <c:v>3.2869939097475896E-2</c:v>
                </c:pt>
                <c:pt idx="163">
                  <c:v>3.2867985230112223E-2</c:v>
                </c:pt>
                <c:pt idx="164">
                  <c:v>3.2865944505728224E-2</c:v>
                </c:pt>
                <c:pt idx="165">
                  <c:v>3.2863816940385412E-2</c:v>
                </c:pt>
                <c:pt idx="166">
                  <c:v>3.2861602550833389E-2</c:v>
                </c:pt>
                <c:pt idx="167">
                  <c:v>3.2859301354510116E-2</c:v>
                </c:pt>
                <c:pt idx="168">
                  <c:v>3.2856913369540997E-2</c:v>
                </c:pt>
                <c:pt idx="169">
                  <c:v>3.2854438614739266E-2</c:v>
                </c:pt>
                <c:pt idx="170">
                  <c:v>3.2851877109605264E-2</c:v>
                </c:pt>
                <c:pt idx="171">
                  <c:v>3.2849228874326675E-2</c:v>
                </c:pt>
                <c:pt idx="172">
                  <c:v>3.2846493929777766E-2</c:v>
                </c:pt>
                <c:pt idx="173">
                  <c:v>3.2843672297519354E-2</c:v>
                </c:pt>
                <c:pt idx="174">
                  <c:v>3.2840763999798551E-2</c:v>
                </c:pt>
                <c:pt idx="175">
                  <c:v>3.2837769059548501E-2</c:v>
                </c:pt>
                <c:pt idx="176">
                  <c:v>3.2834687500387767E-2</c:v>
                </c:pt>
                <c:pt idx="177">
                  <c:v>3.2831519346620507E-2</c:v>
                </c:pt>
                <c:pt idx="178">
                  <c:v>3.2828264623235702E-2</c:v>
                </c:pt>
                <c:pt idx="179">
                  <c:v>3.2824923355907136E-2</c:v>
                </c:pt>
                <c:pt idx="180">
                  <c:v>3.2821495570992905E-2</c:v>
                </c:pt>
                <c:pt idx="181">
                  <c:v>3.281798129553519E-2</c:v>
                </c:pt>
                <c:pt idx="182">
                  <c:v>3.2814380557259673E-2</c:v>
                </c:pt>
                <c:pt idx="183">
                  <c:v>3.2810693384575464E-2</c:v>
                </c:pt>
                <c:pt idx="184">
                  <c:v>3.2806919806574547E-2</c:v>
                </c:pt>
                <c:pt idx="185">
                  <c:v>3.2803059853031398E-2</c:v>
                </c:pt>
                <c:pt idx="186">
                  <c:v>3.2799113554402688E-2</c:v>
                </c:pt>
                <c:pt idx="187">
                  <c:v>3.2795080941826815E-2</c:v>
                </c:pt>
                <c:pt idx="188">
                  <c:v>3.2790962047123451E-2</c:v>
                </c:pt>
                <c:pt idx="189">
                  <c:v>3.2786756902793292E-2</c:v>
                </c:pt>
                <c:pt idx="190">
                  <c:v>3.2782465542017414E-2</c:v>
                </c:pt>
                <c:pt idx="191">
                  <c:v>3.2778087998657023E-2</c:v>
                </c:pt>
                <c:pt idx="192">
                  <c:v>3.277362430725287E-2</c:v>
                </c:pt>
                <c:pt idx="193">
                  <c:v>3.276907450302486E-2</c:v>
                </c:pt>
                <c:pt idx="194">
                  <c:v>3.2764438621871665E-2</c:v>
                </c:pt>
                <c:pt idx="195">
                  <c:v>3.275971670037011E-2</c:v>
                </c:pt>
                <c:pt idx="196">
                  <c:v>3.2754908775774645E-2</c:v>
                </c:pt>
                <c:pt idx="197">
                  <c:v>3.2750014886017247E-2</c:v>
                </c:pt>
                <c:pt idx="198">
                  <c:v>3.2745035069706406E-2</c:v>
                </c:pt>
                <c:pt idx="199">
                  <c:v>3.2739969366126817E-2</c:v>
                </c:pt>
                <c:pt idx="200">
                  <c:v>3.273481781523916E-2</c:v>
                </c:pt>
                <c:pt idx="201">
                  <c:v>3.2729580457679049E-2</c:v>
                </c:pt>
                <c:pt idx="202">
                  <c:v>3.2724257334756889E-2</c:v>
                </c:pt>
                <c:pt idx="203">
                  <c:v>3.2718848488457214E-2</c:v>
                </c:pt>
                <c:pt idx="204">
                  <c:v>3.2713353961438006E-2</c:v>
                </c:pt>
                <c:pt idx="205">
                  <c:v>3.2707773797030361E-2</c:v>
                </c:pt>
                <c:pt idx="206">
                  <c:v>3.2702108039237898E-2</c:v>
                </c:pt>
                <c:pt idx="207">
                  <c:v>3.2696356732735854E-2</c:v>
                </c:pt>
                <c:pt idx="208">
                  <c:v>3.2690519922870948E-2</c:v>
                </c:pt>
                <c:pt idx="209">
                  <c:v>3.2684597655660542E-2</c:v>
                </c:pt>
                <c:pt idx="210">
                  <c:v>3.2678589977791994E-2</c:v>
                </c:pt>
                <c:pt idx="211">
                  <c:v>3.2672496936622143E-2</c:v>
                </c:pt>
                <c:pt idx="212">
                  <c:v>3.266631858017674E-2</c:v>
                </c:pt>
                <c:pt idx="213">
                  <c:v>3.2660054957149617E-2</c:v>
                </c:pt>
                <c:pt idx="214">
                  <c:v>3.2653706116902374E-2</c:v>
                </c:pt>
                <c:pt idx="215">
                  <c:v>3.264727210946327E-2</c:v>
                </c:pt>
                <c:pt idx="216">
                  <c:v>3.2640752985527044E-2</c:v>
                </c:pt>
                <c:pt idx="217">
                  <c:v>3.2634148796453877E-2</c:v>
                </c:pt>
                <c:pt idx="218">
                  <c:v>3.2627459594269041E-2</c:v>
                </c:pt>
                <c:pt idx="219">
                  <c:v>3.2620685431661918E-2</c:v>
                </c:pt>
                <c:pt idx="220">
                  <c:v>3.2613826361985475E-2</c:v>
                </c:pt>
                <c:pt idx="221">
                  <c:v>3.2606882439255504E-2</c:v>
                </c:pt>
                <c:pt idx="222">
                  <c:v>3.2599853718150003E-2</c:v>
                </c:pt>
                <c:pt idx="223">
                  <c:v>3.2592740254008344E-2</c:v>
                </c:pt>
                <c:pt idx="224">
                  <c:v>3.2585542102830579E-2</c:v>
                </c:pt>
                <c:pt idx="225">
                  <c:v>3.257825932127674E-2</c:v>
                </c:pt>
                <c:pt idx="226">
                  <c:v>3.2570891966666134E-2</c:v>
                </c:pt>
                <c:pt idx="227">
                  <c:v>3.2563440096976488E-2</c:v>
                </c:pt>
                <c:pt idx="228">
                  <c:v>3.2555903770843157E-2</c:v>
                </c:pt>
                <c:pt idx="229">
                  <c:v>3.25482830475586E-2</c:v>
                </c:pt>
                <c:pt idx="230">
                  <c:v>3.2540577987071252E-2</c:v>
                </c:pt>
                <c:pt idx="231">
                  <c:v>3.2532788649985114E-2</c:v>
                </c:pt>
                <c:pt idx="232">
                  <c:v>3.2524915097558615E-2</c:v>
                </c:pt>
                <c:pt idx="233">
                  <c:v>3.2516957391704078E-2</c:v>
                </c:pt>
                <c:pt idx="234">
                  <c:v>3.250891559498665E-2</c:v>
                </c:pt>
                <c:pt idx="235">
                  <c:v>3.2500789770623803E-2</c:v>
                </c:pt>
                <c:pt idx="236">
                  <c:v>3.2492579982484178E-2</c:v>
                </c:pt>
                <c:pt idx="237">
                  <c:v>3.2484286295086984E-2</c:v>
                </c:pt>
                <c:pt idx="238">
                  <c:v>3.2475908773601014E-2</c:v>
                </c:pt>
                <c:pt idx="239">
                  <c:v>3.2467447483843871E-2</c:v>
                </c:pt>
                <c:pt idx="240">
                  <c:v>3.2458902492281123E-2</c:v>
                </c:pt>
                <c:pt idx="241">
                  <c:v>3.2450273866025371E-2</c:v>
                </c:pt>
                <c:pt idx="242">
                  <c:v>3.2441561672835337E-2</c:v>
                </c:pt>
                <c:pt idx="243">
                  <c:v>3.243276598111499E-2</c:v>
                </c:pt>
                <c:pt idx="244">
                  <c:v>3.2423886859912925E-2</c:v>
                </c:pt>
                <c:pt idx="245">
                  <c:v>3.2414924378920899E-2</c:v>
                </c:pt>
                <c:pt idx="246">
                  <c:v>3.2405878608473576E-2</c:v>
                </c:pt>
                <c:pt idx="247">
                  <c:v>3.2396749619547097E-2</c:v>
                </c:pt>
                <c:pt idx="248">
                  <c:v>3.2387537483758271E-2</c:v>
                </c:pt>
                <c:pt idx="249">
                  <c:v>3.2378242273363812E-2</c:v>
                </c:pt>
                <c:pt idx="250">
                  <c:v>3.2368864061259349E-2</c:v>
                </c:pt>
                <c:pt idx="251">
                  <c:v>3.2359402920978199E-2</c:v>
                </c:pt>
                <c:pt idx="252">
                  <c:v>3.2349858926690865E-2</c:v>
                </c:pt>
                <c:pt idx="253">
                  <c:v>3.234023215320362E-2</c:v>
                </c:pt>
                <c:pt idx="254">
                  <c:v>3.2330522675957853E-2</c:v>
                </c:pt>
                <c:pt idx="255">
                  <c:v>3.2320730571028855E-2</c:v>
                </c:pt>
                <c:pt idx="256">
                  <c:v>3.2310855915125024E-2</c:v>
                </c:pt>
                <c:pt idx="257">
                  <c:v>3.2300898785586708E-2</c:v>
                </c:pt>
                <c:pt idx="258">
                  <c:v>3.2290859260385288E-2</c:v>
                </c:pt>
                <c:pt idx="259">
                  <c:v>3.2280737418122159E-2</c:v>
                </c:pt>
                <c:pt idx="260">
                  <c:v>3.2270533338027617E-2</c:v>
                </c:pt>
                <c:pt idx="261">
                  <c:v>3.2260247099959886E-2</c:v>
                </c:pt>
                <c:pt idx="262">
                  <c:v>3.2249878784404093E-2</c:v>
                </c:pt>
                <c:pt idx="263">
                  <c:v>3.2239428472471236E-2</c:v>
                </c:pt>
                <c:pt idx="264">
                  <c:v>3.2228896245897039E-2</c:v>
                </c:pt>
                <c:pt idx="265">
                  <c:v>3.2218282187041009E-2</c:v>
                </c:pt>
                <c:pt idx="266">
                  <c:v>3.2207586378885183E-2</c:v>
                </c:pt>
                <c:pt idx="267">
                  <c:v>3.2196808905033215E-2</c:v>
                </c:pt>
                <c:pt idx="268">
                  <c:v>3.2185949849709329E-2</c:v>
                </c:pt>
                <c:pt idx="269">
                  <c:v>3.2175009297756942E-2</c:v>
                </c:pt>
                <c:pt idx="270">
                  <c:v>3.2163987334637816E-2</c:v>
                </c:pt>
                <c:pt idx="271">
                  <c:v>3.2152884046430928E-2</c:v>
                </c:pt>
                <c:pt idx="272">
                  <c:v>3.2141699519831229E-2</c:v>
                </c:pt>
                <c:pt idx="273">
                  <c:v>3.2130433842148622E-2</c:v>
                </c:pt>
                <c:pt idx="274">
                  <c:v>3.2119087101306711E-2</c:v>
                </c:pt>
                <c:pt idx="275">
                  <c:v>3.2107659385841744E-2</c:v>
                </c:pt>
                <c:pt idx="276">
                  <c:v>3.2096150784901599E-2</c:v>
                </c:pt>
                <c:pt idx="277">
                  <c:v>3.2084561388244219E-2</c:v>
                </c:pt>
                <c:pt idx="278">
                  <c:v>3.2072891286236888E-2</c:v>
                </c:pt>
                <c:pt idx="279">
                  <c:v>3.2061140569854839E-2</c:v>
                </c:pt>
                <c:pt idx="280">
                  <c:v>3.2049309330680044E-2</c:v>
                </c:pt>
                <c:pt idx="281">
                  <c:v>3.2037397660900115E-2</c:v>
                </c:pt>
                <c:pt idx="282">
                  <c:v>3.2025405653307158E-2</c:v>
                </c:pt>
                <c:pt idx="283">
                  <c:v>3.2013333401296307E-2</c:v>
                </c:pt>
                <c:pt idx="284">
                  <c:v>3.2001180998864835E-2</c:v>
                </c:pt>
                <c:pt idx="285">
                  <c:v>3.1988948540610761E-2</c:v>
                </c:pt>
                <c:pt idx="286">
                  <c:v>3.1976636121731607E-2</c:v>
                </c:pt>
                <c:pt idx="287">
                  <c:v>3.196424383802323E-2</c:v>
                </c:pt>
                <c:pt idx="288">
                  <c:v>3.1951771785878692E-2</c:v>
                </c:pt>
                <c:pt idx="289">
                  <c:v>3.1939220062286597E-2</c:v>
                </c:pt>
                <c:pt idx="290">
                  <c:v>3.1926588764830406E-2</c:v>
                </c:pt>
                <c:pt idx="291">
                  <c:v>3.191387799168665E-2</c:v>
                </c:pt>
                <c:pt idx="292">
                  <c:v>3.1901087841624078E-2</c:v>
                </c:pt>
                <c:pt idx="293">
                  <c:v>3.1888218414002086E-2</c:v>
                </c:pt>
                <c:pt idx="294">
                  <c:v>3.1875269808769528E-2</c:v>
                </c:pt>
                <c:pt idx="295">
                  <c:v>3.1862242126463505E-2</c:v>
                </c:pt>
                <c:pt idx="296">
                  <c:v>3.1849135468207924E-2</c:v>
                </c:pt>
                <c:pt idx="297">
                  <c:v>3.1835949935712267E-2</c:v>
                </c:pt>
                <c:pt idx="298">
                  <c:v>3.1822685631270352E-2</c:v>
                </c:pt>
                <c:pt idx="299">
                  <c:v>3.1809342657758831E-2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99-4895-9D19-8D54FDAE5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5410239"/>
        <c:axId val="503972367"/>
      </c:lineChart>
      <c:catAx>
        <c:axId val="65541023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03972367"/>
        <c:crosses val="autoZero"/>
        <c:auto val="0"/>
        <c:lblAlgn val="ctr"/>
        <c:lblOffset val="100"/>
        <c:noMultiLvlLbl val="0"/>
      </c:catAx>
      <c:valAx>
        <c:axId val="503972367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55410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20461340037799208"/>
          <c:y val="0.14136925012299775"/>
          <c:w val="0.36710256715026884"/>
          <c:h val="0.217977934905693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Jądro gaussowskie vs Epanecznikowa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8.5483814523184598E-2"/>
          <c:y val="0.12078703703703704"/>
          <c:w val="0.89150196850393704"/>
          <c:h val="0.60116542723826183"/>
        </c:manualLayout>
      </c:layout>
      <c:lineChart>
        <c:grouping val="standard"/>
        <c:varyColors val="0"/>
        <c:ser>
          <c:idx val="2"/>
          <c:order val="0"/>
          <c:tx>
            <c:v>gaussowskie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irysy_estymacjagęstości!$K$3:$K$302</c:f>
              <c:numCache>
                <c:formatCode>General</c:formatCode>
                <c:ptCount val="300"/>
                <c:pt idx="0">
                  <c:v>1</c:v>
                </c:pt>
                <c:pt idx="1">
                  <c:v>1.0197324414715718</c:v>
                </c:pt>
                <c:pt idx="2">
                  <c:v>1.0394648829431437</c:v>
                </c:pt>
                <c:pt idx="3">
                  <c:v>1.0591973244147155</c:v>
                </c:pt>
                <c:pt idx="4">
                  <c:v>1.0789297658862873</c:v>
                </c:pt>
                <c:pt idx="5">
                  <c:v>1.0986622073578591</c:v>
                </c:pt>
                <c:pt idx="6">
                  <c:v>1.118394648829431</c:v>
                </c:pt>
                <c:pt idx="7">
                  <c:v>1.1381270903010028</c:v>
                </c:pt>
                <c:pt idx="8">
                  <c:v>1.1578595317725746</c:v>
                </c:pt>
                <c:pt idx="9">
                  <c:v>1.1775919732441464</c:v>
                </c:pt>
                <c:pt idx="10">
                  <c:v>1.1973244147157183</c:v>
                </c:pt>
                <c:pt idx="11">
                  <c:v>1.2170568561872901</c:v>
                </c:pt>
                <c:pt idx="12">
                  <c:v>1.2367892976588619</c:v>
                </c:pt>
                <c:pt idx="13">
                  <c:v>1.2565217391304337</c:v>
                </c:pt>
                <c:pt idx="14">
                  <c:v>1.2762541806020056</c:v>
                </c:pt>
                <c:pt idx="15">
                  <c:v>1.2959866220735774</c:v>
                </c:pt>
                <c:pt idx="16">
                  <c:v>1.3157190635451492</c:v>
                </c:pt>
                <c:pt idx="17">
                  <c:v>1.3354515050167211</c:v>
                </c:pt>
                <c:pt idx="18">
                  <c:v>1.3551839464882929</c:v>
                </c:pt>
                <c:pt idx="19">
                  <c:v>1.3749163879598647</c:v>
                </c:pt>
                <c:pt idx="20">
                  <c:v>1.3946488294314365</c:v>
                </c:pt>
                <c:pt idx="21">
                  <c:v>1.4143812709030084</c:v>
                </c:pt>
                <c:pt idx="22">
                  <c:v>1.4341137123745802</c:v>
                </c:pt>
                <c:pt idx="23">
                  <c:v>1.453846153846152</c:v>
                </c:pt>
                <c:pt idx="24">
                  <c:v>1.4735785953177238</c:v>
                </c:pt>
                <c:pt idx="25">
                  <c:v>1.4933110367892957</c:v>
                </c:pt>
                <c:pt idx="26">
                  <c:v>1.5130434782608675</c:v>
                </c:pt>
                <c:pt idx="27">
                  <c:v>1.5327759197324393</c:v>
                </c:pt>
                <c:pt idx="28">
                  <c:v>1.5525083612040111</c:v>
                </c:pt>
                <c:pt idx="29">
                  <c:v>1.572240802675583</c:v>
                </c:pt>
                <c:pt idx="30">
                  <c:v>1.5919732441471548</c:v>
                </c:pt>
                <c:pt idx="31">
                  <c:v>1.6117056856187266</c:v>
                </c:pt>
                <c:pt idx="32">
                  <c:v>1.6314381270902985</c:v>
                </c:pt>
                <c:pt idx="33">
                  <c:v>1.6511705685618703</c:v>
                </c:pt>
                <c:pt idx="34">
                  <c:v>1.6709030100334421</c:v>
                </c:pt>
                <c:pt idx="35">
                  <c:v>1.6906354515050139</c:v>
                </c:pt>
                <c:pt idx="36">
                  <c:v>1.7103678929765858</c:v>
                </c:pt>
                <c:pt idx="37">
                  <c:v>1.7301003344481576</c:v>
                </c:pt>
                <c:pt idx="38">
                  <c:v>1.7498327759197294</c:v>
                </c:pt>
                <c:pt idx="39">
                  <c:v>1.7695652173913012</c:v>
                </c:pt>
                <c:pt idx="40">
                  <c:v>1.7892976588628731</c:v>
                </c:pt>
                <c:pt idx="41">
                  <c:v>1.8090301003344449</c:v>
                </c:pt>
                <c:pt idx="42">
                  <c:v>1.8287625418060167</c:v>
                </c:pt>
                <c:pt idx="43">
                  <c:v>1.8484949832775885</c:v>
                </c:pt>
                <c:pt idx="44">
                  <c:v>1.8682274247491604</c:v>
                </c:pt>
                <c:pt idx="45">
                  <c:v>1.8879598662207322</c:v>
                </c:pt>
                <c:pt idx="46">
                  <c:v>1.907692307692304</c:v>
                </c:pt>
                <c:pt idx="47">
                  <c:v>1.9274247491638759</c:v>
                </c:pt>
                <c:pt idx="48">
                  <c:v>1.9471571906354477</c:v>
                </c:pt>
                <c:pt idx="49">
                  <c:v>1.9668896321070195</c:v>
                </c:pt>
                <c:pt idx="50">
                  <c:v>1.9866220735785913</c:v>
                </c:pt>
                <c:pt idx="51">
                  <c:v>2.0063545150501634</c:v>
                </c:pt>
                <c:pt idx="52">
                  <c:v>2.0260869565217354</c:v>
                </c:pt>
                <c:pt idx="53">
                  <c:v>2.0458193979933075</c:v>
                </c:pt>
                <c:pt idx="54">
                  <c:v>2.0655518394648795</c:v>
                </c:pt>
                <c:pt idx="55">
                  <c:v>2.0852842809364516</c:v>
                </c:pt>
                <c:pt idx="56">
                  <c:v>2.1050167224080236</c:v>
                </c:pt>
                <c:pt idx="57">
                  <c:v>2.1247491638795957</c:v>
                </c:pt>
                <c:pt idx="58">
                  <c:v>2.1444816053511677</c:v>
                </c:pt>
                <c:pt idx="59">
                  <c:v>2.1642140468227398</c:v>
                </c:pt>
                <c:pt idx="60">
                  <c:v>2.1839464882943118</c:v>
                </c:pt>
                <c:pt idx="61">
                  <c:v>2.2036789297658839</c:v>
                </c:pt>
                <c:pt idx="62">
                  <c:v>2.2234113712374559</c:v>
                </c:pt>
                <c:pt idx="63">
                  <c:v>2.243143812709028</c:v>
                </c:pt>
                <c:pt idx="64">
                  <c:v>2.2628762541806</c:v>
                </c:pt>
                <c:pt idx="65">
                  <c:v>2.2826086956521721</c:v>
                </c:pt>
                <c:pt idx="66">
                  <c:v>2.3023411371237441</c:v>
                </c:pt>
                <c:pt idx="67">
                  <c:v>2.3220735785953162</c:v>
                </c:pt>
                <c:pt idx="68">
                  <c:v>2.3418060200668882</c:v>
                </c:pt>
                <c:pt idx="69">
                  <c:v>2.3615384615384603</c:v>
                </c:pt>
                <c:pt idx="70">
                  <c:v>2.3812709030100323</c:v>
                </c:pt>
                <c:pt idx="71">
                  <c:v>2.4010033444816044</c:v>
                </c:pt>
                <c:pt idx="72">
                  <c:v>2.4207357859531764</c:v>
                </c:pt>
                <c:pt idx="73">
                  <c:v>2.4404682274247484</c:v>
                </c:pt>
                <c:pt idx="74">
                  <c:v>2.4602006688963205</c:v>
                </c:pt>
                <c:pt idx="75">
                  <c:v>2.4799331103678925</c:v>
                </c:pt>
                <c:pt idx="76">
                  <c:v>2.4996655518394646</c:v>
                </c:pt>
                <c:pt idx="77">
                  <c:v>2.5193979933110366</c:v>
                </c:pt>
                <c:pt idx="78">
                  <c:v>2.5391304347826087</c:v>
                </c:pt>
                <c:pt idx="79">
                  <c:v>2.5588628762541807</c:v>
                </c:pt>
                <c:pt idx="80">
                  <c:v>2.5785953177257528</c:v>
                </c:pt>
                <c:pt idx="81">
                  <c:v>2.5983277591973248</c:v>
                </c:pt>
                <c:pt idx="82">
                  <c:v>2.6180602006688969</c:v>
                </c:pt>
                <c:pt idx="83">
                  <c:v>2.6377926421404689</c:v>
                </c:pt>
                <c:pt idx="84">
                  <c:v>2.657525083612041</c:v>
                </c:pt>
                <c:pt idx="85">
                  <c:v>2.677257525083613</c:v>
                </c:pt>
                <c:pt idx="86">
                  <c:v>2.6969899665551851</c:v>
                </c:pt>
                <c:pt idx="87">
                  <c:v>2.7167224080267571</c:v>
                </c:pt>
                <c:pt idx="88">
                  <c:v>2.7364548494983292</c:v>
                </c:pt>
                <c:pt idx="89">
                  <c:v>2.7561872909699012</c:v>
                </c:pt>
                <c:pt idx="90">
                  <c:v>2.7759197324414733</c:v>
                </c:pt>
                <c:pt idx="91">
                  <c:v>2.7956521739130453</c:v>
                </c:pt>
                <c:pt idx="92">
                  <c:v>2.8153846153846174</c:v>
                </c:pt>
                <c:pt idx="93">
                  <c:v>2.8351170568561894</c:v>
                </c:pt>
                <c:pt idx="94">
                  <c:v>2.8548494983277615</c:v>
                </c:pt>
                <c:pt idx="95">
                  <c:v>2.8745819397993335</c:v>
                </c:pt>
                <c:pt idx="96">
                  <c:v>2.8943143812709056</c:v>
                </c:pt>
                <c:pt idx="97">
                  <c:v>2.9140468227424776</c:v>
                </c:pt>
                <c:pt idx="98">
                  <c:v>2.9337792642140497</c:v>
                </c:pt>
                <c:pt idx="99">
                  <c:v>2.9535117056856217</c:v>
                </c:pt>
                <c:pt idx="100">
                  <c:v>2.9732441471571938</c:v>
                </c:pt>
                <c:pt idx="101">
                  <c:v>2.9929765886287658</c:v>
                </c:pt>
                <c:pt idx="102">
                  <c:v>3.0127090301003379</c:v>
                </c:pt>
                <c:pt idx="103">
                  <c:v>3.0324414715719099</c:v>
                </c:pt>
                <c:pt idx="104">
                  <c:v>3.052173913043482</c:v>
                </c:pt>
                <c:pt idx="105">
                  <c:v>3.071906354515054</c:v>
                </c:pt>
                <c:pt idx="106">
                  <c:v>3.0916387959866261</c:v>
                </c:pt>
                <c:pt idx="107">
                  <c:v>3.1113712374581981</c:v>
                </c:pt>
                <c:pt idx="108">
                  <c:v>3.1311036789297702</c:v>
                </c:pt>
                <c:pt idx="109">
                  <c:v>3.1508361204013422</c:v>
                </c:pt>
                <c:pt idx="110">
                  <c:v>3.1705685618729142</c:v>
                </c:pt>
                <c:pt idx="111">
                  <c:v>3.1903010033444863</c:v>
                </c:pt>
                <c:pt idx="112">
                  <c:v>3.2100334448160583</c:v>
                </c:pt>
                <c:pt idx="113">
                  <c:v>3.2297658862876304</c:v>
                </c:pt>
                <c:pt idx="114">
                  <c:v>3.2494983277592024</c:v>
                </c:pt>
                <c:pt idx="115">
                  <c:v>3.2692307692307745</c:v>
                </c:pt>
                <c:pt idx="116">
                  <c:v>3.2889632107023465</c:v>
                </c:pt>
                <c:pt idx="117">
                  <c:v>3.3086956521739186</c:v>
                </c:pt>
                <c:pt idx="118">
                  <c:v>3.3284280936454906</c:v>
                </c:pt>
                <c:pt idx="119">
                  <c:v>3.3481605351170627</c:v>
                </c:pt>
                <c:pt idx="120">
                  <c:v>3.3678929765886347</c:v>
                </c:pt>
                <c:pt idx="121">
                  <c:v>3.3876254180602068</c:v>
                </c:pt>
                <c:pt idx="122">
                  <c:v>3.4073578595317788</c:v>
                </c:pt>
                <c:pt idx="123">
                  <c:v>3.4270903010033509</c:v>
                </c:pt>
                <c:pt idx="124">
                  <c:v>3.4468227424749229</c:v>
                </c:pt>
                <c:pt idx="125">
                  <c:v>3.466555183946495</c:v>
                </c:pt>
                <c:pt idx="126">
                  <c:v>3.486287625418067</c:v>
                </c:pt>
                <c:pt idx="127">
                  <c:v>3.5060200668896391</c:v>
                </c:pt>
                <c:pt idx="128">
                  <c:v>3.5257525083612111</c:v>
                </c:pt>
                <c:pt idx="129">
                  <c:v>3.5454849498327832</c:v>
                </c:pt>
                <c:pt idx="130">
                  <c:v>3.5652173913043552</c:v>
                </c:pt>
                <c:pt idx="131">
                  <c:v>3.5849498327759273</c:v>
                </c:pt>
                <c:pt idx="132">
                  <c:v>3.6046822742474993</c:v>
                </c:pt>
                <c:pt idx="133">
                  <c:v>3.6244147157190714</c:v>
                </c:pt>
                <c:pt idx="134">
                  <c:v>3.6441471571906434</c:v>
                </c:pt>
                <c:pt idx="135">
                  <c:v>3.6638795986622155</c:v>
                </c:pt>
                <c:pt idx="136">
                  <c:v>3.6836120401337875</c:v>
                </c:pt>
                <c:pt idx="137">
                  <c:v>3.7033444816053596</c:v>
                </c:pt>
                <c:pt idx="138">
                  <c:v>3.7230769230769316</c:v>
                </c:pt>
                <c:pt idx="139">
                  <c:v>3.7428093645485037</c:v>
                </c:pt>
                <c:pt idx="140">
                  <c:v>3.7625418060200757</c:v>
                </c:pt>
                <c:pt idx="141">
                  <c:v>3.7822742474916478</c:v>
                </c:pt>
                <c:pt idx="142">
                  <c:v>3.8020066889632198</c:v>
                </c:pt>
                <c:pt idx="143">
                  <c:v>3.8217391304347919</c:v>
                </c:pt>
                <c:pt idx="144">
                  <c:v>3.8414715719063639</c:v>
                </c:pt>
                <c:pt idx="145">
                  <c:v>3.861204013377936</c:v>
                </c:pt>
                <c:pt idx="146">
                  <c:v>3.880936454849508</c:v>
                </c:pt>
                <c:pt idx="147">
                  <c:v>3.90066889632108</c:v>
                </c:pt>
                <c:pt idx="148">
                  <c:v>3.9204013377926521</c:v>
                </c:pt>
                <c:pt idx="149">
                  <c:v>3.9401337792642241</c:v>
                </c:pt>
                <c:pt idx="150">
                  <c:v>3.9598662207357962</c:v>
                </c:pt>
                <c:pt idx="151">
                  <c:v>3.9795986622073682</c:v>
                </c:pt>
                <c:pt idx="152">
                  <c:v>3.9993311036789403</c:v>
                </c:pt>
                <c:pt idx="153">
                  <c:v>4.0190635451505123</c:v>
                </c:pt>
                <c:pt idx="154">
                  <c:v>4.0387959866220839</c:v>
                </c:pt>
                <c:pt idx="155">
                  <c:v>4.0585284280936555</c:v>
                </c:pt>
                <c:pt idx="156">
                  <c:v>4.0782608695652272</c:v>
                </c:pt>
                <c:pt idx="157">
                  <c:v>4.0979933110367988</c:v>
                </c:pt>
                <c:pt idx="158">
                  <c:v>4.1177257525083704</c:v>
                </c:pt>
                <c:pt idx="159">
                  <c:v>4.137458193979942</c:v>
                </c:pt>
                <c:pt idx="160">
                  <c:v>4.1571906354515136</c:v>
                </c:pt>
                <c:pt idx="161">
                  <c:v>4.1769230769230852</c:v>
                </c:pt>
                <c:pt idx="162">
                  <c:v>4.1966555183946568</c:v>
                </c:pt>
                <c:pt idx="163">
                  <c:v>4.2163879598662284</c:v>
                </c:pt>
                <c:pt idx="164">
                  <c:v>4.2361204013378</c:v>
                </c:pt>
                <c:pt idx="165">
                  <c:v>4.2558528428093716</c:v>
                </c:pt>
                <c:pt idx="166">
                  <c:v>4.2755852842809432</c:v>
                </c:pt>
                <c:pt idx="167">
                  <c:v>4.2953177257525148</c:v>
                </c:pt>
                <c:pt idx="168">
                  <c:v>4.3150501672240864</c:v>
                </c:pt>
                <c:pt idx="169">
                  <c:v>4.334782608695658</c:v>
                </c:pt>
                <c:pt idx="170">
                  <c:v>4.3545150501672296</c:v>
                </c:pt>
                <c:pt idx="171">
                  <c:v>4.3742474916388012</c:v>
                </c:pt>
                <c:pt idx="172">
                  <c:v>4.3939799331103728</c:v>
                </c:pt>
                <c:pt idx="173">
                  <c:v>4.4137123745819444</c:v>
                </c:pt>
                <c:pt idx="174">
                  <c:v>4.433444816053516</c:v>
                </c:pt>
                <c:pt idx="175">
                  <c:v>4.4531772575250876</c:v>
                </c:pt>
                <c:pt idx="176">
                  <c:v>4.4729096989966592</c:v>
                </c:pt>
                <c:pt idx="177">
                  <c:v>4.4926421404682308</c:v>
                </c:pt>
                <c:pt idx="178">
                  <c:v>4.5123745819398025</c:v>
                </c:pt>
                <c:pt idx="179">
                  <c:v>4.5321070234113741</c:v>
                </c:pt>
                <c:pt idx="180">
                  <c:v>4.5518394648829457</c:v>
                </c:pt>
                <c:pt idx="181">
                  <c:v>4.5715719063545173</c:v>
                </c:pt>
                <c:pt idx="182">
                  <c:v>4.5913043478260889</c:v>
                </c:pt>
                <c:pt idx="183">
                  <c:v>4.6110367892976605</c:v>
                </c:pt>
                <c:pt idx="184">
                  <c:v>4.6307692307692321</c:v>
                </c:pt>
                <c:pt idx="185">
                  <c:v>4.6505016722408037</c:v>
                </c:pt>
                <c:pt idx="186">
                  <c:v>4.6702341137123753</c:v>
                </c:pt>
                <c:pt idx="187">
                  <c:v>4.6899665551839469</c:v>
                </c:pt>
                <c:pt idx="188">
                  <c:v>4.7096989966555185</c:v>
                </c:pt>
                <c:pt idx="189">
                  <c:v>4.7294314381270901</c:v>
                </c:pt>
                <c:pt idx="190">
                  <c:v>4.7491638795986617</c:v>
                </c:pt>
                <c:pt idx="191">
                  <c:v>4.7688963210702333</c:v>
                </c:pt>
                <c:pt idx="192">
                  <c:v>4.7886287625418049</c:v>
                </c:pt>
                <c:pt idx="193">
                  <c:v>4.8083612040133765</c:v>
                </c:pt>
                <c:pt idx="194">
                  <c:v>4.8280936454849481</c:v>
                </c:pt>
                <c:pt idx="195">
                  <c:v>4.8478260869565197</c:v>
                </c:pt>
                <c:pt idx="196">
                  <c:v>4.8675585284280913</c:v>
                </c:pt>
                <c:pt idx="197">
                  <c:v>4.8872909698996629</c:v>
                </c:pt>
                <c:pt idx="198">
                  <c:v>4.9070234113712345</c:v>
                </c:pt>
                <c:pt idx="199">
                  <c:v>4.9267558528428061</c:v>
                </c:pt>
                <c:pt idx="200">
                  <c:v>4.9464882943143778</c:v>
                </c:pt>
                <c:pt idx="201">
                  <c:v>4.9662207357859494</c:v>
                </c:pt>
                <c:pt idx="202">
                  <c:v>4.985953177257521</c:v>
                </c:pt>
                <c:pt idx="203">
                  <c:v>5.0056856187290926</c:v>
                </c:pt>
                <c:pt idx="204">
                  <c:v>5.0254180602006642</c:v>
                </c:pt>
                <c:pt idx="205">
                  <c:v>5.0451505016722358</c:v>
                </c:pt>
                <c:pt idx="206">
                  <c:v>5.0648829431438074</c:v>
                </c:pt>
                <c:pt idx="207">
                  <c:v>5.084615384615379</c:v>
                </c:pt>
                <c:pt idx="208">
                  <c:v>5.1043478260869506</c:v>
                </c:pt>
                <c:pt idx="209">
                  <c:v>5.1240802675585222</c:v>
                </c:pt>
                <c:pt idx="210">
                  <c:v>5.1438127090300938</c:v>
                </c:pt>
                <c:pt idx="211">
                  <c:v>5.1635451505016654</c:v>
                </c:pt>
                <c:pt idx="212">
                  <c:v>5.183277591973237</c:v>
                </c:pt>
                <c:pt idx="213">
                  <c:v>5.2030100334448086</c:v>
                </c:pt>
                <c:pt idx="214">
                  <c:v>5.2227424749163802</c:v>
                </c:pt>
                <c:pt idx="215">
                  <c:v>5.2424749163879518</c:v>
                </c:pt>
                <c:pt idx="216">
                  <c:v>5.2622073578595234</c:v>
                </c:pt>
                <c:pt idx="217">
                  <c:v>5.281939799331095</c:v>
                </c:pt>
                <c:pt idx="218">
                  <c:v>5.3016722408026666</c:v>
                </c:pt>
                <c:pt idx="219">
                  <c:v>5.3214046822742382</c:v>
                </c:pt>
                <c:pt idx="220">
                  <c:v>5.3411371237458098</c:v>
                </c:pt>
                <c:pt idx="221">
                  <c:v>5.3608695652173814</c:v>
                </c:pt>
                <c:pt idx="222">
                  <c:v>5.3806020066889531</c:v>
                </c:pt>
                <c:pt idx="223">
                  <c:v>5.4003344481605247</c:v>
                </c:pt>
                <c:pt idx="224">
                  <c:v>5.4200668896320963</c:v>
                </c:pt>
                <c:pt idx="225">
                  <c:v>5.4397993311036679</c:v>
                </c:pt>
                <c:pt idx="226">
                  <c:v>5.4595317725752395</c:v>
                </c:pt>
                <c:pt idx="227">
                  <c:v>5.4792642140468111</c:v>
                </c:pt>
                <c:pt idx="228">
                  <c:v>5.4989966555183827</c:v>
                </c:pt>
                <c:pt idx="229">
                  <c:v>5.5187290969899543</c:v>
                </c:pt>
                <c:pt idx="230">
                  <c:v>5.5384615384615259</c:v>
                </c:pt>
                <c:pt idx="231">
                  <c:v>5.5581939799330975</c:v>
                </c:pt>
                <c:pt idx="232">
                  <c:v>5.5779264214046691</c:v>
                </c:pt>
                <c:pt idx="233">
                  <c:v>5.5976588628762407</c:v>
                </c:pt>
                <c:pt idx="234">
                  <c:v>5.6173913043478123</c:v>
                </c:pt>
                <c:pt idx="235">
                  <c:v>5.6371237458193839</c:v>
                </c:pt>
                <c:pt idx="236">
                  <c:v>5.6568561872909555</c:v>
                </c:pt>
                <c:pt idx="237">
                  <c:v>5.6765886287625271</c:v>
                </c:pt>
                <c:pt idx="238">
                  <c:v>5.6963210702340987</c:v>
                </c:pt>
                <c:pt idx="239">
                  <c:v>5.7160535117056703</c:v>
                </c:pt>
                <c:pt idx="240">
                  <c:v>5.7357859531772419</c:v>
                </c:pt>
                <c:pt idx="241">
                  <c:v>5.7555183946488135</c:v>
                </c:pt>
                <c:pt idx="242">
                  <c:v>5.7752508361203851</c:v>
                </c:pt>
                <c:pt idx="243">
                  <c:v>5.7949832775919567</c:v>
                </c:pt>
                <c:pt idx="244">
                  <c:v>5.8147157190635284</c:v>
                </c:pt>
                <c:pt idx="245">
                  <c:v>5.8344481605351</c:v>
                </c:pt>
                <c:pt idx="246">
                  <c:v>5.8541806020066716</c:v>
                </c:pt>
                <c:pt idx="247">
                  <c:v>5.8739130434782432</c:v>
                </c:pt>
                <c:pt idx="248">
                  <c:v>5.8936454849498148</c:v>
                </c:pt>
                <c:pt idx="249">
                  <c:v>5.9133779264213864</c:v>
                </c:pt>
                <c:pt idx="250">
                  <c:v>5.933110367892958</c:v>
                </c:pt>
                <c:pt idx="251">
                  <c:v>5.9528428093645296</c:v>
                </c:pt>
                <c:pt idx="252">
                  <c:v>5.9725752508361012</c:v>
                </c:pt>
                <c:pt idx="253">
                  <c:v>5.9923076923076728</c:v>
                </c:pt>
                <c:pt idx="254">
                  <c:v>6.0120401337792444</c:v>
                </c:pt>
                <c:pt idx="255">
                  <c:v>6.031772575250816</c:v>
                </c:pt>
                <c:pt idx="256">
                  <c:v>6.0515050167223876</c:v>
                </c:pt>
                <c:pt idx="257">
                  <c:v>6.0712374581939592</c:v>
                </c:pt>
                <c:pt idx="258">
                  <c:v>6.0909698996655308</c:v>
                </c:pt>
                <c:pt idx="259">
                  <c:v>6.1107023411371024</c:v>
                </c:pt>
                <c:pt idx="260">
                  <c:v>6.130434782608674</c:v>
                </c:pt>
                <c:pt idx="261">
                  <c:v>6.1501672240802456</c:v>
                </c:pt>
                <c:pt idx="262">
                  <c:v>6.1698996655518172</c:v>
                </c:pt>
                <c:pt idx="263">
                  <c:v>6.1896321070233888</c:v>
                </c:pt>
                <c:pt idx="264">
                  <c:v>6.2093645484949604</c:v>
                </c:pt>
                <c:pt idx="265">
                  <c:v>6.229096989966532</c:v>
                </c:pt>
                <c:pt idx="266">
                  <c:v>6.2488294314381037</c:v>
                </c:pt>
                <c:pt idx="267">
                  <c:v>6.2685618729096753</c:v>
                </c:pt>
                <c:pt idx="268">
                  <c:v>6.2882943143812469</c:v>
                </c:pt>
                <c:pt idx="269">
                  <c:v>6.3080267558528185</c:v>
                </c:pt>
                <c:pt idx="270">
                  <c:v>6.3277591973243901</c:v>
                </c:pt>
                <c:pt idx="271">
                  <c:v>6.3474916387959617</c:v>
                </c:pt>
                <c:pt idx="272">
                  <c:v>6.3672240802675333</c:v>
                </c:pt>
                <c:pt idx="273">
                  <c:v>6.3869565217391049</c:v>
                </c:pt>
                <c:pt idx="274">
                  <c:v>6.4066889632106765</c:v>
                </c:pt>
                <c:pt idx="275">
                  <c:v>6.4264214046822481</c:v>
                </c:pt>
                <c:pt idx="276">
                  <c:v>6.4461538461538197</c:v>
                </c:pt>
                <c:pt idx="277">
                  <c:v>6.4658862876253913</c:v>
                </c:pt>
                <c:pt idx="278">
                  <c:v>6.4856187290969629</c:v>
                </c:pt>
                <c:pt idx="279">
                  <c:v>6.5053511705685345</c:v>
                </c:pt>
                <c:pt idx="280">
                  <c:v>6.5250836120401061</c:v>
                </c:pt>
                <c:pt idx="281">
                  <c:v>6.5448160535116777</c:v>
                </c:pt>
                <c:pt idx="282">
                  <c:v>6.5645484949832493</c:v>
                </c:pt>
                <c:pt idx="283">
                  <c:v>6.5842809364548209</c:v>
                </c:pt>
                <c:pt idx="284">
                  <c:v>6.6040133779263925</c:v>
                </c:pt>
                <c:pt idx="285">
                  <c:v>6.6237458193979641</c:v>
                </c:pt>
                <c:pt idx="286">
                  <c:v>6.6434782608695357</c:v>
                </c:pt>
                <c:pt idx="287">
                  <c:v>6.6632107023411073</c:v>
                </c:pt>
                <c:pt idx="288">
                  <c:v>6.682943143812679</c:v>
                </c:pt>
                <c:pt idx="289">
                  <c:v>6.7026755852842506</c:v>
                </c:pt>
                <c:pt idx="290">
                  <c:v>6.7224080267558222</c:v>
                </c:pt>
                <c:pt idx="291">
                  <c:v>6.7421404682273938</c:v>
                </c:pt>
                <c:pt idx="292">
                  <c:v>6.7618729096989654</c:v>
                </c:pt>
                <c:pt idx="293">
                  <c:v>6.781605351170537</c:v>
                </c:pt>
                <c:pt idx="294">
                  <c:v>6.8013377926421086</c:v>
                </c:pt>
                <c:pt idx="295">
                  <c:v>6.8210702341136802</c:v>
                </c:pt>
                <c:pt idx="296">
                  <c:v>6.8408026755852518</c:v>
                </c:pt>
                <c:pt idx="297">
                  <c:v>6.8605351170568234</c:v>
                </c:pt>
                <c:pt idx="298">
                  <c:v>6.880267558528395</c:v>
                </c:pt>
                <c:pt idx="299">
                  <c:v>6.8999999999999666</c:v>
                </c:pt>
              </c:numCache>
            </c:numRef>
          </c:cat>
          <c:val>
            <c:numRef>
              <c:f>irysy_estymacjagęstości!$M$3:$M$302</c:f>
              <c:numCache>
                <c:formatCode>General</c:formatCode>
                <c:ptCount val="300"/>
                <c:pt idx="0">
                  <c:v>0.15197430392932543</c:v>
                </c:pt>
                <c:pt idx="1">
                  <c:v>0.15471246117398849</c:v>
                </c:pt>
                <c:pt idx="2">
                  <c:v>0.15737811095297358</c:v>
                </c:pt>
                <c:pt idx="3">
                  <c:v>0.15996589496650446</c:v>
                </c:pt>
                <c:pt idx="4">
                  <c:v>0.16247055403533858</c:v>
                </c:pt>
                <c:pt idx="5">
                  <c:v>0.1648869466219462</c:v>
                </c:pt>
                <c:pt idx="6">
                  <c:v>0.16721006720631976</c:v>
                </c:pt>
                <c:pt idx="7">
                  <c:v>0.16943506442829293</c:v>
                </c:pt>
                <c:pt idx="8">
                  <c:v>0.17155725890820728</c:v>
                </c:pt>
                <c:pt idx="9">
                  <c:v>0.17357216065825859</c:v>
                </c:pt>
                <c:pt idx="10">
                  <c:v>0.1754754859979176</c:v>
                </c:pt>
                <c:pt idx="11">
                  <c:v>0.17726317388842733</c:v>
                </c:pt>
                <c:pt idx="12">
                  <c:v>0.17893140160354795</c:v>
                </c:pt>
                <c:pt idx="13">
                  <c:v>0.18047659965643009</c:v>
                </c:pt>
                <c:pt idx="14">
                  <c:v>0.18189546590572059</c:v>
                </c:pt>
                <c:pt idx="15">
                  <c:v>0.18318497876777112</c:v>
                </c:pt>
                <c:pt idx="16">
                  <c:v>0.18434240946605079</c:v>
                </c:pt>
                <c:pt idx="17">
                  <c:v>0.18536533325355734</c:v>
                </c:pt>
                <c:pt idx="18">
                  <c:v>0.18625163954917784</c:v>
                </c:pt>
                <c:pt idx="19">
                  <c:v>0.1869995409344837</c:v>
                </c:pt>
                <c:pt idx="20">
                  <c:v>0.1876075809633386</c:v>
                </c:pt>
                <c:pt idx="21">
                  <c:v>0.18807464074295036</c:v>
                </c:pt>
                <c:pt idx="22">
                  <c:v>0.18839994425149281</c:v>
                </c:pt>
                <c:pt idx="23">
                  <c:v>0.18858306236419484</c:v>
                </c:pt>
                <c:pt idx="24">
                  <c:v>0.1886239155667179</c:v>
                </c:pt>
                <c:pt idx="25">
                  <c:v>0.18852277534175568</c:v>
                </c:pt>
                <c:pt idx="26">
                  <c:v>0.1882802642219491</c:v>
                </c:pt>
                <c:pt idx="27">
                  <c:v>0.18789735450945227</c:v>
                </c:pt>
                <c:pt idx="28">
                  <c:v>0.18737536566968926</c:v>
                </c:pt>
                <c:pt idx="29">
                  <c:v>0.18671596041401134</c:v>
                </c:pt>
                <c:pt idx="30">
                  <c:v>0.18592113949300748</c:v>
                </c:pt>
                <c:pt idx="31">
                  <c:v>0.18499323522912384</c:v>
                </c:pt>
                <c:pt idx="32">
                  <c:v>0.18393490382391167</c:v>
                </c:pt>
                <c:pt idx="33">
                  <c:v>0.18274911648170025</c:v>
                </c:pt>
                <c:pt idx="34">
                  <c:v>0.18143914939758532</c:v>
                </c:pt>
                <c:pt idx="35">
                  <c:v>0.18000857266345455</c:v>
                </c:pt>
                <c:pt idx="36">
                  <c:v>0.17846123815119785</c:v>
                </c:pt>
                <c:pt idx="37">
                  <c:v>0.17680126643725103</c:v>
                </c:pt>
                <c:pt idx="38">
                  <c:v>0.17503303283720223</c:v>
                </c:pt>
                <c:pt idx="39">
                  <c:v>0.17316115262330042</c:v>
                </c:pt>
                <c:pt idx="40">
                  <c:v>0.17119046550130107</c:v>
                </c:pt>
                <c:pt idx="41">
                  <c:v>0.16912601942616362</c:v>
                </c:pt>
                <c:pt idx="42">
                  <c:v>0.16697305383870623</c:v>
                </c:pt>
                <c:pt idx="43">
                  <c:v>0.16473698240730239</c:v>
                </c:pt>
                <c:pt idx="44">
                  <c:v>0.16242337536018706</c:v>
                </c:pt>
                <c:pt idx="45">
                  <c:v>0.16003794149485157</c:v>
                </c:pt>
                <c:pt idx="46">
                  <c:v>0.15758650995134427</c:v>
                </c:pt>
                <c:pt idx="47">
                  <c:v>0.15507501183613376</c:v>
                </c:pt>
                <c:pt idx="48">
                  <c:v>0.15250946178243824</c:v>
                </c:pt>
                <c:pt idx="49">
                  <c:v>0.1498959395316867</c:v>
                </c:pt>
                <c:pt idx="50">
                  <c:v>0.14724057161902501</c:v>
                </c:pt>
                <c:pt idx="51">
                  <c:v>0.14454951324353002</c:v>
                </c:pt>
                <c:pt idx="52">
                  <c:v>0.14182893040110225</c:v>
                </c:pt>
                <c:pt idx="53">
                  <c:v>0.13908498235487532</c:v>
                </c:pt>
                <c:pt idx="54">
                  <c:v>0.13632380451444123</c:v>
                </c:pt>
                <c:pt idx="55">
                  <c:v>0.1335514917912928</c:v>
                </c:pt>
                <c:pt idx="56">
                  <c:v>0.13077408249365013</c:v>
                </c:pt>
                <c:pt idx="57">
                  <c:v>0.12799754281930226</c:v>
                </c:pt>
                <c:pt idx="58">
                  <c:v>0.12522775200030398</c:v>
                </c:pt>
                <c:pt idx="59">
                  <c:v>0.12247048814836778</c:v>
                </c:pt>
                <c:pt idx="60">
                  <c:v>0.11973141484459411</c:v>
                </c:pt>
                <c:pt idx="61">
                  <c:v>0.11701606851186992</c:v>
                </c:pt>
                <c:pt idx="62">
                  <c:v>0.11432984660283303</c:v>
                </c:pt>
                <c:pt idx="63">
                  <c:v>0.11167799663084271</c:v>
                </c:pt>
                <c:pt idx="64">
                  <c:v>0.10906560606588311</c:v>
                </c:pt>
                <c:pt idx="65">
                  <c:v>0.10649759311187938</c:v>
                </c:pt>
                <c:pt idx="66">
                  <c:v>0.10397869837647965</c:v>
                </c:pt>
                <c:pt idx="67">
                  <c:v>0.10151347743906043</c:v>
                </c:pt>
                <c:pt idx="68">
                  <c:v>9.9106294317518315E-2</c:v>
                </c:pt>
                <c:pt idx="69">
                  <c:v>9.6761315829412886E-2</c:v>
                </c:pt>
                <c:pt idx="70">
                  <c:v>9.448250683818013E-2</c:v>
                </c:pt>
                <c:pt idx="71">
                  <c:v>9.2273626370559358E-2</c:v>
                </c:pt>
                <c:pt idx="72">
                  <c:v>9.0138224587000618E-2</c:v>
                </c:pt>
                <c:pt idx="73">
                  <c:v>8.8079640582753138E-2</c:v>
                </c:pt>
                <c:pt idx="74">
                  <c:v>8.6101000993522567E-2</c:v>
                </c:pt>
                <c:pt idx="75">
                  <c:v>8.4205219376108809E-2</c:v>
                </c:pt>
                <c:pt idx="76">
                  <c:v>8.2394996331256395E-2</c:v>
                </c:pt>
                <c:pt idx="77">
                  <c:v>8.0672820333116194E-2</c:v>
                </c:pt>
                <c:pt idx="78">
                  <c:v>7.9040969227211641E-2</c:v>
                </c:pt>
                <c:pt idx="79">
                  <c:v>7.7501512356650676E-2</c:v>
                </c:pt>
                <c:pt idx="80">
                  <c:v>7.6056313274516354E-2</c:v>
                </c:pt>
                <c:pt idx="81">
                  <c:v>7.4707032998900996E-2</c:v>
                </c:pt>
                <c:pt idx="82">
                  <c:v>7.3455133765939776E-2</c:v>
                </c:pt>
                <c:pt idx="83">
                  <c:v>7.2301883235410758E-2</c:v>
                </c:pt>
                <c:pt idx="84">
                  <c:v>7.1248359103026793E-2</c:v>
                </c:pt>
                <c:pt idx="85">
                  <c:v>7.0295454073415031E-2</c:v>
                </c:pt>
                <c:pt idx="86">
                  <c:v>6.9443881147960282E-2</c:v>
                </c:pt>
                <c:pt idx="87">
                  <c:v>6.8694179182167858E-2</c:v>
                </c:pt>
                <c:pt idx="88">
                  <c:v>6.8046718667960499E-2</c:v>
                </c:pt>
                <c:pt idx="89">
                  <c:v>6.7501707697342844E-2</c:v>
                </c:pt>
                <c:pt idx="90">
                  <c:v>6.7059198065133871E-2</c:v>
                </c:pt>
                <c:pt idx="91">
                  <c:v>6.6719091469962341E-2</c:v>
                </c:pt>
                <c:pt idx="92">
                  <c:v>6.6481145774416203E-2</c:v>
                </c:pt>
                <c:pt idx="93">
                  <c:v>6.6344981287122642E-2</c:v>
                </c:pt>
                <c:pt idx="94">
                  <c:v>6.6310087031581852E-2</c:v>
                </c:pt>
                <c:pt idx="95">
                  <c:v>6.6375826968769105E-2</c:v>
                </c:pt>
                <c:pt idx="96">
                  <c:v>6.6541446142828531E-2</c:v>
                </c:pt>
                <c:pt idx="97">
                  <c:v>6.6806076721595303E-2</c:v>
                </c:pt>
                <c:pt idx="98">
                  <c:v>6.7168743906165201E-2</c:v>
                </c:pt>
                <c:pt idx="99">
                  <c:v>6.7628371686282454E-2</c:v>
                </c:pt>
                <c:pt idx="100">
                  <c:v>6.8183788420889818E-2</c:v>
                </c:pt>
                <c:pt idx="101">
                  <c:v>6.8833732225787106E-2</c:v>
                </c:pt>
                <c:pt idx="102">
                  <c:v>6.9576856152936684E-2</c:v>
                </c:pt>
                <c:pt idx="103">
                  <c:v>7.041173314852664E-2</c:v>
                </c:pt>
                <c:pt idx="104">
                  <c:v>7.1336860779441708E-2</c:v>
                </c:pt>
                <c:pt idx="105">
                  <c:v>7.2350665720267271E-2</c:v>
                </c:pt>
                <c:pt idx="106">
                  <c:v>7.34515079953688E-2</c:v>
                </c:pt>
                <c:pt idx="107">
                  <c:v>7.4637684972914481E-2</c:v>
                </c:pt>
                <c:pt idx="108">
                  <c:v>7.5907435109943605E-2</c:v>
                </c:pt>
                <c:pt idx="109">
                  <c:v>7.7258941449705812E-2</c:v>
                </c:pt>
                <c:pt idx="110">
                  <c:v>7.8690334874511408E-2</c:v>
                </c:pt>
                <c:pt idx="111">
                  <c:v>8.0199697119205618E-2</c:v>
                </c:pt>
                <c:pt idx="112">
                  <c:v>8.1785063552139908E-2</c:v>
                </c:pt>
                <c:pt idx="113">
                  <c:v>8.34444257321139E-2</c:v>
                </c:pt>
                <c:pt idx="114">
                  <c:v>8.5175733751232538E-2</c:v>
                </c:pt>
                <c:pt idx="115">
                  <c:v>8.69768983749344E-2</c:v>
                </c:pt>
                <c:pt idx="116">
                  <c:v>8.8845792991617031E-2</c:v>
                </c:pt>
                <c:pt idx="117">
                  <c:v>9.078025538529659E-2</c:v>
                </c:pt>
                <c:pt idx="118">
                  <c:v>9.2778089345600043E-2</c:v>
                </c:pt>
                <c:pt idx="119">
                  <c:v>9.4837066130094475E-2</c:v>
                </c:pt>
                <c:pt idx="120">
                  <c:v>9.6954925794521557E-2</c:v>
                </c:pt>
                <c:pt idx="121">
                  <c:v>9.9129378406915228E-2</c:v>
                </c:pt>
                <c:pt idx="122">
                  <c:v>0.10135810516184154</c:v>
                </c:pt>
                <c:pt idx="123">
                  <c:v>0.10363875941113888</c:v>
                </c:pt>
                <c:pt idx="124">
                  <c:v>0.10596896762752023</c:v>
                </c:pt>
                <c:pt idx="125">
                  <c:v>0.10834633031726787</c:v>
                </c:pt>
                <c:pt idx="126">
                  <c:v>0.11076842289799252</c:v>
                </c:pt>
                <c:pt idx="127">
                  <c:v>0.11323279655705401</c:v>
                </c:pt>
                <c:pt idx="128">
                  <c:v>0.11573697910575764</c:v>
                </c:pt>
                <c:pt idx="129">
                  <c:v>0.11827847584385891</c:v>
                </c:pt>
                <c:pt idx="130">
                  <c:v>0.1208547704482283</c:v>
                </c:pt>
                <c:pt idx="131">
                  <c:v>0.12346332589877124</c:v>
                </c:pt>
                <c:pt idx="132">
                  <c:v>0.1261015854538558</c:v>
                </c:pt>
                <c:pt idx="133">
                  <c:v>0.12876697368659748</c:v>
                </c:pt>
                <c:pt idx="134">
                  <c:v>0.13145689759238025</c:v>
                </c:pt>
                <c:pt idx="135">
                  <c:v>0.13416874777698012</c:v>
                </c:pt>
                <c:pt idx="136">
                  <c:v>0.1368998997335949</c:v>
                </c:pt>
                <c:pt idx="137">
                  <c:v>0.13964771521598959</c:v>
                </c:pt>
                <c:pt idx="138">
                  <c:v>0.14240954371384831</c:v>
                </c:pt>
                <c:pt idx="139">
                  <c:v>0.14518272403528429</c:v>
                </c:pt>
                <c:pt idx="140">
                  <c:v>0.14796458600031068</c:v>
                </c:pt>
                <c:pt idx="141">
                  <c:v>0.15075245224792863</c:v>
                </c:pt>
                <c:pt idx="142">
                  <c:v>0.15354364015833866</c:v>
                </c:pt>
                <c:pt idx="143">
                  <c:v>0.15633546389065231</c:v>
                </c:pt>
                <c:pt idx="144">
                  <c:v>0.15912523653536573</c:v>
                </c:pt>
                <c:pt idx="145">
                  <c:v>0.16191027237976924</c:v>
                </c:pt>
                <c:pt idx="146">
                  <c:v>0.16468788928340827</c:v>
                </c:pt>
                <c:pt idx="147">
                  <c:v>0.16745541115969587</c:v>
                </c:pt>
                <c:pt idx="148">
                  <c:v>0.17021017055879328</c:v>
                </c:pt>
                <c:pt idx="149">
                  <c:v>0.17294951134595335</c:v>
                </c:pt>
                <c:pt idx="150">
                  <c:v>0.17567079146863837</c:v>
                </c:pt>
                <c:pt idx="151">
                  <c:v>0.17837138580490805</c:v>
                </c:pt>
                <c:pt idx="152">
                  <c:v>0.18104868908480914</c:v>
                </c:pt>
                <c:pt idx="153">
                  <c:v>0.18370011887580029</c:v>
                </c:pt>
                <c:pt idx="154">
                  <c:v>0.18632311862262063</c:v>
                </c:pt>
                <c:pt idx="155">
                  <c:v>0.18891516073143819</c:v>
                </c:pt>
                <c:pt idx="156">
                  <c:v>0.19147374968763586</c:v>
                </c:pt>
                <c:pt idx="157">
                  <c:v>0.19399642519615837</c:v>
                </c:pt>
                <c:pt idx="158">
                  <c:v>0.19648076533301398</c:v>
                </c:pt>
                <c:pt idx="159">
                  <c:v>0.19892438969624116</c:v>
                </c:pt>
                <c:pt idx="160">
                  <c:v>0.20132496254446255</c:v>
                </c:pt>
                <c:pt idx="161">
                  <c:v>0.20368019591103217</c:v>
                </c:pt>
                <c:pt idx="162">
                  <c:v>0.20598785268171993</c:v>
                </c:pt>
                <c:pt idx="163">
                  <c:v>0.20824574962392808</c:v>
                </c:pt>
                <c:pt idx="164">
                  <c:v>0.21045176035552327</c:v>
                </c:pt>
                <c:pt idx="165">
                  <c:v>0.21260381824154184</c:v>
                </c:pt>
                <c:pt idx="166">
                  <c:v>0.21469991920727793</c:v>
                </c:pt>
                <c:pt idx="167">
                  <c:v>0.21673812445656734</c:v>
                </c:pt>
                <c:pt idx="168">
                  <c:v>0.21871656308446463</c:v>
                </c:pt>
                <c:pt idx="169">
                  <c:v>0.22063343457394455</c:v>
                </c:pt>
                <c:pt idx="170">
                  <c:v>0.22248701116676445</c:v>
                </c:pt>
                <c:pt idx="171">
                  <c:v>0.22427564009917866</c:v>
                </c:pt>
                <c:pt idx="172">
                  <c:v>0.22599774569379605</c:v>
                </c:pt>
                <c:pt idx="173">
                  <c:v>0.22765183129954969</c:v>
                </c:pt>
                <c:pt idx="174">
                  <c:v>0.22923648107241917</c:v>
                </c:pt>
                <c:pt idx="175">
                  <c:v>0.23075036159032236</c:v>
                </c:pt>
                <c:pt idx="176">
                  <c:v>0.23219222329633632</c:v>
                </c:pt>
                <c:pt idx="177">
                  <c:v>0.23356090176524222</c:v>
                </c:pt>
                <c:pt idx="178">
                  <c:v>0.2348553187892066</c:v>
                </c:pt>
                <c:pt idx="179">
                  <c:v>0.23607448327926797</c:v>
                </c:pt>
                <c:pt idx="180">
                  <c:v>0.23721749198016789</c:v>
                </c:pt>
                <c:pt idx="181">
                  <c:v>0.23828352999694916</c:v>
                </c:pt>
                <c:pt idx="182">
                  <c:v>0.23927187113261086</c:v>
                </c:pt>
                <c:pt idx="183">
                  <c:v>0.24018187803701066</c:v>
                </c:pt>
                <c:pt idx="184">
                  <c:v>0.2410130021680639</c:v>
                </c:pt>
                <c:pt idx="185">
                  <c:v>0.24176478356716222</c:v>
                </c:pt>
                <c:pt idx="186">
                  <c:v>0.24243685045157093</c:v>
                </c:pt>
                <c:pt idx="187">
                  <c:v>0.24302891862739365</c:v>
                </c:pt>
                <c:pt idx="188">
                  <c:v>0.24354079072748125</c:v>
                </c:pt>
                <c:pt idx="189">
                  <c:v>0.24397235527942657</c:v>
                </c:pt>
                <c:pt idx="190">
                  <c:v>0.24432358560950848</c:v>
                </c:pt>
                <c:pt idx="191">
                  <c:v>0.24459453858912367</c:v>
                </c:pt>
                <c:pt idx="192">
                  <c:v>0.24478535323089221</c:v>
                </c:pt>
                <c:pt idx="193">
                  <c:v>0.24489624914218783</c:v>
                </c:pt>
                <c:pt idx="194">
                  <c:v>0.2449275248443859</c:v>
                </c:pt>
                <c:pt idx="195">
                  <c:v>0.24487955596659056</c:v>
                </c:pt>
                <c:pt idx="196">
                  <c:v>0.24475279332300284</c:v>
                </c:pt>
                <c:pt idx="197">
                  <c:v>0.24454776088345523</c:v>
                </c:pt>
                <c:pt idx="198">
                  <c:v>0.24426505364690621</c:v>
                </c:pt>
                <c:pt idx="199">
                  <c:v>0.24390533542791115</c:v>
                </c:pt>
                <c:pt idx="200">
                  <c:v>0.2434693365662349</c:v>
                </c:pt>
                <c:pt idx="201">
                  <c:v>0.24295785156984853</c:v>
                </c:pt>
                <c:pt idx="202">
                  <c:v>0.24237173670156781</c:v>
                </c:pt>
                <c:pt idx="203">
                  <c:v>0.24171190751953908</c:v>
                </c:pt>
                <c:pt idx="204">
                  <c:v>0.24097933638165145</c:v>
                </c:pt>
                <c:pt idx="205">
                  <c:v>0.24017504992377459</c:v>
                </c:pt>
                <c:pt idx="206">
                  <c:v>0.23930012652147617</c:v>
                </c:pt>
                <c:pt idx="207">
                  <c:v>0.23835569374455937</c:v>
                </c:pt>
                <c:pt idx="208">
                  <c:v>0.23734292581340241</c:v>
                </c:pt>
                <c:pt idx="209">
                  <c:v>0.23626304106566948</c:v>
                </c:pt>
                <c:pt idx="210">
                  <c:v>0.23511729944148943</c:v>
                </c:pt>
                <c:pt idx="211">
                  <c:v>0.23390699999469816</c:v>
                </c:pt>
                <c:pt idx="212">
                  <c:v>0.23263347843718879</c:v>
                </c:pt>
                <c:pt idx="213">
                  <c:v>0.23129810472283308</c:v>
                </c:pt>
                <c:pt idx="214">
                  <c:v>0.22990228067682131</c:v>
                </c:pt>
                <c:pt idx="215">
                  <c:v>0.22844743767564593</c:v>
                </c:pt>
                <c:pt idx="216">
                  <c:v>0.22693503438228996</c:v>
                </c:pt>
                <c:pt idx="217">
                  <c:v>0.22536655454052443</c:v>
                </c:pt>
                <c:pt idx="218">
                  <c:v>0.22374350483155514</c:v>
                </c:pt>
                <c:pt idx="219">
                  <c:v>0.22206741279558331</c:v>
                </c:pt>
                <c:pt idx="220">
                  <c:v>0.22033982482019393</c:v>
                </c:pt>
                <c:pt idx="221">
                  <c:v>0.21856230419683123</c:v>
                </c:pt>
                <c:pt idx="222">
                  <c:v>0.2167364292459944</c:v>
                </c:pt>
                <c:pt idx="223">
                  <c:v>0.21486379151118298</c:v>
                </c:pt>
                <c:pt idx="224">
                  <c:v>0.21294599402104206</c:v>
                </c:pt>
                <c:pt idx="225">
                  <c:v>0.21098464961861463</c:v>
                </c:pt>
                <c:pt idx="226">
                  <c:v>0.208981379356111</c:v>
                </c:pt>
                <c:pt idx="227">
                  <c:v>0.2069378109531336</c:v>
                </c:pt>
                <c:pt idx="228">
                  <c:v>0.20485557731588594</c:v>
                </c:pt>
                <c:pt idx="229">
                  <c:v>0.20273631511452833</c:v>
                </c:pt>
                <c:pt idx="230">
                  <c:v>0.20058166341552236</c:v>
                </c:pt>
                <c:pt idx="231">
                  <c:v>0.19839326236554955</c:v>
                </c:pt>
                <c:pt idx="232">
                  <c:v>0.19617275192337699</c:v>
                </c:pt>
                <c:pt idx="233">
                  <c:v>0.19392177063589816</c:v>
                </c:pt>
                <c:pt idx="234">
                  <c:v>0.19164195445447274</c:v>
                </c:pt>
                <c:pt idx="235">
                  <c:v>0.18933493558765577</c:v>
                </c:pt>
                <c:pt idx="236">
                  <c:v>0.18700234138641436</c:v>
                </c:pt>
                <c:pt idx="237">
                  <c:v>0.18464579325800243</c:v>
                </c:pt>
                <c:pt idx="238">
                  <c:v>0.18226690560477407</c:v>
                </c:pt>
                <c:pt idx="239">
                  <c:v>0.17986728478438704</c:v>
                </c:pt>
                <c:pt idx="240">
                  <c:v>0.17744852808805353</c:v>
                </c:pt>
                <c:pt idx="241">
                  <c:v>0.17501222273374775</c:v>
                </c:pt>
                <c:pt idx="242">
                  <c:v>0.17255994487156637</c:v>
                </c:pt>
                <c:pt idx="243">
                  <c:v>0.17009325859876134</c:v>
                </c:pt>
                <c:pt idx="244">
                  <c:v>0.16761371498230954</c:v>
                </c:pt>
                <c:pt idx="245">
                  <c:v>0.16512285108725852</c:v>
                </c:pt>
                <c:pt idx="246">
                  <c:v>0.16262218900947595</c:v>
                </c:pt>
                <c:pt idx="247">
                  <c:v>0.16011323491183524</c:v>
                </c:pt>
                <c:pt idx="248">
                  <c:v>0.15759747806327717</c:v>
                </c:pt>
                <c:pt idx="249">
                  <c:v>0.15507638988060377</c:v>
                </c:pt>
                <c:pt idx="250">
                  <c:v>0.15255142297326577</c:v>
                </c:pt>
                <c:pt idx="251">
                  <c:v>0.15002401019181139</c:v>
                </c:pt>
                <c:pt idx="252">
                  <c:v>0.14749556368104824</c:v>
                </c:pt>
                <c:pt idx="253">
                  <c:v>0.14496747393934298</c:v>
                </c:pt>
                <c:pt idx="254">
                  <c:v>0.14244110888583125</c:v>
                </c:pt>
                <c:pt idx="255">
                  <c:v>0.13991781293763031</c:v>
                </c:pt>
                <c:pt idx="256">
                  <c:v>0.13739890609944258</c:v>
                </c:pt>
                <c:pt idx="257">
                  <c:v>0.13488568306819076</c:v>
                </c:pt>
                <c:pt idx="258">
                  <c:v>0.1323794123555519</c:v>
                </c:pt>
                <c:pt idx="259">
                  <c:v>0.12988133543143957</c:v>
                </c:pt>
                <c:pt idx="260">
                  <c:v>0.1273926658916236</c:v>
                </c:pt>
                <c:pt idx="261">
                  <c:v>0.12491458865278095</c:v>
                </c:pt>
                <c:pt idx="262">
                  <c:v>0.12244825917832786</c:v>
                </c:pt>
                <c:pt idx="263">
                  <c:v>0.11999480273839661</c:v>
                </c:pt>
                <c:pt idx="264">
                  <c:v>0.1175553137072948</c:v>
                </c:pt>
                <c:pt idx="265">
                  <c:v>0.1151308549017139</c:v>
                </c:pt>
                <c:pt idx="266">
                  <c:v>0.11272245696284137</c:v>
                </c:pt>
                <c:pt idx="267">
                  <c:v>0.1103311177853827</c:v>
                </c:pt>
                <c:pt idx="268">
                  <c:v>0.10795780199631004</c:v>
                </c:pt>
                <c:pt idx="269">
                  <c:v>0.10560344048593427</c:v>
                </c:pt>
                <c:pt idx="270">
                  <c:v>0.10326892999364129</c:v>
                </c:pt>
                <c:pt idx="271">
                  <c:v>0.10095513275035416</c:v>
                </c:pt>
                <c:pt idx="272">
                  <c:v>9.866287617947285E-2</c:v>
                </c:pt>
                <c:pt idx="273">
                  <c:v>9.6392952657719397E-2</c:v>
                </c:pt>
                <c:pt idx="274">
                  <c:v>9.4146119336966969E-2</c:v>
                </c:pt>
                <c:pt idx="275">
                  <c:v>9.1923098027777206E-2</c:v>
                </c:pt>
                <c:pt idx="276">
                  <c:v>8.9724575145002414E-2</c:v>
                </c:pt>
                <c:pt idx="277">
                  <c:v>8.7551201715436427E-2</c:v>
                </c:pt>
                <c:pt idx="278">
                  <c:v>8.5403593447130305E-2</c:v>
                </c:pt>
                <c:pt idx="279">
                  <c:v>8.3282330859616824E-2</c:v>
                </c:pt>
                <c:pt idx="280">
                  <c:v>8.1187959473932383E-2</c:v>
                </c:pt>
                <c:pt idx="281">
                  <c:v>7.9120990060973409E-2</c:v>
                </c:pt>
                <c:pt idx="282">
                  <c:v>7.7081898946393806E-2</c:v>
                </c:pt>
                <c:pt idx="283">
                  <c:v>7.5071128369934986E-2</c:v>
                </c:pt>
                <c:pt idx="284">
                  <c:v>7.3089086896787864E-2</c:v>
                </c:pt>
                <c:pt idx="285">
                  <c:v>7.1136149878319538E-2</c:v>
                </c:pt>
                <c:pt idx="286">
                  <c:v>6.9212659959255268E-2</c:v>
                </c:pt>
                <c:pt idx="287">
                  <c:v>6.7318927628197217E-2</c:v>
                </c:pt>
                <c:pt idx="288">
                  <c:v>6.5455231808179248E-2</c:v>
                </c:pt>
                <c:pt idx="289">
                  <c:v>6.3621820483809849E-2</c:v>
                </c:pt>
                <c:pt idx="290">
                  <c:v>6.1818911361439577E-2</c:v>
                </c:pt>
                <c:pt idx="291">
                  <c:v>6.004669255870887E-2</c:v>
                </c:pt>
                <c:pt idx="292">
                  <c:v>5.830532331978338E-2</c:v>
                </c:pt>
                <c:pt idx="293">
                  <c:v>5.6594934752569735E-2</c:v>
                </c:pt>
                <c:pt idx="294">
                  <c:v>5.4915630584224023E-2</c:v>
                </c:pt>
                <c:pt idx="295">
                  <c:v>5.3267487931314639E-2</c:v>
                </c:pt>
                <c:pt idx="296">
                  <c:v>5.1650558081081412E-2</c:v>
                </c:pt>
                <c:pt idx="297">
                  <c:v>5.0064867280344441E-2</c:v>
                </c:pt>
                <c:pt idx="298">
                  <c:v>4.8510417528749065E-2</c:v>
                </c:pt>
                <c:pt idx="299">
                  <c:v>4.6987187373196654E-2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F7-40A4-A798-2625349C9D68}"/>
            </c:ext>
          </c:extLst>
        </c:ser>
        <c:ser>
          <c:idx val="0"/>
          <c:order val="1"/>
          <c:tx>
            <c:v>Epanecznikow, domyślnie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irysy_estymacjagęstości!$K$3:$K$302</c:f>
              <c:numCache>
                <c:formatCode>General</c:formatCode>
                <c:ptCount val="300"/>
                <c:pt idx="0">
                  <c:v>1</c:v>
                </c:pt>
                <c:pt idx="1">
                  <c:v>1.0197324414715718</c:v>
                </c:pt>
                <c:pt idx="2">
                  <c:v>1.0394648829431437</c:v>
                </c:pt>
                <c:pt idx="3">
                  <c:v>1.0591973244147155</c:v>
                </c:pt>
                <c:pt idx="4">
                  <c:v>1.0789297658862873</c:v>
                </c:pt>
                <c:pt idx="5">
                  <c:v>1.0986622073578591</c:v>
                </c:pt>
                <c:pt idx="6">
                  <c:v>1.118394648829431</c:v>
                </c:pt>
                <c:pt idx="7">
                  <c:v>1.1381270903010028</c:v>
                </c:pt>
                <c:pt idx="8">
                  <c:v>1.1578595317725746</c:v>
                </c:pt>
                <c:pt idx="9">
                  <c:v>1.1775919732441464</c:v>
                </c:pt>
                <c:pt idx="10">
                  <c:v>1.1973244147157183</c:v>
                </c:pt>
                <c:pt idx="11">
                  <c:v>1.2170568561872901</c:v>
                </c:pt>
                <c:pt idx="12">
                  <c:v>1.2367892976588619</c:v>
                </c:pt>
                <c:pt idx="13">
                  <c:v>1.2565217391304337</c:v>
                </c:pt>
                <c:pt idx="14">
                  <c:v>1.2762541806020056</c:v>
                </c:pt>
                <c:pt idx="15">
                  <c:v>1.2959866220735774</c:v>
                </c:pt>
                <c:pt idx="16">
                  <c:v>1.3157190635451492</c:v>
                </c:pt>
                <c:pt idx="17">
                  <c:v>1.3354515050167211</c:v>
                </c:pt>
                <c:pt idx="18">
                  <c:v>1.3551839464882929</c:v>
                </c:pt>
                <c:pt idx="19">
                  <c:v>1.3749163879598647</c:v>
                </c:pt>
                <c:pt idx="20">
                  <c:v>1.3946488294314365</c:v>
                </c:pt>
                <c:pt idx="21">
                  <c:v>1.4143812709030084</c:v>
                </c:pt>
                <c:pt idx="22">
                  <c:v>1.4341137123745802</c:v>
                </c:pt>
                <c:pt idx="23">
                  <c:v>1.453846153846152</c:v>
                </c:pt>
                <c:pt idx="24">
                  <c:v>1.4735785953177238</c:v>
                </c:pt>
                <c:pt idx="25">
                  <c:v>1.4933110367892957</c:v>
                </c:pt>
                <c:pt idx="26">
                  <c:v>1.5130434782608675</c:v>
                </c:pt>
                <c:pt idx="27">
                  <c:v>1.5327759197324393</c:v>
                </c:pt>
                <c:pt idx="28">
                  <c:v>1.5525083612040111</c:v>
                </c:pt>
                <c:pt idx="29">
                  <c:v>1.572240802675583</c:v>
                </c:pt>
                <c:pt idx="30">
                  <c:v>1.5919732441471548</c:v>
                </c:pt>
                <c:pt idx="31">
                  <c:v>1.6117056856187266</c:v>
                </c:pt>
                <c:pt idx="32">
                  <c:v>1.6314381270902985</c:v>
                </c:pt>
                <c:pt idx="33">
                  <c:v>1.6511705685618703</c:v>
                </c:pt>
                <c:pt idx="34">
                  <c:v>1.6709030100334421</c:v>
                </c:pt>
                <c:pt idx="35">
                  <c:v>1.6906354515050139</c:v>
                </c:pt>
                <c:pt idx="36">
                  <c:v>1.7103678929765858</c:v>
                </c:pt>
                <c:pt idx="37">
                  <c:v>1.7301003344481576</c:v>
                </c:pt>
                <c:pt idx="38">
                  <c:v>1.7498327759197294</c:v>
                </c:pt>
                <c:pt idx="39">
                  <c:v>1.7695652173913012</c:v>
                </c:pt>
                <c:pt idx="40">
                  <c:v>1.7892976588628731</c:v>
                </c:pt>
                <c:pt idx="41">
                  <c:v>1.8090301003344449</c:v>
                </c:pt>
                <c:pt idx="42">
                  <c:v>1.8287625418060167</c:v>
                </c:pt>
                <c:pt idx="43">
                  <c:v>1.8484949832775885</c:v>
                </c:pt>
                <c:pt idx="44">
                  <c:v>1.8682274247491604</c:v>
                </c:pt>
                <c:pt idx="45">
                  <c:v>1.8879598662207322</c:v>
                </c:pt>
                <c:pt idx="46">
                  <c:v>1.907692307692304</c:v>
                </c:pt>
                <c:pt idx="47">
                  <c:v>1.9274247491638759</c:v>
                </c:pt>
                <c:pt idx="48">
                  <c:v>1.9471571906354477</c:v>
                </c:pt>
                <c:pt idx="49">
                  <c:v>1.9668896321070195</c:v>
                </c:pt>
                <c:pt idx="50">
                  <c:v>1.9866220735785913</c:v>
                </c:pt>
                <c:pt idx="51">
                  <c:v>2.0063545150501634</c:v>
                </c:pt>
                <c:pt idx="52">
                  <c:v>2.0260869565217354</c:v>
                </c:pt>
                <c:pt idx="53">
                  <c:v>2.0458193979933075</c:v>
                </c:pt>
                <c:pt idx="54">
                  <c:v>2.0655518394648795</c:v>
                </c:pt>
                <c:pt idx="55">
                  <c:v>2.0852842809364516</c:v>
                </c:pt>
                <c:pt idx="56">
                  <c:v>2.1050167224080236</c:v>
                </c:pt>
                <c:pt idx="57">
                  <c:v>2.1247491638795957</c:v>
                </c:pt>
                <c:pt idx="58">
                  <c:v>2.1444816053511677</c:v>
                </c:pt>
                <c:pt idx="59">
                  <c:v>2.1642140468227398</c:v>
                </c:pt>
                <c:pt idx="60">
                  <c:v>2.1839464882943118</c:v>
                </c:pt>
                <c:pt idx="61">
                  <c:v>2.2036789297658839</c:v>
                </c:pt>
                <c:pt idx="62">
                  <c:v>2.2234113712374559</c:v>
                </c:pt>
                <c:pt idx="63">
                  <c:v>2.243143812709028</c:v>
                </c:pt>
                <c:pt idx="64">
                  <c:v>2.2628762541806</c:v>
                </c:pt>
                <c:pt idx="65">
                  <c:v>2.2826086956521721</c:v>
                </c:pt>
                <c:pt idx="66">
                  <c:v>2.3023411371237441</c:v>
                </c:pt>
                <c:pt idx="67">
                  <c:v>2.3220735785953162</c:v>
                </c:pt>
                <c:pt idx="68">
                  <c:v>2.3418060200668882</c:v>
                </c:pt>
                <c:pt idx="69">
                  <c:v>2.3615384615384603</c:v>
                </c:pt>
                <c:pt idx="70">
                  <c:v>2.3812709030100323</c:v>
                </c:pt>
                <c:pt idx="71">
                  <c:v>2.4010033444816044</c:v>
                </c:pt>
                <c:pt idx="72">
                  <c:v>2.4207357859531764</c:v>
                </c:pt>
                <c:pt idx="73">
                  <c:v>2.4404682274247484</c:v>
                </c:pt>
                <c:pt idx="74">
                  <c:v>2.4602006688963205</c:v>
                </c:pt>
                <c:pt idx="75">
                  <c:v>2.4799331103678925</c:v>
                </c:pt>
                <c:pt idx="76">
                  <c:v>2.4996655518394646</c:v>
                </c:pt>
                <c:pt idx="77">
                  <c:v>2.5193979933110366</c:v>
                </c:pt>
                <c:pt idx="78">
                  <c:v>2.5391304347826087</c:v>
                </c:pt>
                <c:pt idx="79">
                  <c:v>2.5588628762541807</c:v>
                </c:pt>
                <c:pt idx="80">
                  <c:v>2.5785953177257528</c:v>
                </c:pt>
                <c:pt idx="81">
                  <c:v>2.5983277591973248</c:v>
                </c:pt>
                <c:pt idx="82">
                  <c:v>2.6180602006688969</c:v>
                </c:pt>
                <c:pt idx="83">
                  <c:v>2.6377926421404689</c:v>
                </c:pt>
                <c:pt idx="84">
                  <c:v>2.657525083612041</c:v>
                </c:pt>
                <c:pt idx="85">
                  <c:v>2.677257525083613</c:v>
                </c:pt>
                <c:pt idx="86">
                  <c:v>2.6969899665551851</c:v>
                </c:pt>
                <c:pt idx="87">
                  <c:v>2.7167224080267571</c:v>
                </c:pt>
                <c:pt idx="88">
                  <c:v>2.7364548494983292</c:v>
                </c:pt>
                <c:pt idx="89">
                  <c:v>2.7561872909699012</c:v>
                </c:pt>
                <c:pt idx="90">
                  <c:v>2.7759197324414733</c:v>
                </c:pt>
                <c:pt idx="91">
                  <c:v>2.7956521739130453</c:v>
                </c:pt>
                <c:pt idx="92">
                  <c:v>2.8153846153846174</c:v>
                </c:pt>
                <c:pt idx="93">
                  <c:v>2.8351170568561894</c:v>
                </c:pt>
                <c:pt idx="94">
                  <c:v>2.8548494983277615</c:v>
                </c:pt>
                <c:pt idx="95">
                  <c:v>2.8745819397993335</c:v>
                </c:pt>
                <c:pt idx="96">
                  <c:v>2.8943143812709056</c:v>
                </c:pt>
                <c:pt idx="97">
                  <c:v>2.9140468227424776</c:v>
                </c:pt>
                <c:pt idx="98">
                  <c:v>2.9337792642140497</c:v>
                </c:pt>
                <c:pt idx="99">
                  <c:v>2.9535117056856217</c:v>
                </c:pt>
                <c:pt idx="100">
                  <c:v>2.9732441471571938</c:v>
                </c:pt>
                <c:pt idx="101">
                  <c:v>2.9929765886287658</c:v>
                </c:pt>
                <c:pt idx="102">
                  <c:v>3.0127090301003379</c:v>
                </c:pt>
                <c:pt idx="103">
                  <c:v>3.0324414715719099</c:v>
                </c:pt>
                <c:pt idx="104">
                  <c:v>3.052173913043482</c:v>
                </c:pt>
                <c:pt idx="105">
                  <c:v>3.071906354515054</c:v>
                </c:pt>
                <c:pt idx="106">
                  <c:v>3.0916387959866261</c:v>
                </c:pt>
                <c:pt idx="107">
                  <c:v>3.1113712374581981</c:v>
                </c:pt>
                <c:pt idx="108">
                  <c:v>3.1311036789297702</c:v>
                </c:pt>
                <c:pt idx="109">
                  <c:v>3.1508361204013422</c:v>
                </c:pt>
                <c:pt idx="110">
                  <c:v>3.1705685618729142</c:v>
                </c:pt>
                <c:pt idx="111">
                  <c:v>3.1903010033444863</c:v>
                </c:pt>
                <c:pt idx="112">
                  <c:v>3.2100334448160583</c:v>
                </c:pt>
                <c:pt idx="113">
                  <c:v>3.2297658862876304</c:v>
                </c:pt>
                <c:pt idx="114">
                  <c:v>3.2494983277592024</c:v>
                </c:pt>
                <c:pt idx="115">
                  <c:v>3.2692307692307745</c:v>
                </c:pt>
                <c:pt idx="116">
                  <c:v>3.2889632107023465</c:v>
                </c:pt>
                <c:pt idx="117">
                  <c:v>3.3086956521739186</c:v>
                </c:pt>
                <c:pt idx="118">
                  <c:v>3.3284280936454906</c:v>
                </c:pt>
                <c:pt idx="119">
                  <c:v>3.3481605351170627</c:v>
                </c:pt>
                <c:pt idx="120">
                  <c:v>3.3678929765886347</c:v>
                </c:pt>
                <c:pt idx="121">
                  <c:v>3.3876254180602068</c:v>
                </c:pt>
                <c:pt idx="122">
                  <c:v>3.4073578595317788</c:v>
                </c:pt>
                <c:pt idx="123">
                  <c:v>3.4270903010033509</c:v>
                </c:pt>
                <c:pt idx="124">
                  <c:v>3.4468227424749229</c:v>
                </c:pt>
                <c:pt idx="125">
                  <c:v>3.466555183946495</c:v>
                </c:pt>
                <c:pt idx="126">
                  <c:v>3.486287625418067</c:v>
                </c:pt>
                <c:pt idx="127">
                  <c:v>3.5060200668896391</c:v>
                </c:pt>
                <c:pt idx="128">
                  <c:v>3.5257525083612111</c:v>
                </c:pt>
                <c:pt idx="129">
                  <c:v>3.5454849498327832</c:v>
                </c:pt>
                <c:pt idx="130">
                  <c:v>3.5652173913043552</c:v>
                </c:pt>
                <c:pt idx="131">
                  <c:v>3.5849498327759273</c:v>
                </c:pt>
                <c:pt idx="132">
                  <c:v>3.6046822742474993</c:v>
                </c:pt>
                <c:pt idx="133">
                  <c:v>3.6244147157190714</c:v>
                </c:pt>
                <c:pt idx="134">
                  <c:v>3.6441471571906434</c:v>
                </c:pt>
                <c:pt idx="135">
                  <c:v>3.6638795986622155</c:v>
                </c:pt>
                <c:pt idx="136">
                  <c:v>3.6836120401337875</c:v>
                </c:pt>
                <c:pt idx="137">
                  <c:v>3.7033444816053596</c:v>
                </c:pt>
                <c:pt idx="138">
                  <c:v>3.7230769230769316</c:v>
                </c:pt>
                <c:pt idx="139">
                  <c:v>3.7428093645485037</c:v>
                </c:pt>
                <c:pt idx="140">
                  <c:v>3.7625418060200757</c:v>
                </c:pt>
                <c:pt idx="141">
                  <c:v>3.7822742474916478</c:v>
                </c:pt>
                <c:pt idx="142">
                  <c:v>3.8020066889632198</c:v>
                </c:pt>
                <c:pt idx="143">
                  <c:v>3.8217391304347919</c:v>
                </c:pt>
                <c:pt idx="144">
                  <c:v>3.8414715719063639</c:v>
                </c:pt>
                <c:pt idx="145">
                  <c:v>3.861204013377936</c:v>
                </c:pt>
                <c:pt idx="146">
                  <c:v>3.880936454849508</c:v>
                </c:pt>
                <c:pt idx="147">
                  <c:v>3.90066889632108</c:v>
                </c:pt>
                <c:pt idx="148">
                  <c:v>3.9204013377926521</c:v>
                </c:pt>
                <c:pt idx="149">
                  <c:v>3.9401337792642241</c:v>
                </c:pt>
                <c:pt idx="150">
                  <c:v>3.9598662207357962</c:v>
                </c:pt>
                <c:pt idx="151">
                  <c:v>3.9795986622073682</c:v>
                </c:pt>
                <c:pt idx="152">
                  <c:v>3.9993311036789403</c:v>
                </c:pt>
                <c:pt idx="153">
                  <c:v>4.0190635451505123</c:v>
                </c:pt>
                <c:pt idx="154">
                  <c:v>4.0387959866220839</c:v>
                </c:pt>
                <c:pt idx="155">
                  <c:v>4.0585284280936555</c:v>
                </c:pt>
                <c:pt idx="156">
                  <c:v>4.0782608695652272</c:v>
                </c:pt>
                <c:pt idx="157">
                  <c:v>4.0979933110367988</c:v>
                </c:pt>
                <c:pt idx="158">
                  <c:v>4.1177257525083704</c:v>
                </c:pt>
                <c:pt idx="159">
                  <c:v>4.137458193979942</c:v>
                </c:pt>
                <c:pt idx="160">
                  <c:v>4.1571906354515136</c:v>
                </c:pt>
                <c:pt idx="161">
                  <c:v>4.1769230769230852</c:v>
                </c:pt>
                <c:pt idx="162">
                  <c:v>4.1966555183946568</c:v>
                </c:pt>
                <c:pt idx="163">
                  <c:v>4.2163879598662284</c:v>
                </c:pt>
                <c:pt idx="164">
                  <c:v>4.2361204013378</c:v>
                </c:pt>
                <c:pt idx="165">
                  <c:v>4.2558528428093716</c:v>
                </c:pt>
                <c:pt idx="166">
                  <c:v>4.2755852842809432</c:v>
                </c:pt>
                <c:pt idx="167">
                  <c:v>4.2953177257525148</c:v>
                </c:pt>
                <c:pt idx="168">
                  <c:v>4.3150501672240864</c:v>
                </c:pt>
                <c:pt idx="169">
                  <c:v>4.334782608695658</c:v>
                </c:pt>
                <c:pt idx="170">
                  <c:v>4.3545150501672296</c:v>
                </c:pt>
                <c:pt idx="171">
                  <c:v>4.3742474916388012</c:v>
                </c:pt>
                <c:pt idx="172">
                  <c:v>4.3939799331103728</c:v>
                </c:pt>
                <c:pt idx="173">
                  <c:v>4.4137123745819444</c:v>
                </c:pt>
                <c:pt idx="174">
                  <c:v>4.433444816053516</c:v>
                </c:pt>
                <c:pt idx="175">
                  <c:v>4.4531772575250876</c:v>
                </c:pt>
                <c:pt idx="176">
                  <c:v>4.4729096989966592</c:v>
                </c:pt>
                <c:pt idx="177">
                  <c:v>4.4926421404682308</c:v>
                </c:pt>
                <c:pt idx="178">
                  <c:v>4.5123745819398025</c:v>
                </c:pt>
                <c:pt idx="179">
                  <c:v>4.5321070234113741</c:v>
                </c:pt>
                <c:pt idx="180">
                  <c:v>4.5518394648829457</c:v>
                </c:pt>
                <c:pt idx="181">
                  <c:v>4.5715719063545173</c:v>
                </c:pt>
                <c:pt idx="182">
                  <c:v>4.5913043478260889</c:v>
                </c:pt>
                <c:pt idx="183">
                  <c:v>4.6110367892976605</c:v>
                </c:pt>
                <c:pt idx="184">
                  <c:v>4.6307692307692321</c:v>
                </c:pt>
                <c:pt idx="185">
                  <c:v>4.6505016722408037</c:v>
                </c:pt>
                <c:pt idx="186">
                  <c:v>4.6702341137123753</c:v>
                </c:pt>
                <c:pt idx="187">
                  <c:v>4.6899665551839469</c:v>
                </c:pt>
                <c:pt idx="188">
                  <c:v>4.7096989966555185</c:v>
                </c:pt>
                <c:pt idx="189">
                  <c:v>4.7294314381270901</c:v>
                </c:pt>
                <c:pt idx="190">
                  <c:v>4.7491638795986617</c:v>
                </c:pt>
                <c:pt idx="191">
                  <c:v>4.7688963210702333</c:v>
                </c:pt>
                <c:pt idx="192">
                  <c:v>4.7886287625418049</c:v>
                </c:pt>
                <c:pt idx="193">
                  <c:v>4.8083612040133765</c:v>
                </c:pt>
                <c:pt idx="194">
                  <c:v>4.8280936454849481</c:v>
                </c:pt>
                <c:pt idx="195">
                  <c:v>4.8478260869565197</c:v>
                </c:pt>
                <c:pt idx="196">
                  <c:v>4.8675585284280913</c:v>
                </c:pt>
                <c:pt idx="197">
                  <c:v>4.8872909698996629</c:v>
                </c:pt>
                <c:pt idx="198">
                  <c:v>4.9070234113712345</c:v>
                </c:pt>
                <c:pt idx="199">
                  <c:v>4.9267558528428061</c:v>
                </c:pt>
                <c:pt idx="200">
                  <c:v>4.9464882943143778</c:v>
                </c:pt>
                <c:pt idx="201">
                  <c:v>4.9662207357859494</c:v>
                </c:pt>
                <c:pt idx="202">
                  <c:v>4.985953177257521</c:v>
                </c:pt>
                <c:pt idx="203">
                  <c:v>5.0056856187290926</c:v>
                </c:pt>
                <c:pt idx="204">
                  <c:v>5.0254180602006642</c:v>
                </c:pt>
                <c:pt idx="205">
                  <c:v>5.0451505016722358</c:v>
                </c:pt>
                <c:pt idx="206">
                  <c:v>5.0648829431438074</c:v>
                </c:pt>
                <c:pt idx="207">
                  <c:v>5.084615384615379</c:v>
                </c:pt>
                <c:pt idx="208">
                  <c:v>5.1043478260869506</c:v>
                </c:pt>
                <c:pt idx="209">
                  <c:v>5.1240802675585222</c:v>
                </c:pt>
                <c:pt idx="210">
                  <c:v>5.1438127090300938</c:v>
                </c:pt>
                <c:pt idx="211">
                  <c:v>5.1635451505016654</c:v>
                </c:pt>
                <c:pt idx="212">
                  <c:v>5.183277591973237</c:v>
                </c:pt>
                <c:pt idx="213">
                  <c:v>5.2030100334448086</c:v>
                </c:pt>
                <c:pt idx="214">
                  <c:v>5.2227424749163802</c:v>
                </c:pt>
                <c:pt idx="215">
                  <c:v>5.2424749163879518</c:v>
                </c:pt>
                <c:pt idx="216">
                  <c:v>5.2622073578595234</c:v>
                </c:pt>
                <c:pt idx="217">
                  <c:v>5.281939799331095</c:v>
                </c:pt>
                <c:pt idx="218">
                  <c:v>5.3016722408026666</c:v>
                </c:pt>
                <c:pt idx="219">
                  <c:v>5.3214046822742382</c:v>
                </c:pt>
                <c:pt idx="220">
                  <c:v>5.3411371237458098</c:v>
                </c:pt>
                <c:pt idx="221">
                  <c:v>5.3608695652173814</c:v>
                </c:pt>
                <c:pt idx="222">
                  <c:v>5.3806020066889531</c:v>
                </c:pt>
                <c:pt idx="223">
                  <c:v>5.4003344481605247</c:v>
                </c:pt>
                <c:pt idx="224">
                  <c:v>5.4200668896320963</c:v>
                </c:pt>
                <c:pt idx="225">
                  <c:v>5.4397993311036679</c:v>
                </c:pt>
                <c:pt idx="226">
                  <c:v>5.4595317725752395</c:v>
                </c:pt>
                <c:pt idx="227">
                  <c:v>5.4792642140468111</c:v>
                </c:pt>
                <c:pt idx="228">
                  <c:v>5.4989966555183827</c:v>
                </c:pt>
                <c:pt idx="229">
                  <c:v>5.5187290969899543</c:v>
                </c:pt>
                <c:pt idx="230">
                  <c:v>5.5384615384615259</c:v>
                </c:pt>
                <c:pt idx="231">
                  <c:v>5.5581939799330975</c:v>
                </c:pt>
                <c:pt idx="232">
                  <c:v>5.5779264214046691</c:v>
                </c:pt>
                <c:pt idx="233">
                  <c:v>5.5976588628762407</c:v>
                </c:pt>
                <c:pt idx="234">
                  <c:v>5.6173913043478123</c:v>
                </c:pt>
                <c:pt idx="235">
                  <c:v>5.6371237458193839</c:v>
                </c:pt>
                <c:pt idx="236">
                  <c:v>5.6568561872909555</c:v>
                </c:pt>
                <c:pt idx="237">
                  <c:v>5.6765886287625271</c:v>
                </c:pt>
                <c:pt idx="238">
                  <c:v>5.6963210702340987</c:v>
                </c:pt>
                <c:pt idx="239">
                  <c:v>5.7160535117056703</c:v>
                </c:pt>
                <c:pt idx="240">
                  <c:v>5.7357859531772419</c:v>
                </c:pt>
                <c:pt idx="241">
                  <c:v>5.7555183946488135</c:v>
                </c:pt>
                <c:pt idx="242">
                  <c:v>5.7752508361203851</c:v>
                </c:pt>
                <c:pt idx="243">
                  <c:v>5.7949832775919567</c:v>
                </c:pt>
                <c:pt idx="244">
                  <c:v>5.8147157190635284</c:v>
                </c:pt>
                <c:pt idx="245">
                  <c:v>5.8344481605351</c:v>
                </c:pt>
                <c:pt idx="246">
                  <c:v>5.8541806020066716</c:v>
                </c:pt>
                <c:pt idx="247">
                  <c:v>5.8739130434782432</c:v>
                </c:pt>
                <c:pt idx="248">
                  <c:v>5.8936454849498148</c:v>
                </c:pt>
                <c:pt idx="249">
                  <c:v>5.9133779264213864</c:v>
                </c:pt>
                <c:pt idx="250">
                  <c:v>5.933110367892958</c:v>
                </c:pt>
                <c:pt idx="251">
                  <c:v>5.9528428093645296</c:v>
                </c:pt>
                <c:pt idx="252">
                  <c:v>5.9725752508361012</c:v>
                </c:pt>
                <c:pt idx="253">
                  <c:v>5.9923076923076728</c:v>
                </c:pt>
                <c:pt idx="254">
                  <c:v>6.0120401337792444</c:v>
                </c:pt>
                <c:pt idx="255">
                  <c:v>6.031772575250816</c:v>
                </c:pt>
                <c:pt idx="256">
                  <c:v>6.0515050167223876</c:v>
                </c:pt>
                <c:pt idx="257">
                  <c:v>6.0712374581939592</c:v>
                </c:pt>
                <c:pt idx="258">
                  <c:v>6.0909698996655308</c:v>
                </c:pt>
                <c:pt idx="259">
                  <c:v>6.1107023411371024</c:v>
                </c:pt>
                <c:pt idx="260">
                  <c:v>6.130434782608674</c:v>
                </c:pt>
                <c:pt idx="261">
                  <c:v>6.1501672240802456</c:v>
                </c:pt>
                <c:pt idx="262">
                  <c:v>6.1698996655518172</c:v>
                </c:pt>
                <c:pt idx="263">
                  <c:v>6.1896321070233888</c:v>
                </c:pt>
                <c:pt idx="264">
                  <c:v>6.2093645484949604</c:v>
                </c:pt>
                <c:pt idx="265">
                  <c:v>6.229096989966532</c:v>
                </c:pt>
                <c:pt idx="266">
                  <c:v>6.2488294314381037</c:v>
                </c:pt>
                <c:pt idx="267">
                  <c:v>6.2685618729096753</c:v>
                </c:pt>
                <c:pt idx="268">
                  <c:v>6.2882943143812469</c:v>
                </c:pt>
                <c:pt idx="269">
                  <c:v>6.3080267558528185</c:v>
                </c:pt>
                <c:pt idx="270">
                  <c:v>6.3277591973243901</c:v>
                </c:pt>
                <c:pt idx="271">
                  <c:v>6.3474916387959617</c:v>
                </c:pt>
                <c:pt idx="272">
                  <c:v>6.3672240802675333</c:v>
                </c:pt>
                <c:pt idx="273">
                  <c:v>6.3869565217391049</c:v>
                </c:pt>
                <c:pt idx="274">
                  <c:v>6.4066889632106765</c:v>
                </c:pt>
                <c:pt idx="275">
                  <c:v>6.4264214046822481</c:v>
                </c:pt>
                <c:pt idx="276">
                  <c:v>6.4461538461538197</c:v>
                </c:pt>
                <c:pt idx="277">
                  <c:v>6.4658862876253913</c:v>
                </c:pt>
                <c:pt idx="278">
                  <c:v>6.4856187290969629</c:v>
                </c:pt>
                <c:pt idx="279">
                  <c:v>6.5053511705685345</c:v>
                </c:pt>
                <c:pt idx="280">
                  <c:v>6.5250836120401061</c:v>
                </c:pt>
                <c:pt idx="281">
                  <c:v>6.5448160535116777</c:v>
                </c:pt>
                <c:pt idx="282">
                  <c:v>6.5645484949832493</c:v>
                </c:pt>
                <c:pt idx="283">
                  <c:v>6.5842809364548209</c:v>
                </c:pt>
                <c:pt idx="284">
                  <c:v>6.6040133779263925</c:v>
                </c:pt>
                <c:pt idx="285">
                  <c:v>6.6237458193979641</c:v>
                </c:pt>
                <c:pt idx="286">
                  <c:v>6.6434782608695357</c:v>
                </c:pt>
                <c:pt idx="287">
                  <c:v>6.6632107023411073</c:v>
                </c:pt>
                <c:pt idx="288">
                  <c:v>6.682943143812679</c:v>
                </c:pt>
                <c:pt idx="289">
                  <c:v>6.7026755852842506</c:v>
                </c:pt>
                <c:pt idx="290">
                  <c:v>6.7224080267558222</c:v>
                </c:pt>
                <c:pt idx="291">
                  <c:v>6.7421404682273938</c:v>
                </c:pt>
                <c:pt idx="292">
                  <c:v>6.7618729096989654</c:v>
                </c:pt>
                <c:pt idx="293">
                  <c:v>6.781605351170537</c:v>
                </c:pt>
                <c:pt idx="294">
                  <c:v>6.8013377926421086</c:v>
                </c:pt>
                <c:pt idx="295">
                  <c:v>6.8210702341136802</c:v>
                </c:pt>
                <c:pt idx="296">
                  <c:v>6.8408026755852518</c:v>
                </c:pt>
                <c:pt idx="297">
                  <c:v>6.8605351170568234</c:v>
                </c:pt>
                <c:pt idx="298">
                  <c:v>6.880267558528395</c:v>
                </c:pt>
                <c:pt idx="299">
                  <c:v>6.8999999999999666</c:v>
                </c:pt>
              </c:numCache>
            </c:numRef>
          </c:cat>
          <c:val>
            <c:numRef>
              <c:f>irysy_estymacjagęstości!$R$3:$R$302</c:f>
              <c:numCache>
                <c:formatCode>General</c:formatCode>
                <c:ptCount val="300"/>
                <c:pt idx="0">
                  <c:v>0.14599674330774182</c:v>
                </c:pt>
                <c:pt idx="1">
                  <c:v>0.14722770822556439</c:v>
                </c:pt>
                <c:pt idx="2">
                  <c:v>0.14840495023147809</c:v>
                </c:pt>
                <c:pt idx="3">
                  <c:v>0.1495284693254828</c:v>
                </c:pt>
                <c:pt idx="4">
                  <c:v>0.15059826550757849</c:v>
                </c:pt>
                <c:pt idx="5">
                  <c:v>0.15161433877776517</c:v>
                </c:pt>
                <c:pt idx="6">
                  <c:v>0.15257668913604291</c:v>
                </c:pt>
                <c:pt idx="7">
                  <c:v>0.15348531658241157</c:v>
                </c:pt>
                <c:pt idx="8">
                  <c:v>0.15434022111687132</c:v>
                </c:pt>
                <c:pt idx="9">
                  <c:v>0.1551414027394219</c:v>
                </c:pt>
                <c:pt idx="10">
                  <c:v>0.15588886145006361</c:v>
                </c:pt>
                <c:pt idx="11">
                  <c:v>0.15658259724879645</c:v>
                </c:pt>
                <c:pt idx="12">
                  <c:v>0.15722261013562008</c:v>
                </c:pt>
                <c:pt idx="13">
                  <c:v>0.15780890011053469</c:v>
                </c:pt>
                <c:pt idx="14">
                  <c:v>0.15834146717354047</c:v>
                </c:pt>
                <c:pt idx="15">
                  <c:v>0.15882031132463723</c:v>
                </c:pt>
                <c:pt idx="16">
                  <c:v>0.15924543256382478</c:v>
                </c:pt>
                <c:pt idx="17">
                  <c:v>0.15961683089110351</c:v>
                </c:pt>
                <c:pt idx="18">
                  <c:v>0.15993450630647321</c:v>
                </c:pt>
                <c:pt idx="19">
                  <c:v>0.16019845880993389</c:v>
                </c:pt>
                <c:pt idx="20">
                  <c:v>0.16040868840148559</c:v>
                </c:pt>
                <c:pt idx="21">
                  <c:v>0.16056519508112835</c:v>
                </c:pt>
                <c:pt idx="22">
                  <c:v>0.16066797884886205</c:v>
                </c:pt>
                <c:pt idx="23">
                  <c:v>0.16071703970468673</c:v>
                </c:pt>
                <c:pt idx="24">
                  <c:v>0.16075284288330682</c:v>
                </c:pt>
                <c:pt idx="25">
                  <c:v>0.16077703640482238</c:v>
                </c:pt>
                <c:pt idx="26">
                  <c:v>0.16074643255619081</c:v>
                </c:pt>
                <c:pt idx="27">
                  <c:v>0.16066103133741216</c:v>
                </c:pt>
                <c:pt idx="28">
                  <c:v>0.1605208327484863</c:v>
                </c:pt>
                <c:pt idx="29">
                  <c:v>0.16032583678941315</c:v>
                </c:pt>
                <c:pt idx="30">
                  <c:v>0.16007604346019297</c:v>
                </c:pt>
                <c:pt idx="31">
                  <c:v>0.15977145276082538</c:v>
                </c:pt>
                <c:pt idx="32">
                  <c:v>0.15941206469131095</c:v>
                </c:pt>
                <c:pt idx="33">
                  <c:v>0.15899787925164899</c:v>
                </c:pt>
                <c:pt idx="34">
                  <c:v>0.15852889644184009</c:v>
                </c:pt>
                <c:pt idx="35">
                  <c:v>0.1580051162618839</c:v>
                </c:pt>
                <c:pt idx="36">
                  <c:v>0.15742653871178064</c:v>
                </c:pt>
                <c:pt idx="37">
                  <c:v>0.15679316379152999</c:v>
                </c:pt>
                <c:pt idx="38">
                  <c:v>0.15610499150113238</c:v>
                </c:pt>
                <c:pt idx="39">
                  <c:v>0.15540909807857883</c:v>
                </c:pt>
                <c:pt idx="40">
                  <c:v>0.15477692509466259</c:v>
                </c:pt>
                <c:pt idx="41">
                  <c:v>0.15408780582412276</c:v>
                </c:pt>
                <c:pt idx="42">
                  <c:v>0.15334174026695935</c:v>
                </c:pt>
                <c:pt idx="43">
                  <c:v>0.15253872842317248</c:v>
                </c:pt>
                <c:pt idx="44">
                  <c:v>0.15167877029276203</c:v>
                </c:pt>
                <c:pt idx="45">
                  <c:v>0.15076186587572804</c:v>
                </c:pt>
                <c:pt idx="46">
                  <c:v>0.14978801517207055</c:v>
                </c:pt>
                <c:pt idx="47">
                  <c:v>0.14875721818178947</c:v>
                </c:pt>
                <c:pt idx="48">
                  <c:v>0.14766947490488486</c:v>
                </c:pt>
                <c:pt idx="49">
                  <c:v>0.14654924270554925</c:v>
                </c:pt>
                <c:pt idx="50">
                  <c:v>0.14551349228067861</c:v>
                </c:pt>
                <c:pt idx="51">
                  <c:v>0.14441864665270809</c:v>
                </c:pt>
                <c:pt idx="52">
                  <c:v>0.14326470582163781</c:v>
                </c:pt>
                <c:pt idx="53">
                  <c:v>0.14205166978746736</c:v>
                </c:pt>
                <c:pt idx="54">
                  <c:v>0.14078610510591555</c:v>
                </c:pt>
                <c:pt idx="55">
                  <c:v>0.13953789422281215</c:v>
                </c:pt>
                <c:pt idx="56">
                  <c:v>0.13822951367837089</c:v>
                </c:pt>
                <c:pt idx="57">
                  <c:v>0.13686096347259138</c:v>
                </c:pt>
                <c:pt idx="58">
                  <c:v>0.13543224360547382</c:v>
                </c:pt>
                <c:pt idx="59">
                  <c:v>0.13394425356774015</c:v>
                </c:pt>
                <c:pt idx="60">
                  <c:v>0.13247828277983947</c:v>
                </c:pt>
                <c:pt idx="61">
                  <c:v>0.13095106787236277</c:v>
                </c:pt>
                <c:pt idx="62">
                  <c:v>0.12936260884530956</c:v>
                </c:pt>
                <c:pt idx="63">
                  <c:v>0.1277129056986803</c:v>
                </c:pt>
                <c:pt idx="64">
                  <c:v>0.12600195843247475</c:v>
                </c:pt>
                <c:pt idx="65">
                  <c:v>0.1243081557803189</c:v>
                </c:pt>
                <c:pt idx="66">
                  <c:v>0.1225568070632421</c:v>
                </c:pt>
                <c:pt idx="67">
                  <c:v>0.12074313976835091</c:v>
                </c:pt>
                <c:pt idx="68">
                  <c:v>0.11886715389564514</c:v>
                </c:pt>
                <c:pt idx="69">
                  <c:v>0.11692884944512494</c:v>
                </c:pt>
                <c:pt idx="70">
                  <c:v>0.11514658032484557</c:v>
                </c:pt>
                <c:pt idx="71">
                  <c:v>0.11333011761741946</c:v>
                </c:pt>
                <c:pt idx="72">
                  <c:v>0.11144811295746429</c:v>
                </c:pt>
                <c:pt idx="73">
                  <c:v>0.10950056634498018</c:v>
                </c:pt>
                <c:pt idx="74">
                  <c:v>0.10748747777996701</c:v>
                </c:pt>
                <c:pt idx="75">
                  <c:v>0.10574472526138487</c:v>
                </c:pt>
                <c:pt idx="76">
                  <c:v>0.10401171517898343</c:v>
                </c:pt>
                <c:pt idx="77">
                  <c:v>0.10220779085286212</c:v>
                </c:pt>
                <c:pt idx="78">
                  <c:v>0.10034624206124722</c:v>
                </c:pt>
                <c:pt idx="79">
                  <c:v>9.8484834219383352E-2</c:v>
                </c:pt>
                <c:pt idx="80">
                  <c:v>9.6738271466878092E-2</c:v>
                </c:pt>
                <c:pt idx="81">
                  <c:v>9.4984100020531453E-2</c:v>
                </c:pt>
                <c:pt idx="82">
                  <c:v>9.3156865413988627E-2</c:v>
                </c:pt>
                <c:pt idx="83">
                  <c:v>9.1264178013932509E-2</c:v>
                </c:pt>
                <c:pt idx="84">
                  <c:v>8.9375089214067949E-2</c:v>
                </c:pt>
                <c:pt idx="85">
                  <c:v>8.7637782558177141E-2</c:v>
                </c:pt>
                <c:pt idx="86">
                  <c:v>8.5934229021542699E-2</c:v>
                </c:pt>
                <c:pt idx="87">
                  <c:v>8.4154388949997508E-2</c:v>
                </c:pt>
                <c:pt idx="88">
                  <c:v>8.2302134131058288E-2</c:v>
                </c:pt>
                <c:pt idx="89">
                  <c:v>8.0538119554580498E-2</c:v>
                </c:pt>
                <c:pt idx="90">
                  <c:v>7.8800605078468977E-2</c:v>
                </c:pt>
                <c:pt idx="91">
                  <c:v>7.7053217287948159E-2</c:v>
                </c:pt>
                <c:pt idx="92">
                  <c:v>7.5229542962516494E-2</c:v>
                </c:pt>
                <c:pt idx="93">
                  <c:v>7.3329582102174079E-2</c:v>
                </c:pt>
                <c:pt idx="94">
                  <c:v>7.1916084287815332E-2</c:v>
                </c:pt>
                <c:pt idx="95">
                  <c:v>7.0638716904841692E-2</c:v>
                </c:pt>
                <c:pt idx="96">
                  <c:v>6.9443919343985541E-2</c:v>
                </c:pt>
                <c:pt idx="97">
                  <c:v>6.8176058622933106E-2</c:v>
                </c:pt>
                <c:pt idx="98">
                  <c:v>6.6835134741684427E-2</c:v>
                </c:pt>
                <c:pt idx="99">
                  <c:v>6.6391667340682345E-2</c:v>
                </c:pt>
                <c:pt idx="100">
                  <c:v>6.6323732522662618E-2</c:v>
                </c:pt>
                <c:pt idx="101">
                  <c:v>6.6545025391836238E-2</c:v>
                </c:pt>
                <c:pt idx="102">
                  <c:v>6.6698627392004536E-2</c:v>
                </c:pt>
                <c:pt idx="103">
                  <c:v>6.6784538523167458E-2</c:v>
                </c:pt>
                <c:pt idx="104">
                  <c:v>6.7698755903735988E-2</c:v>
                </c:pt>
                <c:pt idx="105">
                  <c:v>6.885525599965675E-2</c:v>
                </c:pt>
                <c:pt idx="106">
                  <c:v>7.010578880522389E-2</c:v>
                </c:pt>
                <c:pt idx="107">
                  <c:v>7.1299375324167566E-2</c:v>
                </c:pt>
                <c:pt idx="108">
                  <c:v>7.243601555648764E-2</c:v>
                </c:pt>
                <c:pt idx="109">
                  <c:v>7.3958076547488663E-2</c:v>
                </c:pt>
                <c:pt idx="110">
                  <c:v>7.5714571066215847E-2</c:v>
                </c:pt>
                <c:pt idx="111">
                  <c:v>7.7696482131165145E-2</c:v>
                </c:pt>
                <c:pt idx="112">
                  <c:v>7.9623595825967314E-2</c:v>
                </c:pt>
                <c:pt idx="113">
                  <c:v>8.1495912150622227E-2</c:v>
                </c:pt>
                <c:pt idx="114">
                  <c:v>8.35433217760463E-2</c:v>
                </c:pt>
                <c:pt idx="115">
                  <c:v>8.5734183509435943E-2</c:v>
                </c:pt>
                <c:pt idx="116">
                  <c:v>8.8117304564984331E-2</c:v>
                </c:pt>
                <c:pt idx="117">
                  <c:v>9.0445628250385518E-2</c:v>
                </c:pt>
                <c:pt idx="118">
                  <c:v>9.2719154565639533E-2</c:v>
                </c:pt>
                <c:pt idx="119">
                  <c:v>9.4937883510746349E-2</c:v>
                </c:pt>
                <c:pt idx="120">
                  <c:v>9.7184175265261727E-2</c:v>
                </c:pt>
                <c:pt idx="121">
                  <c:v>9.9707749865928119E-2</c:v>
                </c:pt>
                <c:pt idx="122">
                  <c:v>0.10217115480525647</c:v>
                </c:pt>
                <c:pt idx="123">
                  <c:v>0.10457439008324665</c:v>
                </c:pt>
                <c:pt idx="124">
                  <c:v>0.10700954016924015</c:v>
                </c:pt>
                <c:pt idx="125">
                  <c:v>0.1095052182351406</c:v>
                </c:pt>
                <c:pt idx="126">
                  <c:v>0.11223146479737829</c:v>
                </c:pt>
                <c:pt idx="127">
                  <c:v>0.11489539278180153</c:v>
                </c:pt>
                <c:pt idx="128">
                  <c:v>0.11749700218841037</c:v>
                </c:pt>
                <c:pt idx="129">
                  <c:v>0.12003629301720464</c:v>
                </c:pt>
                <c:pt idx="130">
                  <c:v>0.12255446728790365</c:v>
                </c:pt>
                <c:pt idx="131">
                  <c:v>0.12563339110845656</c:v>
                </c:pt>
                <c:pt idx="132">
                  <c:v>0.12864140068528934</c:v>
                </c:pt>
                <c:pt idx="133">
                  <c:v>0.13157849601840249</c:v>
                </c:pt>
                <c:pt idx="134">
                  <c:v>0.1344446771077957</c:v>
                </c:pt>
                <c:pt idx="135">
                  <c:v>0.13723994395346889</c:v>
                </c:pt>
                <c:pt idx="136">
                  <c:v>0.14012947368714926</c:v>
                </c:pt>
                <c:pt idx="137">
                  <c:v>0.14294697635500578</c:v>
                </c:pt>
                <c:pt idx="138">
                  <c:v>0.14569141586266621</c:v>
                </c:pt>
                <c:pt idx="139">
                  <c:v>0.14836279221013027</c:v>
                </c:pt>
                <c:pt idx="140">
                  <c:v>0.15096110539739832</c:v>
                </c:pt>
                <c:pt idx="141">
                  <c:v>0.15364033176890934</c:v>
                </c:pt>
                <c:pt idx="142">
                  <c:v>0.15625672863466056</c:v>
                </c:pt>
                <c:pt idx="143">
                  <c:v>0.15879791342373931</c:v>
                </c:pt>
                <c:pt idx="144">
                  <c:v>0.16126388613614517</c:v>
                </c:pt>
                <c:pt idx="145">
                  <c:v>0.16365464677187855</c:v>
                </c:pt>
                <c:pt idx="146">
                  <c:v>0.16611296101085407</c:v>
                </c:pt>
                <c:pt idx="147">
                  <c:v>0.16851765318137066</c:v>
                </c:pt>
                <c:pt idx="148">
                  <c:v>0.17084498435873832</c:v>
                </c:pt>
                <c:pt idx="149">
                  <c:v>0.17309495454295695</c:v>
                </c:pt>
                <c:pt idx="150">
                  <c:v>0.17526756373402652</c:v>
                </c:pt>
                <c:pt idx="151">
                  <c:v>0.17756012963917603</c:v>
                </c:pt>
                <c:pt idx="152">
                  <c:v>0.17982476891001944</c:v>
                </c:pt>
                <c:pt idx="153">
                  <c:v>0.18200882381299907</c:v>
                </c:pt>
                <c:pt idx="154">
                  <c:v>0.18411229434811535</c:v>
                </c:pt>
                <c:pt idx="155">
                  <c:v>0.18613518051536804</c:v>
                </c:pt>
                <c:pt idx="156">
                  <c:v>0.1884384264722157</c:v>
                </c:pt>
                <c:pt idx="157">
                  <c:v>0.19079408510364257</c:v>
                </c:pt>
                <c:pt idx="158">
                  <c:v>0.19306271261777655</c:v>
                </c:pt>
                <c:pt idx="159">
                  <c:v>0.19524430901461809</c:v>
                </c:pt>
                <c:pt idx="160">
                  <c:v>0.19733887429416713</c:v>
                </c:pt>
                <c:pt idx="161">
                  <c:v>0.19951002009079702</c:v>
                </c:pt>
                <c:pt idx="162">
                  <c:v>0.20167771226959011</c:v>
                </c:pt>
                <c:pt idx="163">
                  <c:v>0.20375514995637617</c:v>
                </c:pt>
                <c:pt idx="164">
                  <c:v>0.2057423331511552</c:v>
                </c:pt>
                <c:pt idx="165">
                  <c:v>0.20763926185392703</c:v>
                </c:pt>
                <c:pt idx="166">
                  <c:v>0.20959267243885318</c:v>
                </c:pt>
                <c:pt idx="167">
                  <c:v>0.21155649982531916</c:v>
                </c:pt>
                <c:pt idx="168">
                  <c:v>0.21342684934506373</c:v>
                </c:pt>
                <c:pt idx="169">
                  <c:v>0.2152037209980863</c:v>
                </c:pt>
                <c:pt idx="170">
                  <c:v>0.21688711478438749</c:v>
                </c:pt>
                <c:pt idx="171">
                  <c:v>0.2185635949026957</c:v>
                </c:pt>
                <c:pt idx="172">
                  <c:v>0.22022511708994488</c:v>
                </c:pt>
                <c:pt idx="173">
                  <c:v>0.2217910124939961</c:v>
                </c:pt>
                <c:pt idx="174">
                  <c:v>0.22326128111484919</c:v>
                </c:pt>
                <c:pt idx="175">
                  <c:v>0.22463592295250448</c:v>
                </c:pt>
                <c:pt idx="176">
                  <c:v>0.22599023227774109</c:v>
                </c:pt>
                <c:pt idx="177">
                  <c:v>0.22733885037264451</c:v>
                </c:pt>
                <c:pt idx="178">
                  <c:v>0.22858969276787339</c:v>
                </c:pt>
                <c:pt idx="179">
                  <c:v>0.22974275946342801</c:v>
                </c:pt>
                <c:pt idx="180">
                  <c:v>0.23086554096080628</c:v>
                </c:pt>
                <c:pt idx="181">
                  <c:v>0.23200411495104739</c:v>
                </c:pt>
                <c:pt idx="182">
                  <c:v>0.23319802927080963</c:v>
                </c:pt>
                <c:pt idx="183">
                  <c:v>0.23429201897442084</c:v>
                </c:pt>
                <c:pt idx="184">
                  <c:v>0.23528608406188134</c:v>
                </c:pt>
                <c:pt idx="185">
                  <c:v>0.23618022453319126</c:v>
                </c:pt>
                <c:pt idx="186">
                  <c:v>0.23697444038835044</c:v>
                </c:pt>
                <c:pt idx="187">
                  <c:v>0.23766873162735874</c:v>
                </c:pt>
                <c:pt idx="188">
                  <c:v>0.23826309825021622</c:v>
                </c:pt>
                <c:pt idx="189">
                  <c:v>0.23875754025692314</c:v>
                </c:pt>
                <c:pt idx="190">
                  <c:v>0.23915205764747938</c:v>
                </c:pt>
                <c:pt idx="191">
                  <c:v>0.23946736303363761</c:v>
                </c:pt>
                <c:pt idx="192">
                  <c:v>0.23974486463759312</c:v>
                </c:pt>
                <c:pt idx="193">
                  <c:v>0.23992136716716</c:v>
                </c:pt>
                <c:pt idx="194">
                  <c:v>0.23999687062233777</c:v>
                </c:pt>
                <c:pt idx="195">
                  <c:v>0.24007202766730687</c:v>
                </c:pt>
                <c:pt idx="196">
                  <c:v>0.24013022779054666</c:v>
                </c:pt>
                <c:pt idx="197">
                  <c:v>0.24015742615289754</c:v>
                </c:pt>
                <c:pt idx="198">
                  <c:v>0.24008469989909831</c:v>
                </c:pt>
                <c:pt idx="199">
                  <c:v>0.23991204902914792</c:v>
                </c:pt>
                <c:pt idx="200">
                  <c:v>0.23963947354304699</c:v>
                </c:pt>
                <c:pt idx="201">
                  <c:v>0.23926697344079548</c:v>
                </c:pt>
                <c:pt idx="202">
                  <c:v>0.23879454872239286</c:v>
                </c:pt>
                <c:pt idx="203">
                  <c:v>0.23822219938783959</c:v>
                </c:pt>
                <c:pt idx="204">
                  <c:v>0.23754992543713568</c:v>
                </c:pt>
                <c:pt idx="205">
                  <c:v>0.23685554336143788</c:v>
                </c:pt>
                <c:pt idx="206">
                  <c:v>0.23615649936401098</c:v>
                </c:pt>
                <c:pt idx="207">
                  <c:v>0.23543899800594228</c:v>
                </c:pt>
                <c:pt idx="208">
                  <c:v>0.23462264648996123</c:v>
                </c:pt>
                <c:pt idx="209">
                  <c:v>0.23370744481606739</c:v>
                </c:pt>
                <c:pt idx="210">
                  <c:v>0.23272659959451195</c:v>
                </c:pt>
                <c:pt idx="211">
                  <c:v>0.23169829753268203</c:v>
                </c:pt>
                <c:pt idx="212">
                  <c:v>0.23073459763207391</c:v>
                </c:pt>
                <c:pt idx="213">
                  <c:v>0.22967484490283191</c:v>
                </c:pt>
                <c:pt idx="214">
                  <c:v>0.22851516755743903</c:v>
                </c:pt>
                <c:pt idx="215">
                  <c:v>0.2272830755094371</c:v>
                </c:pt>
                <c:pt idx="216">
                  <c:v>0.22600807601500558</c:v>
                </c:pt>
                <c:pt idx="217">
                  <c:v>0.22463422636266167</c:v>
                </c:pt>
                <c:pt idx="218">
                  <c:v>0.22316152655240515</c:v>
                </c:pt>
                <c:pt idx="219">
                  <c:v>0.22158997658423593</c:v>
                </c:pt>
                <c:pt idx="220">
                  <c:v>0.21994139461360604</c:v>
                </c:pt>
                <c:pt idx="221">
                  <c:v>0.21825659856824817</c:v>
                </c:pt>
                <c:pt idx="222">
                  <c:v>0.21654400755844883</c:v>
                </c:pt>
                <c:pt idx="223">
                  <c:v>0.21474585616896308</c:v>
                </c:pt>
                <c:pt idx="224">
                  <c:v>0.212848854621565</c:v>
                </c:pt>
                <c:pt idx="225">
                  <c:v>0.21090139692419438</c:v>
                </c:pt>
                <c:pt idx="226">
                  <c:v>0.209059839243002</c:v>
                </c:pt>
                <c:pt idx="227">
                  <c:v>0.20712265477861164</c:v>
                </c:pt>
                <c:pt idx="228">
                  <c:v>0.20508984353102311</c:v>
                </c:pt>
                <c:pt idx="229">
                  <c:v>0.20296140550023675</c:v>
                </c:pt>
                <c:pt idx="230">
                  <c:v>0.20078958796188881</c:v>
                </c:pt>
                <c:pt idx="231">
                  <c:v>0.19889143911162607</c:v>
                </c:pt>
                <c:pt idx="232">
                  <c:v>0.19690303576935636</c:v>
                </c:pt>
                <c:pt idx="233">
                  <c:v>0.19482437793507956</c:v>
                </c:pt>
                <c:pt idx="234">
                  <c:v>0.19265546560879551</c:v>
                </c:pt>
                <c:pt idx="235">
                  <c:v>0.19041061632918413</c:v>
                </c:pt>
                <c:pt idx="236">
                  <c:v>0.18831390213315891</c:v>
                </c:pt>
                <c:pt idx="237">
                  <c:v>0.18613015681984102</c:v>
                </c:pt>
                <c:pt idx="238">
                  <c:v>0.18385938038923058</c:v>
                </c:pt>
                <c:pt idx="239">
                  <c:v>0.18150157284132765</c:v>
                </c:pt>
                <c:pt idx="240">
                  <c:v>0.17905673417613202</c:v>
                </c:pt>
                <c:pt idx="241">
                  <c:v>0.17685791787128116</c:v>
                </c:pt>
                <c:pt idx="242">
                  <c:v>0.17457996624497849</c:v>
                </c:pt>
                <c:pt idx="243">
                  <c:v>0.17221928133433603</c:v>
                </c:pt>
                <c:pt idx="244">
                  <c:v>0.16977586313935356</c:v>
                </c:pt>
                <c:pt idx="245">
                  <c:v>0.16724971166003125</c:v>
                </c:pt>
                <c:pt idx="246">
                  <c:v>0.16479587381594213</c:v>
                </c:pt>
                <c:pt idx="247">
                  <c:v>0.1622745847154265</c:v>
                </c:pt>
                <c:pt idx="248">
                  <c:v>0.15967271124704741</c:v>
                </c:pt>
                <c:pt idx="249">
                  <c:v>0.15699025341080489</c:v>
                </c:pt>
                <c:pt idx="250">
                  <c:v>0.1542272112066988</c:v>
                </c:pt>
                <c:pt idx="251">
                  <c:v>0.15167073858985852</c:v>
                </c:pt>
                <c:pt idx="252">
                  <c:v>0.14908689416649309</c:v>
                </c:pt>
                <c:pt idx="253">
                  <c:v>0.14642676320821657</c:v>
                </c:pt>
                <c:pt idx="254">
                  <c:v>0.14369034571502953</c:v>
                </c:pt>
                <c:pt idx="255">
                  <c:v>0.14087764168693162</c:v>
                </c:pt>
                <c:pt idx="256">
                  <c:v>0.13851711877509826</c:v>
                </c:pt>
                <c:pt idx="257">
                  <c:v>0.1362319919531034</c:v>
                </c:pt>
                <c:pt idx="258">
                  <c:v>0.13387917426210311</c:v>
                </c:pt>
                <c:pt idx="259">
                  <c:v>0.13145866570209749</c:v>
                </c:pt>
                <c:pt idx="260">
                  <c:v>0.12897046627308653</c:v>
                </c:pt>
                <c:pt idx="261">
                  <c:v>0.12659557606296101</c:v>
                </c:pt>
                <c:pt idx="262">
                  <c:v>0.12422683271553207</c:v>
                </c:pt>
                <c:pt idx="263">
                  <c:v>0.12179362187381243</c:v>
                </c:pt>
                <c:pt idx="264">
                  <c:v>0.11929594353780187</c:v>
                </c:pt>
                <c:pt idx="265">
                  <c:v>0.11673379770750053</c:v>
                </c:pt>
                <c:pt idx="266">
                  <c:v>0.11438025042031999</c:v>
                </c:pt>
                <c:pt idx="267">
                  <c:v>0.11211353507762688</c:v>
                </c:pt>
                <c:pt idx="268">
                  <c:v>0.10978772453183366</c:v>
                </c:pt>
                <c:pt idx="269">
                  <c:v>0.10740281878294067</c:v>
                </c:pt>
                <c:pt idx="270">
                  <c:v>0.1049588178309477</c:v>
                </c:pt>
                <c:pt idx="271">
                  <c:v>0.10265131363966727</c:v>
                </c:pt>
                <c:pt idx="272">
                  <c:v>0.10042832328392098</c:v>
                </c:pt>
                <c:pt idx="273">
                  <c:v>9.8150535558027524E-2</c:v>
                </c:pt>
                <c:pt idx="274">
                  <c:v>9.5817950461986864E-2</c:v>
                </c:pt>
                <c:pt idx="275">
                  <c:v>9.3430567995799033E-2</c:v>
                </c:pt>
                <c:pt idx="276">
                  <c:v>9.1204326724677195E-2</c:v>
                </c:pt>
                <c:pt idx="277">
                  <c:v>8.9130986548121446E-2</c:v>
                </c:pt>
                <c:pt idx="278">
                  <c:v>8.7008221292609475E-2</c:v>
                </c:pt>
                <c:pt idx="279">
                  <c:v>8.4836030958141226E-2</c:v>
                </c:pt>
                <c:pt idx="280">
                  <c:v>8.2614415544716588E-2</c:v>
                </c:pt>
                <c:pt idx="281">
                  <c:v>8.0493304547339356E-2</c:v>
                </c:pt>
                <c:pt idx="282">
                  <c:v>7.8511457221438138E-2</c:v>
                </c:pt>
                <c:pt idx="283">
                  <c:v>7.6484482649533378E-2</c:v>
                </c:pt>
                <c:pt idx="284">
                  <c:v>7.4412380831625047E-2</c:v>
                </c:pt>
                <c:pt idx="285">
                  <c:v>7.2295151767713159E-2</c:v>
                </c:pt>
                <c:pt idx="286">
                  <c:v>7.0387051242420812E-2</c:v>
                </c:pt>
                <c:pt idx="287">
                  <c:v>6.8856221420363059E-2</c:v>
                </c:pt>
                <c:pt idx="288">
                  <c:v>6.7288860018207247E-2</c:v>
                </c:pt>
                <c:pt idx="289">
                  <c:v>6.5684967035953293E-2</c:v>
                </c:pt>
                <c:pt idx="290">
                  <c:v>6.4044542473601182E-2</c:v>
                </c:pt>
                <c:pt idx="291">
                  <c:v>6.2419759353198219E-2</c:v>
                </c:pt>
                <c:pt idx="292">
                  <c:v>6.0875289374862543E-2</c:v>
                </c:pt>
                <c:pt idx="293">
                  <c:v>5.9296436732905147E-2</c:v>
                </c:pt>
                <c:pt idx="294">
                  <c:v>5.768320142732599E-2</c:v>
                </c:pt>
                <c:pt idx="295">
                  <c:v>5.6035583458125038E-2</c:v>
                </c:pt>
                <c:pt idx="296">
                  <c:v>5.439437480047854E-2</c:v>
                </c:pt>
                <c:pt idx="297">
                  <c:v>5.2846863558994123E-2</c:v>
                </c:pt>
                <c:pt idx="298">
                  <c:v>5.126711857036434E-2</c:v>
                </c:pt>
                <c:pt idx="299">
                  <c:v>4.9655139834589135E-2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F7-40A4-A798-2625349C9D68}"/>
            </c:ext>
          </c:extLst>
        </c:ser>
        <c:ser>
          <c:idx val="3"/>
          <c:order val="2"/>
          <c:tx>
            <c:v>Epanecznikow, mała szerokość</c:v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irysy_estymacjagęstości!$K$3:$K$302</c:f>
              <c:numCache>
                <c:formatCode>General</c:formatCode>
                <c:ptCount val="300"/>
                <c:pt idx="0">
                  <c:v>1</c:v>
                </c:pt>
                <c:pt idx="1">
                  <c:v>1.0197324414715718</c:v>
                </c:pt>
                <c:pt idx="2">
                  <c:v>1.0394648829431437</c:v>
                </c:pt>
                <c:pt idx="3">
                  <c:v>1.0591973244147155</c:v>
                </c:pt>
                <c:pt idx="4">
                  <c:v>1.0789297658862873</c:v>
                </c:pt>
                <c:pt idx="5">
                  <c:v>1.0986622073578591</c:v>
                </c:pt>
                <c:pt idx="6">
                  <c:v>1.118394648829431</c:v>
                </c:pt>
                <c:pt idx="7">
                  <c:v>1.1381270903010028</c:v>
                </c:pt>
                <c:pt idx="8">
                  <c:v>1.1578595317725746</c:v>
                </c:pt>
                <c:pt idx="9">
                  <c:v>1.1775919732441464</c:v>
                </c:pt>
                <c:pt idx="10">
                  <c:v>1.1973244147157183</c:v>
                </c:pt>
                <c:pt idx="11">
                  <c:v>1.2170568561872901</c:v>
                </c:pt>
                <c:pt idx="12">
                  <c:v>1.2367892976588619</c:v>
                </c:pt>
                <c:pt idx="13">
                  <c:v>1.2565217391304337</c:v>
                </c:pt>
                <c:pt idx="14">
                  <c:v>1.2762541806020056</c:v>
                </c:pt>
                <c:pt idx="15">
                  <c:v>1.2959866220735774</c:v>
                </c:pt>
                <c:pt idx="16">
                  <c:v>1.3157190635451492</c:v>
                </c:pt>
                <c:pt idx="17">
                  <c:v>1.3354515050167211</c:v>
                </c:pt>
                <c:pt idx="18">
                  <c:v>1.3551839464882929</c:v>
                </c:pt>
                <c:pt idx="19">
                  <c:v>1.3749163879598647</c:v>
                </c:pt>
                <c:pt idx="20">
                  <c:v>1.3946488294314365</c:v>
                </c:pt>
                <c:pt idx="21">
                  <c:v>1.4143812709030084</c:v>
                </c:pt>
                <c:pt idx="22">
                  <c:v>1.4341137123745802</c:v>
                </c:pt>
                <c:pt idx="23">
                  <c:v>1.453846153846152</c:v>
                </c:pt>
                <c:pt idx="24">
                  <c:v>1.4735785953177238</c:v>
                </c:pt>
                <c:pt idx="25">
                  <c:v>1.4933110367892957</c:v>
                </c:pt>
                <c:pt idx="26">
                  <c:v>1.5130434782608675</c:v>
                </c:pt>
                <c:pt idx="27">
                  <c:v>1.5327759197324393</c:v>
                </c:pt>
                <c:pt idx="28">
                  <c:v>1.5525083612040111</c:v>
                </c:pt>
                <c:pt idx="29">
                  <c:v>1.572240802675583</c:v>
                </c:pt>
                <c:pt idx="30">
                  <c:v>1.5919732441471548</c:v>
                </c:pt>
                <c:pt idx="31">
                  <c:v>1.6117056856187266</c:v>
                </c:pt>
                <c:pt idx="32">
                  <c:v>1.6314381270902985</c:v>
                </c:pt>
                <c:pt idx="33">
                  <c:v>1.6511705685618703</c:v>
                </c:pt>
                <c:pt idx="34">
                  <c:v>1.6709030100334421</c:v>
                </c:pt>
                <c:pt idx="35">
                  <c:v>1.6906354515050139</c:v>
                </c:pt>
                <c:pt idx="36">
                  <c:v>1.7103678929765858</c:v>
                </c:pt>
                <c:pt idx="37">
                  <c:v>1.7301003344481576</c:v>
                </c:pt>
                <c:pt idx="38">
                  <c:v>1.7498327759197294</c:v>
                </c:pt>
                <c:pt idx="39">
                  <c:v>1.7695652173913012</c:v>
                </c:pt>
                <c:pt idx="40">
                  <c:v>1.7892976588628731</c:v>
                </c:pt>
                <c:pt idx="41">
                  <c:v>1.8090301003344449</c:v>
                </c:pt>
                <c:pt idx="42">
                  <c:v>1.8287625418060167</c:v>
                </c:pt>
                <c:pt idx="43">
                  <c:v>1.8484949832775885</c:v>
                </c:pt>
                <c:pt idx="44">
                  <c:v>1.8682274247491604</c:v>
                </c:pt>
                <c:pt idx="45">
                  <c:v>1.8879598662207322</c:v>
                </c:pt>
                <c:pt idx="46">
                  <c:v>1.907692307692304</c:v>
                </c:pt>
                <c:pt idx="47">
                  <c:v>1.9274247491638759</c:v>
                </c:pt>
                <c:pt idx="48">
                  <c:v>1.9471571906354477</c:v>
                </c:pt>
                <c:pt idx="49">
                  <c:v>1.9668896321070195</c:v>
                </c:pt>
                <c:pt idx="50">
                  <c:v>1.9866220735785913</c:v>
                </c:pt>
                <c:pt idx="51">
                  <c:v>2.0063545150501634</c:v>
                </c:pt>
                <c:pt idx="52">
                  <c:v>2.0260869565217354</c:v>
                </c:pt>
                <c:pt idx="53">
                  <c:v>2.0458193979933075</c:v>
                </c:pt>
                <c:pt idx="54">
                  <c:v>2.0655518394648795</c:v>
                </c:pt>
                <c:pt idx="55">
                  <c:v>2.0852842809364516</c:v>
                </c:pt>
                <c:pt idx="56">
                  <c:v>2.1050167224080236</c:v>
                </c:pt>
                <c:pt idx="57">
                  <c:v>2.1247491638795957</c:v>
                </c:pt>
                <c:pt idx="58">
                  <c:v>2.1444816053511677</c:v>
                </c:pt>
                <c:pt idx="59">
                  <c:v>2.1642140468227398</c:v>
                </c:pt>
                <c:pt idx="60">
                  <c:v>2.1839464882943118</c:v>
                </c:pt>
                <c:pt idx="61">
                  <c:v>2.2036789297658839</c:v>
                </c:pt>
                <c:pt idx="62">
                  <c:v>2.2234113712374559</c:v>
                </c:pt>
                <c:pt idx="63">
                  <c:v>2.243143812709028</c:v>
                </c:pt>
                <c:pt idx="64">
                  <c:v>2.2628762541806</c:v>
                </c:pt>
                <c:pt idx="65">
                  <c:v>2.2826086956521721</c:v>
                </c:pt>
                <c:pt idx="66">
                  <c:v>2.3023411371237441</c:v>
                </c:pt>
                <c:pt idx="67">
                  <c:v>2.3220735785953162</c:v>
                </c:pt>
                <c:pt idx="68">
                  <c:v>2.3418060200668882</c:v>
                </c:pt>
                <c:pt idx="69">
                  <c:v>2.3615384615384603</c:v>
                </c:pt>
                <c:pt idx="70">
                  <c:v>2.3812709030100323</c:v>
                </c:pt>
                <c:pt idx="71">
                  <c:v>2.4010033444816044</c:v>
                </c:pt>
                <c:pt idx="72">
                  <c:v>2.4207357859531764</c:v>
                </c:pt>
                <c:pt idx="73">
                  <c:v>2.4404682274247484</c:v>
                </c:pt>
                <c:pt idx="74">
                  <c:v>2.4602006688963205</c:v>
                </c:pt>
                <c:pt idx="75">
                  <c:v>2.4799331103678925</c:v>
                </c:pt>
                <c:pt idx="76">
                  <c:v>2.4996655518394646</c:v>
                </c:pt>
                <c:pt idx="77">
                  <c:v>2.5193979933110366</c:v>
                </c:pt>
                <c:pt idx="78">
                  <c:v>2.5391304347826087</c:v>
                </c:pt>
                <c:pt idx="79">
                  <c:v>2.5588628762541807</c:v>
                </c:pt>
                <c:pt idx="80">
                  <c:v>2.5785953177257528</c:v>
                </c:pt>
                <c:pt idx="81">
                  <c:v>2.5983277591973248</c:v>
                </c:pt>
                <c:pt idx="82">
                  <c:v>2.6180602006688969</c:v>
                </c:pt>
                <c:pt idx="83">
                  <c:v>2.6377926421404689</c:v>
                </c:pt>
                <c:pt idx="84">
                  <c:v>2.657525083612041</c:v>
                </c:pt>
                <c:pt idx="85">
                  <c:v>2.677257525083613</c:v>
                </c:pt>
                <c:pt idx="86">
                  <c:v>2.6969899665551851</c:v>
                </c:pt>
                <c:pt idx="87">
                  <c:v>2.7167224080267571</c:v>
                </c:pt>
                <c:pt idx="88">
                  <c:v>2.7364548494983292</c:v>
                </c:pt>
                <c:pt idx="89">
                  <c:v>2.7561872909699012</c:v>
                </c:pt>
                <c:pt idx="90">
                  <c:v>2.7759197324414733</c:v>
                </c:pt>
                <c:pt idx="91">
                  <c:v>2.7956521739130453</c:v>
                </c:pt>
                <c:pt idx="92">
                  <c:v>2.8153846153846174</c:v>
                </c:pt>
                <c:pt idx="93">
                  <c:v>2.8351170568561894</c:v>
                </c:pt>
                <c:pt idx="94">
                  <c:v>2.8548494983277615</c:v>
                </c:pt>
                <c:pt idx="95">
                  <c:v>2.8745819397993335</c:v>
                </c:pt>
                <c:pt idx="96">
                  <c:v>2.8943143812709056</c:v>
                </c:pt>
                <c:pt idx="97">
                  <c:v>2.9140468227424776</c:v>
                </c:pt>
                <c:pt idx="98">
                  <c:v>2.9337792642140497</c:v>
                </c:pt>
                <c:pt idx="99">
                  <c:v>2.9535117056856217</c:v>
                </c:pt>
                <c:pt idx="100">
                  <c:v>2.9732441471571938</c:v>
                </c:pt>
                <c:pt idx="101">
                  <c:v>2.9929765886287658</c:v>
                </c:pt>
                <c:pt idx="102">
                  <c:v>3.0127090301003379</c:v>
                </c:pt>
                <c:pt idx="103">
                  <c:v>3.0324414715719099</c:v>
                </c:pt>
                <c:pt idx="104">
                  <c:v>3.052173913043482</c:v>
                </c:pt>
                <c:pt idx="105">
                  <c:v>3.071906354515054</c:v>
                </c:pt>
                <c:pt idx="106">
                  <c:v>3.0916387959866261</c:v>
                </c:pt>
                <c:pt idx="107">
                  <c:v>3.1113712374581981</c:v>
                </c:pt>
                <c:pt idx="108">
                  <c:v>3.1311036789297702</c:v>
                </c:pt>
                <c:pt idx="109">
                  <c:v>3.1508361204013422</c:v>
                </c:pt>
                <c:pt idx="110">
                  <c:v>3.1705685618729142</c:v>
                </c:pt>
                <c:pt idx="111">
                  <c:v>3.1903010033444863</c:v>
                </c:pt>
                <c:pt idx="112">
                  <c:v>3.2100334448160583</c:v>
                </c:pt>
                <c:pt idx="113">
                  <c:v>3.2297658862876304</c:v>
                </c:pt>
                <c:pt idx="114">
                  <c:v>3.2494983277592024</c:v>
                </c:pt>
                <c:pt idx="115">
                  <c:v>3.2692307692307745</c:v>
                </c:pt>
                <c:pt idx="116">
                  <c:v>3.2889632107023465</c:v>
                </c:pt>
                <c:pt idx="117">
                  <c:v>3.3086956521739186</c:v>
                </c:pt>
                <c:pt idx="118">
                  <c:v>3.3284280936454906</c:v>
                </c:pt>
                <c:pt idx="119">
                  <c:v>3.3481605351170627</c:v>
                </c:pt>
                <c:pt idx="120">
                  <c:v>3.3678929765886347</c:v>
                </c:pt>
                <c:pt idx="121">
                  <c:v>3.3876254180602068</c:v>
                </c:pt>
                <c:pt idx="122">
                  <c:v>3.4073578595317788</c:v>
                </c:pt>
                <c:pt idx="123">
                  <c:v>3.4270903010033509</c:v>
                </c:pt>
                <c:pt idx="124">
                  <c:v>3.4468227424749229</c:v>
                </c:pt>
                <c:pt idx="125">
                  <c:v>3.466555183946495</c:v>
                </c:pt>
                <c:pt idx="126">
                  <c:v>3.486287625418067</c:v>
                </c:pt>
                <c:pt idx="127">
                  <c:v>3.5060200668896391</c:v>
                </c:pt>
                <c:pt idx="128">
                  <c:v>3.5257525083612111</c:v>
                </c:pt>
                <c:pt idx="129">
                  <c:v>3.5454849498327832</c:v>
                </c:pt>
                <c:pt idx="130">
                  <c:v>3.5652173913043552</c:v>
                </c:pt>
                <c:pt idx="131">
                  <c:v>3.5849498327759273</c:v>
                </c:pt>
                <c:pt idx="132">
                  <c:v>3.6046822742474993</c:v>
                </c:pt>
                <c:pt idx="133">
                  <c:v>3.6244147157190714</c:v>
                </c:pt>
                <c:pt idx="134">
                  <c:v>3.6441471571906434</c:v>
                </c:pt>
                <c:pt idx="135">
                  <c:v>3.6638795986622155</c:v>
                </c:pt>
                <c:pt idx="136">
                  <c:v>3.6836120401337875</c:v>
                </c:pt>
                <c:pt idx="137">
                  <c:v>3.7033444816053596</c:v>
                </c:pt>
                <c:pt idx="138">
                  <c:v>3.7230769230769316</c:v>
                </c:pt>
                <c:pt idx="139">
                  <c:v>3.7428093645485037</c:v>
                </c:pt>
                <c:pt idx="140">
                  <c:v>3.7625418060200757</c:v>
                </c:pt>
                <c:pt idx="141">
                  <c:v>3.7822742474916478</c:v>
                </c:pt>
                <c:pt idx="142">
                  <c:v>3.8020066889632198</c:v>
                </c:pt>
                <c:pt idx="143">
                  <c:v>3.8217391304347919</c:v>
                </c:pt>
                <c:pt idx="144">
                  <c:v>3.8414715719063639</c:v>
                </c:pt>
                <c:pt idx="145">
                  <c:v>3.861204013377936</c:v>
                </c:pt>
                <c:pt idx="146">
                  <c:v>3.880936454849508</c:v>
                </c:pt>
                <c:pt idx="147">
                  <c:v>3.90066889632108</c:v>
                </c:pt>
                <c:pt idx="148">
                  <c:v>3.9204013377926521</c:v>
                </c:pt>
                <c:pt idx="149">
                  <c:v>3.9401337792642241</c:v>
                </c:pt>
                <c:pt idx="150">
                  <c:v>3.9598662207357962</c:v>
                </c:pt>
                <c:pt idx="151">
                  <c:v>3.9795986622073682</c:v>
                </c:pt>
                <c:pt idx="152">
                  <c:v>3.9993311036789403</c:v>
                </c:pt>
                <c:pt idx="153">
                  <c:v>4.0190635451505123</c:v>
                </c:pt>
                <c:pt idx="154">
                  <c:v>4.0387959866220839</c:v>
                </c:pt>
                <c:pt idx="155">
                  <c:v>4.0585284280936555</c:v>
                </c:pt>
                <c:pt idx="156">
                  <c:v>4.0782608695652272</c:v>
                </c:pt>
                <c:pt idx="157">
                  <c:v>4.0979933110367988</c:v>
                </c:pt>
                <c:pt idx="158">
                  <c:v>4.1177257525083704</c:v>
                </c:pt>
                <c:pt idx="159">
                  <c:v>4.137458193979942</c:v>
                </c:pt>
                <c:pt idx="160">
                  <c:v>4.1571906354515136</c:v>
                </c:pt>
                <c:pt idx="161">
                  <c:v>4.1769230769230852</c:v>
                </c:pt>
                <c:pt idx="162">
                  <c:v>4.1966555183946568</c:v>
                </c:pt>
                <c:pt idx="163">
                  <c:v>4.2163879598662284</c:v>
                </c:pt>
                <c:pt idx="164">
                  <c:v>4.2361204013378</c:v>
                </c:pt>
                <c:pt idx="165">
                  <c:v>4.2558528428093716</c:v>
                </c:pt>
                <c:pt idx="166">
                  <c:v>4.2755852842809432</c:v>
                </c:pt>
                <c:pt idx="167">
                  <c:v>4.2953177257525148</c:v>
                </c:pt>
                <c:pt idx="168">
                  <c:v>4.3150501672240864</c:v>
                </c:pt>
                <c:pt idx="169">
                  <c:v>4.334782608695658</c:v>
                </c:pt>
                <c:pt idx="170">
                  <c:v>4.3545150501672296</c:v>
                </c:pt>
                <c:pt idx="171">
                  <c:v>4.3742474916388012</c:v>
                </c:pt>
                <c:pt idx="172">
                  <c:v>4.3939799331103728</c:v>
                </c:pt>
                <c:pt idx="173">
                  <c:v>4.4137123745819444</c:v>
                </c:pt>
                <c:pt idx="174">
                  <c:v>4.433444816053516</c:v>
                </c:pt>
                <c:pt idx="175">
                  <c:v>4.4531772575250876</c:v>
                </c:pt>
                <c:pt idx="176">
                  <c:v>4.4729096989966592</c:v>
                </c:pt>
                <c:pt idx="177">
                  <c:v>4.4926421404682308</c:v>
                </c:pt>
                <c:pt idx="178">
                  <c:v>4.5123745819398025</c:v>
                </c:pt>
                <c:pt idx="179">
                  <c:v>4.5321070234113741</c:v>
                </c:pt>
                <c:pt idx="180">
                  <c:v>4.5518394648829457</c:v>
                </c:pt>
                <c:pt idx="181">
                  <c:v>4.5715719063545173</c:v>
                </c:pt>
                <c:pt idx="182">
                  <c:v>4.5913043478260889</c:v>
                </c:pt>
                <c:pt idx="183">
                  <c:v>4.6110367892976605</c:v>
                </c:pt>
                <c:pt idx="184">
                  <c:v>4.6307692307692321</c:v>
                </c:pt>
                <c:pt idx="185">
                  <c:v>4.6505016722408037</c:v>
                </c:pt>
                <c:pt idx="186">
                  <c:v>4.6702341137123753</c:v>
                </c:pt>
                <c:pt idx="187">
                  <c:v>4.6899665551839469</c:v>
                </c:pt>
                <c:pt idx="188">
                  <c:v>4.7096989966555185</c:v>
                </c:pt>
                <c:pt idx="189">
                  <c:v>4.7294314381270901</c:v>
                </c:pt>
                <c:pt idx="190">
                  <c:v>4.7491638795986617</c:v>
                </c:pt>
                <c:pt idx="191">
                  <c:v>4.7688963210702333</c:v>
                </c:pt>
                <c:pt idx="192">
                  <c:v>4.7886287625418049</c:v>
                </c:pt>
                <c:pt idx="193">
                  <c:v>4.8083612040133765</c:v>
                </c:pt>
                <c:pt idx="194">
                  <c:v>4.8280936454849481</c:v>
                </c:pt>
                <c:pt idx="195">
                  <c:v>4.8478260869565197</c:v>
                </c:pt>
                <c:pt idx="196">
                  <c:v>4.8675585284280913</c:v>
                </c:pt>
                <c:pt idx="197">
                  <c:v>4.8872909698996629</c:v>
                </c:pt>
                <c:pt idx="198">
                  <c:v>4.9070234113712345</c:v>
                </c:pt>
                <c:pt idx="199">
                  <c:v>4.9267558528428061</c:v>
                </c:pt>
                <c:pt idx="200">
                  <c:v>4.9464882943143778</c:v>
                </c:pt>
                <c:pt idx="201">
                  <c:v>4.9662207357859494</c:v>
                </c:pt>
                <c:pt idx="202">
                  <c:v>4.985953177257521</c:v>
                </c:pt>
                <c:pt idx="203">
                  <c:v>5.0056856187290926</c:v>
                </c:pt>
                <c:pt idx="204">
                  <c:v>5.0254180602006642</c:v>
                </c:pt>
                <c:pt idx="205">
                  <c:v>5.0451505016722358</c:v>
                </c:pt>
                <c:pt idx="206">
                  <c:v>5.0648829431438074</c:v>
                </c:pt>
                <c:pt idx="207">
                  <c:v>5.084615384615379</c:v>
                </c:pt>
                <c:pt idx="208">
                  <c:v>5.1043478260869506</c:v>
                </c:pt>
                <c:pt idx="209">
                  <c:v>5.1240802675585222</c:v>
                </c:pt>
                <c:pt idx="210">
                  <c:v>5.1438127090300938</c:v>
                </c:pt>
                <c:pt idx="211">
                  <c:v>5.1635451505016654</c:v>
                </c:pt>
                <c:pt idx="212">
                  <c:v>5.183277591973237</c:v>
                </c:pt>
                <c:pt idx="213">
                  <c:v>5.2030100334448086</c:v>
                </c:pt>
                <c:pt idx="214">
                  <c:v>5.2227424749163802</c:v>
                </c:pt>
                <c:pt idx="215">
                  <c:v>5.2424749163879518</c:v>
                </c:pt>
                <c:pt idx="216">
                  <c:v>5.2622073578595234</c:v>
                </c:pt>
                <c:pt idx="217">
                  <c:v>5.281939799331095</c:v>
                </c:pt>
                <c:pt idx="218">
                  <c:v>5.3016722408026666</c:v>
                </c:pt>
                <c:pt idx="219">
                  <c:v>5.3214046822742382</c:v>
                </c:pt>
                <c:pt idx="220">
                  <c:v>5.3411371237458098</c:v>
                </c:pt>
                <c:pt idx="221">
                  <c:v>5.3608695652173814</c:v>
                </c:pt>
                <c:pt idx="222">
                  <c:v>5.3806020066889531</c:v>
                </c:pt>
                <c:pt idx="223">
                  <c:v>5.4003344481605247</c:v>
                </c:pt>
                <c:pt idx="224">
                  <c:v>5.4200668896320963</c:v>
                </c:pt>
                <c:pt idx="225">
                  <c:v>5.4397993311036679</c:v>
                </c:pt>
                <c:pt idx="226">
                  <c:v>5.4595317725752395</c:v>
                </c:pt>
                <c:pt idx="227">
                  <c:v>5.4792642140468111</c:v>
                </c:pt>
                <c:pt idx="228">
                  <c:v>5.4989966555183827</c:v>
                </c:pt>
                <c:pt idx="229">
                  <c:v>5.5187290969899543</c:v>
                </c:pt>
                <c:pt idx="230">
                  <c:v>5.5384615384615259</c:v>
                </c:pt>
                <c:pt idx="231">
                  <c:v>5.5581939799330975</c:v>
                </c:pt>
                <c:pt idx="232">
                  <c:v>5.5779264214046691</c:v>
                </c:pt>
                <c:pt idx="233">
                  <c:v>5.5976588628762407</c:v>
                </c:pt>
                <c:pt idx="234">
                  <c:v>5.6173913043478123</c:v>
                </c:pt>
                <c:pt idx="235">
                  <c:v>5.6371237458193839</c:v>
                </c:pt>
                <c:pt idx="236">
                  <c:v>5.6568561872909555</c:v>
                </c:pt>
                <c:pt idx="237">
                  <c:v>5.6765886287625271</c:v>
                </c:pt>
                <c:pt idx="238">
                  <c:v>5.6963210702340987</c:v>
                </c:pt>
                <c:pt idx="239">
                  <c:v>5.7160535117056703</c:v>
                </c:pt>
                <c:pt idx="240">
                  <c:v>5.7357859531772419</c:v>
                </c:pt>
                <c:pt idx="241">
                  <c:v>5.7555183946488135</c:v>
                </c:pt>
                <c:pt idx="242">
                  <c:v>5.7752508361203851</c:v>
                </c:pt>
                <c:pt idx="243">
                  <c:v>5.7949832775919567</c:v>
                </c:pt>
                <c:pt idx="244">
                  <c:v>5.8147157190635284</c:v>
                </c:pt>
                <c:pt idx="245">
                  <c:v>5.8344481605351</c:v>
                </c:pt>
                <c:pt idx="246">
                  <c:v>5.8541806020066716</c:v>
                </c:pt>
                <c:pt idx="247">
                  <c:v>5.8739130434782432</c:v>
                </c:pt>
                <c:pt idx="248">
                  <c:v>5.8936454849498148</c:v>
                </c:pt>
                <c:pt idx="249">
                  <c:v>5.9133779264213864</c:v>
                </c:pt>
                <c:pt idx="250">
                  <c:v>5.933110367892958</c:v>
                </c:pt>
                <c:pt idx="251">
                  <c:v>5.9528428093645296</c:v>
                </c:pt>
                <c:pt idx="252">
                  <c:v>5.9725752508361012</c:v>
                </c:pt>
                <c:pt idx="253">
                  <c:v>5.9923076923076728</c:v>
                </c:pt>
                <c:pt idx="254">
                  <c:v>6.0120401337792444</c:v>
                </c:pt>
                <c:pt idx="255">
                  <c:v>6.031772575250816</c:v>
                </c:pt>
                <c:pt idx="256">
                  <c:v>6.0515050167223876</c:v>
                </c:pt>
                <c:pt idx="257">
                  <c:v>6.0712374581939592</c:v>
                </c:pt>
                <c:pt idx="258">
                  <c:v>6.0909698996655308</c:v>
                </c:pt>
                <c:pt idx="259">
                  <c:v>6.1107023411371024</c:v>
                </c:pt>
                <c:pt idx="260">
                  <c:v>6.130434782608674</c:v>
                </c:pt>
                <c:pt idx="261">
                  <c:v>6.1501672240802456</c:v>
                </c:pt>
                <c:pt idx="262">
                  <c:v>6.1698996655518172</c:v>
                </c:pt>
                <c:pt idx="263">
                  <c:v>6.1896321070233888</c:v>
                </c:pt>
                <c:pt idx="264">
                  <c:v>6.2093645484949604</c:v>
                </c:pt>
                <c:pt idx="265">
                  <c:v>6.229096989966532</c:v>
                </c:pt>
                <c:pt idx="266">
                  <c:v>6.2488294314381037</c:v>
                </c:pt>
                <c:pt idx="267">
                  <c:v>6.2685618729096753</c:v>
                </c:pt>
                <c:pt idx="268">
                  <c:v>6.2882943143812469</c:v>
                </c:pt>
                <c:pt idx="269">
                  <c:v>6.3080267558528185</c:v>
                </c:pt>
                <c:pt idx="270">
                  <c:v>6.3277591973243901</c:v>
                </c:pt>
                <c:pt idx="271">
                  <c:v>6.3474916387959617</c:v>
                </c:pt>
                <c:pt idx="272">
                  <c:v>6.3672240802675333</c:v>
                </c:pt>
                <c:pt idx="273">
                  <c:v>6.3869565217391049</c:v>
                </c:pt>
                <c:pt idx="274">
                  <c:v>6.4066889632106765</c:v>
                </c:pt>
                <c:pt idx="275">
                  <c:v>6.4264214046822481</c:v>
                </c:pt>
                <c:pt idx="276">
                  <c:v>6.4461538461538197</c:v>
                </c:pt>
                <c:pt idx="277">
                  <c:v>6.4658862876253913</c:v>
                </c:pt>
                <c:pt idx="278">
                  <c:v>6.4856187290969629</c:v>
                </c:pt>
                <c:pt idx="279">
                  <c:v>6.5053511705685345</c:v>
                </c:pt>
                <c:pt idx="280">
                  <c:v>6.5250836120401061</c:v>
                </c:pt>
                <c:pt idx="281">
                  <c:v>6.5448160535116777</c:v>
                </c:pt>
                <c:pt idx="282">
                  <c:v>6.5645484949832493</c:v>
                </c:pt>
                <c:pt idx="283">
                  <c:v>6.5842809364548209</c:v>
                </c:pt>
                <c:pt idx="284">
                  <c:v>6.6040133779263925</c:v>
                </c:pt>
                <c:pt idx="285">
                  <c:v>6.6237458193979641</c:v>
                </c:pt>
                <c:pt idx="286">
                  <c:v>6.6434782608695357</c:v>
                </c:pt>
                <c:pt idx="287">
                  <c:v>6.6632107023411073</c:v>
                </c:pt>
                <c:pt idx="288">
                  <c:v>6.682943143812679</c:v>
                </c:pt>
                <c:pt idx="289">
                  <c:v>6.7026755852842506</c:v>
                </c:pt>
                <c:pt idx="290">
                  <c:v>6.7224080267558222</c:v>
                </c:pt>
                <c:pt idx="291">
                  <c:v>6.7421404682273938</c:v>
                </c:pt>
                <c:pt idx="292">
                  <c:v>6.7618729096989654</c:v>
                </c:pt>
                <c:pt idx="293">
                  <c:v>6.781605351170537</c:v>
                </c:pt>
                <c:pt idx="294">
                  <c:v>6.8013377926421086</c:v>
                </c:pt>
                <c:pt idx="295">
                  <c:v>6.8210702341136802</c:v>
                </c:pt>
                <c:pt idx="296">
                  <c:v>6.8408026755852518</c:v>
                </c:pt>
                <c:pt idx="297">
                  <c:v>6.8605351170568234</c:v>
                </c:pt>
                <c:pt idx="298">
                  <c:v>6.880267558528395</c:v>
                </c:pt>
                <c:pt idx="299">
                  <c:v>6.8999999999999666</c:v>
                </c:pt>
              </c:numCache>
            </c:numRef>
          </c:cat>
          <c:val>
            <c:numRef>
              <c:f>irysy_estymacjagęstości!$S$3:$S$302</c:f>
              <c:numCache>
                <c:formatCode>General</c:formatCode>
                <c:ptCount val="300"/>
                <c:pt idx="0">
                  <c:v>4.9193495504995369E-2</c:v>
                </c:pt>
                <c:pt idx="1">
                  <c:v>5.7321586720798984E-2</c:v>
                </c:pt>
                <c:pt idx="2">
                  <c:v>6.4056628171221583E-2</c:v>
                </c:pt>
                <c:pt idx="3">
                  <c:v>6.9398619856263194E-2</c:v>
                </c:pt>
                <c:pt idx="4">
                  <c:v>7.6878608775302615E-2</c:v>
                </c:pt>
                <c:pt idx="5">
                  <c:v>0.10552762164088209</c:v>
                </c:pt>
                <c:pt idx="6">
                  <c:v>0.13034574765166376</c:v>
                </c:pt>
                <c:pt idx="7">
                  <c:v>0.15133298680764776</c:v>
                </c:pt>
                <c:pt idx="8">
                  <c:v>0.16848933910883393</c:v>
                </c:pt>
                <c:pt idx="9">
                  <c:v>0.18492325444105723</c:v>
                </c:pt>
                <c:pt idx="10">
                  <c:v>0.24318342895084813</c:v>
                </c:pt>
                <c:pt idx="11">
                  <c:v>0.29308530486835305</c:v>
                </c:pt>
                <c:pt idx="12">
                  <c:v>0.33734309819543207</c:v>
                </c:pt>
                <c:pt idx="13">
                  <c:v>0.37488165744518037</c:v>
                </c:pt>
                <c:pt idx="14">
                  <c:v>0.40441018054398814</c:v>
                </c:pt>
                <c:pt idx="15">
                  <c:v>0.47463963793088715</c:v>
                </c:pt>
                <c:pt idx="16">
                  <c:v>0.53269321607716835</c:v>
                </c:pt>
                <c:pt idx="17">
                  <c:v>0.58064103055453153</c:v>
                </c:pt>
                <c:pt idx="18">
                  <c:v>0.61794938242779796</c:v>
                </c:pt>
                <c:pt idx="19">
                  <c:v>0.64306854885398057</c:v>
                </c:pt>
                <c:pt idx="20">
                  <c:v>0.68051311426183048</c:v>
                </c:pt>
                <c:pt idx="21">
                  <c:v>0.70540502468815269</c:v>
                </c:pt>
                <c:pt idx="22">
                  <c:v>0.71997141894558003</c:v>
                </c:pt>
                <c:pt idx="23">
                  <c:v>0.72422140128064205</c:v>
                </c:pt>
                <c:pt idx="24">
                  <c:v>0.71454088596189425</c:v>
                </c:pt>
                <c:pt idx="25">
                  <c:v>0.70395214701702202</c:v>
                </c:pt>
                <c:pt idx="26">
                  <c:v>0.68030571752500546</c:v>
                </c:pt>
                <c:pt idx="27">
                  <c:v>0.65443570087696157</c:v>
                </c:pt>
                <c:pt idx="28">
                  <c:v>0.63011930889184808</c:v>
                </c:pt>
                <c:pt idx="29">
                  <c:v>0.59291720657696068</c:v>
                </c:pt>
                <c:pt idx="30">
                  <c:v>0.5428293939322989</c:v>
                </c:pt>
                <c:pt idx="31">
                  <c:v>0.47985587095786264</c:v>
                </c:pt>
                <c:pt idx="32">
                  <c:v>0.42471465123374302</c:v>
                </c:pt>
                <c:pt idx="33">
                  <c:v>0.39133458164378832</c:v>
                </c:pt>
                <c:pt idx="34">
                  <c:v>0.34959621346154723</c:v>
                </c:pt>
                <c:pt idx="35">
                  <c:v>0.30501501928941016</c:v>
                </c:pt>
                <c:pt idx="36">
                  <c:v>0.25360203854166308</c:v>
                </c:pt>
                <c:pt idx="37">
                  <c:v>0.21026257355387923</c:v>
                </c:pt>
                <c:pt idx="38">
                  <c:v>0.1957978767315656</c:v>
                </c:pt>
                <c:pt idx="39">
                  <c:v>0.17680576817176374</c:v>
                </c:pt>
                <c:pt idx="40">
                  <c:v>0.15328624787447362</c:v>
                </c:pt>
                <c:pt idx="41">
                  <c:v>0.12523931583969525</c:v>
                </c:pt>
                <c:pt idx="42">
                  <c:v>9.9966227619194617E-2</c:v>
                </c:pt>
                <c:pt idx="43">
                  <c:v>9.2345773182301388E-2</c:v>
                </c:pt>
                <c:pt idx="44">
                  <c:v>8.2635744097336664E-2</c:v>
                </c:pt>
                <c:pt idx="45">
                  <c:v>7.0836140364300401E-2</c:v>
                </c:pt>
                <c:pt idx="46">
                  <c:v>5.6946961983192664E-2</c:v>
                </c:pt>
                <c:pt idx="47">
                  <c:v>4.4048645773608293E-2</c:v>
                </c:pt>
                <c:pt idx="48">
                  <c:v>4.2732331800388233E-2</c:v>
                </c:pt>
                <c:pt idx="49">
                  <c:v>4.0719492944477666E-2</c:v>
                </c:pt>
                <c:pt idx="50">
                  <c:v>3.8010129205876597E-2</c:v>
                </c:pt>
                <c:pt idx="51">
                  <c:v>3.4604240584584986E-2</c:v>
                </c:pt>
                <c:pt idx="52">
                  <c:v>3.050182708060286E-2</c:v>
                </c:pt>
                <c:pt idx="53">
                  <c:v>2.5702888693930209E-2</c:v>
                </c:pt>
                <c:pt idx="54">
                  <c:v>2.0207425424567042E-2</c:v>
                </c:pt>
                <c:pt idx="55">
                  <c:v>1.4015437272513356E-2</c:v>
                </c:pt>
                <c:pt idx="56">
                  <c:v>7.1269242377691522E-3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3.6859192370132226E-3</c:v>
                </c:pt>
                <c:pt idx="92">
                  <c:v>7.1183702478990656E-3</c:v>
                </c:pt>
                <c:pt idx="93">
                  <c:v>1.0202558817439651E-2</c:v>
                </c:pt>
                <c:pt idx="94">
                  <c:v>1.2938484945634975E-2</c:v>
                </c:pt>
                <c:pt idx="95">
                  <c:v>1.5326148632485041E-2</c:v>
                </c:pt>
                <c:pt idx="96">
                  <c:v>1.7365549877989848E-2</c:v>
                </c:pt>
                <c:pt idx="97">
                  <c:v>1.9056688682149395E-2</c:v>
                </c:pt>
                <c:pt idx="98">
                  <c:v>2.0399565044963684E-2</c:v>
                </c:pt>
                <c:pt idx="99">
                  <c:v>2.1394178966432715E-2</c:v>
                </c:pt>
                <c:pt idx="100">
                  <c:v>2.2040530446556482E-2</c:v>
                </c:pt>
                <c:pt idx="101">
                  <c:v>2.2338619485334991E-2</c:v>
                </c:pt>
                <c:pt idx="102">
                  <c:v>2.2288446082768244E-2</c:v>
                </c:pt>
                <c:pt idx="103">
                  <c:v>2.1890010238856238E-2</c:v>
                </c:pt>
                <c:pt idx="104">
                  <c:v>2.1143311953598972E-2</c:v>
                </c:pt>
                <c:pt idx="105">
                  <c:v>2.0048351226996445E-2</c:v>
                </c:pt>
                <c:pt idx="106">
                  <c:v>2.4495475515712996E-2</c:v>
                </c:pt>
                <c:pt idx="107">
                  <c:v>2.9710558006026924E-2</c:v>
                </c:pt>
                <c:pt idx="108">
                  <c:v>3.3880853172305068E-2</c:v>
                </c:pt>
                <c:pt idx="109">
                  <c:v>3.7006361014547427E-2</c:v>
                </c:pt>
                <c:pt idx="110">
                  <c:v>3.9087081532754017E-2</c:v>
                </c:pt>
                <c:pt idx="111">
                  <c:v>4.0123014726924831E-2</c:v>
                </c:pt>
                <c:pt idx="112">
                  <c:v>4.0114160597059849E-2</c:v>
                </c:pt>
                <c:pt idx="113">
                  <c:v>4.030930161741221E-2</c:v>
                </c:pt>
                <c:pt idx="114">
                  <c:v>4.2440195538185538E-2</c:v>
                </c:pt>
                <c:pt idx="115">
                  <c:v>4.3874564576268357E-2</c:v>
                </c:pt>
                <c:pt idx="116">
                  <c:v>4.9499088043661432E-2</c:v>
                </c:pt>
                <c:pt idx="117">
                  <c:v>5.6641419467860367E-2</c:v>
                </c:pt>
                <c:pt idx="118">
                  <c:v>6.2390701126678272E-2</c:v>
                </c:pt>
                <c:pt idx="119">
                  <c:v>6.6746933020115126E-2</c:v>
                </c:pt>
                <c:pt idx="120">
                  <c:v>6.9710115148170965E-2</c:v>
                </c:pt>
                <c:pt idx="121">
                  <c:v>7.3470269010716932E-2</c:v>
                </c:pt>
                <c:pt idx="122">
                  <c:v>7.7221468696731826E-2</c:v>
                </c:pt>
                <c:pt idx="123">
                  <c:v>7.9231356176020437E-2</c:v>
                </c:pt>
                <c:pt idx="124">
                  <c:v>7.9499931448582709E-2</c:v>
                </c:pt>
                <c:pt idx="125">
                  <c:v>7.8027194514418696E-2</c:v>
                </c:pt>
                <c:pt idx="126">
                  <c:v>7.6748247970628181E-2</c:v>
                </c:pt>
                <c:pt idx="127">
                  <c:v>7.5390614724705263E-2</c:v>
                </c:pt>
                <c:pt idx="128">
                  <c:v>7.2805809084202991E-2</c:v>
                </c:pt>
                <c:pt idx="129">
                  <c:v>7.55860058617214E-2</c:v>
                </c:pt>
                <c:pt idx="130">
                  <c:v>7.697315287385878E-2</c:v>
                </c:pt>
                <c:pt idx="131">
                  <c:v>7.8645833068301363E-2</c:v>
                </c:pt>
                <c:pt idx="132">
                  <c:v>8.0868219664342877E-2</c:v>
                </c:pt>
                <c:pt idx="133">
                  <c:v>8.1349294053658108E-2</c:v>
                </c:pt>
                <c:pt idx="134">
                  <c:v>8.0089056236247014E-2</c:v>
                </c:pt>
                <c:pt idx="135">
                  <c:v>7.7087506212109649E-2</c:v>
                </c:pt>
                <c:pt idx="136">
                  <c:v>7.6606031636137301E-2</c:v>
                </c:pt>
                <c:pt idx="137">
                  <c:v>8.1056707581463619E-2</c:v>
                </c:pt>
                <c:pt idx="138">
                  <c:v>8.2721283996027892E-2</c:v>
                </c:pt>
                <c:pt idx="139">
                  <c:v>8.9610597404095813E-2</c:v>
                </c:pt>
                <c:pt idx="140">
                  <c:v>9.4622034907520691E-2</c:v>
                </c:pt>
                <c:pt idx="141">
                  <c:v>0.1033476048075361</c:v>
                </c:pt>
                <c:pt idx="142">
                  <c:v>0.12252269871787444</c:v>
                </c:pt>
                <c:pt idx="143">
                  <c:v>0.13786690577341493</c:v>
                </c:pt>
                <c:pt idx="144">
                  <c:v>0.15309590909405099</c:v>
                </c:pt>
                <c:pt idx="145">
                  <c:v>0.16521426150221563</c:v>
                </c:pt>
                <c:pt idx="146">
                  <c:v>0.17654824805570443</c:v>
                </c:pt>
                <c:pt idx="147">
                  <c:v>0.19277786809771549</c:v>
                </c:pt>
                <c:pt idx="148">
                  <c:v>0.20448007640223811</c:v>
                </c:pt>
                <c:pt idx="149">
                  <c:v>0.21508242169356862</c:v>
                </c:pt>
                <c:pt idx="150">
                  <c:v>0.2221421145723618</c:v>
                </c:pt>
                <c:pt idx="151">
                  <c:v>0.2275686456894509</c:v>
                </c:pt>
                <c:pt idx="152">
                  <c:v>0.24113317264218351</c:v>
                </c:pt>
                <c:pt idx="153">
                  <c:v>0.249125500533392</c:v>
                </c:pt>
                <c:pt idx="154">
                  <c:v>0.25468664443841754</c:v>
                </c:pt>
                <c:pt idx="155">
                  <c:v>0.25592327124285258</c:v>
                </c:pt>
                <c:pt idx="156">
                  <c:v>0.25267990842907884</c:v>
                </c:pt>
                <c:pt idx="157">
                  <c:v>0.25094745035221439</c:v>
                </c:pt>
                <c:pt idx="158">
                  <c:v>0.24329453077248092</c:v>
                </c:pt>
                <c:pt idx="159">
                  <c:v>0.23828939620896195</c:v>
                </c:pt>
                <c:pt idx="160">
                  <c:v>0.23189081169339629</c:v>
                </c:pt>
                <c:pt idx="161">
                  <c:v>0.22103995048586733</c:v>
                </c:pt>
                <c:pt idx="162">
                  <c:v>0.21994203838264068</c:v>
                </c:pt>
                <c:pt idx="163">
                  <c:v>0.21257540233519973</c:v>
                </c:pt>
                <c:pt idx="164">
                  <c:v>0.21180379243032885</c:v>
                </c:pt>
                <c:pt idx="165">
                  <c:v>0.21360708354610639</c:v>
                </c:pt>
                <c:pt idx="166">
                  <c:v>0.21088296292439579</c:v>
                </c:pt>
                <c:pt idx="167">
                  <c:v>0.23262935617545463</c:v>
                </c:pt>
                <c:pt idx="168">
                  <c:v>0.24835724219179833</c:v>
                </c:pt>
                <c:pt idx="169">
                  <c:v>0.26364467276487624</c:v>
                </c:pt>
                <c:pt idx="170">
                  <c:v>0.27769912823679038</c:v>
                </c:pt>
                <c:pt idx="171">
                  <c:v>0.28548485976449023</c:v>
                </c:pt>
                <c:pt idx="172">
                  <c:v>0.29713894562308496</c:v>
                </c:pt>
                <c:pt idx="173">
                  <c:v>0.30277312359366015</c:v>
                </c:pt>
                <c:pt idx="174">
                  <c:v>0.3091373420797508</c:v>
                </c:pt>
                <c:pt idx="175">
                  <c:v>0.31732150945136278</c:v>
                </c:pt>
                <c:pt idx="176">
                  <c:v>0.31958521532010575</c:v>
                </c:pt>
                <c:pt idx="177">
                  <c:v>0.33158701336338842</c:v>
                </c:pt>
                <c:pt idx="178">
                  <c:v>0.33943767517676293</c:v>
                </c:pt>
                <c:pt idx="179">
                  <c:v>0.34309127934093642</c:v>
                </c:pt>
                <c:pt idx="180">
                  <c:v>0.34415967767794381</c:v>
                </c:pt>
                <c:pt idx="181">
                  <c:v>0.33826282718804623</c:v>
                </c:pt>
                <c:pt idx="182">
                  <c:v>0.33693190640171722</c:v>
                </c:pt>
                <c:pt idx="183">
                  <c:v>0.33114130547019621</c:v>
                </c:pt>
                <c:pt idx="184">
                  <c:v>0.32281412139076826</c:v>
                </c:pt>
                <c:pt idx="185">
                  <c:v>0.31729504710843215</c:v>
                </c:pt>
                <c:pt idx="186">
                  <c:v>0.30481072399919118</c:v>
                </c:pt>
                <c:pt idx="187">
                  <c:v>0.29852254097860736</c:v>
                </c:pt>
                <c:pt idx="188">
                  <c:v>0.28977170929565249</c:v>
                </c:pt>
                <c:pt idx="189">
                  <c:v>0.28175512008814507</c:v>
                </c:pt>
                <c:pt idx="190">
                  <c:v>0.2893785259016603</c:v>
                </c:pt>
                <c:pt idx="191">
                  <c:v>0.29108147021230629</c:v>
                </c:pt>
                <c:pt idx="192">
                  <c:v>0.29638459376794135</c:v>
                </c:pt>
                <c:pt idx="193">
                  <c:v>0.30047225038881614</c:v>
                </c:pt>
                <c:pt idx="194">
                  <c:v>0.29996551402989224</c:v>
                </c:pt>
                <c:pt idx="195">
                  <c:v>0.30202557491174858</c:v>
                </c:pt>
                <c:pt idx="196">
                  <c:v>0.29781691184939063</c:v>
                </c:pt>
                <c:pt idx="197">
                  <c:v>0.30435105959621384</c:v>
                </c:pt>
                <c:pt idx="198">
                  <c:v>0.31624510738114175</c:v>
                </c:pt>
                <c:pt idx="199">
                  <c:v>0.32225556085930057</c:v>
                </c:pt>
                <c:pt idx="200">
                  <c:v>0.33692095129188265</c:v>
                </c:pt>
                <c:pt idx="201">
                  <c:v>0.34427283045621465</c:v>
                </c:pt>
                <c:pt idx="202">
                  <c:v>0.34805344386178028</c:v>
                </c:pt>
                <c:pt idx="203">
                  <c:v>0.34798556219948584</c:v>
                </c:pt>
                <c:pt idx="204">
                  <c:v>0.34136252299068365</c:v>
                </c:pt>
                <c:pt idx="205">
                  <c:v>0.3418849166527031</c:v>
                </c:pt>
                <c:pt idx="206">
                  <c:v>0.33579032392916303</c:v>
                </c:pt>
                <c:pt idx="207">
                  <c:v>0.32630715065739807</c:v>
                </c:pt>
                <c:pt idx="208">
                  <c:v>0.31423306889855768</c:v>
                </c:pt>
                <c:pt idx="209">
                  <c:v>0.29531944694755174</c:v>
                </c:pt>
                <c:pt idx="210">
                  <c:v>0.28926322212009203</c:v>
                </c:pt>
                <c:pt idx="211">
                  <c:v>0.27763479823110848</c:v>
                </c:pt>
                <c:pt idx="212">
                  <c:v>0.26314553995250206</c:v>
                </c:pt>
                <c:pt idx="213">
                  <c:v>0.24767442370223486</c:v>
                </c:pt>
                <c:pt idx="214">
                  <c:v>0.22593458350775336</c:v>
                </c:pt>
                <c:pt idx="215">
                  <c:v>0.21365735699534391</c:v>
                </c:pt>
                <c:pt idx="216">
                  <c:v>0.19719457820022898</c:v>
                </c:pt>
                <c:pt idx="217">
                  <c:v>0.17914280824605536</c:v>
                </c:pt>
                <c:pt idx="218">
                  <c:v>0.1639520727748377</c:v>
                </c:pt>
                <c:pt idx="219">
                  <c:v>0.14284087580075089</c:v>
                </c:pt>
                <c:pt idx="220">
                  <c:v>0.14495721293173411</c:v>
                </c:pt>
                <c:pt idx="221">
                  <c:v>0.14744522342371913</c:v>
                </c:pt>
                <c:pt idx="222">
                  <c:v>0.15180190552713957</c:v>
                </c:pt>
                <c:pt idx="223">
                  <c:v>0.17020964151587376</c:v>
                </c:pt>
                <c:pt idx="224">
                  <c:v>0.18339344088442933</c:v>
                </c:pt>
                <c:pt idx="225">
                  <c:v>0.19806483411691658</c:v>
                </c:pt>
                <c:pt idx="226">
                  <c:v>0.2096135708371222</c:v>
                </c:pt>
                <c:pt idx="227">
                  <c:v>0.21834644414368029</c:v>
                </c:pt>
                <c:pt idx="228">
                  <c:v>0.23200541514830905</c:v>
                </c:pt>
                <c:pt idx="229">
                  <c:v>0.24009218709141411</c:v>
                </c:pt>
                <c:pt idx="230">
                  <c:v>0.2487460235325159</c:v>
                </c:pt>
                <c:pt idx="231">
                  <c:v>0.25445398591863522</c:v>
                </c:pt>
                <c:pt idx="232">
                  <c:v>0.25620305174190511</c:v>
                </c:pt>
                <c:pt idx="233">
                  <c:v>0.26339555656867497</c:v>
                </c:pt>
                <c:pt idx="234">
                  <c:v>0.2646675998925756</c:v>
                </c:pt>
                <c:pt idx="235">
                  <c:v>0.26558937984182235</c:v>
                </c:pt>
                <c:pt idx="236">
                  <c:v>0.26373886670010188</c:v>
                </c:pt>
                <c:pt idx="237">
                  <c:v>0.2567425533836693</c:v>
                </c:pt>
                <c:pt idx="238">
                  <c:v>0.25198198289308144</c:v>
                </c:pt>
                <c:pt idx="239">
                  <c:v>0.24130095089962447</c:v>
                </c:pt>
                <c:pt idx="240">
                  <c:v>0.23220595868858998</c:v>
                </c:pt>
                <c:pt idx="241">
                  <c:v>0.22269072046065252</c:v>
                </c:pt>
                <c:pt idx="242">
                  <c:v>0.20829980805388151</c:v>
                </c:pt>
                <c:pt idx="243">
                  <c:v>0.19616014570603921</c:v>
                </c:pt>
                <c:pt idx="244">
                  <c:v>0.17890639797634617</c:v>
                </c:pt>
                <c:pt idx="245">
                  <c:v>0.16940546642150348</c:v>
                </c:pt>
                <c:pt idx="246">
                  <c:v>0.16687908803344267</c:v>
                </c:pt>
                <c:pt idx="247">
                  <c:v>0.1608700852319295</c:v>
                </c:pt>
                <c:pt idx="248">
                  <c:v>0.16133049998488791</c:v>
                </c:pt>
                <c:pt idx="249">
                  <c:v>0.15875985094750469</c:v>
                </c:pt>
                <c:pt idx="250">
                  <c:v>0.15748510636364191</c:v>
                </c:pt>
                <c:pt idx="251">
                  <c:v>0.15872468454470454</c:v>
                </c:pt>
                <c:pt idx="252">
                  <c:v>0.15648163831231474</c:v>
                </c:pt>
                <c:pt idx="253">
                  <c:v>0.15075596766647253</c:v>
                </c:pt>
                <c:pt idx="254">
                  <c:v>0.14154767260717788</c:v>
                </c:pt>
                <c:pt idx="255">
                  <c:v>0.13384568013818815</c:v>
                </c:pt>
                <c:pt idx="256">
                  <c:v>0.13046635390649311</c:v>
                </c:pt>
                <c:pt idx="257">
                  <c:v>0.12464919058538138</c:v>
                </c:pt>
                <c:pt idx="258">
                  <c:v>0.11921450566508823</c:v>
                </c:pt>
                <c:pt idx="259">
                  <c:v>0.11203675772143319</c:v>
                </c:pt>
                <c:pt idx="260">
                  <c:v>0.10484580361797097</c:v>
                </c:pt>
                <c:pt idx="261">
                  <c:v>0.10057811302318317</c:v>
                </c:pt>
                <c:pt idx="262">
                  <c:v>9.4220847780323899E-2</c:v>
                </c:pt>
                <c:pt idx="263">
                  <c:v>8.8343406343462078E-2</c:v>
                </c:pt>
                <c:pt idx="264">
                  <c:v>8.1345692373722633E-2</c:v>
                </c:pt>
                <c:pt idx="265">
                  <c:v>7.4133178213922554E-2</c:v>
                </c:pt>
                <c:pt idx="266">
                  <c:v>7.0694824449795662E-2</c:v>
                </c:pt>
                <c:pt idx="267">
                  <c:v>6.5515158478942528E-2</c:v>
                </c:pt>
                <c:pt idx="268">
                  <c:v>5.8594180301363201E-2</c:v>
                </c:pt>
                <c:pt idx="269">
                  <c:v>4.9931889917057638E-2</c:v>
                </c:pt>
                <c:pt idx="270">
                  <c:v>4.2042860207588628E-2</c:v>
                </c:pt>
                <c:pt idx="271">
                  <c:v>4.2479663947581847E-2</c:v>
                </c:pt>
                <c:pt idx="272">
                  <c:v>4.2219942804884593E-2</c:v>
                </c:pt>
                <c:pt idx="273">
                  <c:v>4.3326458921306585E-2</c:v>
                </c:pt>
                <c:pt idx="274">
                  <c:v>4.5259610608436238E-2</c:v>
                </c:pt>
                <c:pt idx="275">
                  <c:v>4.6147974971530156E-2</c:v>
                </c:pt>
                <c:pt idx="276">
                  <c:v>4.5991552010588341E-2</c:v>
                </c:pt>
                <c:pt idx="277">
                  <c:v>4.4790341725610784E-2</c:v>
                </c:pt>
                <c:pt idx="278">
                  <c:v>4.6158429848030896E-2</c:v>
                </c:pt>
                <c:pt idx="279">
                  <c:v>5.0086712131342845E-2</c:v>
                </c:pt>
                <c:pt idx="280">
                  <c:v>5.257002043006169E-2</c:v>
                </c:pt>
                <c:pt idx="281">
                  <c:v>5.7162362453226437E-2</c:v>
                </c:pt>
                <c:pt idx="282">
                  <c:v>6.036165471101021E-2</c:v>
                </c:pt>
                <c:pt idx="283">
                  <c:v>6.2167897203412995E-2</c:v>
                </c:pt>
                <c:pt idx="284">
                  <c:v>6.2581089930434819E-2</c:v>
                </c:pt>
                <c:pt idx="285">
                  <c:v>6.162904586497811E-2</c:v>
                </c:pt>
                <c:pt idx="286">
                  <c:v>6.3379212201570626E-2</c:v>
                </c:pt>
                <c:pt idx="287">
                  <c:v>6.4084591214127393E-2</c:v>
                </c:pt>
                <c:pt idx="288">
                  <c:v>6.5035984976252542E-2</c:v>
                </c:pt>
                <c:pt idx="289">
                  <c:v>6.7308544974863507E-2</c:v>
                </c:pt>
                <c:pt idx="290">
                  <c:v>6.8188055208093512E-2</c:v>
                </c:pt>
                <c:pt idx="291">
                  <c:v>6.7674515675942515E-2</c:v>
                </c:pt>
                <c:pt idx="292">
                  <c:v>6.5767926378410571E-2</c:v>
                </c:pt>
                <c:pt idx="293">
                  <c:v>6.2468287315497646E-2</c:v>
                </c:pt>
                <c:pt idx="294">
                  <c:v>5.777559848720374E-2</c:v>
                </c:pt>
                <c:pt idx="295">
                  <c:v>5.168985989352886E-2</c:v>
                </c:pt>
                <c:pt idx="296">
                  <c:v>4.7782487363228578E-2</c:v>
                </c:pt>
                <c:pt idx="297">
                  <c:v>4.3334762794524466E-2</c:v>
                </c:pt>
                <c:pt idx="298">
                  <c:v>3.7842250901784634E-2</c:v>
                </c:pt>
                <c:pt idx="299">
                  <c:v>3.1304951685009068E-2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F7-40A4-A798-2625349C9D68}"/>
            </c:ext>
          </c:extLst>
        </c:ser>
        <c:ser>
          <c:idx val="4"/>
          <c:order val="3"/>
          <c:tx>
            <c:v>Epanecznikow, duża szerokość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irysy_estymacjagęstości!$K$3:$K$302</c:f>
              <c:numCache>
                <c:formatCode>General</c:formatCode>
                <c:ptCount val="300"/>
                <c:pt idx="0">
                  <c:v>1</c:v>
                </c:pt>
                <c:pt idx="1">
                  <c:v>1.0197324414715718</c:v>
                </c:pt>
                <c:pt idx="2">
                  <c:v>1.0394648829431437</c:v>
                </c:pt>
                <c:pt idx="3">
                  <c:v>1.0591973244147155</c:v>
                </c:pt>
                <c:pt idx="4">
                  <c:v>1.0789297658862873</c:v>
                </c:pt>
                <c:pt idx="5">
                  <c:v>1.0986622073578591</c:v>
                </c:pt>
                <c:pt idx="6">
                  <c:v>1.118394648829431</c:v>
                </c:pt>
                <c:pt idx="7">
                  <c:v>1.1381270903010028</c:v>
                </c:pt>
                <c:pt idx="8">
                  <c:v>1.1578595317725746</c:v>
                </c:pt>
                <c:pt idx="9">
                  <c:v>1.1775919732441464</c:v>
                </c:pt>
                <c:pt idx="10">
                  <c:v>1.1973244147157183</c:v>
                </c:pt>
                <c:pt idx="11">
                  <c:v>1.2170568561872901</c:v>
                </c:pt>
                <c:pt idx="12">
                  <c:v>1.2367892976588619</c:v>
                </c:pt>
                <c:pt idx="13">
                  <c:v>1.2565217391304337</c:v>
                </c:pt>
                <c:pt idx="14">
                  <c:v>1.2762541806020056</c:v>
                </c:pt>
                <c:pt idx="15">
                  <c:v>1.2959866220735774</c:v>
                </c:pt>
                <c:pt idx="16">
                  <c:v>1.3157190635451492</c:v>
                </c:pt>
                <c:pt idx="17">
                  <c:v>1.3354515050167211</c:v>
                </c:pt>
                <c:pt idx="18">
                  <c:v>1.3551839464882929</c:v>
                </c:pt>
                <c:pt idx="19">
                  <c:v>1.3749163879598647</c:v>
                </c:pt>
                <c:pt idx="20">
                  <c:v>1.3946488294314365</c:v>
                </c:pt>
                <c:pt idx="21">
                  <c:v>1.4143812709030084</c:v>
                </c:pt>
                <c:pt idx="22">
                  <c:v>1.4341137123745802</c:v>
                </c:pt>
                <c:pt idx="23">
                  <c:v>1.453846153846152</c:v>
                </c:pt>
                <c:pt idx="24">
                  <c:v>1.4735785953177238</c:v>
                </c:pt>
                <c:pt idx="25">
                  <c:v>1.4933110367892957</c:v>
                </c:pt>
                <c:pt idx="26">
                  <c:v>1.5130434782608675</c:v>
                </c:pt>
                <c:pt idx="27">
                  <c:v>1.5327759197324393</c:v>
                </c:pt>
                <c:pt idx="28">
                  <c:v>1.5525083612040111</c:v>
                </c:pt>
                <c:pt idx="29">
                  <c:v>1.572240802675583</c:v>
                </c:pt>
                <c:pt idx="30">
                  <c:v>1.5919732441471548</c:v>
                </c:pt>
                <c:pt idx="31">
                  <c:v>1.6117056856187266</c:v>
                </c:pt>
                <c:pt idx="32">
                  <c:v>1.6314381270902985</c:v>
                </c:pt>
                <c:pt idx="33">
                  <c:v>1.6511705685618703</c:v>
                </c:pt>
                <c:pt idx="34">
                  <c:v>1.6709030100334421</c:v>
                </c:pt>
                <c:pt idx="35">
                  <c:v>1.6906354515050139</c:v>
                </c:pt>
                <c:pt idx="36">
                  <c:v>1.7103678929765858</c:v>
                </c:pt>
                <c:pt idx="37">
                  <c:v>1.7301003344481576</c:v>
                </c:pt>
                <c:pt idx="38">
                  <c:v>1.7498327759197294</c:v>
                </c:pt>
                <c:pt idx="39">
                  <c:v>1.7695652173913012</c:v>
                </c:pt>
                <c:pt idx="40">
                  <c:v>1.7892976588628731</c:v>
                </c:pt>
                <c:pt idx="41">
                  <c:v>1.8090301003344449</c:v>
                </c:pt>
                <c:pt idx="42">
                  <c:v>1.8287625418060167</c:v>
                </c:pt>
                <c:pt idx="43">
                  <c:v>1.8484949832775885</c:v>
                </c:pt>
                <c:pt idx="44">
                  <c:v>1.8682274247491604</c:v>
                </c:pt>
                <c:pt idx="45">
                  <c:v>1.8879598662207322</c:v>
                </c:pt>
                <c:pt idx="46">
                  <c:v>1.907692307692304</c:v>
                </c:pt>
                <c:pt idx="47">
                  <c:v>1.9274247491638759</c:v>
                </c:pt>
                <c:pt idx="48">
                  <c:v>1.9471571906354477</c:v>
                </c:pt>
                <c:pt idx="49">
                  <c:v>1.9668896321070195</c:v>
                </c:pt>
                <c:pt idx="50">
                  <c:v>1.9866220735785913</c:v>
                </c:pt>
                <c:pt idx="51">
                  <c:v>2.0063545150501634</c:v>
                </c:pt>
                <c:pt idx="52">
                  <c:v>2.0260869565217354</c:v>
                </c:pt>
                <c:pt idx="53">
                  <c:v>2.0458193979933075</c:v>
                </c:pt>
                <c:pt idx="54">
                  <c:v>2.0655518394648795</c:v>
                </c:pt>
                <c:pt idx="55">
                  <c:v>2.0852842809364516</c:v>
                </c:pt>
                <c:pt idx="56">
                  <c:v>2.1050167224080236</c:v>
                </c:pt>
                <c:pt idx="57">
                  <c:v>2.1247491638795957</c:v>
                </c:pt>
                <c:pt idx="58">
                  <c:v>2.1444816053511677</c:v>
                </c:pt>
                <c:pt idx="59">
                  <c:v>2.1642140468227398</c:v>
                </c:pt>
                <c:pt idx="60">
                  <c:v>2.1839464882943118</c:v>
                </c:pt>
                <c:pt idx="61">
                  <c:v>2.2036789297658839</c:v>
                </c:pt>
                <c:pt idx="62">
                  <c:v>2.2234113712374559</c:v>
                </c:pt>
                <c:pt idx="63">
                  <c:v>2.243143812709028</c:v>
                </c:pt>
                <c:pt idx="64">
                  <c:v>2.2628762541806</c:v>
                </c:pt>
                <c:pt idx="65">
                  <c:v>2.2826086956521721</c:v>
                </c:pt>
                <c:pt idx="66">
                  <c:v>2.3023411371237441</c:v>
                </c:pt>
                <c:pt idx="67">
                  <c:v>2.3220735785953162</c:v>
                </c:pt>
                <c:pt idx="68">
                  <c:v>2.3418060200668882</c:v>
                </c:pt>
                <c:pt idx="69">
                  <c:v>2.3615384615384603</c:v>
                </c:pt>
                <c:pt idx="70">
                  <c:v>2.3812709030100323</c:v>
                </c:pt>
                <c:pt idx="71">
                  <c:v>2.4010033444816044</c:v>
                </c:pt>
                <c:pt idx="72">
                  <c:v>2.4207357859531764</c:v>
                </c:pt>
                <c:pt idx="73">
                  <c:v>2.4404682274247484</c:v>
                </c:pt>
                <c:pt idx="74">
                  <c:v>2.4602006688963205</c:v>
                </c:pt>
                <c:pt idx="75">
                  <c:v>2.4799331103678925</c:v>
                </c:pt>
                <c:pt idx="76">
                  <c:v>2.4996655518394646</c:v>
                </c:pt>
                <c:pt idx="77">
                  <c:v>2.5193979933110366</c:v>
                </c:pt>
                <c:pt idx="78">
                  <c:v>2.5391304347826087</c:v>
                </c:pt>
                <c:pt idx="79">
                  <c:v>2.5588628762541807</c:v>
                </c:pt>
                <c:pt idx="80">
                  <c:v>2.5785953177257528</c:v>
                </c:pt>
                <c:pt idx="81">
                  <c:v>2.5983277591973248</c:v>
                </c:pt>
                <c:pt idx="82">
                  <c:v>2.6180602006688969</c:v>
                </c:pt>
                <c:pt idx="83">
                  <c:v>2.6377926421404689</c:v>
                </c:pt>
                <c:pt idx="84">
                  <c:v>2.657525083612041</c:v>
                </c:pt>
                <c:pt idx="85">
                  <c:v>2.677257525083613</c:v>
                </c:pt>
                <c:pt idx="86">
                  <c:v>2.6969899665551851</c:v>
                </c:pt>
                <c:pt idx="87">
                  <c:v>2.7167224080267571</c:v>
                </c:pt>
                <c:pt idx="88">
                  <c:v>2.7364548494983292</c:v>
                </c:pt>
                <c:pt idx="89">
                  <c:v>2.7561872909699012</c:v>
                </c:pt>
                <c:pt idx="90">
                  <c:v>2.7759197324414733</c:v>
                </c:pt>
                <c:pt idx="91">
                  <c:v>2.7956521739130453</c:v>
                </c:pt>
                <c:pt idx="92">
                  <c:v>2.8153846153846174</c:v>
                </c:pt>
                <c:pt idx="93">
                  <c:v>2.8351170568561894</c:v>
                </c:pt>
                <c:pt idx="94">
                  <c:v>2.8548494983277615</c:v>
                </c:pt>
                <c:pt idx="95">
                  <c:v>2.8745819397993335</c:v>
                </c:pt>
                <c:pt idx="96">
                  <c:v>2.8943143812709056</c:v>
                </c:pt>
                <c:pt idx="97">
                  <c:v>2.9140468227424776</c:v>
                </c:pt>
                <c:pt idx="98">
                  <c:v>2.9337792642140497</c:v>
                </c:pt>
                <c:pt idx="99">
                  <c:v>2.9535117056856217</c:v>
                </c:pt>
                <c:pt idx="100">
                  <c:v>2.9732441471571938</c:v>
                </c:pt>
                <c:pt idx="101">
                  <c:v>2.9929765886287658</c:v>
                </c:pt>
                <c:pt idx="102">
                  <c:v>3.0127090301003379</c:v>
                </c:pt>
                <c:pt idx="103">
                  <c:v>3.0324414715719099</c:v>
                </c:pt>
                <c:pt idx="104">
                  <c:v>3.052173913043482</c:v>
                </c:pt>
                <c:pt idx="105">
                  <c:v>3.071906354515054</c:v>
                </c:pt>
                <c:pt idx="106">
                  <c:v>3.0916387959866261</c:v>
                </c:pt>
                <c:pt idx="107">
                  <c:v>3.1113712374581981</c:v>
                </c:pt>
                <c:pt idx="108">
                  <c:v>3.1311036789297702</c:v>
                </c:pt>
                <c:pt idx="109">
                  <c:v>3.1508361204013422</c:v>
                </c:pt>
                <c:pt idx="110">
                  <c:v>3.1705685618729142</c:v>
                </c:pt>
                <c:pt idx="111">
                  <c:v>3.1903010033444863</c:v>
                </c:pt>
                <c:pt idx="112">
                  <c:v>3.2100334448160583</c:v>
                </c:pt>
                <c:pt idx="113">
                  <c:v>3.2297658862876304</c:v>
                </c:pt>
                <c:pt idx="114">
                  <c:v>3.2494983277592024</c:v>
                </c:pt>
                <c:pt idx="115">
                  <c:v>3.2692307692307745</c:v>
                </c:pt>
                <c:pt idx="116">
                  <c:v>3.2889632107023465</c:v>
                </c:pt>
                <c:pt idx="117">
                  <c:v>3.3086956521739186</c:v>
                </c:pt>
                <c:pt idx="118">
                  <c:v>3.3284280936454906</c:v>
                </c:pt>
                <c:pt idx="119">
                  <c:v>3.3481605351170627</c:v>
                </c:pt>
                <c:pt idx="120">
                  <c:v>3.3678929765886347</c:v>
                </c:pt>
                <c:pt idx="121">
                  <c:v>3.3876254180602068</c:v>
                </c:pt>
                <c:pt idx="122">
                  <c:v>3.4073578595317788</c:v>
                </c:pt>
                <c:pt idx="123">
                  <c:v>3.4270903010033509</c:v>
                </c:pt>
                <c:pt idx="124">
                  <c:v>3.4468227424749229</c:v>
                </c:pt>
                <c:pt idx="125">
                  <c:v>3.466555183946495</c:v>
                </c:pt>
                <c:pt idx="126">
                  <c:v>3.486287625418067</c:v>
                </c:pt>
                <c:pt idx="127">
                  <c:v>3.5060200668896391</c:v>
                </c:pt>
                <c:pt idx="128">
                  <c:v>3.5257525083612111</c:v>
                </c:pt>
                <c:pt idx="129">
                  <c:v>3.5454849498327832</c:v>
                </c:pt>
                <c:pt idx="130">
                  <c:v>3.5652173913043552</c:v>
                </c:pt>
                <c:pt idx="131">
                  <c:v>3.5849498327759273</c:v>
                </c:pt>
                <c:pt idx="132">
                  <c:v>3.6046822742474993</c:v>
                </c:pt>
                <c:pt idx="133">
                  <c:v>3.6244147157190714</c:v>
                </c:pt>
                <c:pt idx="134">
                  <c:v>3.6441471571906434</c:v>
                </c:pt>
                <c:pt idx="135">
                  <c:v>3.6638795986622155</c:v>
                </c:pt>
                <c:pt idx="136">
                  <c:v>3.6836120401337875</c:v>
                </c:pt>
                <c:pt idx="137">
                  <c:v>3.7033444816053596</c:v>
                </c:pt>
                <c:pt idx="138">
                  <c:v>3.7230769230769316</c:v>
                </c:pt>
                <c:pt idx="139">
                  <c:v>3.7428093645485037</c:v>
                </c:pt>
                <c:pt idx="140">
                  <c:v>3.7625418060200757</c:v>
                </c:pt>
                <c:pt idx="141">
                  <c:v>3.7822742474916478</c:v>
                </c:pt>
                <c:pt idx="142">
                  <c:v>3.8020066889632198</c:v>
                </c:pt>
                <c:pt idx="143">
                  <c:v>3.8217391304347919</c:v>
                </c:pt>
                <c:pt idx="144">
                  <c:v>3.8414715719063639</c:v>
                </c:pt>
                <c:pt idx="145">
                  <c:v>3.861204013377936</c:v>
                </c:pt>
                <c:pt idx="146">
                  <c:v>3.880936454849508</c:v>
                </c:pt>
                <c:pt idx="147">
                  <c:v>3.90066889632108</c:v>
                </c:pt>
                <c:pt idx="148">
                  <c:v>3.9204013377926521</c:v>
                </c:pt>
                <c:pt idx="149">
                  <c:v>3.9401337792642241</c:v>
                </c:pt>
                <c:pt idx="150">
                  <c:v>3.9598662207357962</c:v>
                </c:pt>
                <c:pt idx="151">
                  <c:v>3.9795986622073682</c:v>
                </c:pt>
                <c:pt idx="152">
                  <c:v>3.9993311036789403</c:v>
                </c:pt>
                <c:pt idx="153">
                  <c:v>4.0190635451505123</c:v>
                </c:pt>
                <c:pt idx="154">
                  <c:v>4.0387959866220839</c:v>
                </c:pt>
                <c:pt idx="155">
                  <c:v>4.0585284280936555</c:v>
                </c:pt>
                <c:pt idx="156">
                  <c:v>4.0782608695652272</c:v>
                </c:pt>
                <c:pt idx="157">
                  <c:v>4.0979933110367988</c:v>
                </c:pt>
                <c:pt idx="158">
                  <c:v>4.1177257525083704</c:v>
                </c:pt>
                <c:pt idx="159">
                  <c:v>4.137458193979942</c:v>
                </c:pt>
                <c:pt idx="160">
                  <c:v>4.1571906354515136</c:v>
                </c:pt>
                <c:pt idx="161">
                  <c:v>4.1769230769230852</c:v>
                </c:pt>
                <c:pt idx="162">
                  <c:v>4.1966555183946568</c:v>
                </c:pt>
                <c:pt idx="163">
                  <c:v>4.2163879598662284</c:v>
                </c:pt>
                <c:pt idx="164">
                  <c:v>4.2361204013378</c:v>
                </c:pt>
                <c:pt idx="165">
                  <c:v>4.2558528428093716</c:v>
                </c:pt>
                <c:pt idx="166">
                  <c:v>4.2755852842809432</c:v>
                </c:pt>
                <c:pt idx="167">
                  <c:v>4.2953177257525148</c:v>
                </c:pt>
                <c:pt idx="168">
                  <c:v>4.3150501672240864</c:v>
                </c:pt>
                <c:pt idx="169">
                  <c:v>4.334782608695658</c:v>
                </c:pt>
                <c:pt idx="170">
                  <c:v>4.3545150501672296</c:v>
                </c:pt>
                <c:pt idx="171">
                  <c:v>4.3742474916388012</c:v>
                </c:pt>
                <c:pt idx="172">
                  <c:v>4.3939799331103728</c:v>
                </c:pt>
                <c:pt idx="173">
                  <c:v>4.4137123745819444</c:v>
                </c:pt>
                <c:pt idx="174">
                  <c:v>4.433444816053516</c:v>
                </c:pt>
                <c:pt idx="175">
                  <c:v>4.4531772575250876</c:v>
                </c:pt>
                <c:pt idx="176">
                  <c:v>4.4729096989966592</c:v>
                </c:pt>
                <c:pt idx="177">
                  <c:v>4.4926421404682308</c:v>
                </c:pt>
                <c:pt idx="178">
                  <c:v>4.5123745819398025</c:v>
                </c:pt>
                <c:pt idx="179">
                  <c:v>4.5321070234113741</c:v>
                </c:pt>
                <c:pt idx="180">
                  <c:v>4.5518394648829457</c:v>
                </c:pt>
                <c:pt idx="181">
                  <c:v>4.5715719063545173</c:v>
                </c:pt>
                <c:pt idx="182">
                  <c:v>4.5913043478260889</c:v>
                </c:pt>
                <c:pt idx="183">
                  <c:v>4.6110367892976605</c:v>
                </c:pt>
                <c:pt idx="184">
                  <c:v>4.6307692307692321</c:v>
                </c:pt>
                <c:pt idx="185">
                  <c:v>4.6505016722408037</c:v>
                </c:pt>
                <c:pt idx="186">
                  <c:v>4.6702341137123753</c:v>
                </c:pt>
                <c:pt idx="187">
                  <c:v>4.6899665551839469</c:v>
                </c:pt>
                <c:pt idx="188">
                  <c:v>4.7096989966555185</c:v>
                </c:pt>
                <c:pt idx="189">
                  <c:v>4.7294314381270901</c:v>
                </c:pt>
                <c:pt idx="190">
                  <c:v>4.7491638795986617</c:v>
                </c:pt>
                <c:pt idx="191">
                  <c:v>4.7688963210702333</c:v>
                </c:pt>
                <c:pt idx="192">
                  <c:v>4.7886287625418049</c:v>
                </c:pt>
                <c:pt idx="193">
                  <c:v>4.8083612040133765</c:v>
                </c:pt>
                <c:pt idx="194">
                  <c:v>4.8280936454849481</c:v>
                </c:pt>
                <c:pt idx="195">
                  <c:v>4.8478260869565197</c:v>
                </c:pt>
                <c:pt idx="196">
                  <c:v>4.8675585284280913</c:v>
                </c:pt>
                <c:pt idx="197">
                  <c:v>4.8872909698996629</c:v>
                </c:pt>
                <c:pt idx="198">
                  <c:v>4.9070234113712345</c:v>
                </c:pt>
                <c:pt idx="199">
                  <c:v>4.9267558528428061</c:v>
                </c:pt>
                <c:pt idx="200">
                  <c:v>4.9464882943143778</c:v>
                </c:pt>
                <c:pt idx="201">
                  <c:v>4.9662207357859494</c:v>
                </c:pt>
                <c:pt idx="202">
                  <c:v>4.985953177257521</c:v>
                </c:pt>
                <c:pt idx="203">
                  <c:v>5.0056856187290926</c:v>
                </c:pt>
                <c:pt idx="204">
                  <c:v>5.0254180602006642</c:v>
                </c:pt>
                <c:pt idx="205">
                  <c:v>5.0451505016722358</c:v>
                </c:pt>
                <c:pt idx="206">
                  <c:v>5.0648829431438074</c:v>
                </c:pt>
                <c:pt idx="207">
                  <c:v>5.084615384615379</c:v>
                </c:pt>
                <c:pt idx="208">
                  <c:v>5.1043478260869506</c:v>
                </c:pt>
                <c:pt idx="209">
                  <c:v>5.1240802675585222</c:v>
                </c:pt>
                <c:pt idx="210">
                  <c:v>5.1438127090300938</c:v>
                </c:pt>
                <c:pt idx="211">
                  <c:v>5.1635451505016654</c:v>
                </c:pt>
                <c:pt idx="212">
                  <c:v>5.183277591973237</c:v>
                </c:pt>
                <c:pt idx="213">
                  <c:v>5.2030100334448086</c:v>
                </c:pt>
                <c:pt idx="214">
                  <c:v>5.2227424749163802</c:v>
                </c:pt>
                <c:pt idx="215">
                  <c:v>5.2424749163879518</c:v>
                </c:pt>
                <c:pt idx="216">
                  <c:v>5.2622073578595234</c:v>
                </c:pt>
                <c:pt idx="217">
                  <c:v>5.281939799331095</c:v>
                </c:pt>
                <c:pt idx="218">
                  <c:v>5.3016722408026666</c:v>
                </c:pt>
                <c:pt idx="219">
                  <c:v>5.3214046822742382</c:v>
                </c:pt>
                <c:pt idx="220">
                  <c:v>5.3411371237458098</c:v>
                </c:pt>
                <c:pt idx="221">
                  <c:v>5.3608695652173814</c:v>
                </c:pt>
                <c:pt idx="222">
                  <c:v>5.3806020066889531</c:v>
                </c:pt>
                <c:pt idx="223">
                  <c:v>5.4003344481605247</c:v>
                </c:pt>
                <c:pt idx="224">
                  <c:v>5.4200668896320963</c:v>
                </c:pt>
                <c:pt idx="225">
                  <c:v>5.4397993311036679</c:v>
                </c:pt>
                <c:pt idx="226">
                  <c:v>5.4595317725752395</c:v>
                </c:pt>
                <c:pt idx="227">
                  <c:v>5.4792642140468111</c:v>
                </c:pt>
                <c:pt idx="228">
                  <c:v>5.4989966555183827</c:v>
                </c:pt>
                <c:pt idx="229">
                  <c:v>5.5187290969899543</c:v>
                </c:pt>
                <c:pt idx="230">
                  <c:v>5.5384615384615259</c:v>
                </c:pt>
                <c:pt idx="231">
                  <c:v>5.5581939799330975</c:v>
                </c:pt>
                <c:pt idx="232">
                  <c:v>5.5779264214046691</c:v>
                </c:pt>
                <c:pt idx="233">
                  <c:v>5.5976588628762407</c:v>
                </c:pt>
                <c:pt idx="234">
                  <c:v>5.6173913043478123</c:v>
                </c:pt>
                <c:pt idx="235">
                  <c:v>5.6371237458193839</c:v>
                </c:pt>
                <c:pt idx="236">
                  <c:v>5.6568561872909555</c:v>
                </c:pt>
                <c:pt idx="237">
                  <c:v>5.6765886287625271</c:v>
                </c:pt>
                <c:pt idx="238">
                  <c:v>5.6963210702340987</c:v>
                </c:pt>
                <c:pt idx="239">
                  <c:v>5.7160535117056703</c:v>
                </c:pt>
                <c:pt idx="240">
                  <c:v>5.7357859531772419</c:v>
                </c:pt>
                <c:pt idx="241">
                  <c:v>5.7555183946488135</c:v>
                </c:pt>
                <c:pt idx="242">
                  <c:v>5.7752508361203851</c:v>
                </c:pt>
                <c:pt idx="243">
                  <c:v>5.7949832775919567</c:v>
                </c:pt>
                <c:pt idx="244">
                  <c:v>5.8147157190635284</c:v>
                </c:pt>
                <c:pt idx="245">
                  <c:v>5.8344481605351</c:v>
                </c:pt>
                <c:pt idx="246">
                  <c:v>5.8541806020066716</c:v>
                </c:pt>
                <c:pt idx="247">
                  <c:v>5.8739130434782432</c:v>
                </c:pt>
                <c:pt idx="248">
                  <c:v>5.8936454849498148</c:v>
                </c:pt>
                <c:pt idx="249">
                  <c:v>5.9133779264213864</c:v>
                </c:pt>
                <c:pt idx="250">
                  <c:v>5.933110367892958</c:v>
                </c:pt>
                <c:pt idx="251">
                  <c:v>5.9528428093645296</c:v>
                </c:pt>
                <c:pt idx="252">
                  <c:v>5.9725752508361012</c:v>
                </c:pt>
                <c:pt idx="253">
                  <c:v>5.9923076923076728</c:v>
                </c:pt>
                <c:pt idx="254">
                  <c:v>6.0120401337792444</c:v>
                </c:pt>
                <c:pt idx="255">
                  <c:v>6.031772575250816</c:v>
                </c:pt>
                <c:pt idx="256">
                  <c:v>6.0515050167223876</c:v>
                </c:pt>
                <c:pt idx="257">
                  <c:v>6.0712374581939592</c:v>
                </c:pt>
                <c:pt idx="258">
                  <c:v>6.0909698996655308</c:v>
                </c:pt>
                <c:pt idx="259">
                  <c:v>6.1107023411371024</c:v>
                </c:pt>
                <c:pt idx="260">
                  <c:v>6.130434782608674</c:v>
                </c:pt>
                <c:pt idx="261">
                  <c:v>6.1501672240802456</c:v>
                </c:pt>
                <c:pt idx="262">
                  <c:v>6.1698996655518172</c:v>
                </c:pt>
                <c:pt idx="263">
                  <c:v>6.1896321070233888</c:v>
                </c:pt>
                <c:pt idx="264">
                  <c:v>6.2093645484949604</c:v>
                </c:pt>
                <c:pt idx="265">
                  <c:v>6.229096989966532</c:v>
                </c:pt>
                <c:pt idx="266">
                  <c:v>6.2488294314381037</c:v>
                </c:pt>
                <c:pt idx="267">
                  <c:v>6.2685618729096753</c:v>
                </c:pt>
                <c:pt idx="268">
                  <c:v>6.2882943143812469</c:v>
                </c:pt>
                <c:pt idx="269">
                  <c:v>6.3080267558528185</c:v>
                </c:pt>
                <c:pt idx="270">
                  <c:v>6.3277591973243901</c:v>
                </c:pt>
                <c:pt idx="271">
                  <c:v>6.3474916387959617</c:v>
                </c:pt>
                <c:pt idx="272">
                  <c:v>6.3672240802675333</c:v>
                </c:pt>
                <c:pt idx="273">
                  <c:v>6.3869565217391049</c:v>
                </c:pt>
                <c:pt idx="274">
                  <c:v>6.4066889632106765</c:v>
                </c:pt>
                <c:pt idx="275">
                  <c:v>6.4264214046822481</c:v>
                </c:pt>
                <c:pt idx="276">
                  <c:v>6.4461538461538197</c:v>
                </c:pt>
                <c:pt idx="277">
                  <c:v>6.4658862876253913</c:v>
                </c:pt>
                <c:pt idx="278">
                  <c:v>6.4856187290969629</c:v>
                </c:pt>
                <c:pt idx="279">
                  <c:v>6.5053511705685345</c:v>
                </c:pt>
                <c:pt idx="280">
                  <c:v>6.5250836120401061</c:v>
                </c:pt>
                <c:pt idx="281">
                  <c:v>6.5448160535116777</c:v>
                </c:pt>
                <c:pt idx="282">
                  <c:v>6.5645484949832493</c:v>
                </c:pt>
                <c:pt idx="283">
                  <c:v>6.5842809364548209</c:v>
                </c:pt>
                <c:pt idx="284">
                  <c:v>6.6040133779263925</c:v>
                </c:pt>
                <c:pt idx="285">
                  <c:v>6.6237458193979641</c:v>
                </c:pt>
                <c:pt idx="286">
                  <c:v>6.6434782608695357</c:v>
                </c:pt>
                <c:pt idx="287">
                  <c:v>6.6632107023411073</c:v>
                </c:pt>
                <c:pt idx="288">
                  <c:v>6.682943143812679</c:v>
                </c:pt>
                <c:pt idx="289">
                  <c:v>6.7026755852842506</c:v>
                </c:pt>
                <c:pt idx="290">
                  <c:v>6.7224080267558222</c:v>
                </c:pt>
                <c:pt idx="291">
                  <c:v>6.7421404682273938</c:v>
                </c:pt>
                <c:pt idx="292">
                  <c:v>6.7618729096989654</c:v>
                </c:pt>
                <c:pt idx="293">
                  <c:v>6.781605351170537</c:v>
                </c:pt>
                <c:pt idx="294">
                  <c:v>6.8013377926421086</c:v>
                </c:pt>
                <c:pt idx="295">
                  <c:v>6.8210702341136802</c:v>
                </c:pt>
                <c:pt idx="296">
                  <c:v>6.8408026755852518</c:v>
                </c:pt>
                <c:pt idx="297">
                  <c:v>6.8605351170568234</c:v>
                </c:pt>
                <c:pt idx="298">
                  <c:v>6.880267558528395</c:v>
                </c:pt>
                <c:pt idx="299">
                  <c:v>6.8999999999999666</c:v>
                </c:pt>
              </c:numCache>
            </c:numRef>
          </c:cat>
          <c:val>
            <c:numRef>
              <c:f>irysy_estymacjagęstości!$T$3:$T$302</c:f>
              <c:numCache>
                <c:formatCode>General</c:formatCode>
                <c:ptCount val="300"/>
                <c:pt idx="0">
                  <c:v>8.2264775257552269E-2</c:v>
                </c:pt>
                <c:pt idx="1">
                  <c:v>8.275874475787906E-2</c:v>
                </c:pt>
                <c:pt idx="2">
                  <c:v>8.3244975092842538E-2</c:v>
                </c:pt>
                <c:pt idx="3">
                  <c:v>8.3770658882079282E-2</c:v>
                </c:pt>
                <c:pt idx="4">
                  <c:v>8.4311086111116387E-2</c:v>
                </c:pt>
                <c:pt idx="5">
                  <c:v>8.484336141930432E-2</c:v>
                </c:pt>
                <c:pt idx="6">
                  <c:v>8.5367484806642954E-2</c:v>
                </c:pt>
                <c:pt idx="7">
                  <c:v>8.5883456273132333E-2</c:v>
                </c:pt>
                <c:pt idx="8">
                  <c:v>8.6476183689332756E-2</c:v>
                </c:pt>
                <c:pt idx="9">
                  <c:v>8.7115257730569162E-2</c:v>
                </c:pt>
                <c:pt idx="10">
                  <c:v>8.7745354339984358E-2</c:v>
                </c:pt>
                <c:pt idx="11">
                  <c:v>8.8366473517578148E-2</c:v>
                </c:pt>
                <c:pt idx="12">
                  <c:v>8.8978615263350713E-2</c:v>
                </c:pt>
                <c:pt idx="13">
                  <c:v>8.9610064592608826E-2</c:v>
                </c:pt>
                <c:pt idx="14">
                  <c:v>9.0256549868472813E-2</c:v>
                </c:pt>
                <c:pt idx="15">
                  <c:v>9.0893748145900996E-2</c:v>
                </c:pt>
                <c:pt idx="16">
                  <c:v>9.1521659424893209E-2</c:v>
                </c:pt>
                <c:pt idx="17">
                  <c:v>9.2140283705449633E-2</c:v>
                </c:pt>
                <c:pt idx="18">
                  <c:v>9.2790834581350304E-2</c:v>
                </c:pt>
                <c:pt idx="19">
                  <c:v>9.3478083833870448E-2</c:v>
                </c:pt>
                <c:pt idx="20">
                  <c:v>9.4155530143596941E-2</c:v>
                </c:pt>
                <c:pt idx="21">
                  <c:v>9.4823173510530337E-2</c:v>
                </c:pt>
                <c:pt idx="22">
                  <c:v>9.5481013934670178E-2</c:v>
                </c:pt>
                <c:pt idx="23">
                  <c:v>9.6157277915141046E-2</c:v>
                </c:pt>
                <c:pt idx="24">
                  <c:v>9.6865299612185138E-2</c:v>
                </c:pt>
                <c:pt idx="25">
                  <c:v>9.756310561095001E-2</c:v>
                </c:pt>
                <c:pt idx="26">
                  <c:v>9.825069591143519E-2</c:v>
                </c:pt>
                <c:pt idx="27">
                  <c:v>9.8928070513641164E-2</c:v>
                </c:pt>
                <c:pt idx="28">
                  <c:v>9.9624579700121285E-2</c:v>
                </c:pt>
                <c:pt idx="29">
                  <c:v>0.10036879183316079</c:v>
                </c:pt>
                <c:pt idx="30">
                  <c:v>0.10110227232356318</c:v>
                </c:pt>
                <c:pt idx="31">
                  <c:v>0.10182502117132863</c:v>
                </c:pt>
                <c:pt idx="32">
                  <c:v>0.10253703837645685</c:v>
                </c:pt>
                <c:pt idx="33">
                  <c:v>0.10325705599472916</c:v>
                </c:pt>
                <c:pt idx="34">
                  <c:v>0.10401745303992038</c:v>
                </c:pt>
                <c:pt idx="35">
                  <c:v>0.10476670568698825</c:v>
                </c:pt>
                <c:pt idx="36">
                  <c:v>0.10550481393593353</c:v>
                </c:pt>
                <c:pt idx="37">
                  <c:v>0.10623177778675526</c:v>
                </c:pt>
                <c:pt idx="38">
                  <c:v>0.10697556121612907</c:v>
                </c:pt>
                <c:pt idx="39">
                  <c:v>0.10781997848822411</c:v>
                </c:pt>
                <c:pt idx="40">
                  <c:v>0.10865242585122371</c:v>
                </c:pt>
                <c:pt idx="41">
                  <c:v>0.10947290330512843</c:v>
                </c:pt>
                <c:pt idx="42">
                  <c:v>0.11028141084993802</c:v>
                </c:pt>
                <c:pt idx="43">
                  <c:v>0.11108256349750883</c:v>
                </c:pt>
                <c:pt idx="44">
                  <c:v>0.11190208077021918</c:v>
                </c:pt>
                <c:pt idx="45">
                  <c:v>0.11270942175609149</c:v>
                </c:pt>
                <c:pt idx="46">
                  <c:v>0.11350458645512579</c:v>
                </c:pt>
                <c:pt idx="47">
                  <c:v>0.11428757486732181</c:v>
                </c:pt>
                <c:pt idx="48">
                  <c:v>0.11506062507363313</c:v>
                </c:pt>
                <c:pt idx="49">
                  <c:v>0.11585422444995541</c:v>
                </c:pt>
                <c:pt idx="50">
                  <c:v>0.11663544116169643</c:v>
                </c:pt>
                <c:pt idx="51">
                  <c:v>0.11740427520885639</c:v>
                </c:pt>
                <c:pt idx="52">
                  <c:v>0.1181607265914353</c:v>
                </c:pt>
                <c:pt idx="53">
                  <c:v>0.11890479530943283</c:v>
                </c:pt>
                <c:pt idx="54">
                  <c:v>0.11967131909382313</c:v>
                </c:pt>
                <c:pt idx="55">
                  <c:v>0.12042539363442935</c:v>
                </c:pt>
                <c:pt idx="56">
                  <c:v>0.1211668791327115</c:v>
                </c:pt>
                <c:pt idx="57">
                  <c:v>0.12189577558866947</c:v>
                </c:pt>
                <c:pt idx="58">
                  <c:v>0.1226120830023031</c:v>
                </c:pt>
                <c:pt idx="59">
                  <c:v>0.12336451071551417</c:v>
                </c:pt>
                <c:pt idx="60">
                  <c:v>0.12410781775972272</c:v>
                </c:pt>
                <c:pt idx="61">
                  <c:v>0.1248382261949928</c:v>
                </c:pt>
                <c:pt idx="62">
                  <c:v>0.12555573602132433</c:v>
                </c:pt>
                <c:pt idx="63">
                  <c:v>0.1262603472387169</c:v>
                </c:pt>
                <c:pt idx="64">
                  <c:v>0.12704238117608402</c:v>
                </c:pt>
                <c:pt idx="65">
                  <c:v>0.12782559258118059</c:v>
                </c:pt>
                <c:pt idx="66">
                  <c:v>0.12859528624410907</c:v>
                </c:pt>
                <c:pt idx="67">
                  <c:v>0.12935146216486976</c:v>
                </c:pt>
                <c:pt idx="68">
                  <c:v>0.13009412034346288</c:v>
                </c:pt>
                <c:pt idx="69">
                  <c:v>0.13086487134401367</c:v>
                </c:pt>
                <c:pt idx="70">
                  <c:v>0.13163271372862875</c:v>
                </c:pt>
                <c:pt idx="71">
                  <c:v>0.13238672880446162</c:v>
                </c:pt>
                <c:pt idx="72">
                  <c:v>0.13312691657151215</c:v>
                </c:pt>
                <c:pt idx="73">
                  <c:v>0.13385327702978017</c:v>
                </c:pt>
                <c:pt idx="74">
                  <c:v>0.13460386922017498</c:v>
                </c:pt>
                <c:pt idx="75">
                  <c:v>0.13535481573880351</c:v>
                </c:pt>
                <c:pt idx="76">
                  <c:v>0.13609162538203493</c:v>
                </c:pt>
                <c:pt idx="77">
                  <c:v>0.13681429814986948</c:v>
                </c:pt>
                <c:pt idx="78">
                  <c:v>0.13752283404230747</c:v>
                </c:pt>
                <c:pt idx="79">
                  <c:v>0.13824023712255243</c:v>
                </c:pt>
                <c:pt idx="80">
                  <c:v>0.13895534037452462</c:v>
                </c:pt>
                <c:pt idx="81">
                  <c:v>0.13965610037335668</c:v>
                </c:pt>
                <c:pt idx="82">
                  <c:v>0.14034251711904933</c:v>
                </c:pt>
                <c:pt idx="83">
                  <c:v>0.14101459061160176</c:v>
                </c:pt>
                <c:pt idx="84">
                  <c:v>0.14169295533489265</c:v>
                </c:pt>
                <c:pt idx="85">
                  <c:v>0.14237119742320462</c:v>
                </c:pt>
                <c:pt idx="86">
                  <c:v>0.14303488988063393</c:v>
                </c:pt>
                <c:pt idx="87">
                  <c:v>0.14368403270718025</c:v>
                </c:pt>
                <c:pt idx="88">
                  <c:v>0.14431862590284369</c:v>
                </c:pt>
                <c:pt idx="89">
                  <c:v>0.1449660654015672</c:v>
                </c:pt>
                <c:pt idx="90">
                  <c:v>0.14562386297609112</c:v>
                </c:pt>
                <c:pt idx="91">
                  <c:v>0.14626680135311751</c:v>
                </c:pt>
                <c:pt idx="92">
                  <c:v>0.14689488053264629</c:v>
                </c:pt>
                <c:pt idx="93">
                  <c:v>0.14750810051467797</c:v>
                </c:pt>
                <c:pt idx="94">
                  <c:v>0.14810646129921215</c:v>
                </c:pt>
                <c:pt idx="95">
                  <c:v>0.14868996288624883</c:v>
                </c:pt>
                <c:pt idx="96">
                  <c:v>0.14925860527578816</c:v>
                </c:pt>
                <c:pt idx="97">
                  <c:v>0.14981238846783015</c:v>
                </c:pt>
                <c:pt idx="98">
                  <c:v>0.15035131246237468</c:v>
                </c:pt>
                <c:pt idx="99">
                  <c:v>0.15088213728660049</c:v>
                </c:pt>
                <c:pt idx="100">
                  <c:v>0.15140879142473698</c:v>
                </c:pt>
                <c:pt idx="101">
                  <c:v>0.15192048317650472</c:v>
                </c:pt>
                <c:pt idx="102">
                  <c:v>0.15241721254190341</c:v>
                </c:pt>
                <c:pt idx="103">
                  <c:v>0.15289897952093304</c:v>
                </c:pt>
                <c:pt idx="104">
                  <c:v>0.15337135745392852</c:v>
                </c:pt>
                <c:pt idx="105">
                  <c:v>0.15384065519466267</c:v>
                </c:pt>
                <c:pt idx="106">
                  <c:v>0.15429488736015678</c:v>
                </c:pt>
                <c:pt idx="107">
                  <c:v>0.15473405395041023</c:v>
                </c:pt>
                <c:pt idx="108">
                  <c:v>0.15515815496542334</c:v>
                </c:pt>
                <c:pt idx="109">
                  <c:v>0.15556719040519615</c:v>
                </c:pt>
                <c:pt idx="110">
                  <c:v>0.1559611602697285</c:v>
                </c:pt>
                <c:pt idx="111">
                  <c:v>0.15634006455902039</c:v>
                </c:pt>
                <c:pt idx="112">
                  <c:v>0.1567039032730716</c:v>
                </c:pt>
                <c:pt idx="113">
                  <c:v>0.15705267641188267</c:v>
                </c:pt>
                <c:pt idx="114">
                  <c:v>0.15738958251921384</c:v>
                </c:pt>
                <c:pt idx="115">
                  <c:v>0.15772569403369807</c:v>
                </c:pt>
                <c:pt idx="116">
                  <c:v>0.15804663678406997</c:v>
                </c:pt>
                <c:pt idx="117">
                  <c:v>0.15835241077033016</c:v>
                </c:pt>
                <c:pt idx="118">
                  <c:v>0.15864301599247829</c:v>
                </c:pt>
                <c:pt idx="119">
                  <c:v>0.15892247331857567</c:v>
                </c:pt>
                <c:pt idx="120">
                  <c:v>0.1592176940565192</c:v>
                </c:pt>
                <c:pt idx="121">
                  <c:v>0.15949753965260755</c:v>
                </c:pt>
                <c:pt idx="122">
                  <c:v>0.15976201010684107</c:v>
                </c:pt>
                <c:pt idx="123">
                  <c:v>0.16001110541921965</c:v>
                </c:pt>
                <c:pt idx="124">
                  <c:v>0.1602448255897431</c:v>
                </c:pt>
                <c:pt idx="125">
                  <c:v>0.16046317061841175</c:v>
                </c:pt>
                <c:pt idx="126">
                  <c:v>0.16066614050522546</c:v>
                </c:pt>
                <c:pt idx="127">
                  <c:v>0.16085373525018429</c:v>
                </c:pt>
                <c:pt idx="128">
                  <c:v>0.16102595485328811</c:v>
                </c:pt>
                <c:pt idx="129">
                  <c:v>0.16118279931453697</c:v>
                </c:pt>
                <c:pt idx="130">
                  <c:v>0.1613413919393363</c:v>
                </c:pt>
                <c:pt idx="131">
                  <c:v>0.1614848734417248</c:v>
                </c:pt>
                <c:pt idx="132">
                  <c:v>0.1616128766133865</c:v>
                </c:pt>
                <c:pt idx="133">
                  <c:v>0.16172540145432202</c:v>
                </c:pt>
                <c:pt idx="134">
                  <c:v>0.16182244796453102</c:v>
                </c:pt>
                <c:pt idx="135">
                  <c:v>0.16190401614401367</c:v>
                </c:pt>
                <c:pt idx="136">
                  <c:v>0.16197010599276959</c:v>
                </c:pt>
                <c:pt idx="137">
                  <c:v>0.16202071751079933</c:v>
                </c:pt>
                <c:pt idx="138">
                  <c:v>0.16205585069810249</c:v>
                </c:pt>
                <c:pt idx="139">
                  <c:v>0.16207550555467903</c:v>
                </c:pt>
                <c:pt idx="140">
                  <c:v>0.16207968208052936</c:v>
                </c:pt>
                <c:pt idx="141">
                  <c:v>0.1620683802756531</c:v>
                </c:pt>
                <c:pt idx="142">
                  <c:v>0.16204160014005056</c:v>
                </c:pt>
                <c:pt idx="143">
                  <c:v>0.16199934167372135</c:v>
                </c:pt>
                <c:pt idx="144">
                  <c:v>0.1619416048766657</c:v>
                </c:pt>
                <c:pt idx="145">
                  <c:v>0.16186838974888373</c:v>
                </c:pt>
                <c:pt idx="146">
                  <c:v>0.16177969629037517</c:v>
                </c:pt>
                <c:pt idx="147">
                  <c:v>0.16167552450114045</c:v>
                </c:pt>
                <c:pt idx="148">
                  <c:v>0.16155587438117894</c:v>
                </c:pt>
                <c:pt idx="149">
                  <c:v>0.16142074593049102</c:v>
                </c:pt>
                <c:pt idx="150">
                  <c:v>0.1612701391490767</c:v>
                </c:pt>
                <c:pt idx="151">
                  <c:v>0.16110405403693615</c:v>
                </c:pt>
                <c:pt idx="152">
                  <c:v>0.16092249059406885</c:v>
                </c:pt>
                <c:pt idx="153">
                  <c:v>0.16072544882047507</c:v>
                </c:pt>
                <c:pt idx="154">
                  <c:v>0.16051292871615502</c:v>
                </c:pt>
                <c:pt idx="155">
                  <c:v>0.16028493028110838</c:v>
                </c:pt>
                <c:pt idx="156">
                  <c:v>0.16004145351533539</c:v>
                </c:pt>
                <c:pt idx="157">
                  <c:v>0.15978249841883591</c:v>
                </c:pt>
                <c:pt idx="158">
                  <c:v>0.15950806499160997</c:v>
                </c:pt>
                <c:pt idx="159">
                  <c:v>0.15921815323365743</c:v>
                </c:pt>
                <c:pt idx="160">
                  <c:v>0.15891276314497868</c:v>
                </c:pt>
                <c:pt idx="161">
                  <c:v>0.15859189472557333</c:v>
                </c:pt>
                <c:pt idx="162">
                  <c:v>0.15825554797544147</c:v>
                </c:pt>
                <c:pt idx="163">
                  <c:v>0.15790372289458329</c:v>
                </c:pt>
                <c:pt idx="164">
                  <c:v>0.15753641948299849</c:v>
                </c:pt>
                <c:pt idx="165">
                  <c:v>0.15715363774068752</c:v>
                </c:pt>
                <c:pt idx="166">
                  <c:v>0.15675537766764988</c:v>
                </c:pt>
                <c:pt idx="167">
                  <c:v>0.15634163926388595</c:v>
                </c:pt>
                <c:pt idx="168">
                  <c:v>0.15591242252939547</c:v>
                </c:pt>
                <c:pt idx="169">
                  <c:v>0.15546772746417847</c:v>
                </c:pt>
                <c:pt idx="170">
                  <c:v>0.15500792127655033</c:v>
                </c:pt>
                <c:pt idx="171">
                  <c:v>0.15454986325247291</c:v>
                </c:pt>
                <c:pt idx="172">
                  <c:v>0.15407643008654057</c:v>
                </c:pt>
                <c:pt idx="173">
                  <c:v>0.15358762177875324</c:v>
                </c:pt>
                <c:pt idx="174">
                  <c:v>0.15308343832911078</c:v>
                </c:pt>
                <c:pt idx="175">
                  <c:v>0.15256387973761368</c:v>
                </c:pt>
                <c:pt idx="176">
                  <c:v>0.15204571086099306</c:v>
                </c:pt>
                <c:pt idx="177">
                  <c:v>0.15151309188139403</c:v>
                </c:pt>
                <c:pt idx="178">
                  <c:v>0.15096520094881169</c:v>
                </c:pt>
                <c:pt idx="179">
                  <c:v>0.1504020380632459</c:v>
                </c:pt>
                <c:pt idx="180">
                  <c:v>0.14982360322469654</c:v>
                </c:pt>
                <c:pt idx="181">
                  <c:v>0.14926103498686491</c:v>
                </c:pt>
                <c:pt idx="182">
                  <c:v>0.14868742204185392</c:v>
                </c:pt>
                <c:pt idx="183">
                  <c:v>0.14809874352160238</c:v>
                </c:pt>
                <c:pt idx="184">
                  <c:v>0.14749499942611061</c:v>
                </c:pt>
                <c:pt idx="185">
                  <c:v>0.14687618975537819</c:v>
                </c:pt>
                <c:pt idx="186">
                  <c:v>0.14634293370825924</c:v>
                </c:pt>
                <c:pt idx="187">
                  <c:v>0.14581772421432393</c:v>
                </c:pt>
                <c:pt idx="188">
                  <c:v>0.1452781714672487</c:v>
                </c:pt>
                <c:pt idx="189">
                  <c:v>0.14472427546703368</c:v>
                </c:pt>
                <c:pt idx="190">
                  <c:v>0.14415603621367876</c:v>
                </c:pt>
                <c:pt idx="191">
                  <c:v>0.14374478772685148</c:v>
                </c:pt>
                <c:pt idx="192">
                  <c:v>0.14337755777175154</c:v>
                </c:pt>
                <c:pt idx="193">
                  <c:v>0.14299732601884152</c:v>
                </c:pt>
                <c:pt idx="194">
                  <c:v>0.1426040924681212</c:v>
                </c:pt>
                <c:pt idx="195">
                  <c:v>0.14219785711959054</c:v>
                </c:pt>
                <c:pt idx="196">
                  <c:v>0.14193442995198127</c:v>
                </c:pt>
                <c:pt idx="197">
                  <c:v>0.14173179586624102</c:v>
                </c:pt>
                <c:pt idx="198">
                  <c:v>0.14151750143802003</c:v>
                </c:pt>
                <c:pt idx="199">
                  <c:v>0.14129154666731852</c:v>
                </c:pt>
                <c:pt idx="200">
                  <c:v>0.14105393155413648</c:v>
                </c:pt>
                <c:pt idx="201">
                  <c:v>0.14088019800043047</c:v>
                </c:pt>
                <c:pt idx="202">
                  <c:v>0.14074284661659528</c:v>
                </c:pt>
                <c:pt idx="203">
                  <c:v>0.14059455721238021</c:v>
                </c:pt>
                <c:pt idx="204">
                  <c:v>0.140435329787785</c:v>
                </c:pt>
                <c:pt idx="205">
                  <c:v>0.14026516434280986</c:v>
                </c:pt>
                <c:pt idx="206">
                  <c:v>0.14012245484495497</c:v>
                </c:pt>
                <c:pt idx="207">
                  <c:v>0.14000100504111587</c:v>
                </c:pt>
                <c:pt idx="208">
                  <c:v>0.13986902997238279</c:v>
                </c:pt>
                <c:pt idx="209">
                  <c:v>0.13972652963875565</c:v>
                </c:pt>
                <c:pt idx="210">
                  <c:v>0.13957350404023475</c:v>
                </c:pt>
                <c:pt idx="211">
                  <c:v>0.13940995317681965</c:v>
                </c:pt>
                <c:pt idx="212">
                  <c:v>0.13923587704851068</c:v>
                </c:pt>
                <c:pt idx="213">
                  <c:v>0.13905127565530764</c:v>
                </c:pt>
                <c:pt idx="214">
                  <c:v>0.13885614899721069</c:v>
                </c:pt>
                <c:pt idx="215">
                  <c:v>0.1386504970742197</c:v>
                </c:pt>
                <c:pt idx="216">
                  <c:v>0.13844874688223863</c:v>
                </c:pt>
                <c:pt idx="217">
                  <c:v>0.13825731228698498</c:v>
                </c:pt>
                <c:pt idx="218">
                  <c:v>0.13805555880458045</c:v>
                </c:pt>
                <c:pt idx="219">
                  <c:v>0.1378434864350247</c:v>
                </c:pt>
                <c:pt idx="220">
                  <c:v>0.13762109517831825</c:v>
                </c:pt>
                <c:pt idx="221">
                  <c:v>0.13738838503446071</c:v>
                </c:pt>
                <c:pt idx="222">
                  <c:v>0.13714535600345226</c:v>
                </c:pt>
                <c:pt idx="223">
                  <c:v>0.13689200808529264</c:v>
                </c:pt>
                <c:pt idx="224">
                  <c:v>0.13662834127998225</c:v>
                </c:pt>
                <c:pt idx="225">
                  <c:v>0.13635435558752085</c:v>
                </c:pt>
                <c:pt idx="226">
                  <c:v>0.13607005100790839</c:v>
                </c:pt>
                <c:pt idx="227">
                  <c:v>0.13577542754114499</c:v>
                </c:pt>
                <c:pt idx="228">
                  <c:v>0.13547048518723084</c:v>
                </c:pt>
                <c:pt idx="229">
                  <c:v>0.13515522394616539</c:v>
                </c:pt>
                <c:pt idx="230">
                  <c:v>0.13482964381794918</c:v>
                </c:pt>
                <c:pt idx="231">
                  <c:v>0.13449374480258192</c:v>
                </c:pt>
                <c:pt idx="232">
                  <c:v>0.13414752690006373</c:v>
                </c:pt>
                <c:pt idx="233">
                  <c:v>0.1337909901103945</c:v>
                </c:pt>
                <c:pt idx="234">
                  <c:v>0.13342413443357432</c:v>
                </c:pt>
                <c:pt idx="235">
                  <c:v>0.13304695986960335</c:v>
                </c:pt>
                <c:pt idx="236">
                  <c:v>0.13265946641848123</c:v>
                </c:pt>
                <c:pt idx="237">
                  <c:v>0.13226165408020804</c:v>
                </c:pt>
                <c:pt idx="238">
                  <c:v>0.13185352285478411</c:v>
                </c:pt>
                <c:pt idx="239">
                  <c:v>0.13143507274220903</c:v>
                </c:pt>
                <c:pt idx="240">
                  <c:v>0.13100630374248312</c:v>
                </c:pt>
                <c:pt idx="241">
                  <c:v>0.13056721585560618</c:v>
                </c:pt>
                <c:pt idx="242">
                  <c:v>0.1301178090815783</c:v>
                </c:pt>
                <c:pt idx="243">
                  <c:v>0.12965808342039933</c:v>
                </c:pt>
                <c:pt idx="244">
                  <c:v>0.1291880388720695</c:v>
                </c:pt>
                <c:pt idx="245">
                  <c:v>0.12870767543658879</c:v>
                </c:pt>
                <c:pt idx="246">
                  <c:v>0.12821699311395696</c:v>
                </c:pt>
                <c:pt idx="247">
                  <c:v>0.12771599190417415</c:v>
                </c:pt>
                <c:pt idx="248">
                  <c:v>0.12720467180724046</c:v>
                </c:pt>
                <c:pt idx="249">
                  <c:v>0.12668303282315571</c:v>
                </c:pt>
                <c:pt idx="250">
                  <c:v>0.12615107495192004</c:v>
                </c:pt>
                <c:pt idx="251">
                  <c:v>0.12560879819353335</c:v>
                </c:pt>
                <c:pt idx="252">
                  <c:v>0.12505620254799585</c:v>
                </c:pt>
                <c:pt idx="253">
                  <c:v>0.12449328801530714</c:v>
                </c:pt>
                <c:pt idx="254">
                  <c:v>0.12392005459546762</c:v>
                </c:pt>
                <c:pt idx="255">
                  <c:v>0.12333650228847716</c:v>
                </c:pt>
                <c:pt idx="256">
                  <c:v>0.12274263109433564</c:v>
                </c:pt>
                <c:pt idx="257">
                  <c:v>0.12213844101304311</c:v>
                </c:pt>
                <c:pt idx="258">
                  <c:v>0.12152393204459976</c:v>
                </c:pt>
                <c:pt idx="259">
                  <c:v>0.12089910418900529</c:v>
                </c:pt>
                <c:pt idx="260">
                  <c:v>0.12026395744625996</c:v>
                </c:pt>
                <c:pt idx="261">
                  <c:v>0.11961849181636358</c:v>
                </c:pt>
                <c:pt idx="262">
                  <c:v>0.11896270729931628</c:v>
                </c:pt>
                <c:pt idx="263">
                  <c:v>0.11829660389511799</c:v>
                </c:pt>
                <c:pt idx="264">
                  <c:v>0.11762018160376876</c:v>
                </c:pt>
                <c:pt idx="265">
                  <c:v>0.11693344042526849</c:v>
                </c:pt>
                <c:pt idx="266">
                  <c:v>0.11623638035961725</c:v>
                </c:pt>
                <c:pt idx="267">
                  <c:v>0.11552900140681514</c:v>
                </c:pt>
                <c:pt idx="268">
                  <c:v>0.11481130356686199</c:v>
                </c:pt>
                <c:pt idx="269">
                  <c:v>0.11408328683975787</c:v>
                </c:pt>
                <c:pt idx="270">
                  <c:v>0.1133449512255028</c:v>
                </c:pt>
                <c:pt idx="271">
                  <c:v>0.11259629672409684</c:v>
                </c:pt>
                <c:pt idx="272">
                  <c:v>0.11184901025337889</c:v>
                </c:pt>
                <c:pt idx="273">
                  <c:v>0.11109737814089247</c:v>
                </c:pt>
                <c:pt idx="274">
                  <c:v>0.11033553033012654</c:v>
                </c:pt>
                <c:pt idx="275">
                  <c:v>0.10956346682108113</c:v>
                </c:pt>
                <c:pt idx="276">
                  <c:v>0.1087811876137562</c:v>
                </c:pt>
                <c:pt idx="277">
                  <c:v>0.10798869270815198</c:v>
                </c:pt>
                <c:pt idx="278">
                  <c:v>0.1071859821042682</c:v>
                </c:pt>
                <c:pt idx="279">
                  <c:v>0.10637305580210495</c:v>
                </c:pt>
                <c:pt idx="280">
                  <c:v>0.10554991380166225</c:v>
                </c:pt>
                <c:pt idx="281">
                  <c:v>0.10471655610294008</c:v>
                </c:pt>
                <c:pt idx="282">
                  <c:v>0.10387298270593844</c:v>
                </c:pt>
                <c:pt idx="283">
                  <c:v>0.10301919361065741</c:v>
                </c:pt>
                <c:pt idx="284">
                  <c:v>0.10215518881709679</c:v>
                </c:pt>
                <c:pt idx="285">
                  <c:v>0.10128096832525685</c:v>
                </c:pt>
                <c:pt idx="286">
                  <c:v>0.10039653213513738</c:v>
                </c:pt>
                <c:pt idx="287">
                  <c:v>9.9518095543432841E-2</c:v>
                </c:pt>
                <c:pt idx="288">
                  <c:v>9.8648506308063266E-2</c:v>
                </c:pt>
                <c:pt idx="289">
                  <c:v>9.7768907752157352E-2</c:v>
                </c:pt>
                <c:pt idx="290">
                  <c:v>9.6879299875714975E-2</c:v>
                </c:pt>
                <c:pt idx="291">
                  <c:v>9.5979682678736036E-2</c:v>
                </c:pt>
                <c:pt idx="292">
                  <c:v>9.5070056161220773E-2</c:v>
                </c:pt>
                <c:pt idx="293">
                  <c:v>9.415042032316906E-2</c:v>
                </c:pt>
                <c:pt idx="294">
                  <c:v>9.3220775164580882E-2</c:v>
                </c:pt>
                <c:pt idx="295">
                  <c:v>9.2281120685456242E-2</c:v>
                </c:pt>
                <c:pt idx="296">
                  <c:v>9.1331456885795206E-2</c:v>
                </c:pt>
                <c:pt idx="297">
                  <c:v>9.0383231445922474E-2</c:v>
                </c:pt>
                <c:pt idx="298">
                  <c:v>8.9448799373074594E-2</c:v>
                </c:pt>
                <c:pt idx="299">
                  <c:v>8.8504564357433244E-2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F7-40A4-A798-2625349C9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5410239"/>
        <c:axId val="503972367"/>
      </c:lineChart>
      <c:catAx>
        <c:axId val="65541023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03972367"/>
        <c:crosses val="autoZero"/>
        <c:auto val="0"/>
        <c:lblAlgn val="ctr"/>
        <c:lblOffset val="100"/>
        <c:noMultiLvlLbl val="0"/>
      </c:catAx>
      <c:valAx>
        <c:axId val="503972367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55410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20461340037799208"/>
          <c:y val="0.14136925012299775"/>
          <c:w val="0.36226293827834921"/>
          <c:h val="0.226787593449067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histogram</c:v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versicolor!$K$2:$K$16</c:f>
              <c:numCache>
                <c:formatCode>General</c:formatCode>
                <c:ptCount val="15"/>
                <c:pt idx="0">
                  <c:v>2.9249999999999998</c:v>
                </c:pt>
                <c:pt idx="1">
                  <c:v>3.0749999999999997</c:v>
                </c:pt>
                <c:pt idx="2">
                  <c:v>3.2249999999999996</c:v>
                </c:pt>
                <c:pt idx="3">
                  <c:v>3.3749999999999996</c:v>
                </c:pt>
                <c:pt idx="4">
                  <c:v>3.5249999999999995</c:v>
                </c:pt>
                <c:pt idx="5">
                  <c:v>3.6749999999999994</c:v>
                </c:pt>
                <c:pt idx="6">
                  <c:v>3.8249999999999993</c:v>
                </c:pt>
                <c:pt idx="7">
                  <c:v>3.9749999999999992</c:v>
                </c:pt>
                <c:pt idx="8">
                  <c:v>4.1249999999999991</c:v>
                </c:pt>
                <c:pt idx="9">
                  <c:v>4.2749999999999995</c:v>
                </c:pt>
                <c:pt idx="10">
                  <c:v>4.4249999999999998</c:v>
                </c:pt>
                <c:pt idx="11">
                  <c:v>4.5750000000000002</c:v>
                </c:pt>
                <c:pt idx="12">
                  <c:v>4.7250000000000005</c:v>
                </c:pt>
                <c:pt idx="13">
                  <c:v>4.8750000000000009</c:v>
                </c:pt>
                <c:pt idx="14">
                  <c:v>5.0250000000000012</c:v>
                </c:pt>
              </c:numCache>
            </c:numRef>
          </c:cat>
          <c:val>
            <c:numRef>
              <c:f>versicolor!$N$2:$N$16</c:f>
              <c:numCache>
                <c:formatCode>General</c:formatCode>
                <c:ptCount val="15"/>
                <c:pt idx="0">
                  <c:v>9.8309999979158277E-2</c:v>
                </c:pt>
                <c:pt idx="1">
                  <c:v>0</c:v>
                </c:pt>
                <c:pt idx="2">
                  <c:v>0.19661999995831655</c:v>
                </c:pt>
                <c:pt idx="3">
                  <c:v>0.19661999995831655</c:v>
                </c:pt>
                <c:pt idx="4">
                  <c:v>9.8309999979158277E-2</c:v>
                </c:pt>
                <c:pt idx="5">
                  <c:v>0.19661999995831655</c:v>
                </c:pt>
                <c:pt idx="6">
                  <c:v>0.29492999993747482</c:v>
                </c:pt>
                <c:pt idx="7">
                  <c:v>0.78647999983326622</c:v>
                </c:pt>
                <c:pt idx="8">
                  <c:v>0.39323999991663311</c:v>
                </c:pt>
                <c:pt idx="9">
                  <c:v>0.58985999987494964</c:v>
                </c:pt>
                <c:pt idx="10">
                  <c:v>0.68816999985410798</c:v>
                </c:pt>
                <c:pt idx="11">
                  <c:v>0.78647999983326622</c:v>
                </c:pt>
                <c:pt idx="12">
                  <c:v>0.19661999995831655</c:v>
                </c:pt>
                <c:pt idx="13">
                  <c:v>0.29492999993747482</c:v>
                </c:pt>
                <c:pt idx="14">
                  <c:v>9.8309999979158277E-2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C7-4626-B456-03D1A5D6D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384393216"/>
        <c:axId val="609801248"/>
      </c:barChart>
      <c:lineChart>
        <c:grouping val="standard"/>
        <c:varyColors val="0"/>
        <c:ser>
          <c:idx val="1"/>
          <c:order val="1"/>
          <c:tx>
            <c:v>teoretyczna gęstość normalna</c:v>
          </c:tx>
          <c:spPr>
            <a:ln w="28575" cap="rnd">
              <a:solidFill>
                <a:schemeClr val="accent2"/>
              </a:solidFill>
              <a:round/>
            </a:ln>
            <a:effectLst>
              <a:softEdge rad="0"/>
            </a:effectLst>
          </c:spPr>
          <c:marker>
            <c:symbol val="none"/>
          </c:marker>
          <c:cat>
            <c:numRef>
              <c:f>versicolor!$K$2:$K$16</c:f>
              <c:numCache>
                <c:formatCode>General</c:formatCode>
                <c:ptCount val="15"/>
                <c:pt idx="0">
                  <c:v>2.9249999999999998</c:v>
                </c:pt>
                <c:pt idx="1">
                  <c:v>3.0749999999999997</c:v>
                </c:pt>
                <c:pt idx="2">
                  <c:v>3.2249999999999996</c:v>
                </c:pt>
                <c:pt idx="3">
                  <c:v>3.3749999999999996</c:v>
                </c:pt>
                <c:pt idx="4">
                  <c:v>3.5249999999999995</c:v>
                </c:pt>
                <c:pt idx="5">
                  <c:v>3.6749999999999994</c:v>
                </c:pt>
                <c:pt idx="6">
                  <c:v>3.8249999999999993</c:v>
                </c:pt>
                <c:pt idx="7">
                  <c:v>3.9749999999999992</c:v>
                </c:pt>
                <c:pt idx="8">
                  <c:v>4.1249999999999991</c:v>
                </c:pt>
                <c:pt idx="9">
                  <c:v>4.2749999999999995</c:v>
                </c:pt>
                <c:pt idx="10">
                  <c:v>4.4249999999999998</c:v>
                </c:pt>
                <c:pt idx="11">
                  <c:v>4.5750000000000002</c:v>
                </c:pt>
                <c:pt idx="12">
                  <c:v>4.7250000000000005</c:v>
                </c:pt>
                <c:pt idx="13">
                  <c:v>4.8750000000000009</c:v>
                </c:pt>
                <c:pt idx="14">
                  <c:v>5.0250000000000012</c:v>
                </c:pt>
              </c:numCache>
            </c:numRef>
          </c:cat>
          <c:val>
            <c:numRef>
              <c:f>versicolor!$O$2:$O$16</c:f>
              <c:numCache>
                <c:formatCode>General</c:formatCode>
                <c:ptCount val="15"/>
                <c:pt idx="0">
                  <c:v>2.3317073828917807E-2</c:v>
                </c:pt>
                <c:pt idx="1">
                  <c:v>5.2151530396710465E-2</c:v>
                </c:pt>
                <c:pt idx="2">
                  <c:v>0.1053435106144725</c:v>
                </c:pt>
                <c:pt idx="3">
                  <c:v>0.19217471138343636</c:v>
                </c:pt>
                <c:pt idx="4">
                  <c:v>0.31661567201537133</c:v>
                </c:pt>
                <c:pt idx="5">
                  <c:v>0.47110346532153069</c:v>
                </c:pt>
                <c:pt idx="6">
                  <c:v>0.63306442625652404</c:v>
                </c:pt>
                <c:pt idx="7">
                  <c:v>0.76829364578941428</c:v>
                </c:pt>
                <c:pt idx="8">
                  <c:v>0.8420818234029448</c:v>
                </c:pt>
                <c:pt idx="9">
                  <c:v>0.83354502756350068</c:v>
                </c:pt>
                <c:pt idx="10">
                  <c:v>0.74516347176063358</c:v>
                </c:pt>
                <c:pt idx="11">
                  <c:v>0.60161931394853496</c:v>
                </c:pt>
                <c:pt idx="12">
                  <c:v>0.43867178619146596</c:v>
                </c:pt>
                <c:pt idx="13">
                  <c:v>0.28887193881437689</c:v>
                </c:pt>
                <c:pt idx="14">
                  <c:v>0.17179824770554378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C7-4626-B456-03D1A5D6DE65}"/>
            </c:ext>
          </c:extLst>
        </c:ser>
        <c:ser>
          <c:idx val="2"/>
          <c:order val="2"/>
          <c:tx>
            <c:v>estymacja gęstości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versicolor!$K$2:$K$16</c:f>
              <c:numCache>
                <c:formatCode>General</c:formatCode>
                <c:ptCount val="15"/>
                <c:pt idx="0">
                  <c:v>2.9249999999999998</c:v>
                </c:pt>
                <c:pt idx="1">
                  <c:v>3.0749999999999997</c:v>
                </c:pt>
                <c:pt idx="2">
                  <c:v>3.2249999999999996</c:v>
                </c:pt>
                <c:pt idx="3">
                  <c:v>3.3749999999999996</c:v>
                </c:pt>
                <c:pt idx="4">
                  <c:v>3.5249999999999995</c:v>
                </c:pt>
                <c:pt idx="5">
                  <c:v>3.6749999999999994</c:v>
                </c:pt>
                <c:pt idx="6">
                  <c:v>3.8249999999999993</c:v>
                </c:pt>
                <c:pt idx="7">
                  <c:v>3.9749999999999992</c:v>
                </c:pt>
                <c:pt idx="8">
                  <c:v>4.1249999999999991</c:v>
                </c:pt>
                <c:pt idx="9">
                  <c:v>4.2749999999999995</c:v>
                </c:pt>
                <c:pt idx="10">
                  <c:v>4.4249999999999998</c:v>
                </c:pt>
                <c:pt idx="11">
                  <c:v>4.5750000000000002</c:v>
                </c:pt>
                <c:pt idx="12">
                  <c:v>4.7250000000000005</c:v>
                </c:pt>
                <c:pt idx="13">
                  <c:v>4.8750000000000009</c:v>
                </c:pt>
                <c:pt idx="14">
                  <c:v>5.0250000000000012</c:v>
                </c:pt>
              </c:numCache>
            </c:numRef>
          </c:cat>
          <c:val>
            <c:numRef>
              <c:f>versicolor!$P$2:$P$16</c:f>
              <c:numCache>
                <c:formatCode>General</c:formatCode>
                <c:ptCount val="15"/>
                <c:pt idx="0">
                  <c:v>7.2286816673830967E-2</c:v>
                </c:pt>
                <c:pt idx="1">
                  <c:v>0.11424146492105218</c:v>
                </c:pt>
                <c:pt idx="2">
                  <c:v>0.16289235062310403</c:v>
                </c:pt>
                <c:pt idx="3">
                  <c:v>0.21483444659751386</c:v>
                </c:pt>
                <c:pt idx="4">
                  <c:v>0.28126091263596298</c:v>
                </c:pt>
                <c:pt idx="5">
                  <c:v>0.38514043991163227</c:v>
                </c:pt>
                <c:pt idx="6">
                  <c:v>0.51855908403867901</c:v>
                </c:pt>
                <c:pt idx="7">
                  <c:v>0.63527121298281763</c:v>
                </c:pt>
                <c:pt idx="8">
                  <c:v>0.7142359361629097</c:v>
                </c:pt>
                <c:pt idx="9">
                  <c:v>0.77017954190074966</c:v>
                </c:pt>
                <c:pt idx="10">
                  <c:v>0.78405908674254088</c:v>
                </c:pt>
                <c:pt idx="11">
                  <c:v>0.70877823645377103</c:v>
                </c:pt>
                <c:pt idx="12">
                  <c:v>0.54773141546263759</c:v>
                </c:pt>
                <c:pt idx="13">
                  <c:v>0.35973451132412049</c:v>
                </c:pt>
                <c:pt idx="14">
                  <c:v>0.1999356276909334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C7-4626-B456-03D1A5D6D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393216"/>
        <c:axId val="609801248"/>
      </c:lineChart>
      <c:catAx>
        <c:axId val="38439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09801248"/>
        <c:crosses val="autoZero"/>
        <c:auto val="1"/>
        <c:lblAlgn val="ctr"/>
        <c:lblOffset val="100"/>
        <c:noMultiLvlLbl val="0"/>
      </c:catAx>
      <c:valAx>
        <c:axId val="609801248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8439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Histogram skumulowany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skumulowana częstość</c:v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versicolor!$K$2:$K$16</c:f>
              <c:numCache>
                <c:formatCode>General</c:formatCode>
                <c:ptCount val="15"/>
                <c:pt idx="0">
                  <c:v>2.9249999999999998</c:v>
                </c:pt>
                <c:pt idx="1">
                  <c:v>3.0749999999999997</c:v>
                </c:pt>
                <c:pt idx="2">
                  <c:v>3.2249999999999996</c:v>
                </c:pt>
                <c:pt idx="3">
                  <c:v>3.3749999999999996</c:v>
                </c:pt>
                <c:pt idx="4">
                  <c:v>3.5249999999999995</c:v>
                </c:pt>
                <c:pt idx="5">
                  <c:v>3.6749999999999994</c:v>
                </c:pt>
                <c:pt idx="6">
                  <c:v>3.8249999999999993</c:v>
                </c:pt>
                <c:pt idx="7">
                  <c:v>3.9749999999999992</c:v>
                </c:pt>
                <c:pt idx="8">
                  <c:v>4.1249999999999991</c:v>
                </c:pt>
                <c:pt idx="9">
                  <c:v>4.2749999999999995</c:v>
                </c:pt>
                <c:pt idx="10">
                  <c:v>4.4249999999999998</c:v>
                </c:pt>
                <c:pt idx="11">
                  <c:v>4.5750000000000002</c:v>
                </c:pt>
                <c:pt idx="12">
                  <c:v>4.7250000000000005</c:v>
                </c:pt>
                <c:pt idx="13">
                  <c:v>4.8750000000000009</c:v>
                </c:pt>
                <c:pt idx="14">
                  <c:v>5.0250000000000012</c:v>
                </c:pt>
              </c:numCache>
            </c:numRef>
          </c:cat>
          <c:val>
            <c:numRef>
              <c:f>versicolor!$R$2:$R$16</c:f>
              <c:numCache>
                <c:formatCode>General</c:formatCode>
                <c:ptCount val="15"/>
                <c:pt idx="0">
                  <c:v>0.02</c:v>
                </c:pt>
                <c:pt idx="1">
                  <c:v>0.02</c:v>
                </c:pt>
                <c:pt idx="2">
                  <c:v>0.06</c:v>
                </c:pt>
                <c:pt idx="3">
                  <c:v>0.1</c:v>
                </c:pt>
                <c:pt idx="4">
                  <c:v>0.12</c:v>
                </c:pt>
                <c:pt idx="5">
                  <c:v>0.16</c:v>
                </c:pt>
                <c:pt idx="6">
                  <c:v>0.22</c:v>
                </c:pt>
                <c:pt idx="7">
                  <c:v>0.38</c:v>
                </c:pt>
                <c:pt idx="8">
                  <c:v>0.46</c:v>
                </c:pt>
                <c:pt idx="9">
                  <c:v>0.57999999999999996</c:v>
                </c:pt>
                <c:pt idx="10">
                  <c:v>0.72</c:v>
                </c:pt>
                <c:pt idx="11">
                  <c:v>0.88</c:v>
                </c:pt>
                <c:pt idx="12">
                  <c:v>0.92</c:v>
                </c:pt>
                <c:pt idx="13">
                  <c:v>0.98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75-4EA8-82B5-8E6524758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951031232"/>
        <c:axId val="701379440"/>
      </c:barChart>
      <c:lineChart>
        <c:grouping val="standard"/>
        <c:varyColors val="0"/>
        <c:ser>
          <c:idx val="1"/>
          <c:order val="1"/>
          <c:tx>
            <c:v>dystrybuanta rozkładu normalnego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versicolor!$K$2:$K$16</c:f>
              <c:numCache>
                <c:formatCode>General</c:formatCode>
                <c:ptCount val="15"/>
                <c:pt idx="0">
                  <c:v>2.9249999999999998</c:v>
                </c:pt>
                <c:pt idx="1">
                  <c:v>3.0749999999999997</c:v>
                </c:pt>
                <c:pt idx="2">
                  <c:v>3.2249999999999996</c:v>
                </c:pt>
                <c:pt idx="3">
                  <c:v>3.3749999999999996</c:v>
                </c:pt>
                <c:pt idx="4">
                  <c:v>3.5249999999999995</c:v>
                </c:pt>
                <c:pt idx="5">
                  <c:v>3.6749999999999994</c:v>
                </c:pt>
                <c:pt idx="6">
                  <c:v>3.8249999999999993</c:v>
                </c:pt>
                <c:pt idx="7">
                  <c:v>3.9749999999999992</c:v>
                </c:pt>
                <c:pt idx="8">
                  <c:v>4.1249999999999991</c:v>
                </c:pt>
                <c:pt idx="9">
                  <c:v>4.2749999999999995</c:v>
                </c:pt>
                <c:pt idx="10">
                  <c:v>4.4249999999999998</c:v>
                </c:pt>
                <c:pt idx="11">
                  <c:v>4.5750000000000002</c:v>
                </c:pt>
                <c:pt idx="12">
                  <c:v>4.7250000000000005</c:v>
                </c:pt>
                <c:pt idx="13">
                  <c:v>4.8750000000000009</c:v>
                </c:pt>
                <c:pt idx="14">
                  <c:v>5.0250000000000012</c:v>
                </c:pt>
              </c:numCache>
            </c:numRef>
          </c:cat>
          <c:val>
            <c:numRef>
              <c:f>versicolor!$S$2:$S$16</c:f>
              <c:numCache>
                <c:formatCode>General</c:formatCode>
                <c:ptCount val="15"/>
                <c:pt idx="0">
                  <c:v>3.6661910126892178E-3</c:v>
                </c:pt>
                <c:pt idx="1">
                  <c:v>9.0846556744512107E-3</c:v>
                </c:pt>
                <c:pt idx="2">
                  <c:v>2.0529181822787367E-2</c:v>
                </c:pt>
                <c:pt idx="3">
                  <c:v>4.2378230799085315E-2</c:v>
                </c:pt>
                <c:pt idx="4">
                  <c:v>8.0081829354758383E-2</c:v>
                </c:pt>
                <c:pt idx="5">
                  <c:v>0.13889175703011239</c:v>
                </c:pt>
                <c:pt idx="6">
                  <c:v>0.22180764161143202</c:v>
                </c:pt>
                <c:pt idx="7">
                  <c:v>0.32747610261167093</c:v>
                </c:pt>
                <c:pt idx="8">
                  <c:v>0.44919962163456878</c:v>
                </c:pt>
                <c:pt idx="9">
                  <c:v>0.57594310218789357</c:v>
                </c:pt>
                <c:pt idx="10">
                  <c:v>0.69523169805790674</c:v>
                </c:pt>
                <c:pt idx="11">
                  <c:v>0.79671489958657071</c:v>
                </c:pt>
                <c:pt idx="12">
                  <c:v>0.87475372280634878</c:v>
                </c:pt>
                <c:pt idx="13">
                  <c:v>0.92899720792243379</c:v>
                </c:pt>
                <c:pt idx="14">
                  <c:v>0.96307750748372134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75-4EA8-82B5-8E6524758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031232"/>
        <c:axId val="701379440"/>
      </c:lineChart>
      <c:catAx>
        <c:axId val="95103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01379440"/>
        <c:crosses val="autoZero"/>
        <c:auto val="1"/>
        <c:lblAlgn val="ctr"/>
        <c:lblOffset val="100"/>
        <c:noMultiLvlLbl val="0"/>
      </c:catAx>
      <c:valAx>
        <c:axId val="70137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5103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</a:t>
            </a:r>
            <a:r>
              <a:rPr lang="pl-PL" baseline="0"/>
              <a:t> normalności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versicolor_estymacjanorm!$L$1</c:f>
              <c:strCache>
                <c:ptCount val="1"/>
                <c:pt idx="0">
                  <c:v>G^(-1)(i/n)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versicolor_estymacjanorm!$K$2:$K$51</c:f>
              <c:numCache>
                <c:formatCode>General</c:formatCode>
                <c:ptCount val="50"/>
                <c:pt idx="0">
                  <c:v>3</c:v>
                </c:pt>
                <c:pt idx="1">
                  <c:v>3.3</c:v>
                </c:pt>
                <c:pt idx="2">
                  <c:v>3.3</c:v>
                </c:pt>
                <c:pt idx="3">
                  <c:v>3.5</c:v>
                </c:pt>
                <c:pt idx="4">
                  <c:v>3.5</c:v>
                </c:pt>
                <c:pt idx="5">
                  <c:v>3.6</c:v>
                </c:pt>
                <c:pt idx="6">
                  <c:v>3.7</c:v>
                </c:pt>
                <c:pt idx="7">
                  <c:v>3.8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4.0999999999999996</c:v>
                </c:pt>
                <c:pt idx="17">
                  <c:v>4.0999999999999996</c:v>
                </c:pt>
                <c:pt idx="18">
                  <c:v>4.0999999999999996</c:v>
                </c:pt>
                <c:pt idx="19">
                  <c:v>4.2</c:v>
                </c:pt>
                <c:pt idx="20">
                  <c:v>4.2</c:v>
                </c:pt>
                <c:pt idx="21">
                  <c:v>4.2</c:v>
                </c:pt>
                <c:pt idx="22">
                  <c:v>4.2</c:v>
                </c:pt>
                <c:pt idx="23">
                  <c:v>4.3</c:v>
                </c:pt>
                <c:pt idx="24">
                  <c:v>4.3</c:v>
                </c:pt>
                <c:pt idx="25">
                  <c:v>4.4000000000000004</c:v>
                </c:pt>
                <c:pt idx="26">
                  <c:v>4.4000000000000004</c:v>
                </c:pt>
                <c:pt idx="27">
                  <c:v>4.4000000000000004</c:v>
                </c:pt>
                <c:pt idx="28">
                  <c:v>4.4000000000000004</c:v>
                </c:pt>
                <c:pt idx="29">
                  <c:v>4.5</c:v>
                </c:pt>
                <c:pt idx="30">
                  <c:v>4.5</c:v>
                </c:pt>
                <c:pt idx="31">
                  <c:v>4.5</c:v>
                </c:pt>
                <c:pt idx="32">
                  <c:v>4.5</c:v>
                </c:pt>
                <c:pt idx="33">
                  <c:v>4.5</c:v>
                </c:pt>
                <c:pt idx="34">
                  <c:v>4.5</c:v>
                </c:pt>
                <c:pt idx="35">
                  <c:v>4.5</c:v>
                </c:pt>
                <c:pt idx="36">
                  <c:v>4.5999999999999996</c:v>
                </c:pt>
                <c:pt idx="37">
                  <c:v>4.5999999999999996</c:v>
                </c:pt>
                <c:pt idx="38">
                  <c:v>4.5999999999999996</c:v>
                </c:pt>
                <c:pt idx="39">
                  <c:v>4.7</c:v>
                </c:pt>
                <c:pt idx="40">
                  <c:v>4.7</c:v>
                </c:pt>
                <c:pt idx="41">
                  <c:v>4.7</c:v>
                </c:pt>
                <c:pt idx="42">
                  <c:v>4.7</c:v>
                </c:pt>
                <c:pt idx="43">
                  <c:v>4.7</c:v>
                </c:pt>
                <c:pt idx="44">
                  <c:v>4.8</c:v>
                </c:pt>
                <c:pt idx="45">
                  <c:v>4.8</c:v>
                </c:pt>
                <c:pt idx="46">
                  <c:v>4.9000000000000004</c:v>
                </c:pt>
                <c:pt idx="47">
                  <c:v>4.9000000000000004</c:v>
                </c:pt>
                <c:pt idx="48">
                  <c:v>5</c:v>
                </c:pt>
                <c:pt idx="49">
                  <c:v>5.0999999999999996</c:v>
                </c:pt>
              </c:numCache>
            </c:numRef>
          </c:xVal>
          <c:yVal>
            <c:numRef>
              <c:f>versicolor_estymacjanorm!$L$2:$L$51</c:f>
              <c:numCache>
                <c:formatCode>General</c:formatCode>
                <c:ptCount val="50"/>
                <c:pt idx="0">
                  <c:v>3.1668235971093504</c:v>
                </c:pt>
                <c:pt idx="1">
                  <c:v>3.376194437606963</c:v>
                </c:pt>
                <c:pt idx="2">
                  <c:v>3.4870652247425302</c:v>
                </c:pt>
                <c:pt idx="3">
                  <c:v>3.5665095957463513</c:v>
                </c:pt>
                <c:pt idx="4">
                  <c:v>3.6299644918792264</c:v>
                </c:pt>
                <c:pt idx="5">
                  <c:v>3.6836409725012973</c:v>
                </c:pt>
                <c:pt idx="6">
                  <c:v>3.7306964437989478</c:v>
                </c:pt>
                <c:pt idx="7">
                  <c:v>3.7729685730988423</c:v>
                </c:pt>
                <c:pt idx="8">
                  <c:v>3.8116272734456511</c:v>
                </c:pt>
                <c:pt idx="9">
                  <c:v>3.8474668940771313</c:v>
                </c:pt>
                <c:pt idx="10">
                  <c:v>3.8810538037465863</c:v>
                </c:pt>
                <c:pt idx="11">
                  <c:v>3.9128077550687057</c:v>
                </c:pt>
                <c:pt idx="12">
                  <c:v>3.943049862347018</c:v>
                </c:pt>
                <c:pt idx="13">
                  <c:v>3.9720324485260297</c:v>
                </c:pt>
                <c:pt idx="14">
                  <c:v>3.9999584456439288</c:v>
                </c:pt>
                <c:pt idx="15">
                  <c:v>4.0269944787131813</c:v>
                </c:pt>
                <c:pt idx="16">
                  <c:v>4.0532799744177632</c:v>
                </c:pt>
                <c:pt idx="17">
                  <c:v>4.0789336830798604</c:v>
                </c:pt>
                <c:pt idx="18">
                  <c:v>4.1040584696755218</c:v>
                </c:pt>
                <c:pt idx="19">
                  <c:v>4.1287449195610728</c:v>
                </c:pt>
                <c:pt idx="20">
                  <c:v>4.1530741176605117</c:v>
                </c:pt>
                <c:pt idx="21">
                  <c:v>4.177119843867942</c:v>
                </c:pt>
                <c:pt idx="22">
                  <c:v>4.2009503536980413</c:v>
                </c:pt>
                <c:pt idx="23">
                  <c:v>4.2246298655439514</c:v>
                </c:pt>
                <c:pt idx="24">
                  <c:v>4.2482198448218096</c:v>
                </c:pt>
                <c:pt idx="25">
                  <c:v>4.27178015517819</c:v>
                </c:pt>
                <c:pt idx="26">
                  <c:v>4.2953701344560482</c:v>
                </c:pt>
                <c:pt idx="27">
                  <c:v>4.3190496463019583</c:v>
                </c:pt>
                <c:pt idx="28">
                  <c:v>4.3428801561320576</c:v>
                </c:pt>
                <c:pt idx="29">
                  <c:v>4.3669258823394879</c:v>
                </c:pt>
                <c:pt idx="30">
                  <c:v>4.3912550804389268</c:v>
                </c:pt>
                <c:pt idx="31">
                  <c:v>4.4159415303244778</c:v>
                </c:pt>
                <c:pt idx="32">
                  <c:v>4.4410663169201392</c:v>
                </c:pt>
                <c:pt idx="33">
                  <c:v>4.4667200255822364</c:v>
                </c:pt>
                <c:pt idx="34">
                  <c:v>4.4930055212868183</c:v>
                </c:pt>
                <c:pt idx="35">
                  <c:v>4.5200415543560704</c:v>
                </c:pt>
                <c:pt idx="36">
                  <c:v>4.5479675514739695</c:v>
                </c:pt>
                <c:pt idx="37">
                  <c:v>4.5769501376529815</c:v>
                </c:pt>
                <c:pt idx="38">
                  <c:v>4.6071922449312934</c:v>
                </c:pt>
                <c:pt idx="39">
                  <c:v>4.6389461962534133</c:v>
                </c:pt>
                <c:pt idx="40">
                  <c:v>4.6725331059228683</c:v>
                </c:pt>
                <c:pt idx="41">
                  <c:v>4.708372726554348</c:v>
                </c:pt>
                <c:pt idx="42">
                  <c:v>4.7470314269011569</c:v>
                </c:pt>
                <c:pt idx="43">
                  <c:v>4.7893035562010517</c:v>
                </c:pt>
                <c:pt idx="44">
                  <c:v>4.8363590274987018</c:v>
                </c:pt>
                <c:pt idx="45">
                  <c:v>4.8900355081207731</c:v>
                </c:pt>
                <c:pt idx="46">
                  <c:v>4.9534904042536487</c:v>
                </c:pt>
                <c:pt idx="47">
                  <c:v>5.0329347752574689</c:v>
                </c:pt>
                <c:pt idx="48">
                  <c:v>5.1438055623930365</c:v>
                </c:pt>
                <c:pt idx="49">
                  <c:v>5.3531764028906492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2-4F0A-B743-0F70225E69FD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versicolor_estymacjanorm!$K$2:$K$51</c:f>
              <c:numCache>
                <c:formatCode>General</c:formatCode>
                <c:ptCount val="50"/>
                <c:pt idx="0">
                  <c:v>3</c:v>
                </c:pt>
                <c:pt idx="1">
                  <c:v>3.3</c:v>
                </c:pt>
                <c:pt idx="2">
                  <c:v>3.3</c:v>
                </c:pt>
                <c:pt idx="3">
                  <c:v>3.5</c:v>
                </c:pt>
                <c:pt idx="4">
                  <c:v>3.5</c:v>
                </c:pt>
                <c:pt idx="5">
                  <c:v>3.6</c:v>
                </c:pt>
                <c:pt idx="6">
                  <c:v>3.7</c:v>
                </c:pt>
                <c:pt idx="7">
                  <c:v>3.8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4.0999999999999996</c:v>
                </c:pt>
                <c:pt idx="17">
                  <c:v>4.0999999999999996</c:v>
                </c:pt>
                <c:pt idx="18">
                  <c:v>4.0999999999999996</c:v>
                </c:pt>
                <c:pt idx="19">
                  <c:v>4.2</c:v>
                </c:pt>
                <c:pt idx="20">
                  <c:v>4.2</c:v>
                </c:pt>
                <c:pt idx="21">
                  <c:v>4.2</c:v>
                </c:pt>
                <c:pt idx="22">
                  <c:v>4.2</c:v>
                </c:pt>
                <c:pt idx="23">
                  <c:v>4.3</c:v>
                </c:pt>
                <c:pt idx="24">
                  <c:v>4.3</c:v>
                </c:pt>
                <c:pt idx="25">
                  <c:v>4.4000000000000004</c:v>
                </c:pt>
                <c:pt idx="26">
                  <c:v>4.4000000000000004</c:v>
                </c:pt>
                <c:pt idx="27">
                  <c:v>4.4000000000000004</c:v>
                </c:pt>
                <c:pt idx="28">
                  <c:v>4.4000000000000004</c:v>
                </c:pt>
                <c:pt idx="29">
                  <c:v>4.5</c:v>
                </c:pt>
                <c:pt idx="30">
                  <c:v>4.5</c:v>
                </c:pt>
                <c:pt idx="31">
                  <c:v>4.5</c:v>
                </c:pt>
                <c:pt idx="32">
                  <c:v>4.5</c:v>
                </c:pt>
                <c:pt idx="33">
                  <c:v>4.5</c:v>
                </c:pt>
                <c:pt idx="34">
                  <c:v>4.5</c:v>
                </c:pt>
                <c:pt idx="35">
                  <c:v>4.5</c:v>
                </c:pt>
                <c:pt idx="36">
                  <c:v>4.5999999999999996</c:v>
                </c:pt>
                <c:pt idx="37">
                  <c:v>4.5999999999999996</c:v>
                </c:pt>
                <c:pt idx="38">
                  <c:v>4.5999999999999996</c:v>
                </c:pt>
                <c:pt idx="39">
                  <c:v>4.7</c:v>
                </c:pt>
                <c:pt idx="40">
                  <c:v>4.7</c:v>
                </c:pt>
                <c:pt idx="41">
                  <c:v>4.7</c:v>
                </c:pt>
                <c:pt idx="42">
                  <c:v>4.7</c:v>
                </c:pt>
                <c:pt idx="43">
                  <c:v>4.7</c:v>
                </c:pt>
                <c:pt idx="44">
                  <c:v>4.8</c:v>
                </c:pt>
                <c:pt idx="45">
                  <c:v>4.8</c:v>
                </c:pt>
                <c:pt idx="46">
                  <c:v>4.9000000000000004</c:v>
                </c:pt>
                <c:pt idx="47">
                  <c:v>4.9000000000000004</c:v>
                </c:pt>
                <c:pt idx="48">
                  <c:v>5</c:v>
                </c:pt>
                <c:pt idx="49">
                  <c:v>5.0999999999999996</c:v>
                </c:pt>
              </c:numCache>
            </c:numRef>
          </c:xVal>
          <c:yVal>
            <c:numRef>
              <c:f>versicolor_estymacjanorm!$K$2:$K$51</c:f>
              <c:numCache>
                <c:formatCode>General</c:formatCode>
                <c:ptCount val="50"/>
                <c:pt idx="0">
                  <c:v>3</c:v>
                </c:pt>
                <c:pt idx="1">
                  <c:v>3.3</c:v>
                </c:pt>
                <c:pt idx="2">
                  <c:v>3.3</c:v>
                </c:pt>
                <c:pt idx="3">
                  <c:v>3.5</c:v>
                </c:pt>
                <c:pt idx="4">
                  <c:v>3.5</c:v>
                </c:pt>
                <c:pt idx="5">
                  <c:v>3.6</c:v>
                </c:pt>
                <c:pt idx="6">
                  <c:v>3.7</c:v>
                </c:pt>
                <c:pt idx="7">
                  <c:v>3.8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4.0999999999999996</c:v>
                </c:pt>
                <c:pt idx="17">
                  <c:v>4.0999999999999996</c:v>
                </c:pt>
                <c:pt idx="18">
                  <c:v>4.0999999999999996</c:v>
                </c:pt>
                <c:pt idx="19">
                  <c:v>4.2</c:v>
                </c:pt>
                <c:pt idx="20">
                  <c:v>4.2</c:v>
                </c:pt>
                <c:pt idx="21">
                  <c:v>4.2</c:v>
                </c:pt>
                <c:pt idx="22">
                  <c:v>4.2</c:v>
                </c:pt>
                <c:pt idx="23">
                  <c:v>4.3</c:v>
                </c:pt>
                <c:pt idx="24">
                  <c:v>4.3</c:v>
                </c:pt>
                <c:pt idx="25">
                  <c:v>4.4000000000000004</c:v>
                </c:pt>
                <c:pt idx="26">
                  <c:v>4.4000000000000004</c:v>
                </c:pt>
                <c:pt idx="27">
                  <c:v>4.4000000000000004</c:v>
                </c:pt>
                <c:pt idx="28">
                  <c:v>4.4000000000000004</c:v>
                </c:pt>
                <c:pt idx="29">
                  <c:v>4.5</c:v>
                </c:pt>
                <c:pt idx="30">
                  <c:v>4.5</c:v>
                </c:pt>
                <c:pt idx="31">
                  <c:v>4.5</c:v>
                </c:pt>
                <c:pt idx="32">
                  <c:v>4.5</c:v>
                </c:pt>
                <c:pt idx="33">
                  <c:v>4.5</c:v>
                </c:pt>
                <c:pt idx="34">
                  <c:v>4.5</c:v>
                </c:pt>
                <c:pt idx="35">
                  <c:v>4.5</c:v>
                </c:pt>
                <c:pt idx="36">
                  <c:v>4.5999999999999996</c:v>
                </c:pt>
                <c:pt idx="37">
                  <c:v>4.5999999999999996</c:v>
                </c:pt>
                <c:pt idx="38">
                  <c:v>4.5999999999999996</c:v>
                </c:pt>
                <c:pt idx="39">
                  <c:v>4.7</c:v>
                </c:pt>
                <c:pt idx="40">
                  <c:v>4.7</c:v>
                </c:pt>
                <c:pt idx="41">
                  <c:v>4.7</c:v>
                </c:pt>
                <c:pt idx="42">
                  <c:v>4.7</c:v>
                </c:pt>
                <c:pt idx="43">
                  <c:v>4.7</c:v>
                </c:pt>
                <c:pt idx="44">
                  <c:v>4.8</c:v>
                </c:pt>
                <c:pt idx="45">
                  <c:v>4.8</c:v>
                </c:pt>
                <c:pt idx="46">
                  <c:v>4.9000000000000004</c:v>
                </c:pt>
                <c:pt idx="47">
                  <c:v>4.9000000000000004</c:v>
                </c:pt>
                <c:pt idx="48">
                  <c:v>5</c:v>
                </c:pt>
                <c:pt idx="49">
                  <c:v>5.0999999999999996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82-4F0A-B743-0F70225E6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8009632"/>
        <c:axId val="701379856"/>
      </c:scatterChart>
      <c:valAx>
        <c:axId val="848009632"/>
        <c:scaling>
          <c:orientation val="minMax"/>
          <c:min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01379856"/>
        <c:crosses val="autoZero"/>
        <c:crossBetween val="midCat"/>
      </c:valAx>
      <c:valAx>
        <c:axId val="701379856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48009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Estymacja gęstości - wpływ szerokości pasma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6.5869917399455982E-2"/>
          <c:y val="0.11939076414331007"/>
          <c:w val="0.8967902759761972"/>
          <c:h val="0.65716260214523303"/>
        </c:manualLayout>
      </c:layout>
      <c:lineChart>
        <c:grouping val="standard"/>
        <c:varyColors val="0"/>
        <c:ser>
          <c:idx val="0"/>
          <c:order val="0"/>
          <c:tx>
            <c:v>Normalny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versicolor_estymacjagęstości!$K$3:$K$302</c:f>
              <c:numCache>
                <c:formatCode>General</c:formatCode>
                <c:ptCount val="300"/>
                <c:pt idx="0">
                  <c:v>3</c:v>
                </c:pt>
                <c:pt idx="1">
                  <c:v>3.0070234113712373</c:v>
                </c:pt>
                <c:pt idx="2">
                  <c:v>3.0140468227424746</c:v>
                </c:pt>
                <c:pt idx="3">
                  <c:v>3.0210702341137119</c:v>
                </c:pt>
                <c:pt idx="4">
                  <c:v>3.0280936454849492</c:v>
                </c:pt>
                <c:pt idx="5">
                  <c:v>3.0351170568561865</c:v>
                </c:pt>
                <c:pt idx="6">
                  <c:v>3.0421404682274238</c:v>
                </c:pt>
                <c:pt idx="7">
                  <c:v>3.0491638795986611</c:v>
                </c:pt>
                <c:pt idx="8">
                  <c:v>3.0561872909698984</c:v>
                </c:pt>
                <c:pt idx="9">
                  <c:v>3.0632107023411357</c:v>
                </c:pt>
                <c:pt idx="10">
                  <c:v>3.070234113712373</c:v>
                </c:pt>
                <c:pt idx="11">
                  <c:v>3.0772575250836103</c:v>
                </c:pt>
                <c:pt idx="12">
                  <c:v>3.0842809364548476</c:v>
                </c:pt>
                <c:pt idx="13">
                  <c:v>3.0913043478260849</c:v>
                </c:pt>
                <c:pt idx="14">
                  <c:v>3.0983277591973222</c:v>
                </c:pt>
                <c:pt idx="15">
                  <c:v>3.1053511705685595</c:v>
                </c:pt>
                <c:pt idx="16">
                  <c:v>3.1123745819397968</c:v>
                </c:pt>
                <c:pt idx="17">
                  <c:v>3.1193979933110341</c:v>
                </c:pt>
                <c:pt idx="18">
                  <c:v>3.1264214046822714</c:v>
                </c:pt>
                <c:pt idx="19">
                  <c:v>3.1334448160535087</c:v>
                </c:pt>
                <c:pt idx="20">
                  <c:v>3.140468227424746</c:v>
                </c:pt>
                <c:pt idx="21">
                  <c:v>3.1474916387959833</c:v>
                </c:pt>
                <c:pt idx="22">
                  <c:v>3.1545150501672206</c:v>
                </c:pt>
                <c:pt idx="23">
                  <c:v>3.1615384615384579</c:v>
                </c:pt>
                <c:pt idx="24">
                  <c:v>3.1685618729096952</c:v>
                </c:pt>
                <c:pt idx="25">
                  <c:v>3.1755852842809325</c:v>
                </c:pt>
                <c:pt idx="26">
                  <c:v>3.1826086956521698</c:v>
                </c:pt>
                <c:pt idx="27">
                  <c:v>3.189632107023407</c:v>
                </c:pt>
                <c:pt idx="28">
                  <c:v>3.1966555183946443</c:v>
                </c:pt>
                <c:pt idx="29">
                  <c:v>3.2036789297658816</c:v>
                </c:pt>
                <c:pt idx="30">
                  <c:v>3.2107023411371189</c:v>
                </c:pt>
                <c:pt idx="31">
                  <c:v>3.2177257525083562</c:v>
                </c:pt>
                <c:pt idx="32">
                  <c:v>3.2247491638795935</c:v>
                </c:pt>
                <c:pt idx="33">
                  <c:v>3.2317725752508308</c:v>
                </c:pt>
                <c:pt idx="34">
                  <c:v>3.2387959866220681</c:v>
                </c:pt>
                <c:pt idx="35">
                  <c:v>3.2458193979933054</c:v>
                </c:pt>
                <c:pt idx="36">
                  <c:v>3.2528428093645427</c:v>
                </c:pt>
                <c:pt idx="37">
                  <c:v>3.25986622073578</c:v>
                </c:pt>
                <c:pt idx="38">
                  <c:v>3.2668896321070173</c:v>
                </c:pt>
                <c:pt idx="39">
                  <c:v>3.2739130434782546</c:v>
                </c:pt>
                <c:pt idx="40">
                  <c:v>3.2809364548494919</c:v>
                </c:pt>
                <c:pt idx="41">
                  <c:v>3.2879598662207292</c:v>
                </c:pt>
                <c:pt idx="42">
                  <c:v>3.2949832775919665</c:v>
                </c:pt>
                <c:pt idx="43">
                  <c:v>3.3020066889632038</c:v>
                </c:pt>
                <c:pt idx="44">
                  <c:v>3.3090301003344411</c:v>
                </c:pt>
                <c:pt idx="45">
                  <c:v>3.3160535117056784</c:v>
                </c:pt>
                <c:pt idx="46">
                  <c:v>3.3230769230769157</c:v>
                </c:pt>
                <c:pt idx="47">
                  <c:v>3.330100334448153</c:v>
                </c:pt>
                <c:pt idx="48">
                  <c:v>3.3371237458193903</c:v>
                </c:pt>
                <c:pt idx="49">
                  <c:v>3.3441471571906276</c:v>
                </c:pt>
                <c:pt idx="50">
                  <c:v>3.3511705685618649</c:v>
                </c:pt>
                <c:pt idx="51">
                  <c:v>3.3581939799331022</c:v>
                </c:pt>
                <c:pt idx="52">
                  <c:v>3.3652173913043395</c:v>
                </c:pt>
                <c:pt idx="53">
                  <c:v>3.3722408026755768</c:v>
                </c:pt>
                <c:pt idx="54">
                  <c:v>3.3792642140468141</c:v>
                </c:pt>
                <c:pt idx="55">
                  <c:v>3.3862876254180514</c:v>
                </c:pt>
                <c:pt idx="56">
                  <c:v>3.3933110367892887</c:v>
                </c:pt>
                <c:pt idx="57">
                  <c:v>3.400334448160526</c:v>
                </c:pt>
                <c:pt idx="58">
                  <c:v>3.4073578595317633</c:v>
                </c:pt>
                <c:pt idx="59">
                  <c:v>3.4143812709030006</c:v>
                </c:pt>
                <c:pt idx="60">
                  <c:v>3.4214046822742379</c:v>
                </c:pt>
                <c:pt idx="61">
                  <c:v>3.4284280936454752</c:v>
                </c:pt>
                <c:pt idx="62">
                  <c:v>3.4354515050167125</c:v>
                </c:pt>
                <c:pt idx="63">
                  <c:v>3.4424749163879498</c:v>
                </c:pt>
                <c:pt idx="64">
                  <c:v>3.4494983277591871</c:v>
                </c:pt>
                <c:pt idx="65">
                  <c:v>3.4565217391304244</c:v>
                </c:pt>
                <c:pt idx="66">
                  <c:v>3.4635451505016617</c:v>
                </c:pt>
                <c:pt idx="67">
                  <c:v>3.470568561872899</c:v>
                </c:pt>
                <c:pt idx="68">
                  <c:v>3.4775919732441363</c:v>
                </c:pt>
                <c:pt idx="69">
                  <c:v>3.4846153846153736</c:v>
                </c:pt>
                <c:pt idx="70">
                  <c:v>3.4916387959866109</c:v>
                </c:pt>
                <c:pt idx="71">
                  <c:v>3.4986622073578482</c:v>
                </c:pt>
                <c:pt idx="72">
                  <c:v>3.5056856187290855</c:v>
                </c:pt>
                <c:pt idx="73">
                  <c:v>3.5127090301003228</c:v>
                </c:pt>
                <c:pt idx="74">
                  <c:v>3.5197324414715601</c:v>
                </c:pt>
                <c:pt idx="75">
                  <c:v>3.5267558528427974</c:v>
                </c:pt>
                <c:pt idx="76">
                  <c:v>3.5337792642140347</c:v>
                </c:pt>
                <c:pt idx="77">
                  <c:v>3.540802675585272</c:v>
                </c:pt>
                <c:pt idx="78">
                  <c:v>3.5478260869565093</c:v>
                </c:pt>
                <c:pt idx="79">
                  <c:v>3.5548494983277465</c:v>
                </c:pt>
                <c:pt idx="80">
                  <c:v>3.5618729096989838</c:v>
                </c:pt>
                <c:pt idx="81">
                  <c:v>3.5688963210702211</c:v>
                </c:pt>
                <c:pt idx="82">
                  <c:v>3.5759197324414584</c:v>
                </c:pt>
                <c:pt idx="83">
                  <c:v>3.5829431438126957</c:v>
                </c:pt>
                <c:pt idx="84">
                  <c:v>3.589966555183933</c:v>
                </c:pt>
                <c:pt idx="85">
                  <c:v>3.5969899665551703</c:v>
                </c:pt>
                <c:pt idx="86">
                  <c:v>3.6040133779264076</c:v>
                </c:pt>
                <c:pt idx="87">
                  <c:v>3.6110367892976449</c:v>
                </c:pt>
                <c:pt idx="88">
                  <c:v>3.6180602006688822</c:v>
                </c:pt>
                <c:pt idx="89">
                  <c:v>3.6250836120401195</c:v>
                </c:pt>
                <c:pt idx="90">
                  <c:v>3.6321070234113568</c:v>
                </c:pt>
                <c:pt idx="91">
                  <c:v>3.6391304347825941</c:v>
                </c:pt>
                <c:pt idx="92">
                  <c:v>3.6461538461538314</c:v>
                </c:pt>
                <c:pt idx="93">
                  <c:v>3.6531772575250687</c:v>
                </c:pt>
                <c:pt idx="94">
                  <c:v>3.660200668896306</c:v>
                </c:pt>
                <c:pt idx="95">
                  <c:v>3.6672240802675433</c:v>
                </c:pt>
                <c:pt idx="96">
                  <c:v>3.6742474916387806</c:v>
                </c:pt>
                <c:pt idx="97">
                  <c:v>3.6812709030100179</c:v>
                </c:pt>
                <c:pt idx="98">
                  <c:v>3.6882943143812552</c:v>
                </c:pt>
                <c:pt idx="99">
                  <c:v>3.6953177257524925</c:v>
                </c:pt>
                <c:pt idx="100">
                  <c:v>3.7023411371237298</c:v>
                </c:pt>
                <c:pt idx="101">
                  <c:v>3.7093645484949671</c:v>
                </c:pt>
                <c:pt idx="102">
                  <c:v>3.7163879598662044</c:v>
                </c:pt>
                <c:pt idx="103">
                  <c:v>3.7234113712374417</c:v>
                </c:pt>
                <c:pt idx="104">
                  <c:v>3.730434782608679</c:v>
                </c:pt>
                <c:pt idx="105">
                  <c:v>3.7374581939799163</c:v>
                </c:pt>
                <c:pt idx="106">
                  <c:v>3.7444816053511536</c:v>
                </c:pt>
                <c:pt idx="107">
                  <c:v>3.7515050167223909</c:v>
                </c:pt>
                <c:pt idx="108">
                  <c:v>3.7585284280936282</c:v>
                </c:pt>
                <c:pt idx="109">
                  <c:v>3.7655518394648655</c:v>
                </c:pt>
                <c:pt idx="110">
                  <c:v>3.7725752508361028</c:v>
                </c:pt>
                <c:pt idx="111">
                  <c:v>3.7795986622073401</c:v>
                </c:pt>
                <c:pt idx="112">
                  <c:v>3.7866220735785774</c:v>
                </c:pt>
                <c:pt idx="113">
                  <c:v>3.7936454849498147</c:v>
                </c:pt>
                <c:pt idx="114">
                  <c:v>3.800668896321052</c:v>
                </c:pt>
                <c:pt idx="115">
                  <c:v>3.8076923076922893</c:v>
                </c:pt>
                <c:pt idx="116">
                  <c:v>3.8147157190635266</c:v>
                </c:pt>
                <c:pt idx="117">
                  <c:v>3.8217391304347639</c:v>
                </c:pt>
                <c:pt idx="118">
                  <c:v>3.8287625418060012</c:v>
                </c:pt>
                <c:pt idx="119">
                  <c:v>3.8357859531772385</c:v>
                </c:pt>
                <c:pt idx="120">
                  <c:v>3.8428093645484758</c:v>
                </c:pt>
                <c:pt idx="121">
                  <c:v>3.8498327759197131</c:v>
                </c:pt>
                <c:pt idx="122">
                  <c:v>3.8568561872909504</c:v>
                </c:pt>
                <c:pt idx="123">
                  <c:v>3.8638795986621877</c:v>
                </c:pt>
                <c:pt idx="124">
                  <c:v>3.870903010033425</c:v>
                </c:pt>
                <c:pt idx="125">
                  <c:v>3.8779264214046623</c:v>
                </c:pt>
                <c:pt idx="126">
                  <c:v>3.8849498327758996</c:v>
                </c:pt>
                <c:pt idx="127">
                  <c:v>3.8919732441471369</c:v>
                </c:pt>
                <c:pt idx="128">
                  <c:v>3.8989966555183742</c:v>
                </c:pt>
                <c:pt idx="129">
                  <c:v>3.9060200668896115</c:v>
                </c:pt>
                <c:pt idx="130">
                  <c:v>3.9130434782608488</c:v>
                </c:pt>
                <c:pt idx="131">
                  <c:v>3.920066889632086</c:v>
                </c:pt>
                <c:pt idx="132">
                  <c:v>3.9270903010033233</c:v>
                </c:pt>
                <c:pt idx="133">
                  <c:v>3.9341137123745606</c:v>
                </c:pt>
                <c:pt idx="134">
                  <c:v>3.9411371237457979</c:v>
                </c:pt>
                <c:pt idx="135">
                  <c:v>3.9481605351170352</c:v>
                </c:pt>
                <c:pt idx="136">
                  <c:v>3.9551839464882725</c:v>
                </c:pt>
                <c:pt idx="137">
                  <c:v>3.9622073578595098</c:v>
                </c:pt>
                <c:pt idx="138">
                  <c:v>3.9692307692307471</c:v>
                </c:pt>
                <c:pt idx="139">
                  <c:v>3.9762541806019844</c:v>
                </c:pt>
                <c:pt idx="140">
                  <c:v>3.9832775919732217</c:v>
                </c:pt>
                <c:pt idx="141">
                  <c:v>3.990301003344459</c:v>
                </c:pt>
                <c:pt idx="142">
                  <c:v>3.9973244147156963</c:v>
                </c:pt>
                <c:pt idx="143">
                  <c:v>4.0043478260869341</c:v>
                </c:pt>
                <c:pt idx="144">
                  <c:v>4.0113712374581718</c:v>
                </c:pt>
                <c:pt idx="145">
                  <c:v>4.0183946488294096</c:v>
                </c:pt>
                <c:pt idx="146">
                  <c:v>4.0254180602006473</c:v>
                </c:pt>
                <c:pt idx="147">
                  <c:v>4.032441471571885</c:v>
                </c:pt>
                <c:pt idx="148">
                  <c:v>4.0394648829431228</c:v>
                </c:pt>
                <c:pt idx="149">
                  <c:v>4.0464882943143605</c:v>
                </c:pt>
                <c:pt idx="150">
                  <c:v>4.0535117056855983</c:v>
                </c:pt>
                <c:pt idx="151">
                  <c:v>4.060535117056836</c:v>
                </c:pt>
                <c:pt idx="152">
                  <c:v>4.0675585284280737</c:v>
                </c:pt>
                <c:pt idx="153">
                  <c:v>4.0745819397993115</c:v>
                </c:pt>
                <c:pt idx="154">
                  <c:v>4.0816053511705492</c:v>
                </c:pt>
                <c:pt idx="155">
                  <c:v>4.088628762541787</c:v>
                </c:pt>
                <c:pt idx="156">
                  <c:v>4.0956521739130247</c:v>
                </c:pt>
                <c:pt idx="157">
                  <c:v>4.1026755852842625</c:v>
                </c:pt>
                <c:pt idx="158">
                  <c:v>4.1096989966555002</c:v>
                </c:pt>
                <c:pt idx="159">
                  <c:v>4.1167224080267379</c:v>
                </c:pt>
                <c:pt idx="160">
                  <c:v>4.1237458193979757</c:v>
                </c:pt>
                <c:pt idx="161">
                  <c:v>4.1307692307692134</c:v>
                </c:pt>
                <c:pt idx="162">
                  <c:v>4.1377926421404512</c:v>
                </c:pt>
                <c:pt idx="163">
                  <c:v>4.1448160535116889</c:v>
                </c:pt>
                <c:pt idx="164">
                  <c:v>4.1518394648829267</c:v>
                </c:pt>
                <c:pt idx="165">
                  <c:v>4.1588628762541644</c:v>
                </c:pt>
                <c:pt idx="166">
                  <c:v>4.1658862876254021</c:v>
                </c:pt>
                <c:pt idx="167">
                  <c:v>4.1729096989966399</c:v>
                </c:pt>
                <c:pt idx="168">
                  <c:v>4.1799331103678776</c:v>
                </c:pt>
                <c:pt idx="169">
                  <c:v>4.1869565217391154</c:v>
                </c:pt>
                <c:pt idx="170">
                  <c:v>4.1939799331103531</c:v>
                </c:pt>
                <c:pt idx="171">
                  <c:v>4.2010033444815909</c:v>
                </c:pt>
                <c:pt idx="172">
                  <c:v>4.2080267558528286</c:v>
                </c:pt>
                <c:pt idx="173">
                  <c:v>4.2150501672240663</c:v>
                </c:pt>
                <c:pt idx="174">
                  <c:v>4.2220735785953041</c:v>
                </c:pt>
                <c:pt idx="175">
                  <c:v>4.2290969899665418</c:v>
                </c:pt>
                <c:pt idx="176">
                  <c:v>4.2361204013377796</c:v>
                </c:pt>
                <c:pt idx="177">
                  <c:v>4.2431438127090173</c:v>
                </c:pt>
                <c:pt idx="178">
                  <c:v>4.250167224080255</c:v>
                </c:pt>
                <c:pt idx="179">
                  <c:v>4.2571906354514928</c:v>
                </c:pt>
                <c:pt idx="180">
                  <c:v>4.2642140468227305</c:v>
                </c:pt>
                <c:pt idx="181">
                  <c:v>4.2712374581939683</c:v>
                </c:pt>
                <c:pt idx="182">
                  <c:v>4.278260869565206</c:v>
                </c:pt>
                <c:pt idx="183">
                  <c:v>4.2852842809364438</c:v>
                </c:pt>
                <c:pt idx="184">
                  <c:v>4.2923076923076815</c:v>
                </c:pt>
                <c:pt idx="185">
                  <c:v>4.2993311036789192</c:v>
                </c:pt>
                <c:pt idx="186">
                  <c:v>4.306354515050157</c:v>
                </c:pt>
                <c:pt idx="187">
                  <c:v>4.3133779264213947</c:v>
                </c:pt>
                <c:pt idx="188">
                  <c:v>4.3204013377926325</c:v>
                </c:pt>
                <c:pt idx="189">
                  <c:v>4.3274247491638702</c:v>
                </c:pt>
                <c:pt idx="190">
                  <c:v>4.334448160535108</c:v>
                </c:pt>
                <c:pt idx="191">
                  <c:v>4.3414715719063457</c:v>
                </c:pt>
                <c:pt idx="192">
                  <c:v>4.3484949832775834</c:v>
                </c:pt>
                <c:pt idx="193">
                  <c:v>4.3555183946488212</c:v>
                </c:pt>
                <c:pt idx="194">
                  <c:v>4.3625418060200589</c:v>
                </c:pt>
                <c:pt idx="195">
                  <c:v>4.3695652173912967</c:v>
                </c:pt>
                <c:pt idx="196">
                  <c:v>4.3765886287625344</c:v>
                </c:pt>
                <c:pt idx="197">
                  <c:v>4.3836120401337721</c:v>
                </c:pt>
                <c:pt idx="198">
                  <c:v>4.3906354515050099</c:v>
                </c:pt>
                <c:pt idx="199">
                  <c:v>4.3976588628762476</c:v>
                </c:pt>
                <c:pt idx="200">
                  <c:v>4.4046822742474854</c:v>
                </c:pt>
                <c:pt idx="201">
                  <c:v>4.4117056856187231</c:v>
                </c:pt>
                <c:pt idx="202">
                  <c:v>4.4187290969899609</c:v>
                </c:pt>
                <c:pt idx="203">
                  <c:v>4.4257525083611986</c:v>
                </c:pt>
                <c:pt idx="204">
                  <c:v>4.4327759197324363</c:v>
                </c:pt>
                <c:pt idx="205">
                  <c:v>4.4397993311036741</c:v>
                </c:pt>
                <c:pt idx="206">
                  <c:v>4.4468227424749118</c:v>
                </c:pt>
                <c:pt idx="207">
                  <c:v>4.4538461538461496</c:v>
                </c:pt>
                <c:pt idx="208">
                  <c:v>4.4608695652173873</c:v>
                </c:pt>
                <c:pt idx="209">
                  <c:v>4.4678929765886251</c:v>
                </c:pt>
                <c:pt idx="210">
                  <c:v>4.4749163879598628</c:v>
                </c:pt>
                <c:pt idx="211">
                  <c:v>4.4819397993311005</c:v>
                </c:pt>
                <c:pt idx="212">
                  <c:v>4.4889632107023383</c:v>
                </c:pt>
                <c:pt idx="213">
                  <c:v>4.495986622073576</c:v>
                </c:pt>
                <c:pt idx="214">
                  <c:v>4.5030100334448138</c:v>
                </c:pt>
                <c:pt idx="215">
                  <c:v>4.5100334448160515</c:v>
                </c:pt>
                <c:pt idx="216">
                  <c:v>4.5170568561872892</c:v>
                </c:pt>
                <c:pt idx="217">
                  <c:v>4.524080267558527</c:v>
                </c:pt>
                <c:pt idx="218">
                  <c:v>4.5311036789297647</c:v>
                </c:pt>
                <c:pt idx="219">
                  <c:v>4.5381270903010025</c:v>
                </c:pt>
                <c:pt idx="220">
                  <c:v>4.5451505016722402</c:v>
                </c:pt>
                <c:pt idx="221">
                  <c:v>4.552173913043478</c:v>
                </c:pt>
                <c:pt idx="222">
                  <c:v>4.5591973244147157</c:v>
                </c:pt>
                <c:pt idx="223">
                  <c:v>4.5662207357859534</c:v>
                </c:pt>
                <c:pt idx="224">
                  <c:v>4.5732441471571912</c:v>
                </c:pt>
                <c:pt idx="225">
                  <c:v>4.5802675585284289</c:v>
                </c:pt>
                <c:pt idx="226">
                  <c:v>4.5872909698996667</c:v>
                </c:pt>
                <c:pt idx="227">
                  <c:v>4.5943143812709044</c:v>
                </c:pt>
                <c:pt idx="228">
                  <c:v>4.6013377926421422</c:v>
                </c:pt>
                <c:pt idx="229">
                  <c:v>4.6083612040133799</c:v>
                </c:pt>
                <c:pt idx="230">
                  <c:v>4.6153846153846176</c:v>
                </c:pt>
                <c:pt idx="231">
                  <c:v>4.6224080267558554</c:v>
                </c:pt>
                <c:pt idx="232">
                  <c:v>4.6294314381270931</c:v>
                </c:pt>
                <c:pt idx="233">
                  <c:v>4.6364548494983309</c:v>
                </c:pt>
                <c:pt idx="234">
                  <c:v>4.6434782608695686</c:v>
                </c:pt>
                <c:pt idx="235">
                  <c:v>4.6505016722408064</c:v>
                </c:pt>
                <c:pt idx="236">
                  <c:v>4.6575250836120441</c:v>
                </c:pt>
                <c:pt idx="237">
                  <c:v>4.6645484949832818</c:v>
                </c:pt>
                <c:pt idx="238">
                  <c:v>4.6715719063545196</c:v>
                </c:pt>
                <c:pt idx="239">
                  <c:v>4.6785953177257573</c:v>
                </c:pt>
                <c:pt idx="240">
                  <c:v>4.6856187290969951</c:v>
                </c:pt>
                <c:pt idx="241">
                  <c:v>4.6926421404682328</c:v>
                </c:pt>
                <c:pt idx="242">
                  <c:v>4.6996655518394705</c:v>
                </c:pt>
                <c:pt idx="243">
                  <c:v>4.7066889632107083</c:v>
                </c:pt>
                <c:pt idx="244">
                  <c:v>4.713712374581946</c:v>
                </c:pt>
                <c:pt idx="245">
                  <c:v>4.7207357859531838</c:v>
                </c:pt>
                <c:pt idx="246">
                  <c:v>4.7277591973244215</c:v>
                </c:pt>
                <c:pt idx="247">
                  <c:v>4.7347826086956593</c:v>
                </c:pt>
                <c:pt idx="248">
                  <c:v>4.741806020066897</c:v>
                </c:pt>
                <c:pt idx="249">
                  <c:v>4.7488294314381347</c:v>
                </c:pt>
                <c:pt idx="250">
                  <c:v>4.7558528428093725</c:v>
                </c:pt>
                <c:pt idx="251">
                  <c:v>4.7628762541806102</c:v>
                </c:pt>
                <c:pt idx="252">
                  <c:v>4.769899665551848</c:v>
                </c:pt>
                <c:pt idx="253">
                  <c:v>4.7769230769230857</c:v>
                </c:pt>
                <c:pt idx="254">
                  <c:v>4.7839464882943235</c:v>
                </c:pt>
                <c:pt idx="255">
                  <c:v>4.7909698996655612</c:v>
                </c:pt>
                <c:pt idx="256">
                  <c:v>4.7979933110367989</c:v>
                </c:pt>
                <c:pt idx="257">
                  <c:v>4.8050167224080367</c:v>
                </c:pt>
                <c:pt idx="258">
                  <c:v>4.8120401337792744</c:v>
                </c:pt>
                <c:pt idx="259">
                  <c:v>4.8190635451505122</c:v>
                </c:pt>
                <c:pt idx="260">
                  <c:v>4.8260869565217499</c:v>
                </c:pt>
                <c:pt idx="261">
                  <c:v>4.8331103678929876</c:v>
                </c:pt>
                <c:pt idx="262">
                  <c:v>4.8401337792642254</c:v>
                </c:pt>
                <c:pt idx="263">
                  <c:v>4.8471571906354631</c:v>
                </c:pt>
                <c:pt idx="264">
                  <c:v>4.8541806020067009</c:v>
                </c:pt>
                <c:pt idx="265">
                  <c:v>4.8612040133779386</c:v>
                </c:pt>
                <c:pt idx="266">
                  <c:v>4.8682274247491764</c:v>
                </c:pt>
                <c:pt idx="267">
                  <c:v>4.8752508361204141</c:v>
                </c:pt>
                <c:pt idx="268">
                  <c:v>4.8822742474916518</c:v>
                </c:pt>
                <c:pt idx="269">
                  <c:v>4.8892976588628896</c:v>
                </c:pt>
                <c:pt idx="270">
                  <c:v>4.8963210702341273</c:v>
                </c:pt>
                <c:pt idx="271">
                  <c:v>4.9033444816053651</c:v>
                </c:pt>
                <c:pt idx="272">
                  <c:v>4.9103678929766028</c:v>
                </c:pt>
                <c:pt idx="273">
                  <c:v>4.9173913043478406</c:v>
                </c:pt>
                <c:pt idx="274">
                  <c:v>4.9244147157190783</c:v>
                </c:pt>
                <c:pt idx="275">
                  <c:v>4.931438127090316</c:v>
                </c:pt>
                <c:pt idx="276">
                  <c:v>4.9384615384615538</c:v>
                </c:pt>
                <c:pt idx="277">
                  <c:v>4.9454849498327915</c:v>
                </c:pt>
                <c:pt idx="278">
                  <c:v>4.9525083612040293</c:v>
                </c:pt>
                <c:pt idx="279">
                  <c:v>4.959531772575267</c:v>
                </c:pt>
                <c:pt idx="280">
                  <c:v>4.9665551839465047</c:v>
                </c:pt>
                <c:pt idx="281">
                  <c:v>4.9735785953177425</c:v>
                </c:pt>
                <c:pt idx="282">
                  <c:v>4.9806020066889802</c:v>
                </c:pt>
                <c:pt idx="283">
                  <c:v>4.987625418060218</c:v>
                </c:pt>
                <c:pt idx="284">
                  <c:v>4.9946488294314557</c:v>
                </c:pt>
                <c:pt idx="285">
                  <c:v>5.0016722408026935</c:v>
                </c:pt>
                <c:pt idx="286">
                  <c:v>5.0086956521739312</c:v>
                </c:pt>
                <c:pt idx="287">
                  <c:v>5.0157190635451689</c:v>
                </c:pt>
                <c:pt idx="288">
                  <c:v>5.0227424749164067</c:v>
                </c:pt>
                <c:pt idx="289">
                  <c:v>5.0297658862876444</c:v>
                </c:pt>
                <c:pt idx="290">
                  <c:v>5.0367892976588822</c:v>
                </c:pt>
                <c:pt idx="291">
                  <c:v>5.0438127090301199</c:v>
                </c:pt>
                <c:pt idx="292">
                  <c:v>5.0508361204013577</c:v>
                </c:pt>
                <c:pt idx="293">
                  <c:v>5.0578595317725954</c:v>
                </c:pt>
                <c:pt idx="294">
                  <c:v>5.0648829431438331</c:v>
                </c:pt>
                <c:pt idx="295">
                  <c:v>5.0719063545150709</c:v>
                </c:pt>
                <c:pt idx="296">
                  <c:v>5.0789297658863086</c:v>
                </c:pt>
                <c:pt idx="297">
                  <c:v>5.0859531772575464</c:v>
                </c:pt>
                <c:pt idx="298">
                  <c:v>5.0929765886287841</c:v>
                </c:pt>
                <c:pt idx="299">
                  <c:v>5.1000000000000218</c:v>
                </c:pt>
              </c:numCache>
            </c:numRef>
          </c:cat>
          <c:val>
            <c:numRef>
              <c:f>versicolor_estymacjagęstości!$L$3:$L$302</c:f>
              <c:numCache>
                <c:formatCode>General</c:formatCode>
                <c:ptCount val="300"/>
                <c:pt idx="0">
                  <c:v>2.3317073828917807E-2</c:v>
                </c:pt>
                <c:pt idx="1">
                  <c:v>2.4267802349751656E-2</c:v>
                </c:pt>
                <c:pt idx="2">
                  <c:v>2.5251654185881645E-2</c:v>
                </c:pt>
                <c:pt idx="3">
                  <c:v>2.6269523777569477E-2</c:v>
                </c:pt>
                <c:pt idx="4">
                  <c:v>2.7322318468520672E-2</c:v>
                </c:pt>
                <c:pt idx="5">
                  <c:v>2.8410958199108598E-2</c:v>
                </c:pt>
                <c:pt idx="6">
                  <c:v>2.9536375172921653E-2</c:v>
                </c:pt>
                <c:pt idx="7">
                  <c:v>3.0699513496020219E-2</c:v>
                </c:pt>
                <c:pt idx="8">
                  <c:v>3.1901328788309466E-2</c:v>
                </c:pt>
                <c:pt idx="9">
                  <c:v>3.3142787766454171E-2</c:v>
                </c:pt>
                <c:pt idx="10">
                  <c:v>3.4424867797785086E-2</c:v>
                </c:pt>
                <c:pt idx="11">
                  <c:v>3.5748556424670661E-2</c:v>
                </c:pt>
                <c:pt idx="12">
                  <c:v>3.7114850858854805E-2</c:v>
                </c:pt>
                <c:pt idx="13">
                  <c:v>3.852475744528925E-2</c:v>
                </c:pt>
                <c:pt idx="14">
                  <c:v>3.997929109501993E-2</c:v>
                </c:pt>
                <c:pt idx="15">
                  <c:v>4.1479474686719787E-2</c:v>
                </c:pt>
                <c:pt idx="16">
                  <c:v>4.3026338436493131E-2</c:v>
                </c:pt>
                <c:pt idx="17">
                  <c:v>4.4620919235614787E-2</c:v>
                </c:pt>
                <c:pt idx="18">
                  <c:v>4.6264259955904857E-2</c:v>
                </c:pt>
                <c:pt idx="19">
                  <c:v>4.795740872248011E-2</c:v>
                </c:pt>
                <c:pt idx="20">
                  <c:v>4.9701418153665904E-2</c:v>
                </c:pt>
                <c:pt idx="21">
                  <c:v>5.1497344567895863E-2</c:v>
                </c:pt>
                <c:pt idx="22">
                  <c:v>5.3346247157474609E-2</c:v>
                </c:pt>
                <c:pt idx="23">
                  <c:v>5.5249187129124376E-2</c:v>
                </c:pt>
                <c:pt idx="24">
                  <c:v>5.7207226811288661E-2</c:v>
                </c:pt>
                <c:pt idx="25">
                  <c:v>5.922142872821691E-2</c:v>
                </c:pt>
                <c:pt idx="26">
                  <c:v>6.1292854640908306E-2</c:v>
                </c:pt>
                <c:pt idx="27">
                  <c:v>6.3422564555047425E-2</c:v>
                </c:pt>
                <c:pt idx="28">
                  <c:v>6.5611615696123268E-2</c:v>
                </c:pt>
                <c:pt idx="29">
                  <c:v>6.7861061451980453E-2</c:v>
                </c:pt>
                <c:pt idx="30">
                  <c:v>7.0171950283113196E-2</c:v>
                </c:pt>
                <c:pt idx="31">
                  <c:v>7.2545324601073283E-2</c:v>
                </c:pt>
                <c:pt idx="32">
                  <c:v>7.4982219615428447E-2</c:v>
                </c:pt>
                <c:pt idx="33">
                  <c:v>7.748366214977094E-2</c:v>
                </c:pt>
                <c:pt idx="34">
                  <c:v>8.0050669427343193E-2</c:v>
                </c:pt>
                <c:pt idx="35">
                  <c:v>8.2684247826914276E-2</c:v>
                </c:pt>
                <c:pt idx="36">
                  <c:v>8.5385391609610006E-2</c:v>
                </c:pt>
                <c:pt idx="37">
                  <c:v>8.815508161746842E-2</c:v>
                </c:pt>
                <c:pt idx="38">
                  <c:v>9.0994283944562937E-2</c:v>
                </c:pt>
                <c:pt idx="39">
                  <c:v>9.3903948581606916E-2</c:v>
                </c:pt>
                <c:pt idx="40">
                  <c:v>9.6885008035025172E-2</c:v>
                </c:pt>
                <c:pt idx="41">
                  <c:v>9.9938375921550471E-2</c:v>
                </c:pt>
                <c:pt idx="42">
                  <c:v>0.10306494553947443</c:v>
                </c:pt>
                <c:pt idx="43">
                  <c:v>0.106265588417759</c:v>
                </c:pt>
                <c:pt idx="44">
                  <c:v>0.10954115284428302</c:v>
                </c:pt>
                <c:pt idx="45">
                  <c:v>0.11289246237457541</c:v>
                </c:pt>
                <c:pt idx="46">
                  <c:v>0.11632031432245835</c:v>
                </c:pt>
                <c:pt idx="47">
                  <c:v>0.11982547823409562</c:v>
                </c:pt>
                <c:pt idx="48">
                  <c:v>0.1234086943470151</c:v>
                </c:pt>
                <c:pt idx="49">
                  <c:v>0.12707067203574549</c:v>
                </c:pt>
                <c:pt idx="50">
                  <c:v>0.13081208824577728</c:v>
                </c:pt>
                <c:pt idx="51">
                  <c:v>0.13463358591762881</c:v>
                </c:pt>
                <c:pt idx="52">
                  <c:v>0.1385357724028678</c:v>
                </c:pt>
                <c:pt idx="53">
                  <c:v>0.14251921787400385</c:v>
                </c:pt>
                <c:pt idx="54">
                  <c:v>0.1465844537302351</c:v>
                </c:pt>
                <c:pt idx="55">
                  <c:v>0.15073197100109625</c:v>
                </c:pt>
                <c:pt idx="56">
                  <c:v>0.15496221875011731</c:v>
                </c:pt>
                <c:pt idx="57">
                  <c:v>0.15927560248066278</c:v>
                </c:pt>
                <c:pt idx="58">
                  <c:v>0.1636724825461785</c:v>
                </c:pt>
                <c:pt idx="59">
                  <c:v>0.16815317256713197</c:v>
                </c:pt>
                <c:pt idx="60">
                  <c:v>0.17271793785698081</c:v>
                </c:pt>
                <c:pt idx="61">
                  <c:v>0.17736699385955779</c:v>
                </c:pt>
                <c:pt idx="62">
                  <c:v>0.18210050460030772</c:v>
                </c:pt>
                <c:pt idx="63">
                  <c:v>0.18691858115385529</c:v>
                </c:pt>
                <c:pt idx="64">
                  <c:v>0.19182128013042413</c:v>
                </c:pt>
                <c:pt idx="65">
                  <c:v>0.19680860218366539</c:v>
                </c:pt>
                <c:pt idx="66">
                  <c:v>0.20188049054248883</c:v>
                </c:pt>
                <c:pt idx="67">
                  <c:v>0.20703682956951772</c:v>
                </c:pt>
                <c:pt idx="68">
                  <c:v>0.21227744334881746</c:v>
                </c:pt>
                <c:pt idx="69">
                  <c:v>0.21760209430556834</c:v>
                </c:pt>
                <c:pt idx="70">
                  <c:v>0.2230104818603722</c:v>
                </c:pt>
                <c:pt idx="71">
                  <c:v>0.22850224112089423</c:v>
                </c:pt>
                <c:pt idx="72">
                  <c:v>0.23407694161355264</c:v>
                </c:pt>
                <c:pt idx="73">
                  <c:v>0.23973408605797186</c:v>
                </c:pt>
                <c:pt idx="74">
                  <c:v>0.24547310918691403</c:v>
                </c:pt>
                <c:pt idx="75">
                  <c:v>0.25129337661439899</c:v>
                </c:pt>
                <c:pt idx="76">
                  <c:v>0.25719418375471254</c:v>
                </c:pt>
                <c:pt idx="77">
                  <c:v>0.26317475479498653</c:v>
                </c:pt>
                <c:pt idx="78">
                  <c:v>0.26923424172401422</c:v>
                </c:pt>
                <c:pt idx="79">
                  <c:v>0.27537172341993704</c:v>
                </c:pt>
                <c:pt idx="80">
                  <c:v>0.28158620479940949</c:v>
                </c:pt>
                <c:pt idx="81">
                  <c:v>0.28787661603080955</c:v>
                </c:pt>
                <c:pt idx="82">
                  <c:v>0.29424181181402181</c:v>
                </c:pt>
                <c:pt idx="83">
                  <c:v>0.30068057072926996</c:v>
                </c:pt>
                <c:pt idx="84">
                  <c:v>0.30719159465742552</c:v>
                </c:pt>
                <c:pt idx="85">
                  <c:v>0.31377350827415562</c:v>
                </c:pt>
                <c:pt idx="86">
                  <c:v>0.32042485862021314</c:v>
                </c:pt>
                <c:pt idx="87">
                  <c:v>0.32714411475009858</c:v>
                </c:pt>
                <c:pt idx="88">
                  <c:v>0.33392966746124869</c:v>
                </c:pt>
                <c:pt idx="89">
                  <c:v>0.3407798291058256</c:v>
                </c:pt>
                <c:pt idx="90">
                  <c:v>0.34769283348709235</c:v>
                </c:pt>
                <c:pt idx="91">
                  <c:v>0.3546668358422716</c:v>
                </c:pt>
                <c:pt idx="92">
                  <c:v>0.36169991291368181</c:v>
                </c:pt>
                <c:pt idx="93">
                  <c:v>0.36879006310984674</c:v>
                </c:pt>
                <c:pt idx="94">
                  <c:v>0.37593520675816533</c:v>
                </c:pt>
                <c:pt idx="95">
                  <c:v>0.38313318645061351</c:v>
                </c:pt>
                <c:pt idx="96">
                  <c:v>0.39038176748383524</c:v>
                </c:pt>
                <c:pt idx="97">
                  <c:v>0.39767863839485545</c:v>
                </c:pt>
                <c:pt idx="98">
                  <c:v>0.40502141159352056</c:v>
                </c:pt>
                <c:pt idx="99">
                  <c:v>0.41240762409264131</c:v>
                </c:pt>
                <c:pt idx="100">
                  <c:v>0.41983473833667539</c:v>
                </c:pt>
                <c:pt idx="101">
                  <c:v>0.42730014312965031</c:v>
                </c:pt>
                <c:pt idx="102">
                  <c:v>0.43480115466288016</c:v>
                </c:pt>
                <c:pt idx="103">
                  <c:v>0.44233501764288241</c:v>
                </c:pt>
                <c:pt idx="104">
                  <c:v>0.44989890651975484</c:v>
                </c:pt>
                <c:pt idx="105">
                  <c:v>0.457489926816112</c:v>
                </c:pt>
                <c:pt idx="106">
                  <c:v>0.46510511655653053</c:v>
                </c:pt>
                <c:pt idx="107">
                  <c:v>0.47274144779728566</c:v>
                </c:pt>
                <c:pt idx="108">
                  <c:v>0.48039582825600896</c:v>
                </c:pt>
                <c:pt idx="109">
                  <c:v>0.48806510304072437</c:v>
                </c:pt>
                <c:pt idx="110">
                  <c:v>0.49574605647756043</c:v>
                </c:pt>
                <c:pt idx="111">
                  <c:v>0.50343541403626491</c:v>
                </c:pt>
                <c:pt idx="112">
                  <c:v>0.51112984435248643</c:v>
                </c:pt>
                <c:pt idx="113">
                  <c:v>0.51882596134560999</c:v>
                </c:pt>
                <c:pt idx="114">
                  <c:v>0.52652032643076996</c:v>
                </c:pt>
                <c:pt idx="115">
                  <c:v>0.53420945082349669</c:v>
                </c:pt>
                <c:pt idx="116">
                  <c:v>0.54188979793527281</c:v>
                </c:pt>
                <c:pt idx="117">
                  <c:v>0.54955778585811987</c:v>
                </c:pt>
                <c:pt idx="118">
                  <c:v>0.55720978993615922</c:v>
                </c:pt>
                <c:pt idx="119">
                  <c:v>0.5648421454219249</c:v>
                </c:pt>
                <c:pt idx="120">
                  <c:v>0.57245115021504778</c:v>
                </c:pt>
                <c:pt idx="121">
                  <c:v>0.58003306768075624</c:v>
                </c:pt>
                <c:pt idx="122">
                  <c:v>0.58758412954549033</c:v>
                </c:pt>
                <c:pt idx="123">
                  <c:v>0.59510053886675673</c:v>
                </c:pt>
                <c:pt idx="124">
                  <c:v>0.60257847307420376</c:v>
                </c:pt>
                <c:pt idx="125">
                  <c:v>0.61001408707874327</c:v>
                </c:pt>
                <c:pt idx="126">
                  <c:v>0.61740351644639369</c:v>
                </c:pt>
                <c:pt idx="127">
                  <c:v>0.62474288063338124</c:v>
                </c:pt>
                <c:pt idx="128">
                  <c:v>0.63202828627888996</c:v>
                </c:pt>
                <c:pt idx="129">
                  <c:v>0.6392558305517233</c:v>
                </c:pt>
                <c:pt idx="130">
                  <c:v>0.64642160454700337</c:v>
                </c:pt>
                <c:pt idx="131">
                  <c:v>0.65352169672891625</c:v>
                </c:pt>
                <c:pt idx="132">
                  <c:v>0.66055219641538809</c:v>
                </c:pt>
                <c:pt idx="133">
                  <c:v>0.66750919730046632</c:v>
                </c:pt>
                <c:pt idx="134">
                  <c:v>0.67438880101007703</c:v>
                </c:pt>
                <c:pt idx="135">
                  <c:v>0.68118712068672227</c:v>
                </c:pt>
                <c:pt idx="136">
                  <c:v>0.68790028459859842</c:v>
                </c:pt>
                <c:pt idx="137">
                  <c:v>0.69452443976852141</c:v>
                </c:pt>
                <c:pt idx="138">
                  <c:v>0.70105575561797506</c:v>
                </c:pt>
                <c:pt idx="139">
                  <c:v>0.70749042762152226</c:v>
                </c:pt>
                <c:pt idx="140">
                  <c:v>0.71382468096675777</c:v>
                </c:pt>
                <c:pt idx="141">
                  <c:v>0.72005477421493036</c:v>
                </c:pt>
                <c:pt idx="142">
                  <c:v>0.72617700295730825</c:v>
                </c:pt>
                <c:pt idx="143">
                  <c:v>0.7321877034623322</c:v>
                </c:pt>
                <c:pt idx="144">
                  <c:v>0.73808325630856486</c:v>
                </c:pt>
                <c:pt idx="145">
                  <c:v>0.74386008999842801</c:v>
                </c:pt>
                <c:pt idx="146">
                  <c:v>0.74951468454770542</c:v>
                </c:pt>
                <c:pt idx="147">
                  <c:v>0.75504357504578756</c:v>
                </c:pt>
                <c:pt idx="148">
                  <c:v>0.76044335518163897</c:v>
                </c:pt>
                <c:pt idx="149">
                  <c:v>0.76571068073048576</c:v>
                </c:pt>
                <c:pt idx="150">
                  <c:v>0.77084227299624297</c:v>
                </c:pt>
                <c:pt idx="151">
                  <c:v>0.77583492220473815</c:v>
                </c:pt>
                <c:pt idx="152">
                  <c:v>0.78068549084282368</c:v>
                </c:pt>
                <c:pt idx="153">
                  <c:v>0.7853909169385308</c:v>
                </c:pt>
                <c:pt idx="154">
                  <c:v>0.78994821727746967</c:v>
                </c:pt>
                <c:pt idx="155">
                  <c:v>0.79435449055075569</c:v>
                </c:pt>
                <c:pt idx="156">
                  <c:v>0.79860692042981718</c:v>
                </c:pt>
                <c:pt idx="157">
                  <c:v>0.80270277856352945</c:v>
                </c:pt>
                <c:pt idx="158">
                  <c:v>0.80663942749321238</c:v>
                </c:pt>
                <c:pt idx="159">
                  <c:v>0.81041432348113807</c:v>
                </c:pt>
                <c:pt idx="160">
                  <c:v>0.81402501924830251</c:v>
                </c:pt>
                <c:pt idx="161">
                  <c:v>0.81746916661734037</c:v>
                </c:pt>
                <c:pt idx="162">
                  <c:v>0.82074451905658785</c:v>
                </c:pt>
                <c:pt idx="163">
                  <c:v>0.82384893412143823</c:v>
                </c:pt>
                <c:pt idx="164">
                  <c:v>0.82678037578927566</c:v>
                </c:pt>
                <c:pt idx="165">
                  <c:v>0.82953691668442664</c:v>
                </c:pt>
                <c:pt idx="166">
                  <c:v>0.83211674018972481</c:v>
                </c:pt>
                <c:pt idx="167">
                  <c:v>0.83451814244145406</c:v>
                </c:pt>
                <c:pt idx="168">
                  <c:v>0.83673953420459946</c:v>
                </c:pt>
                <c:pt idx="169">
                  <c:v>0.83877944262552073</c:v>
                </c:pt>
                <c:pt idx="170">
                  <c:v>0.84063651285933882</c:v>
                </c:pt>
                <c:pt idx="171">
                  <c:v>0.84230950956952344</c:v>
                </c:pt>
                <c:pt idx="172">
                  <c:v>0.84379731829735183</c:v>
                </c:pt>
                <c:pt idx="173">
                  <c:v>0.84509894669911978</c:v>
                </c:pt>
                <c:pt idx="174">
                  <c:v>0.84621352564917796</c:v>
                </c:pt>
                <c:pt idx="175">
                  <c:v>0.8471403102070787</c:v>
                </c:pt>
                <c:pt idx="176">
                  <c:v>0.84787868044732628</c:v>
                </c:pt>
                <c:pt idx="177">
                  <c:v>0.84842814215043816</c:v>
                </c:pt>
                <c:pt idx="178">
                  <c:v>0.84878832735423726</c:v>
                </c:pt>
                <c:pt idx="179">
                  <c:v>0.8489589947645132</c:v>
                </c:pt>
                <c:pt idx="180">
                  <c:v>0.8489400300244162</c:v>
                </c:pt>
                <c:pt idx="181">
                  <c:v>0.84873144584215499</c:v>
                </c:pt>
                <c:pt idx="182">
                  <c:v>0.84833338197680652</c:v>
                </c:pt>
                <c:pt idx="183">
                  <c:v>0.84774610508225334</c:v>
                </c:pt>
                <c:pt idx="184">
                  <c:v>0.84697000840949788</c:v>
                </c:pt>
                <c:pt idx="185">
                  <c:v>0.84600561136781482</c:v>
                </c:pt>
                <c:pt idx="186">
                  <c:v>0.84485355894542991</c:v>
                </c:pt>
                <c:pt idx="187">
                  <c:v>0.84351462099062824</c:v>
                </c:pt>
                <c:pt idx="188">
                  <c:v>0.84198969135441293</c:v>
                </c:pt>
                <c:pt idx="189">
                  <c:v>0.84027978689605498</c:v>
                </c:pt>
                <c:pt idx="190">
                  <c:v>0.8383860463530759</c:v>
                </c:pt>
                <c:pt idx="191">
                  <c:v>0.83630972907742884</c:v>
                </c:pt>
                <c:pt idx="192">
                  <c:v>0.83405221363983606</c:v>
                </c:pt>
                <c:pt idx="193">
                  <c:v>0.83161499630445068</c:v>
                </c:pt>
                <c:pt idx="194">
                  <c:v>0.82899968937620405</c:v>
                </c:pt>
                <c:pt idx="195">
                  <c:v>0.82620801942339561</c:v>
                </c:pt>
                <c:pt idx="196">
                  <c:v>0.8232418253782654</c:v>
                </c:pt>
                <c:pt idx="197">
                  <c:v>0.8201030565184767</c:v>
                </c:pt>
                <c:pt idx="198">
                  <c:v>0.81679377033260914</c:v>
                </c:pt>
                <c:pt idx="199">
                  <c:v>0.8133161302729337</c:v>
                </c:pt>
                <c:pt idx="200">
                  <c:v>0.80967240339890334</c:v>
                </c:pt>
                <c:pt idx="201">
                  <c:v>0.80586495791495627</c:v>
                </c:pt>
                <c:pt idx="202">
                  <c:v>0.80189626060636821</c:v>
                </c:pt>
                <c:pt idx="203">
                  <c:v>0.79776887417704279</c:v>
                </c:pt>
                <c:pt idx="204">
                  <c:v>0.79348545449325913</c:v>
                </c:pt>
                <c:pt idx="205">
                  <c:v>0.7890487477375232</c:v>
                </c:pt>
                <c:pt idx="206">
                  <c:v>0.78446158747679007</c:v>
                </c:pt>
                <c:pt idx="207">
                  <c:v>0.77972689164943632</c:v>
                </c:pt>
                <c:pt idx="208">
                  <c:v>0.77484765947545986</c:v>
                </c:pt>
                <c:pt idx="209">
                  <c:v>0.76982696829448627</c:v>
                </c:pt>
                <c:pt idx="210">
                  <c:v>0.7646679703362359</c:v>
                </c:pt>
                <c:pt idx="211">
                  <c:v>0.75937388942819528</c:v>
                </c:pt>
                <c:pt idx="212">
                  <c:v>0.75394801764528974</c:v>
                </c:pt>
                <c:pt idx="213">
                  <c:v>0.74839371190642778</c:v>
                </c:pt>
                <c:pt idx="214">
                  <c:v>0.74271439052282373</c:v>
                </c:pt>
                <c:pt idx="215">
                  <c:v>0.73691352970305446</c:v>
                </c:pt>
                <c:pt idx="216">
                  <c:v>0.73099466001983693</c:v>
                </c:pt>
                <c:pt idx="217">
                  <c:v>0.72496136284352908</c:v>
                </c:pt>
                <c:pt idx="218">
                  <c:v>0.71881726674737867</c:v>
                </c:pt>
                <c:pt idx="219">
                  <c:v>0.71256604388954226</c:v>
                </c:pt>
                <c:pt idx="220">
                  <c:v>0.70621140637689395</c:v>
                </c:pt>
                <c:pt idx="221">
                  <c:v>0.69975710261563295</c:v>
                </c:pt>
                <c:pt idx="222">
                  <c:v>0.69320691365366904</c:v>
                </c:pt>
                <c:pt idx="223">
                  <c:v>0.68656464951974461</c:v>
                </c:pt>
                <c:pt idx="224">
                  <c:v>0.67983414556419952</c:v>
                </c:pt>
                <c:pt idx="225">
                  <c:v>0.67301925880624958</c:v>
                </c:pt>
                <c:pt idx="226">
                  <c:v>0.66612386429258474</c:v>
                </c:pt>
                <c:pt idx="227">
                  <c:v>0.65915185147203192</c:v>
                </c:pt>
                <c:pt idx="228">
                  <c:v>0.65210712059095532</c:v>
                </c:pt>
                <c:pt idx="229">
                  <c:v>0.64499357911398703</c:v>
                </c:pt>
                <c:pt idx="230">
                  <c:v>0.63781513817459479</c:v>
                </c:pt>
                <c:pt idx="231">
                  <c:v>0.63057570905989779</c:v>
                </c:pt>
                <c:pt idx="232">
                  <c:v>0.62327919973404255</c:v>
                </c:pt>
                <c:pt idx="233">
                  <c:v>0.6159295114043406</c:v>
                </c:pt>
                <c:pt idx="234">
                  <c:v>0.60853053513426214</c:v>
                </c:pt>
                <c:pt idx="235">
                  <c:v>0.60108614850725106</c:v>
                </c:pt>
                <c:pt idx="236">
                  <c:v>0.59360021234520888</c:v>
                </c:pt>
                <c:pt idx="237">
                  <c:v>0.58607656748536219</c:v>
                </c:pt>
                <c:pt idx="238">
                  <c:v>0.5785190316190898</c:v>
                </c:pt>
                <c:pt idx="239">
                  <c:v>0.57093139619615008</c:v>
                </c:pt>
                <c:pt idx="240">
                  <c:v>0.56331742339760105</c:v>
                </c:pt>
                <c:pt idx="241">
                  <c:v>0.55568084318055488</c:v>
                </c:pt>
                <c:pt idx="242">
                  <c:v>0.54802535039776468</c:v>
                </c:pt>
                <c:pt idx="243">
                  <c:v>0.54035460199487295</c:v>
                </c:pt>
                <c:pt idx="244">
                  <c:v>0.53267221428800515</c:v>
                </c:pt>
                <c:pt idx="245">
                  <c:v>0.5249817603242195</c:v>
                </c:pt>
                <c:pt idx="246">
                  <c:v>0.5172867673271706</c:v>
                </c:pt>
                <c:pt idx="247">
                  <c:v>0.50959071423016922</c:v>
                </c:pt>
                <c:pt idx="248">
                  <c:v>0.50189702929866098</c:v>
                </c:pt>
                <c:pt idx="249">
                  <c:v>0.49420908784397743</c:v>
                </c:pt>
                <c:pt idx="250">
                  <c:v>0.48653021003003821</c:v>
                </c:pt>
                <c:pt idx="251">
                  <c:v>0.47886365877452086</c:v>
                </c:pt>
                <c:pt idx="252">
                  <c:v>0.47121263774584377</c:v>
                </c:pt>
                <c:pt idx="253">
                  <c:v>0.46358028945713237</c:v>
                </c:pt>
                <c:pt idx="254">
                  <c:v>0.45596969345817795</c:v>
                </c:pt>
                <c:pt idx="255">
                  <c:v>0.44838386462622692</c:v>
                </c:pt>
                <c:pt idx="256">
                  <c:v>0.44082575155626913</c:v>
                </c:pt>
                <c:pt idx="257">
                  <c:v>0.43329823505133463</c:v>
                </c:pt>
                <c:pt idx="258">
                  <c:v>0.42580412671313866</c:v>
                </c:pt>
                <c:pt idx="259">
                  <c:v>0.41834616763325699</c:v>
                </c:pt>
                <c:pt idx="260">
                  <c:v>0.41092702718485563</c:v>
                </c:pt>
                <c:pt idx="261">
                  <c:v>0.40354930191483801</c:v>
                </c:pt>
                <c:pt idx="262">
                  <c:v>0.39621551453612486</c:v>
                </c:pt>
                <c:pt idx="263">
                  <c:v>0.38892811301962904</c:v>
                </c:pt>
                <c:pt idx="264">
                  <c:v>0.38168946978534007</c:v>
                </c:pt>
                <c:pt idx="265">
                  <c:v>0.3745018809917946</c:v>
                </c:pt>
                <c:pt idx="266">
                  <c:v>0.36736756592306241</c:v>
                </c:pt>
                <c:pt idx="267">
                  <c:v>0.36028866647225138</c:v>
                </c:pt>
                <c:pt idx="268">
                  <c:v>0.35326724672039644</c:v>
                </c:pt>
                <c:pt idx="269">
                  <c:v>0.34630529260947668</c:v>
                </c:pt>
                <c:pt idx="270">
                  <c:v>0.3394047117081786</c:v>
                </c:pt>
                <c:pt idx="271">
                  <c:v>0.33256733306891278</c:v>
                </c:pt>
                <c:pt idx="272">
                  <c:v>0.32579490717447068</c:v>
                </c:pt>
                <c:pt idx="273">
                  <c:v>0.31908910597261098</c:v>
                </c:pt>
                <c:pt idx="274">
                  <c:v>0.31245152299675477</c:v>
                </c:pt>
                <c:pt idx="275">
                  <c:v>0.30588367357087898</c:v>
                </c:pt>
                <c:pt idx="276">
                  <c:v>0.29938699509660144</c:v>
                </c:pt>
                <c:pt idx="277">
                  <c:v>0.29296284742036804</c:v>
                </c:pt>
                <c:pt idx="278">
                  <c:v>0.28661251327857246</c:v>
                </c:pt>
                <c:pt idx="279">
                  <c:v>0.28033719881836161</c:v>
                </c:pt>
                <c:pt idx="280">
                  <c:v>0.27413803419181421</c:v>
                </c:pt>
                <c:pt idx="281">
                  <c:v>0.26801607422111301</c:v>
                </c:pt>
                <c:pt idx="282">
                  <c:v>0.26197229913227721</c:v>
                </c:pt>
                <c:pt idx="283">
                  <c:v>0.25600761535496325</c:v>
                </c:pt>
                <c:pt idx="284">
                  <c:v>0.25012285638580389</c:v>
                </c:pt>
                <c:pt idx="285">
                  <c:v>0.24431878371270369</c:v>
                </c:pt>
                <c:pt idx="286">
                  <c:v>0.23859608779748387</c:v>
                </c:pt>
                <c:pt idx="287">
                  <c:v>0.23295538911422944</c:v>
                </c:pt>
                <c:pt idx="288">
                  <c:v>0.22739723924067454</c:v>
                </c:pt>
                <c:pt idx="289">
                  <c:v>0.22192212199993619</c:v>
                </c:pt>
                <c:pt idx="290">
                  <c:v>0.21653045464989526</c:v>
                </c:pt>
                <c:pt idx="291">
                  <c:v>0.21122258911751393</c:v>
                </c:pt>
                <c:pt idx="292">
                  <c:v>0.20599881327537228</c:v>
                </c:pt>
                <c:pt idx="293">
                  <c:v>0.20085935225771051</c:v>
                </c:pt>
                <c:pt idx="294">
                  <c:v>0.1958043698132643</c:v>
                </c:pt>
                <c:pt idx="295">
                  <c:v>0.1908339696921966</c:v>
                </c:pt>
                <c:pt idx="296">
                  <c:v>0.18594819706443572</c:v>
                </c:pt>
                <c:pt idx="297">
                  <c:v>0.18114703996675677</c:v>
                </c:pt>
                <c:pt idx="298">
                  <c:v>0.17643043077596002</c:v>
                </c:pt>
                <c:pt idx="299">
                  <c:v>0.1717982477055304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C7-4386-A07E-C9C576405A60}"/>
            </c:ext>
          </c:extLst>
        </c:ser>
        <c:ser>
          <c:idx val="1"/>
          <c:order val="1"/>
          <c:tx>
            <c:v>Domyślna szerokość pasma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versicolor_estymacjagęstości!$K$3:$K$302</c:f>
              <c:numCache>
                <c:formatCode>General</c:formatCode>
                <c:ptCount val="300"/>
                <c:pt idx="0">
                  <c:v>3</c:v>
                </c:pt>
                <c:pt idx="1">
                  <c:v>3.0070234113712373</c:v>
                </c:pt>
                <c:pt idx="2">
                  <c:v>3.0140468227424746</c:v>
                </c:pt>
                <c:pt idx="3">
                  <c:v>3.0210702341137119</c:v>
                </c:pt>
                <c:pt idx="4">
                  <c:v>3.0280936454849492</c:v>
                </c:pt>
                <c:pt idx="5">
                  <c:v>3.0351170568561865</c:v>
                </c:pt>
                <c:pt idx="6">
                  <c:v>3.0421404682274238</c:v>
                </c:pt>
                <c:pt idx="7">
                  <c:v>3.0491638795986611</c:v>
                </c:pt>
                <c:pt idx="8">
                  <c:v>3.0561872909698984</c:v>
                </c:pt>
                <c:pt idx="9">
                  <c:v>3.0632107023411357</c:v>
                </c:pt>
                <c:pt idx="10">
                  <c:v>3.070234113712373</c:v>
                </c:pt>
                <c:pt idx="11">
                  <c:v>3.0772575250836103</c:v>
                </c:pt>
                <c:pt idx="12">
                  <c:v>3.0842809364548476</c:v>
                </c:pt>
                <c:pt idx="13">
                  <c:v>3.0913043478260849</c:v>
                </c:pt>
                <c:pt idx="14">
                  <c:v>3.0983277591973222</c:v>
                </c:pt>
                <c:pt idx="15">
                  <c:v>3.1053511705685595</c:v>
                </c:pt>
                <c:pt idx="16">
                  <c:v>3.1123745819397968</c:v>
                </c:pt>
                <c:pt idx="17">
                  <c:v>3.1193979933110341</c:v>
                </c:pt>
                <c:pt idx="18">
                  <c:v>3.1264214046822714</c:v>
                </c:pt>
                <c:pt idx="19">
                  <c:v>3.1334448160535087</c:v>
                </c:pt>
                <c:pt idx="20">
                  <c:v>3.140468227424746</c:v>
                </c:pt>
                <c:pt idx="21">
                  <c:v>3.1474916387959833</c:v>
                </c:pt>
                <c:pt idx="22">
                  <c:v>3.1545150501672206</c:v>
                </c:pt>
                <c:pt idx="23">
                  <c:v>3.1615384615384579</c:v>
                </c:pt>
                <c:pt idx="24">
                  <c:v>3.1685618729096952</c:v>
                </c:pt>
                <c:pt idx="25">
                  <c:v>3.1755852842809325</c:v>
                </c:pt>
                <c:pt idx="26">
                  <c:v>3.1826086956521698</c:v>
                </c:pt>
                <c:pt idx="27">
                  <c:v>3.189632107023407</c:v>
                </c:pt>
                <c:pt idx="28">
                  <c:v>3.1966555183946443</c:v>
                </c:pt>
                <c:pt idx="29">
                  <c:v>3.2036789297658816</c:v>
                </c:pt>
                <c:pt idx="30">
                  <c:v>3.2107023411371189</c:v>
                </c:pt>
                <c:pt idx="31">
                  <c:v>3.2177257525083562</c:v>
                </c:pt>
                <c:pt idx="32">
                  <c:v>3.2247491638795935</c:v>
                </c:pt>
                <c:pt idx="33">
                  <c:v>3.2317725752508308</c:v>
                </c:pt>
                <c:pt idx="34">
                  <c:v>3.2387959866220681</c:v>
                </c:pt>
                <c:pt idx="35">
                  <c:v>3.2458193979933054</c:v>
                </c:pt>
                <c:pt idx="36">
                  <c:v>3.2528428093645427</c:v>
                </c:pt>
                <c:pt idx="37">
                  <c:v>3.25986622073578</c:v>
                </c:pt>
                <c:pt idx="38">
                  <c:v>3.2668896321070173</c:v>
                </c:pt>
                <c:pt idx="39">
                  <c:v>3.2739130434782546</c:v>
                </c:pt>
                <c:pt idx="40">
                  <c:v>3.2809364548494919</c:v>
                </c:pt>
                <c:pt idx="41">
                  <c:v>3.2879598662207292</c:v>
                </c:pt>
                <c:pt idx="42">
                  <c:v>3.2949832775919665</c:v>
                </c:pt>
                <c:pt idx="43">
                  <c:v>3.3020066889632038</c:v>
                </c:pt>
                <c:pt idx="44">
                  <c:v>3.3090301003344411</c:v>
                </c:pt>
                <c:pt idx="45">
                  <c:v>3.3160535117056784</c:v>
                </c:pt>
                <c:pt idx="46">
                  <c:v>3.3230769230769157</c:v>
                </c:pt>
                <c:pt idx="47">
                  <c:v>3.330100334448153</c:v>
                </c:pt>
                <c:pt idx="48">
                  <c:v>3.3371237458193903</c:v>
                </c:pt>
                <c:pt idx="49">
                  <c:v>3.3441471571906276</c:v>
                </c:pt>
                <c:pt idx="50">
                  <c:v>3.3511705685618649</c:v>
                </c:pt>
                <c:pt idx="51">
                  <c:v>3.3581939799331022</c:v>
                </c:pt>
                <c:pt idx="52">
                  <c:v>3.3652173913043395</c:v>
                </c:pt>
                <c:pt idx="53">
                  <c:v>3.3722408026755768</c:v>
                </c:pt>
                <c:pt idx="54">
                  <c:v>3.3792642140468141</c:v>
                </c:pt>
                <c:pt idx="55">
                  <c:v>3.3862876254180514</c:v>
                </c:pt>
                <c:pt idx="56">
                  <c:v>3.3933110367892887</c:v>
                </c:pt>
                <c:pt idx="57">
                  <c:v>3.400334448160526</c:v>
                </c:pt>
                <c:pt idx="58">
                  <c:v>3.4073578595317633</c:v>
                </c:pt>
                <c:pt idx="59">
                  <c:v>3.4143812709030006</c:v>
                </c:pt>
                <c:pt idx="60">
                  <c:v>3.4214046822742379</c:v>
                </c:pt>
                <c:pt idx="61">
                  <c:v>3.4284280936454752</c:v>
                </c:pt>
                <c:pt idx="62">
                  <c:v>3.4354515050167125</c:v>
                </c:pt>
                <c:pt idx="63">
                  <c:v>3.4424749163879498</c:v>
                </c:pt>
                <c:pt idx="64">
                  <c:v>3.4494983277591871</c:v>
                </c:pt>
                <c:pt idx="65">
                  <c:v>3.4565217391304244</c:v>
                </c:pt>
                <c:pt idx="66">
                  <c:v>3.4635451505016617</c:v>
                </c:pt>
                <c:pt idx="67">
                  <c:v>3.470568561872899</c:v>
                </c:pt>
                <c:pt idx="68">
                  <c:v>3.4775919732441363</c:v>
                </c:pt>
                <c:pt idx="69">
                  <c:v>3.4846153846153736</c:v>
                </c:pt>
                <c:pt idx="70">
                  <c:v>3.4916387959866109</c:v>
                </c:pt>
                <c:pt idx="71">
                  <c:v>3.4986622073578482</c:v>
                </c:pt>
                <c:pt idx="72">
                  <c:v>3.5056856187290855</c:v>
                </c:pt>
                <c:pt idx="73">
                  <c:v>3.5127090301003228</c:v>
                </c:pt>
                <c:pt idx="74">
                  <c:v>3.5197324414715601</c:v>
                </c:pt>
                <c:pt idx="75">
                  <c:v>3.5267558528427974</c:v>
                </c:pt>
                <c:pt idx="76">
                  <c:v>3.5337792642140347</c:v>
                </c:pt>
                <c:pt idx="77">
                  <c:v>3.540802675585272</c:v>
                </c:pt>
                <c:pt idx="78">
                  <c:v>3.5478260869565093</c:v>
                </c:pt>
                <c:pt idx="79">
                  <c:v>3.5548494983277465</c:v>
                </c:pt>
                <c:pt idx="80">
                  <c:v>3.5618729096989838</c:v>
                </c:pt>
                <c:pt idx="81">
                  <c:v>3.5688963210702211</c:v>
                </c:pt>
                <c:pt idx="82">
                  <c:v>3.5759197324414584</c:v>
                </c:pt>
                <c:pt idx="83">
                  <c:v>3.5829431438126957</c:v>
                </c:pt>
                <c:pt idx="84">
                  <c:v>3.589966555183933</c:v>
                </c:pt>
                <c:pt idx="85">
                  <c:v>3.5969899665551703</c:v>
                </c:pt>
                <c:pt idx="86">
                  <c:v>3.6040133779264076</c:v>
                </c:pt>
                <c:pt idx="87">
                  <c:v>3.6110367892976449</c:v>
                </c:pt>
                <c:pt idx="88">
                  <c:v>3.6180602006688822</c:v>
                </c:pt>
                <c:pt idx="89">
                  <c:v>3.6250836120401195</c:v>
                </c:pt>
                <c:pt idx="90">
                  <c:v>3.6321070234113568</c:v>
                </c:pt>
                <c:pt idx="91">
                  <c:v>3.6391304347825941</c:v>
                </c:pt>
                <c:pt idx="92">
                  <c:v>3.6461538461538314</c:v>
                </c:pt>
                <c:pt idx="93">
                  <c:v>3.6531772575250687</c:v>
                </c:pt>
                <c:pt idx="94">
                  <c:v>3.660200668896306</c:v>
                </c:pt>
                <c:pt idx="95">
                  <c:v>3.6672240802675433</c:v>
                </c:pt>
                <c:pt idx="96">
                  <c:v>3.6742474916387806</c:v>
                </c:pt>
                <c:pt idx="97">
                  <c:v>3.6812709030100179</c:v>
                </c:pt>
                <c:pt idx="98">
                  <c:v>3.6882943143812552</c:v>
                </c:pt>
                <c:pt idx="99">
                  <c:v>3.6953177257524925</c:v>
                </c:pt>
                <c:pt idx="100">
                  <c:v>3.7023411371237298</c:v>
                </c:pt>
                <c:pt idx="101">
                  <c:v>3.7093645484949671</c:v>
                </c:pt>
                <c:pt idx="102">
                  <c:v>3.7163879598662044</c:v>
                </c:pt>
                <c:pt idx="103">
                  <c:v>3.7234113712374417</c:v>
                </c:pt>
                <c:pt idx="104">
                  <c:v>3.730434782608679</c:v>
                </c:pt>
                <c:pt idx="105">
                  <c:v>3.7374581939799163</c:v>
                </c:pt>
                <c:pt idx="106">
                  <c:v>3.7444816053511536</c:v>
                </c:pt>
                <c:pt idx="107">
                  <c:v>3.7515050167223909</c:v>
                </c:pt>
                <c:pt idx="108">
                  <c:v>3.7585284280936282</c:v>
                </c:pt>
                <c:pt idx="109">
                  <c:v>3.7655518394648655</c:v>
                </c:pt>
                <c:pt idx="110">
                  <c:v>3.7725752508361028</c:v>
                </c:pt>
                <c:pt idx="111">
                  <c:v>3.7795986622073401</c:v>
                </c:pt>
                <c:pt idx="112">
                  <c:v>3.7866220735785774</c:v>
                </c:pt>
                <c:pt idx="113">
                  <c:v>3.7936454849498147</c:v>
                </c:pt>
                <c:pt idx="114">
                  <c:v>3.800668896321052</c:v>
                </c:pt>
                <c:pt idx="115">
                  <c:v>3.8076923076922893</c:v>
                </c:pt>
                <c:pt idx="116">
                  <c:v>3.8147157190635266</c:v>
                </c:pt>
                <c:pt idx="117">
                  <c:v>3.8217391304347639</c:v>
                </c:pt>
                <c:pt idx="118">
                  <c:v>3.8287625418060012</c:v>
                </c:pt>
                <c:pt idx="119">
                  <c:v>3.8357859531772385</c:v>
                </c:pt>
                <c:pt idx="120">
                  <c:v>3.8428093645484758</c:v>
                </c:pt>
                <c:pt idx="121">
                  <c:v>3.8498327759197131</c:v>
                </c:pt>
                <c:pt idx="122">
                  <c:v>3.8568561872909504</c:v>
                </c:pt>
                <c:pt idx="123">
                  <c:v>3.8638795986621877</c:v>
                </c:pt>
                <c:pt idx="124">
                  <c:v>3.870903010033425</c:v>
                </c:pt>
                <c:pt idx="125">
                  <c:v>3.8779264214046623</c:v>
                </c:pt>
                <c:pt idx="126">
                  <c:v>3.8849498327758996</c:v>
                </c:pt>
                <c:pt idx="127">
                  <c:v>3.8919732441471369</c:v>
                </c:pt>
                <c:pt idx="128">
                  <c:v>3.8989966555183742</c:v>
                </c:pt>
                <c:pt idx="129">
                  <c:v>3.9060200668896115</c:v>
                </c:pt>
                <c:pt idx="130">
                  <c:v>3.9130434782608488</c:v>
                </c:pt>
                <c:pt idx="131">
                  <c:v>3.920066889632086</c:v>
                </c:pt>
                <c:pt idx="132">
                  <c:v>3.9270903010033233</c:v>
                </c:pt>
                <c:pt idx="133">
                  <c:v>3.9341137123745606</c:v>
                </c:pt>
                <c:pt idx="134">
                  <c:v>3.9411371237457979</c:v>
                </c:pt>
                <c:pt idx="135">
                  <c:v>3.9481605351170352</c:v>
                </c:pt>
                <c:pt idx="136">
                  <c:v>3.9551839464882725</c:v>
                </c:pt>
                <c:pt idx="137">
                  <c:v>3.9622073578595098</c:v>
                </c:pt>
                <c:pt idx="138">
                  <c:v>3.9692307692307471</c:v>
                </c:pt>
                <c:pt idx="139">
                  <c:v>3.9762541806019844</c:v>
                </c:pt>
                <c:pt idx="140">
                  <c:v>3.9832775919732217</c:v>
                </c:pt>
                <c:pt idx="141">
                  <c:v>3.990301003344459</c:v>
                </c:pt>
                <c:pt idx="142">
                  <c:v>3.9973244147156963</c:v>
                </c:pt>
                <c:pt idx="143">
                  <c:v>4.0043478260869341</c:v>
                </c:pt>
                <c:pt idx="144">
                  <c:v>4.0113712374581718</c:v>
                </c:pt>
                <c:pt idx="145">
                  <c:v>4.0183946488294096</c:v>
                </c:pt>
                <c:pt idx="146">
                  <c:v>4.0254180602006473</c:v>
                </c:pt>
                <c:pt idx="147">
                  <c:v>4.032441471571885</c:v>
                </c:pt>
                <c:pt idx="148">
                  <c:v>4.0394648829431228</c:v>
                </c:pt>
                <c:pt idx="149">
                  <c:v>4.0464882943143605</c:v>
                </c:pt>
                <c:pt idx="150">
                  <c:v>4.0535117056855983</c:v>
                </c:pt>
                <c:pt idx="151">
                  <c:v>4.060535117056836</c:v>
                </c:pt>
                <c:pt idx="152">
                  <c:v>4.0675585284280737</c:v>
                </c:pt>
                <c:pt idx="153">
                  <c:v>4.0745819397993115</c:v>
                </c:pt>
                <c:pt idx="154">
                  <c:v>4.0816053511705492</c:v>
                </c:pt>
                <c:pt idx="155">
                  <c:v>4.088628762541787</c:v>
                </c:pt>
                <c:pt idx="156">
                  <c:v>4.0956521739130247</c:v>
                </c:pt>
                <c:pt idx="157">
                  <c:v>4.1026755852842625</c:v>
                </c:pt>
                <c:pt idx="158">
                  <c:v>4.1096989966555002</c:v>
                </c:pt>
                <c:pt idx="159">
                  <c:v>4.1167224080267379</c:v>
                </c:pt>
                <c:pt idx="160">
                  <c:v>4.1237458193979757</c:v>
                </c:pt>
                <c:pt idx="161">
                  <c:v>4.1307692307692134</c:v>
                </c:pt>
                <c:pt idx="162">
                  <c:v>4.1377926421404512</c:v>
                </c:pt>
                <c:pt idx="163">
                  <c:v>4.1448160535116889</c:v>
                </c:pt>
                <c:pt idx="164">
                  <c:v>4.1518394648829267</c:v>
                </c:pt>
                <c:pt idx="165">
                  <c:v>4.1588628762541644</c:v>
                </c:pt>
                <c:pt idx="166">
                  <c:v>4.1658862876254021</c:v>
                </c:pt>
                <c:pt idx="167">
                  <c:v>4.1729096989966399</c:v>
                </c:pt>
                <c:pt idx="168">
                  <c:v>4.1799331103678776</c:v>
                </c:pt>
                <c:pt idx="169">
                  <c:v>4.1869565217391154</c:v>
                </c:pt>
                <c:pt idx="170">
                  <c:v>4.1939799331103531</c:v>
                </c:pt>
                <c:pt idx="171">
                  <c:v>4.2010033444815909</c:v>
                </c:pt>
                <c:pt idx="172">
                  <c:v>4.2080267558528286</c:v>
                </c:pt>
                <c:pt idx="173">
                  <c:v>4.2150501672240663</c:v>
                </c:pt>
                <c:pt idx="174">
                  <c:v>4.2220735785953041</c:v>
                </c:pt>
                <c:pt idx="175">
                  <c:v>4.2290969899665418</c:v>
                </c:pt>
                <c:pt idx="176">
                  <c:v>4.2361204013377796</c:v>
                </c:pt>
                <c:pt idx="177">
                  <c:v>4.2431438127090173</c:v>
                </c:pt>
                <c:pt idx="178">
                  <c:v>4.250167224080255</c:v>
                </c:pt>
                <c:pt idx="179">
                  <c:v>4.2571906354514928</c:v>
                </c:pt>
                <c:pt idx="180">
                  <c:v>4.2642140468227305</c:v>
                </c:pt>
                <c:pt idx="181">
                  <c:v>4.2712374581939683</c:v>
                </c:pt>
                <c:pt idx="182">
                  <c:v>4.278260869565206</c:v>
                </c:pt>
                <c:pt idx="183">
                  <c:v>4.2852842809364438</c:v>
                </c:pt>
                <c:pt idx="184">
                  <c:v>4.2923076923076815</c:v>
                </c:pt>
                <c:pt idx="185">
                  <c:v>4.2993311036789192</c:v>
                </c:pt>
                <c:pt idx="186">
                  <c:v>4.306354515050157</c:v>
                </c:pt>
                <c:pt idx="187">
                  <c:v>4.3133779264213947</c:v>
                </c:pt>
                <c:pt idx="188">
                  <c:v>4.3204013377926325</c:v>
                </c:pt>
                <c:pt idx="189">
                  <c:v>4.3274247491638702</c:v>
                </c:pt>
                <c:pt idx="190">
                  <c:v>4.334448160535108</c:v>
                </c:pt>
                <c:pt idx="191">
                  <c:v>4.3414715719063457</c:v>
                </c:pt>
                <c:pt idx="192">
                  <c:v>4.3484949832775834</c:v>
                </c:pt>
                <c:pt idx="193">
                  <c:v>4.3555183946488212</c:v>
                </c:pt>
                <c:pt idx="194">
                  <c:v>4.3625418060200589</c:v>
                </c:pt>
                <c:pt idx="195">
                  <c:v>4.3695652173912967</c:v>
                </c:pt>
                <c:pt idx="196">
                  <c:v>4.3765886287625344</c:v>
                </c:pt>
                <c:pt idx="197">
                  <c:v>4.3836120401337721</c:v>
                </c:pt>
                <c:pt idx="198">
                  <c:v>4.3906354515050099</c:v>
                </c:pt>
                <c:pt idx="199">
                  <c:v>4.3976588628762476</c:v>
                </c:pt>
                <c:pt idx="200">
                  <c:v>4.4046822742474854</c:v>
                </c:pt>
                <c:pt idx="201">
                  <c:v>4.4117056856187231</c:v>
                </c:pt>
                <c:pt idx="202">
                  <c:v>4.4187290969899609</c:v>
                </c:pt>
                <c:pt idx="203">
                  <c:v>4.4257525083611986</c:v>
                </c:pt>
                <c:pt idx="204">
                  <c:v>4.4327759197324363</c:v>
                </c:pt>
                <c:pt idx="205">
                  <c:v>4.4397993311036741</c:v>
                </c:pt>
                <c:pt idx="206">
                  <c:v>4.4468227424749118</c:v>
                </c:pt>
                <c:pt idx="207">
                  <c:v>4.4538461538461496</c:v>
                </c:pt>
                <c:pt idx="208">
                  <c:v>4.4608695652173873</c:v>
                </c:pt>
                <c:pt idx="209">
                  <c:v>4.4678929765886251</c:v>
                </c:pt>
                <c:pt idx="210">
                  <c:v>4.4749163879598628</c:v>
                </c:pt>
                <c:pt idx="211">
                  <c:v>4.4819397993311005</c:v>
                </c:pt>
                <c:pt idx="212">
                  <c:v>4.4889632107023383</c:v>
                </c:pt>
                <c:pt idx="213">
                  <c:v>4.495986622073576</c:v>
                </c:pt>
                <c:pt idx="214">
                  <c:v>4.5030100334448138</c:v>
                </c:pt>
                <c:pt idx="215">
                  <c:v>4.5100334448160515</c:v>
                </c:pt>
                <c:pt idx="216">
                  <c:v>4.5170568561872892</c:v>
                </c:pt>
                <c:pt idx="217">
                  <c:v>4.524080267558527</c:v>
                </c:pt>
                <c:pt idx="218">
                  <c:v>4.5311036789297647</c:v>
                </c:pt>
                <c:pt idx="219">
                  <c:v>4.5381270903010025</c:v>
                </c:pt>
                <c:pt idx="220">
                  <c:v>4.5451505016722402</c:v>
                </c:pt>
                <c:pt idx="221">
                  <c:v>4.552173913043478</c:v>
                </c:pt>
                <c:pt idx="222">
                  <c:v>4.5591973244147157</c:v>
                </c:pt>
                <c:pt idx="223">
                  <c:v>4.5662207357859534</c:v>
                </c:pt>
                <c:pt idx="224">
                  <c:v>4.5732441471571912</c:v>
                </c:pt>
                <c:pt idx="225">
                  <c:v>4.5802675585284289</c:v>
                </c:pt>
                <c:pt idx="226">
                  <c:v>4.5872909698996667</c:v>
                </c:pt>
                <c:pt idx="227">
                  <c:v>4.5943143812709044</c:v>
                </c:pt>
                <c:pt idx="228">
                  <c:v>4.6013377926421422</c:v>
                </c:pt>
                <c:pt idx="229">
                  <c:v>4.6083612040133799</c:v>
                </c:pt>
                <c:pt idx="230">
                  <c:v>4.6153846153846176</c:v>
                </c:pt>
                <c:pt idx="231">
                  <c:v>4.6224080267558554</c:v>
                </c:pt>
                <c:pt idx="232">
                  <c:v>4.6294314381270931</c:v>
                </c:pt>
                <c:pt idx="233">
                  <c:v>4.6364548494983309</c:v>
                </c:pt>
                <c:pt idx="234">
                  <c:v>4.6434782608695686</c:v>
                </c:pt>
                <c:pt idx="235">
                  <c:v>4.6505016722408064</c:v>
                </c:pt>
                <c:pt idx="236">
                  <c:v>4.6575250836120441</c:v>
                </c:pt>
                <c:pt idx="237">
                  <c:v>4.6645484949832818</c:v>
                </c:pt>
                <c:pt idx="238">
                  <c:v>4.6715719063545196</c:v>
                </c:pt>
                <c:pt idx="239">
                  <c:v>4.6785953177257573</c:v>
                </c:pt>
                <c:pt idx="240">
                  <c:v>4.6856187290969951</c:v>
                </c:pt>
                <c:pt idx="241">
                  <c:v>4.6926421404682328</c:v>
                </c:pt>
                <c:pt idx="242">
                  <c:v>4.6996655518394705</c:v>
                </c:pt>
                <c:pt idx="243">
                  <c:v>4.7066889632107083</c:v>
                </c:pt>
                <c:pt idx="244">
                  <c:v>4.713712374581946</c:v>
                </c:pt>
                <c:pt idx="245">
                  <c:v>4.7207357859531838</c:v>
                </c:pt>
                <c:pt idx="246">
                  <c:v>4.7277591973244215</c:v>
                </c:pt>
                <c:pt idx="247">
                  <c:v>4.7347826086956593</c:v>
                </c:pt>
                <c:pt idx="248">
                  <c:v>4.741806020066897</c:v>
                </c:pt>
                <c:pt idx="249">
                  <c:v>4.7488294314381347</c:v>
                </c:pt>
                <c:pt idx="250">
                  <c:v>4.7558528428093725</c:v>
                </c:pt>
                <c:pt idx="251">
                  <c:v>4.7628762541806102</c:v>
                </c:pt>
                <c:pt idx="252">
                  <c:v>4.769899665551848</c:v>
                </c:pt>
                <c:pt idx="253">
                  <c:v>4.7769230769230857</c:v>
                </c:pt>
                <c:pt idx="254">
                  <c:v>4.7839464882943235</c:v>
                </c:pt>
                <c:pt idx="255">
                  <c:v>4.7909698996655612</c:v>
                </c:pt>
                <c:pt idx="256">
                  <c:v>4.7979933110367989</c:v>
                </c:pt>
                <c:pt idx="257">
                  <c:v>4.8050167224080367</c:v>
                </c:pt>
                <c:pt idx="258">
                  <c:v>4.8120401337792744</c:v>
                </c:pt>
                <c:pt idx="259">
                  <c:v>4.8190635451505122</c:v>
                </c:pt>
                <c:pt idx="260">
                  <c:v>4.8260869565217499</c:v>
                </c:pt>
                <c:pt idx="261">
                  <c:v>4.8331103678929876</c:v>
                </c:pt>
                <c:pt idx="262">
                  <c:v>4.8401337792642254</c:v>
                </c:pt>
                <c:pt idx="263">
                  <c:v>4.8471571906354631</c:v>
                </c:pt>
                <c:pt idx="264">
                  <c:v>4.8541806020067009</c:v>
                </c:pt>
                <c:pt idx="265">
                  <c:v>4.8612040133779386</c:v>
                </c:pt>
                <c:pt idx="266">
                  <c:v>4.8682274247491764</c:v>
                </c:pt>
                <c:pt idx="267">
                  <c:v>4.8752508361204141</c:v>
                </c:pt>
                <c:pt idx="268">
                  <c:v>4.8822742474916518</c:v>
                </c:pt>
                <c:pt idx="269">
                  <c:v>4.8892976588628896</c:v>
                </c:pt>
                <c:pt idx="270">
                  <c:v>4.8963210702341273</c:v>
                </c:pt>
                <c:pt idx="271">
                  <c:v>4.9033444816053651</c:v>
                </c:pt>
                <c:pt idx="272">
                  <c:v>4.9103678929766028</c:v>
                </c:pt>
                <c:pt idx="273">
                  <c:v>4.9173913043478406</c:v>
                </c:pt>
                <c:pt idx="274">
                  <c:v>4.9244147157190783</c:v>
                </c:pt>
                <c:pt idx="275">
                  <c:v>4.931438127090316</c:v>
                </c:pt>
                <c:pt idx="276">
                  <c:v>4.9384615384615538</c:v>
                </c:pt>
                <c:pt idx="277">
                  <c:v>4.9454849498327915</c:v>
                </c:pt>
                <c:pt idx="278">
                  <c:v>4.9525083612040293</c:v>
                </c:pt>
                <c:pt idx="279">
                  <c:v>4.959531772575267</c:v>
                </c:pt>
                <c:pt idx="280">
                  <c:v>4.9665551839465047</c:v>
                </c:pt>
                <c:pt idx="281">
                  <c:v>4.9735785953177425</c:v>
                </c:pt>
                <c:pt idx="282">
                  <c:v>4.9806020066889802</c:v>
                </c:pt>
                <c:pt idx="283">
                  <c:v>4.987625418060218</c:v>
                </c:pt>
                <c:pt idx="284">
                  <c:v>4.9946488294314557</c:v>
                </c:pt>
                <c:pt idx="285">
                  <c:v>5.0016722408026935</c:v>
                </c:pt>
                <c:pt idx="286">
                  <c:v>5.0086956521739312</c:v>
                </c:pt>
                <c:pt idx="287">
                  <c:v>5.0157190635451689</c:v>
                </c:pt>
                <c:pt idx="288">
                  <c:v>5.0227424749164067</c:v>
                </c:pt>
                <c:pt idx="289">
                  <c:v>5.0297658862876444</c:v>
                </c:pt>
                <c:pt idx="290">
                  <c:v>5.0367892976588822</c:v>
                </c:pt>
                <c:pt idx="291">
                  <c:v>5.0438127090301199</c:v>
                </c:pt>
                <c:pt idx="292">
                  <c:v>5.0508361204013577</c:v>
                </c:pt>
                <c:pt idx="293">
                  <c:v>5.0578595317725954</c:v>
                </c:pt>
                <c:pt idx="294">
                  <c:v>5.0648829431438331</c:v>
                </c:pt>
                <c:pt idx="295">
                  <c:v>5.0719063545150709</c:v>
                </c:pt>
                <c:pt idx="296">
                  <c:v>5.0789297658863086</c:v>
                </c:pt>
                <c:pt idx="297">
                  <c:v>5.0859531772575464</c:v>
                </c:pt>
                <c:pt idx="298">
                  <c:v>5.0929765886287841</c:v>
                </c:pt>
                <c:pt idx="299">
                  <c:v>5.1000000000000218</c:v>
                </c:pt>
              </c:numCache>
            </c:numRef>
          </c:cat>
          <c:val>
            <c:numRef>
              <c:f>versicolor_estymacjagęstości!$M$3:$M$302</c:f>
              <c:numCache>
                <c:formatCode>General</c:formatCode>
                <c:ptCount val="300"/>
                <c:pt idx="0">
                  <c:v>7.2286816673830967E-2</c:v>
                </c:pt>
                <c:pt idx="1">
                  <c:v>7.4051345712255467E-2</c:v>
                </c:pt>
                <c:pt idx="2">
                  <c:v>7.5836224352428191E-2</c:v>
                </c:pt>
                <c:pt idx="3">
                  <c:v>7.7641416245647132E-2</c:v>
                </c:pt>
                <c:pt idx="4">
                  <c:v>7.9466876818004781E-2</c:v>
                </c:pt>
                <c:pt idx="5">
                  <c:v>8.1312550880070431E-2</c:v>
                </c:pt>
                <c:pt idx="6">
                  <c:v>8.317837022209966E-2</c:v>
                </c:pt>
                <c:pt idx="7">
                  <c:v>8.506425122300483E-2</c:v>
                </c:pt>
                <c:pt idx="8">
                  <c:v>8.6970092502134388E-2</c:v>
                </c:pt>
                <c:pt idx="9">
                  <c:v>8.8895772643469748E-2</c:v>
                </c:pt>
                <c:pt idx="10">
                  <c:v>9.0841148022141688E-2</c:v>
                </c:pt>
                <c:pt idx="11">
                  <c:v>9.280605076318979E-2</c:v>
                </c:pt>
                <c:pt idx="12">
                  <c:v>9.479028686223652E-2</c:v>
                </c:pt>
                <c:pt idx="13">
                  <c:v>9.6793634497213649E-2</c:v>
                </c:pt>
                <c:pt idx="14">
                  <c:v>9.8815842559474412E-2</c:v>
                </c:pt>
                <c:pt idx="15">
                  <c:v>0.10085662943154365</c:v>
                </c:pt>
                <c:pt idx="16">
                  <c:v>0.10291568203741605</c:v>
                </c:pt>
                <c:pt idx="17">
                  <c:v>0.10499265518971168</c:v>
                </c:pt>
                <c:pt idx="18">
                  <c:v>0.1070871712561523</c:v>
                </c:pt>
                <c:pt idx="19">
                  <c:v>0.10919882016574757</c:v>
                </c:pt>
                <c:pt idx="20">
                  <c:v>0.11132715977278683</c:v>
                </c:pt>
                <c:pt idx="21">
                  <c:v>0.113471716594243</c:v>
                </c:pt>
                <c:pt idx="22">
                  <c:v>0.1156319869335255</c:v>
                </c:pt>
                <c:pt idx="23">
                  <c:v>0.11780743840069047</c:v>
                </c:pt>
                <c:pt idx="24">
                  <c:v>0.11999751183625273</c:v>
                </c:pt>
                <c:pt idx="25">
                  <c:v>0.12220162364265998</c:v>
                </c:pt>
                <c:pt idx="26">
                  <c:v>0.12441916852432057</c:v>
                </c:pt>
                <c:pt idx="27">
                  <c:v>0.1266495226338335</c:v>
                </c:pt>
                <c:pt idx="28">
                  <c:v>0.12889204711878399</c:v>
                </c:pt>
                <c:pt idx="29">
                  <c:v>0.13114609206016184</c:v>
                </c:pt>
                <c:pt idx="30">
                  <c:v>0.13341100079015594</c:v>
                </c:pt>
                <c:pt idx="31">
                  <c:v>0.13568611457379989</c:v>
                </c:pt>
                <c:pt idx="32">
                  <c:v>0.13797077763571486</c:v>
                </c:pt>
                <c:pt idx="33">
                  <c:v>0.14026434251003514</c:v>
                </c:pt>
                <c:pt idx="34">
                  <c:v>0.14256617568853439</c:v>
                </c:pt>
                <c:pt idx="35">
                  <c:v>0.14487566353901171</c:v>
                </c:pt>
                <c:pt idx="36">
                  <c:v>0.14719221846317146</c:v>
                </c:pt>
                <c:pt idx="37">
                  <c:v>0.14951528526054958</c:v>
                </c:pt>
                <c:pt idx="38">
                  <c:v>0.15184434766252472</c:v>
                </c:pt>
                <c:pt idx="39">
                  <c:v>0.15417893499811836</c:v>
                </c:pt>
                <c:pt idx="40">
                  <c:v>0.1565186289511469</c:v>
                </c:pt>
                <c:pt idx="41">
                  <c:v>0.15886307036635577</c:v>
                </c:pt>
                <c:pt idx="42">
                  <c:v>0.16121196606045396</c:v>
                </c:pt>
                <c:pt idx="43">
                  <c:v>0.16356509559248034</c:v>
                </c:pt>
                <c:pt idx="44">
                  <c:v>0.16592231794669635</c:v>
                </c:pt>
                <c:pt idx="45">
                  <c:v>0.1682835780801992</c:v>
                </c:pt>
                <c:pt idx="46">
                  <c:v>0.170648913286718</c:v>
                </c:pt>
                <c:pt idx="47">
                  <c:v>0.17301845932757881</c:v>
                </c:pt>
                <c:pt idx="48">
                  <c:v>0.17539245628062383</c:v>
                </c:pt>
                <c:pt idx="49">
                  <c:v>0.17777125405793845</c:v>
                </c:pt>
                <c:pt idx="50">
                  <c:v>0.18015531754359729</c:v>
                </c:pt>
                <c:pt idx="51">
                  <c:v>0.18254523130326936</c:v>
                </c:pt>
                <c:pt idx="52">
                  <c:v>0.18494170381845007</c:v>
                </c:pt>
                <c:pt idx="53">
                  <c:v>0.18734557119929551</c:v>
                </c:pt>
                <c:pt idx="54">
                  <c:v>0.18975780033154058</c:v>
                </c:pt>
                <c:pt idx="55">
                  <c:v>0.19217949141477139</c:v>
                </c:pt>
                <c:pt idx="56">
                  <c:v>0.1946118798514121</c:v>
                </c:pt>
                <c:pt idx="57">
                  <c:v>0.19705633744816367</c:v>
                </c:pt>
                <c:pt idx="58">
                  <c:v>0.19951437289428892</c:v>
                </c:pt>
                <c:pt idx="59">
                  <c:v>0.2019876314841044</c:v>
                </c:pt>
                <c:pt idx="60">
                  <c:v>0.20447789405425876</c:v>
                </c:pt>
                <c:pt idx="61">
                  <c:v>0.20698707510989381</c:v>
                </c:pt>
                <c:pt idx="62">
                  <c:v>0.20951722011756599</c:v>
                </c:pt>
                <c:pt idx="63">
                  <c:v>0.21207050194683824</c:v>
                </c:pt>
                <c:pt idx="64">
                  <c:v>0.21464921644675131</c:v>
                </c:pt>
                <c:pt idx="65">
                  <c:v>0.2172557771479042</c:v>
                </c:pt>
                <c:pt idx="66">
                  <c:v>0.21989270908563138</c:v>
                </c:pt>
                <c:pt idx="67">
                  <c:v>0.22256264174472348</c:v>
                </c:pt>
                <c:pt idx="68">
                  <c:v>0.2252683011312836</c:v>
                </c:pt>
                <c:pt idx="69">
                  <c:v>0.22801250098263165</c:v>
                </c:pt>
                <c:pt idx="70">
                  <c:v>0.23079813313162886</c:v>
                </c:pt>
                <c:pt idx="71">
                  <c:v>0.23362815704737086</c:v>
                </c:pt>
                <c:pt idx="72">
                  <c:v>0.23650558857987103</c:v>
                </c:pt>
                <c:pt idx="73">
                  <c:v>0.23943348794208041</c:v>
                </c:pt>
                <c:pt idx="74">
                  <c:v>0.24241494696834431</c:v>
                </c:pt>
                <c:pt idx="75">
                  <c:v>0.24545307569414204</c:v>
                </c:pt>
                <c:pt idx="76">
                  <c:v>0.24855098830764843</c:v>
                </c:pt>
                <c:pt idx="77">
                  <c:v>0.25171178852927067</c:v>
                </c:pt>
                <c:pt idx="78">
                  <c:v>0.25493855448078739</c:v>
                </c:pt>
                <c:pt idx="79">
                  <c:v>0.25823432311103206</c:v>
                </c:pt>
                <c:pt idx="80">
                  <c:v>0.26160207425015453</c:v>
                </c:pt>
                <c:pt idx="81">
                  <c:v>0.2650447143693212</c:v>
                </c:pt>
                <c:pt idx="82">
                  <c:v>0.2685650601272514</c:v>
                </c:pt>
                <c:pt idx="83">
                  <c:v>0.27216582178914933</c:v>
                </c:pt>
                <c:pt idx="84">
                  <c:v>0.27584958660738035</c:v>
                </c:pt>
                <c:pt idx="85">
                  <c:v>0.27961880225656138</c:v>
                </c:pt>
                <c:pt idx="86">
                  <c:v>0.28347576041860062</c:v>
                </c:pt>
                <c:pt idx="87">
                  <c:v>0.28742258061553533</c:v>
                </c:pt>
                <c:pt idx="88">
                  <c:v>0.29146119438977552</c:v>
                </c:pt>
                <c:pt idx="89">
                  <c:v>0.29559332993252618</c:v>
                </c:pt>
                <c:pt idx="90">
                  <c:v>0.29982049726166948</c:v>
                </c:pt>
                <c:pt idx="91">
                  <c:v>0.30414397405025773</c:v>
                </c:pt>
                <c:pt idx="92">
                  <c:v>0.30856479220592342</c:v>
                </c:pt>
                <c:pt idx="93">
                  <c:v>0.31308372529997802</c:v>
                </c:pt>
                <c:pt idx="94">
                  <c:v>0.31770127694269462</c:v>
                </c:pt>
                <c:pt idx="95">
                  <c:v>0.32241767019826895</c:v>
                </c:pt>
                <c:pt idx="96">
                  <c:v>0.32723283812920362</c:v>
                </c:pt>
                <c:pt idx="97">
                  <c:v>0.33214641555537422</c:v>
                </c:pt>
                <c:pt idx="98">
                  <c:v>0.33715773210782285</c:v>
                </c:pt>
                <c:pt idx="99">
                  <c:v>0.34226580665138928</c:v>
                </c:pt>
                <c:pt idx="100">
                  <c:v>0.34746934314365591</c:v>
                </c:pt>
                <c:pt idx="101">
                  <c:v>0.35276672799039427</c:v>
                </c:pt>
                <c:pt idx="102">
                  <c:v>0.35815602894975962</c:v>
                </c:pt>
                <c:pt idx="103">
                  <c:v>0.36363499562895046</c:v>
                </c:pt>
                <c:pt idx="104">
                  <c:v>0.36920106160798644</c:v>
                </c:pt>
                <c:pt idx="105">
                  <c:v>0.37485134821567373</c:v>
                </c:pt>
                <c:pt idx="106">
                  <c:v>0.38058266997282364</c:v>
                </c:pt>
                <c:pt idx="107">
                  <c:v>0.38639154170741402</c:v>
                </c:pt>
                <c:pt idx="108">
                  <c:v>0.39227418733568692</c:v>
                </c:pt>
                <c:pt idx="109">
                  <c:v>0.39822655029226761</c:v>
                </c:pt>
                <c:pt idx="110">
                  <c:v>0.40424430558131208</c:v>
                </c:pt>
                <c:pt idx="111">
                  <c:v>0.41032287340954254</c:v>
                </c:pt>
                <c:pt idx="112">
                  <c:v>0.41645743435089666</c:v>
                </c:pt>
                <c:pt idx="113">
                  <c:v>0.42264294598146623</c:v>
                </c:pt>
                <c:pt idx="114">
                  <c:v>0.42887416091253372</c:v>
                </c:pt>
                <c:pt idx="115">
                  <c:v>0.43514564613892154</c:v>
                </c:pt>
                <c:pt idx="116">
                  <c:v>0.44145180360960851</c:v>
                </c:pt>
                <c:pt idx="117">
                  <c:v>0.44778689191776944</c:v>
                </c:pt>
                <c:pt idx="118">
                  <c:v>0.4541450489980916</c:v>
                </c:pt>
                <c:pt idx="119">
                  <c:v>0.46052031571054197</c:v>
                </c:pt>
                <c:pt idx="120">
                  <c:v>0.46690666018174415</c:v>
                </c:pt>
                <c:pt idx="121">
                  <c:v>0.47329800276786499</c:v>
                </c:pt>
                <c:pt idx="122">
                  <c:v>0.47968824149648609</c:v>
                </c:pt>
                <c:pt idx="123">
                  <c:v>0.48607127783937082</c:v>
                </c:pt>
                <c:pt idx="124">
                  <c:v>0.4924410426634423</c:v>
                </c:pt>
                <c:pt idx="125">
                  <c:v>0.49879152220366629</c:v>
                </c:pt>
                <c:pt idx="126">
                  <c:v>0.50511678389895498</c:v>
                </c:pt>
                <c:pt idx="127">
                  <c:v>0.51141100193071132</c:v>
                </c:pt>
                <c:pt idx="128">
                  <c:v>0.5176684823032196</c:v>
                </c:pt>
                <c:pt idx="129">
                  <c:v>0.5238836873058117</c:v>
                </c:pt>
                <c:pt idx="130">
                  <c:v>0.53005125919858598</c:v>
                </c:pt>
                <c:pt idx="131">
                  <c:v>0.53616604296644177</c:v>
                </c:pt>
                <c:pt idx="132">
                  <c:v>0.5422231079903016</c:v>
                </c:pt>
                <c:pt idx="133">
                  <c:v>0.54821776848962256</c:v>
                </c:pt>
                <c:pt idx="134">
                  <c:v>0.55414560259660595</c:v>
                </c:pt>
                <c:pt idx="135">
                  <c:v>0.56000246992989</c:v>
                </c:pt>
                <c:pt idx="136">
                  <c:v>0.5657845275438933</c:v>
                </c:pt>
                <c:pt idx="137">
                  <c:v>0.57148824413932042</c:v>
                </c:pt>
                <c:pt idx="138">
                  <c:v>0.57711041243060379</c:v>
                </c:pt>
                <c:pt idx="139">
                  <c:v>0.58264815957714866</c:v>
                </c:pt>
                <c:pt idx="140">
                  <c:v>0.58809895559711722</c:v>
                </c:pt>
                <c:pt idx="141">
                  <c:v>0.59346061969504527</c:v>
                </c:pt>
                <c:pt idx="142">
                  <c:v>0.59873132444774868</c:v>
                </c:pt>
                <c:pt idx="143">
                  <c:v>0.60390959780665809</c:v>
                </c:pt>
                <c:pt idx="144">
                  <c:v>0.60899432288881605</c:v>
                </c:pt>
                <c:pt idx="145">
                  <c:v>0.61398473554320521</c:v>
                </c:pt>
                <c:pt idx="146">
                  <c:v>0.61888041969370411</c:v>
                </c:pt>
                <c:pt idx="147">
                  <c:v>0.62368130047474091</c:v>
                </c:pt>
                <c:pt idx="148">
                  <c:v>0.62838763519048157</c:v>
                </c:pt>
                <c:pt idx="149">
                  <c:v>0.63300000214305352</c:v>
                </c:pt>
                <c:pt idx="150">
                  <c:v>0.63751928738978991</c:v>
                </c:pt>
                <c:pt idx="151">
                  <c:v>0.64194666950363521</c:v>
                </c:pt>
                <c:pt idx="152">
                  <c:v>0.64628360242458915</c:v>
                </c:pt>
                <c:pt idx="153">
                  <c:v>0.65053179650331805</c:v>
                </c:pt>
                <c:pt idx="154">
                  <c:v>0.65469319785066171</c:v>
                </c:pt>
                <c:pt idx="155">
                  <c:v>0.65876996611868599</c:v>
                </c:pt>
                <c:pt idx="156">
                  <c:v>0.66276445085003166</c:v>
                </c:pt>
                <c:pt idx="157">
                  <c:v>0.66667916654254866</c:v>
                </c:pt>
                <c:pt idx="158">
                  <c:v>0.67051676658546522</c:v>
                </c:pt>
                <c:pt idx="159">
                  <c:v>0.67428001623157363</c:v>
                </c:pt>
                <c:pt idx="160">
                  <c:v>0.67797176477706733</c:v>
                </c:pt>
                <c:pt idx="161">
                  <c:v>0.68159491712663511</c:v>
                </c:pt>
                <c:pt idx="162">
                  <c:v>0.68515240492620966</c:v>
                </c:pt>
                <c:pt idx="163">
                  <c:v>0.68864715744932314</c:v>
                </c:pt>
                <c:pt idx="164">
                  <c:v>0.69208207242528808</c:v>
                </c:pt>
                <c:pt idx="165">
                  <c:v>0.69545998699842126</c:v>
                </c:pt>
                <c:pt idx="166">
                  <c:v>0.69878364900721013</c:v>
                </c:pt>
                <c:pt idx="167">
                  <c:v>0.70205568877071156</c:v>
                </c:pt>
                <c:pt idx="168">
                  <c:v>0.70527859156656381</c:v>
                </c:pt>
                <c:pt idx="169">
                  <c:v>0.70845467098081416</c:v>
                </c:pt>
                <c:pt idx="170">
                  <c:v>0.71158604330433217</c:v>
                </c:pt>
                <c:pt idx="171">
                  <c:v>0.71467460314394471</c:v>
                </c:pt>
                <c:pt idx="172">
                  <c:v>0.71772200040862588</c:v>
                </c:pt>
                <c:pt idx="173">
                  <c:v>0.72072961882216435</c:v>
                </c:pt>
                <c:pt idx="174">
                  <c:v>0.72369855610378853</c:v>
                </c:pt>
                <c:pt idx="175">
                  <c:v>0.72662960594728709</c:v>
                </c:pt>
                <c:pt idx="176">
                  <c:v>0.72952324191737905</c:v>
                </c:pt>
                <c:pt idx="177">
                  <c:v>0.73237960336943031</c:v>
                </c:pt>
                <c:pt idx="178">
                  <c:v>0.73519848348531536</c:v>
                </c:pt>
                <c:pt idx="179">
                  <c:v>0.73797931950424744</c:v>
                </c:pt>
                <c:pt idx="180">
                  <c:v>0.74072118521296437</c:v>
                </c:pt>
                <c:pt idx="181">
                  <c:v>0.74342278574477205</c:v>
                </c:pt>
                <c:pt idx="182">
                  <c:v>0.74608245472180268</c:v>
                </c:pt>
                <c:pt idx="183">
                  <c:v>0.74869815375949633</c:v>
                </c:pt>
                <c:pt idx="184">
                  <c:v>0.75126747433689578</c:v>
                </c:pt>
                <c:pt idx="185">
                  <c:v>0.75378764202097304</c:v>
                </c:pt>
                <c:pt idx="186">
                  <c:v>0.7562555230180027</c:v>
                </c:pt>
                <c:pt idx="187">
                  <c:v>0.75866763301002049</c:v>
                </c:pt>
                <c:pt idx="188">
                  <c:v>0.76102014821985831</c:v>
                </c:pt>
                <c:pt idx="189">
                  <c:v>0.76330891863412753</c:v>
                </c:pt>
                <c:pt idx="190">
                  <c:v>0.76552948330001647</c:v>
                </c:pt>
                <c:pt idx="191">
                  <c:v>0.76767708759893849</c:v>
                </c:pt>
                <c:pt idx="192">
                  <c:v>0.76974670238796605</c:v>
                </c:pt>
                <c:pt idx="193">
                  <c:v>0.77173304488879646</c:v>
                </c:pt>
                <c:pt idx="194">
                  <c:v>0.77363060119366256</c:v>
                </c:pt>
                <c:pt idx="195">
                  <c:v>0.77543365024831856</c:v>
                </c:pt>
                <c:pt idx="196">
                  <c:v>0.77713628916396127</c:v>
                </c:pt>
                <c:pt idx="197">
                  <c:v>0.77873245970279314</c:v>
                </c:pt>
                <c:pt idx="198">
                  <c:v>0.78021597577592916</c:v>
                </c:pt>
                <c:pt idx="199">
                  <c:v>0.78158055178750152</c:v>
                </c:pt>
                <c:pt idx="200">
                  <c:v>0.78281983165518276</c:v>
                </c:pt>
                <c:pt idx="201">
                  <c:v>0.78392741833489943</c:v>
                </c:pt>
                <c:pt idx="202">
                  <c:v>0.78489690367629039</c:v>
                </c:pt>
                <c:pt idx="203">
                  <c:v>0.78572189843543028</c:v>
                </c:pt>
                <c:pt idx="204">
                  <c:v>0.78639606227250114</c:v>
                </c:pt>
                <c:pt idx="205">
                  <c:v>0.78691313356438386</c:v>
                </c:pt>
                <c:pt idx="206">
                  <c:v>0.78726695886560172</c:v>
                </c:pt>
                <c:pt idx="207">
                  <c:v>0.7874515218555237</c:v>
                </c:pt>
                <c:pt idx="208">
                  <c:v>0.78746097161527329</c:v>
                </c:pt>
                <c:pt idx="209">
                  <c:v>0.7872896500842792</c:v>
                </c:pt>
                <c:pt idx="210">
                  <c:v>0.78693211855378042</c:v>
                </c:pt>
                <c:pt idx="211">
                  <c:v>0.78638318306280663</c:v>
                </c:pt>
                <c:pt idx="212">
                  <c:v>0.78563791857111498</c:v>
                </c:pt>
                <c:pt idx="213">
                  <c:v>0.78469169179315879</c:v>
                </c:pt>
                <c:pt idx="214">
                  <c:v>0.78354018258738467</c:v>
                </c:pt>
                <c:pt idx="215">
                  <c:v>0.7821794038058052</c:v>
                </c:pt>
                <c:pt idx="216">
                  <c:v>0.78060571951989854</c:v>
                </c:pt>
                <c:pt idx="217">
                  <c:v>0.77881586155024918</c:v>
                </c:pt>
                <c:pt idx="218">
                  <c:v>0.77680694423897023</c:v>
                </c:pt>
                <c:pt idx="219">
                  <c:v>0.77457647741564672</c:v>
                </c:pt>
                <c:pt idx="220">
                  <c:v>0.77212237751933399</c:v>
                </c:pt>
                <c:pt idx="221">
                  <c:v>0.76944297685081497</c:v>
                </c:pt>
                <c:pt idx="222">
                  <c:v>0.7665370309409365</c:v>
                </c:pt>
                <c:pt idx="223">
                  <c:v>0.76340372403217494</c:v>
                </c:pt>
                <c:pt idx="224">
                  <c:v>0.76004267268166159</c:v>
                </c:pt>
                <c:pt idx="225">
                  <c:v>0.7564539275045955</c:v>
                </c:pt>
                <c:pt idx="226">
                  <c:v>0.75263797308725477</c:v>
                </c:pt>
                <c:pt idx="227">
                  <c:v>0.74859572610859382</c:v>
                </c:pt>
                <c:pt idx="228">
                  <c:v>0.74432853171866109</c:v>
                </c:pt>
                <c:pt idx="229">
                  <c:v>0.73983815823072241</c:v>
                </c:pt>
                <c:pt idx="230">
                  <c:v>0.73512679019197924</c:v>
                </c:pt>
                <c:pt idx="231">
                  <c:v>0.73019701990514452</c:v>
                </c:pt>
                <c:pt idx="232">
                  <c:v>0.72505183747976065</c:v>
                </c:pt>
                <c:pt idx="233">
                  <c:v>0.71969461949810654</c:v>
                </c:pt>
                <c:pt idx="234">
                  <c:v>0.71412911638571053</c:v>
                </c:pt>
                <c:pt idx="235">
                  <c:v>0.70835943858097816</c:v>
                </c:pt>
                <c:pt idx="236">
                  <c:v>0.70239004160212659</c:v>
                </c:pt>
                <c:pt idx="237">
                  <c:v>0.69622571011260204</c:v>
                </c:pt>
                <c:pt idx="238">
                  <c:v>0.68987154108840021</c:v>
                </c:pt>
                <c:pt idx="239">
                  <c:v>0.68333292619220831</c:v>
                </c:pt>
                <c:pt idx="240">
                  <c:v>0.67661553346012127</c:v>
                </c:pt>
                <c:pt idx="241">
                  <c:v>0.66972528840682322</c:v>
                </c:pt>
                <c:pt idx="242">
                  <c:v>0.66266835465459506</c:v>
                </c:pt>
                <c:pt idx="243">
                  <c:v>0.65545111419040225</c:v>
                </c:pt>
                <c:pt idx="244">
                  <c:v>0.64808014735357677</c:v>
                </c:pt>
                <c:pt idx="245">
                  <c:v>0.64056221265434365</c:v>
                </c:pt>
                <c:pt idx="246">
                  <c:v>0.63290422652067391</c:v>
                </c:pt>
                <c:pt idx="247">
                  <c:v>0.62511324306766369</c:v>
                </c:pt>
                <c:pt idx="248">
                  <c:v>0.61719643397997714</c:v>
                </c:pt>
                <c:pt idx="249">
                  <c:v>0.60916106859381203</c:v>
                </c:pt>
                <c:pt idx="250">
                  <c:v>0.60101449426041953</c:v>
                </c:pt>
                <c:pt idx="251">
                  <c:v>0.59276411706849819</c:v>
                </c:pt>
                <c:pt idx="252">
                  <c:v>0.58441738299779356</c:v>
                </c:pt>
                <c:pt idx="253">
                  <c:v>0.57598175957104503</c:v>
                </c:pt>
                <c:pt idx="254">
                  <c:v>0.56746471806603627</c:v>
                </c:pt>
                <c:pt idx="255">
                  <c:v>0.55887371634400462</c:v>
                </c:pt>
                <c:pt idx="256">
                  <c:v>0.55021618234506342</c:v>
                </c:pt>
                <c:pt idx="257">
                  <c:v>0.54149949829561583</c:v>
                </c:pt>
                <c:pt idx="258">
                  <c:v>0.532730985667073</c:v>
                </c:pt>
                <c:pt idx="259">
                  <c:v>0.52391789091950502</c:v>
                </c:pt>
                <c:pt idx="260">
                  <c:v>0.51506737205824593</c:v>
                </c:pt>
                <c:pt idx="261">
                  <c:v>0.50618648602591454</c:v>
                </c:pt>
                <c:pt idx="262">
                  <c:v>0.49728217694689419</c:v>
                </c:pt>
                <c:pt idx="263">
                  <c:v>0.4883612652359906</c:v>
                </c:pt>
                <c:pt idx="264">
                  <c:v>0.47943043757786946</c:v>
                </c:pt>
                <c:pt idx="265">
                  <c:v>0.47049623777889282</c:v>
                </c:pt>
                <c:pt idx="266">
                  <c:v>0.46156505848824192</c:v>
                </c:pt>
                <c:pt idx="267">
                  <c:v>0.45264313378065435</c:v>
                </c:pt>
                <c:pt idx="268">
                  <c:v>0.44373653258884627</c:v>
                </c:pt>
                <c:pt idx="269">
                  <c:v>0.43485115296962223</c:v>
                </c:pt>
                <c:pt idx="270">
                  <c:v>0.42599271718394133</c:v>
                </c:pt>
                <c:pt idx="271">
                  <c:v>0.41716676756769722</c:v>
                </c:pt>
                <c:pt idx="272">
                  <c:v>0.40837866316679122</c:v>
                </c:pt>
                <c:pt idx="273">
                  <c:v>0.39963357710718328</c:v>
                </c:pt>
                <c:pt idx="274">
                  <c:v>0.39093649466799874</c:v>
                </c:pt>
                <c:pt idx="275">
                  <c:v>0.38229221202350183</c:v>
                </c:pt>
                <c:pt idx="276">
                  <c:v>0.3737053356177652</c:v>
                </c:pt>
                <c:pt idx="277">
                  <c:v>0.36518028213420234</c:v>
                </c:pt>
                <c:pt idx="278">
                  <c:v>0.35672127902078116</c:v>
                </c:pt>
                <c:pt idx="279">
                  <c:v>0.34833236553069069</c:v>
                </c:pt>
                <c:pt idx="280">
                  <c:v>0.34001739423749344</c:v>
                </c:pt>
                <c:pt idx="281">
                  <c:v>0.33178003298335135</c:v>
                </c:pt>
                <c:pt idx="282">
                  <c:v>0.32362376721875802</c:v>
                </c:pt>
                <c:pt idx="283">
                  <c:v>0.31555190269234196</c:v>
                </c:pt>
                <c:pt idx="284">
                  <c:v>0.30756756844969962</c:v>
                </c:pt>
                <c:pt idx="285">
                  <c:v>0.29967372010087706</c:v>
                </c:pt>
                <c:pt idx="286">
                  <c:v>0.29187314331702235</c:v>
                </c:pt>
                <c:pt idx="287">
                  <c:v>0.28416845751786507</c:v>
                </c:pt>
                <c:pt idx="288">
                  <c:v>0.27656211971303402</c:v>
                </c:pt>
                <c:pt idx="289">
                  <c:v>0.26905642846177302</c:v>
                </c:pt>
                <c:pt idx="290">
                  <c:v>0.26165352791735141</c:v>
                </c:pt>
                <c:pt idx="291">
                  <c:v>0.2543554119243619</c:v>
                </c:pt>
                <c:pt idx="292">
                  <c:v>0.24716392813914573</c:v>
                </c:pt>
                <c:pt idx="293">
                  <c:v>0.2400807821457456</c:v>
                </c:pt>
                <c:pt idx="294">
                  <c:v>0.23310754154207008</c:v>
                </c:pt>
                <c:pt idx="295">
                  <c:v>0.22624563997330305</c:v>
                </c:pt>
                <c:pt idx="296">
                  <c:v>0.21949638109201305</c:v>
                </c:pt>
                <c:pt idx="297">
                  <c:v>0.21286094242688644</c:v>
                </c:pt>
                <c:pt idx="298">
                  <c:v>0.20634037914448361</c:v>
                </c:pt>
                <c:pt idx="299">
                  <c:v>0.19993562769091497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C7-4386-A07E-C9C576405A60}"/>
            </c:ext>
          </c:extLst>
        </c:ser>
        <c:ser>
          <c:idx val="2"/>
          <c:order val="2"/>
          <c:tx>
            <c:v>Mała szerokość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versicolor_estymacjagęstości!$K$3:$K$302</c:f>
              <c:numCache>
                <c:formatCode>General</c:formatCode>
                <c:ptCount val="300"/>
                <c:pt idx="0">
                  <c:v>3</c:v>
                </c:pt>
                <c:pt idx="1">
                  <c:v>3.0070234113712373</c:v>
                </c:pt>
                <c:pt idx="2">
                  <c:v>3.0140468227424746</c:v>
                </c:pt>
                <c:pt idx="3">
                  <c:v>3.0210702341137119</c:v>
                </c:pt>
                <c:pt idx="4">
                  <c:v>3.0280936454849492</c:v>
                </c:pt>
                <c:pt idx="5">
                  <c:v>3.0351170568561865</c:v>
                </c:pt>
                <c:pt idx="6">
                  <c:v>3.0421404682274238</c:v>
                </c:pt>
                <c:pt idx="7">
                  <c:v>3.0491638795986611</c:v>
                </c:pt>
                <c:pt idx="8">
                  <c:v>3.0561872909698984</c:v>
                </c:pt>
                <c:pt idx="9">
                  <c:v>3.0632107023411357</c:v>
                </c:pt>
                <c:pt idx="10">
                  <c:v>3.070234113712373</c:v>
                </c:pt>
                <c:pt idx="11">
                  <c:v>3.0772575250836103</c:v>
                </c:pt>
                <c:pt idx="12">
                  <c:v>3.0842809364548476</c:v>
                </c:pt>
                <c:pt idx="13">
                  <c:v>3.0913043478260849</c:v>
                </c:pt>
                <c:pt idx="14">
                  <c:v>3.0983277591973222</c:v>
                </c:pt>
                <c:pt idx="15">
                  <c:v>3.1053511705685595</c:v>
                </c:pt>
                <c:pt idx="16">
                  <c:v>3.1123745819397968</c:v>
                </c:pt>
                <c:pt idx="17">
                  <c:v>3.1193979933110341</c:v>
                </c:pt>
                <c:pt idx="18">
                  <c:v>3.1264214046822714</c:v>
                </c:pt>
                <c:pt idx="19">
                  <c:v>3.1334448160535087</c:v>
                </c:pt>
                <c:pt idx="20">
                  <c:v>3.140468227424746</c:v>
                </c:pt>
                <c:pt idx="21">
                  <c:v>3.1474916387959833</c:v>
                </c:pt>
                <c:pt idx="22">
                  <c:v>3.1545150501672206</c:v>
                </c:pt>
                <c:pt idx="23">
                  <c:v>3.1615384615384579</c:v>
                </c:pt>
                <c:pt idx="24">
                  <c:v>3.1685618729096952</c:v>
                </c:pt>
                <c:pt idx="25">
                  <c:v>3.1755852842809325</c:v>
                </c:pt>
                <c:pt idx="26">
                  <c:v>3.1826086956521698</c:v>
                </c:pt>
                <c:pt idx="27">
                  <c:v>3.189632107023407</c:v>
                </c:pt>
                <c:pt idx="28">
                  <c:v>3.1966555183946443</c:v>
                </c:pt>
                <c:pt idx="29">
                  <c:v>3.2036789297658816</c:v>
                </c:pt>
                <c:pt idx="30">
                  <c:v>3.2107023411371189</c:v>
                </c:pt>
                <c:pt idx="31">
                  <c:v>3.2177257525083562</c:v>
                </c:pt>
                <c:pt idx="32">
                  <c:v>3.2247491638795935</c:v>
                </c:pt>
                <c:pt idx="33">
                  <c:v>3.2317725752508308</c:v>
                </c:pt>
                <c:pt idx="34">
                  <c:v>3.2387959866220681</c:v>
                </c:pt>
                <c:pt idx="35">
                  <c:v>3.2458193979933054</c:v>
                </c:pt>
                <c:pt idx="36">
                  <c:v>3.2528428093645427</c:v>
                </c:pt>
                <c:pt idx="37">
                  <c:v>3.25986622073578</c:v>
                </c:pt>
                <c:pt idx="38">
                  <c:v>3.2668896321070173</c:v>
                </c:pt>
                <c:pt idx="39">
                  <c:v>3.2739130434782546</c:v>
                </c:pt>
                <c:pt idx="40">
                  <c:v>3.2809364548494919</c:v>
                </c:pt>
                <c:pt idx="41">
                  <c:v>3.2879598662207292</c:v>
                </c:pt>
                <c:pt idx="42">
                  <c:v>3.2949832775919665</c:v>
                </c:pt>
                <c:pt idx="43">
                  <c:v>3.3020066889632038</c:v>
                </c:pt>
                <c:pt idx="44">
                  <c:v>3.3090301003344411</c:v>
                </c:pt>
                <c:pt idx="45">
                  <c:v>3.3160535117056784</c:v>
                </c:pt>
                <c:pt idx="46">
                  <c:v>3.3230769230769157</c:v>
                </c:pt>
                <c:pt idx="47">
                  <c:v>3.330100334448153</c:v>
                </c:pt>
                <c:pt idx="48">
                  <c:v>3.3371237458193903</c:v>
                </c:pt>
                <c:pt idx="49">
                  <c:v>3.3441471571906276</c:v>
                </c:pt>
                <c:pt idx="50">
                  <c:v>3.3511705685618649</c:v>
                </c:pt>
                <c:pt idx="51">
                  <c:v>3.3581939799331022</c:v>
                </c:pt>
                <c:pt idx="52">
                  <c:v>3.3652173913043395</c:v>
                </c:pt>
                <c:pt idx="53">
                  <c:v>3.3722408026755768</c:v>
                </c:pt>
                <c:pt idx="54">
                  <c:v>3.3792642140468141</c:v>
                </c:pt>
                <c:pt idx="55">
                  <c:v>3.3862876254180514</c:v>
                </c:pt>
                <c:pt idx="56">
                  <c:v>3.3933110367892887</c:v>
                </c:pt>
                <c:pt idx="57">
                  <c:v>3.400334448160526</c:v>
                </c:pt>
                <c:pt idx="58">
                  <c:v>3.4073578595317633</c:v>
                </c:pt>
                <c:pt idx="59">
                  <c:v>3.4143812709030006</c:v>
                </c:pt>
                <c:pt idx="60">
                  <c:v>3.4214046822742379</c:v>
                </c:pt>
                <c:pt idx="61">
                  <c:v>3.4284280936454752</c:v>
                </c:pt>
                <c:pt idx="62">
                  <c:v>3.4354515050167125</c:v>
                </c:pt>
                <c:pt idx="63">
                  <c:v>3.4424749163879498</c:v>
                </c:pt>
                <c:pt idx="64">
                  <c:v>3.4494983277591871</c:v>
                </c:pt>
                <c:pt idx="65">
                  <c:v>3.4565217391304244</c:v>
                </c:pt>
                <c:pt idx="66">
                  <c:v>3.4635451505016617</c:v>
                </c:pt>
                <c:pt idx="67">
                  <c:v>3.470568561872899</c:v>
                </c:pt>
                <c:pt idx="68">
                  <c:v>3.4775919732441363</c:v>
                </c:pt>
                <c:pt idx="69">
                  <c:v>3.4846153846153736</c:v>
                </c:pt>
                <c:pt idx="70">
                  <c:v>3.4916387959866109</c:v>
                </c:pt>
                <c:pt idx="71">
                  <c:v>3.4986622073578482</c:v>
                </c:pt>
                <c:pt idx="72">
                  <c:v>3.5056856187290855</c:v>
                </c:pt>
                <c:pt idx="73">
                  <c:v>3.5127090301003228</c:v>
                </c:pt>
                <c:pt idx="74">
                  <c:v>3.5197324414715601</c:v>
                </c:pt>
                <c:pt idx="75">
                  <c:v>3.5267558528427974</c:v>
                </c:pt>
                <c:pt idx="76">
                  <c:v>3.5337792642140347</c:v>
                </c:pt>
                <c:pt idx="77">
                  <c:v>3.540802675585272</c:v>
                </c:pt>
                <c:pt idx="78">
                  <c:v>3.5478260869565093</c:v>
                </c:pt>
                <c:pt idx="79">
                  <c:v>3.5548494983277465</c:v>
                </c:pt>
                <c:pt idx="80">
                  <c:v>3.5618729096989838</c:v>
                </c:pt>
                <c:pt idx="81">
                  <c:v>3.5688963210702211</c:v>
                </c:pt>
                <c:pt idx="82">
                  <c:v>3.5759197324414584</c:v>
                </c:pt>
                <c:pt idx="83">
                  <c:v>3.5829431438126957</c:v>
                </c:pt>
                <c:pt idx="84">
                  <c:v>3.589966555183933</c:v>
                </c:pt>
                <c:pt idx="85">
                  <c:v>3.5969899665551703</c:v>
                </c:pt>
                <c:pt idx="86">
                  <c:v>3.6040133779264076</c:v>
                </c:pt>
                <c:pt idx="87">
                  <c:v>3.6110367892976449</c:v>
                </c:pt>
                <c:pt idx="88">
                  <c:v>3.6180602006688822</c:v>
                </c:pt>
                <c:pt idx="89">
                  <c:v>3.6250836120401195</c:v>
                </c:pt>
                <c:pt idx="90">
                  <c:v>3.6321070234113568</c:v>
                </c:pt>
                <c:pt idx="91">
                  <c:v>3.6391304347825941</c:v>
                </c:pt>
                <c:pt idx="92">
                  <c:v>3.6461538461538314</c:v>
                </c:pt>
                <c:pt idx="93">
                  <c:v>3.6531772575250687</c:v>
                </c:pt>
                <c:pt idx="94">
                  <c:v>3.660200668896306</c:v>
                </c:pt>
                <c:pt idx="95">
                  <c:v>3.6672240802675433</c:v>
                </c:pt>
                <c:pt idx="96">
                  <c:v>3.6742474916387806</c:v>
                </c:pt>
                <c:pt idx="97">
                  <c:v>3.6812709030100179</c:v>
                </c:pt>
                <c:pt idx="98">
                  <c:v>3.6882943143812552</c:v>
                </c:pt>
                <c:pt idx="99">
                  <c:v>3.6953177257524925</c:v>
                </c:pt>
                <c:pt idx="100">
                  <c:v>3.7023411371237298</c:v>
                </c:pt>
                <c:pt idx="101">
                  <c:v>3.7093645484949671</c:v>
                </c:pt>
                <c:pt idx="102">
                  <c:v>3.7163879598662044</c:v>
                </c:pt>
                <c:pt idx="103">
                  <c:v>3.7234113712374417</c:v>
                </c:pt>
                <c:pt idx="104">
                  <c:v>3.730434782608679</c:v>
                </c:pt>
                <c:pt idx="105">
                  <c:v>3.7374581939799163</c:v>
                </c:pt>
                <c:pt idx="106">
                  <c:v>3.7444816053511536</c:v>
                </c:pt>
                <c:pt idx="107">
                  <c:v>3.7515050167223909</c:v>
                </c:pt>
                <c:pt idx="108">
                  <c:v>3.7585284280936282</c:v>
                </c:pt>
                <c:pt idx="109">
                  <c:v>3.7655518394648655</c:v>
                </c:pt>
                <c:pt idx="110">
                  <c:v>3.7725752508361028</c:v>
                </c:pt>
                <c:pt idx="111">
                  <c:v>3.7795986622073401</c:v>
                </c:pt>
                <c:pt idx="112">
                  <c:v>3.7866220735785774</c:v>
                </c:pt>
                <c:pt idx="113">
                  <c:v>3.7936454849498147</c:v>
                </c:pt>
                <c:pt idx="114">
                  <c:v>3.800668896321052</c:v>
                </c:pt>
                <c:pt idx="115">
                  <c:v>3.8076923076922893</c:v>
                </c:pt>
                <c:pt idx="116">
                  <c:v>3.8147157190635266</c:v>
                </c:pt>
                <c:pt idx="117">
                  <c:v>3.8217391304347639</c:v>
                </c:pt>
                <c:pt idx="118">
                  <c:v>3.8287625418060012</c:v>
                </c:pt>
                <c:pt idx="119">
                  <c:v>3.8357859531772385</c:v>
                </c:pt>
                <c:pt idx="120">
                  <c:v>3.8428093645484758</c:v>
                </c:pt>
                <c:pt idx="121">
                  <c:v>3.8498327759197131</c:v>
                </c:pt>
                <c:pt idx="122">
                  <c:v>3.8568561872909504</c:v>
                </c:pt>
                <c:pt idx="123">
                  <c:v>3.8638795986621877</c:v>
                </c:pt>
                <c:pt idx="124">
                  <c:v>3.870903010033425</c:v>
                </c:pt>
                <c:pt idx="125">
                  <c:v>3.8779264214046623</c:v>
                </c:pt>
                <c:pt idx="126">
                  <c:v>3.8849498327758996</c:v>
                </c:pt>
                <c:pt idx="127">
                  <c:v>3.8919732441471369</c:v>
                </c:pt>
                <c:pt idx="128">
                  <c:v>3.8989966555183742</c:v>
                </c:pt>
                <c:pt idx="129">
                  <c:v>3.9060200668896115</c:v>
                </c:pt>
                <c:pt idx="130">
                  <c:v>3.9130434782608488</c:v>
                </c:pt>
                <c:pt idx="131">
                  <c:v>3.920066889632086</c:v>
                </c:pt>
                <c:pt idx="132">
                  <c:v>3.9270903010033233</c:v>
                </c:pt>
                <c:pt idx="133">
                  <c:v>3.9341137123745606</c:v>
                </c:pt>
                <c:pt idx="134">
                  <c:v>3.9411371237457979</c:v>
                </c:pt>
                <c:pt idx="135">
                  <c:v>3.9481605351170352</c:v>
                </c:pt>
                <c:pt idx="136">
                  <c:v>3.9551839464882725</c:v>
                </c:pt>
                <c:pt idx="137">
                  <c:v>3.9622073578595098</c:v>
                </c:pt>
                <c:pt idx="138">
                  <c:v>3.9692307692307471</c:v>
                </c:pt>
                <c:pt idx="139">
                  <c:v>3.9762541806019844</c:v>
                </c:pt>
                <c:pt idx="140">
                  <c:v>3.9832775919732217</c:v>
                </c:pt>
                <c:pt idx="141">
                  <c:v>3.990301003344459</c:v>
                </c:pt>
                <c:pt idx="142">
                  <c:v>3.9973244147156963</c:v>
                </c:pt>
                <c:pt idx="143">
                  <c:v>4.0043478260869341</c:v>
                </c:pt>
                <c:pt idx="144">
                  <c:v>4.0113712374581718</c:v>
                </c:pt>
                <c:pt idx="145">
                  <c:v>4.0183946488294096</c:v>
                </c:pt>
                <c:pt idx="146">
                  <c:v>4.0254180602006473</c:v>
                </c:pt>
                <c:pt idx="147">
                  <c:v>4.032441471571885</c:v>
                </c:pt>
                <c:pt idx="148">
                  <c:v>4.0394648829431228</c:v>
                </c:pt>
                <c:pt idx="149">
                  <c:v>4.0464882943143605</c:v>
                </c:pt>
                <c:pt idx="150">
                  <c:v>4.0535117056855983</c:v>
                </c:pt>
                <c:pt idx="151">
                  <c:v>4.060535117056836</c:v>
                </c:pt>
                <c:pt idx="152">
                  <c:v>4.0675585284280737</c:v>
                </c:pt>
                <c:pt idx="153">
                  <c:v>4.0745819397993115</c:v>
                </c:pt>
                <c:pt idx="154">
                  <c:v>4.0816053511705492</c:v>
                </c:pt>
                <c:pt idx="155">
                  <c:v>4.088628762541787</c:v>
                </c:pt>
                <c:pt idx="156">
                  <c:v>4.0956521739130247</c:v>
                </c:pt>
                <c:pt idx="157">
                  <c:v>4.1026755852842625</c:v>
                </c:pt>
                <c:pt idx="158">
                  <c:v>4.1096989966555002</c:v>
                </c:pt>
                <c:pt idx="159">
                  <c:v>4.1167224080267379</c:v>
                </c:pt>
                <c:pt idx="160">
                  <c:v>4.1237458193979757</c:v>
                </c:pt>
                <c:pt idx="161">
                  <c:v>4.1307692307692134</c:v>
                </c:pt>
                <c:pt idx="162">
                  <c:v>4.1377926421404512</c:v>
                </c:pt>
                <c:pt idx="163">
                  <c:v>4.1448160535116889</c:v>
                </c:pt>
                <c:pt idx="164">
                  <c:v>4.1518394648829267</c:v>
                </c:pt>
                <c:pt idx="165">
                  <c:v>4.1588628762541644</c:v>
                </c:pt>
                <c:pt idx="166">
                  <c:v>4.1658862876254021</c:v>
                </c:pt>
                <c:pt idx="167">
                  <c:v>4.1729096989966399</c:v>
                </c:pt>
                <c:pt idx="168">
                  <c:v>4.1799331103678776</c:v>
                </c:pt>
                <c:pt idx="169">
                  <c:v>4.1869565217391154</c:v>
                </c:pt>
                <c:pt idx="170">
                  <c:v>4.1939799331103531</c:v>
                </c:pt>
                <c:pt idx="171">
                  <c:v>4.2010033444815909</c:v>
                </c:pt>
                <c:pt idx="172">
                  <c:v>4.2080267558528286</c:v>
                </c:pt>
                <c:pt idx="173">
                  <c:v>4.2150501672240663</c:v>
                </c:pt>
                <c:pt idx="174">
                  <c:v>4.2220735785953041</c:v>
                </c:pt>
                <c:pt idx="175">
                  <c:v>4.2290969899665418</c:v>
                </c:pt>
                <c:pt idx="176">
                  <c:v>4.2361204013377796</c:v>
                </c:pt>
                <c:pt idx="177">
                  <c:v>4.2431438127090173</c:v>
                </c:pt>
                <c:pt idx="178">
                  <c:v>4.250167224080255</c:v>
                </c:pt>
                <c:pt idx="179">
                  <c:v>4.2571906354514928</c:v>
                </c:pt>
                <c:pt idx="180">
                  <c:v>4.2642140468227305</c:v>
                </c:pt>
                <c:pt idx="181">
                  <c:v>4.2712374581939683</c:v>
                </c:pt>
                <c:pt idx="182">
                  <c:v>4.278260869565206</c:v>
                </c:pt>
                <c:pt idx="183">
                  <c:v>4.2852842809364438</c:v>
                </c:pt>
                <c:pt idx="184">
                  <c:v>4.2923076923076815</c:v>
                </c:pt>
                <c:pt idx="185">
                  <c:v>4.2993311036789192</c:v>
                </c:pt>
                <c:pt idx="186">
                  <c:v>4.306354515050157</c:v>
                </c:pt>
                <c:pt idx="187">
                  <c:v>4.3133779264213947</c:v>
                </c:pt>
                <c:pt idx="188">
                  <c:v>4.3204013377926325</c:v>
                </c:pt>
                <c:pt idx="189">
                  <c:v>4.3274247491638702</c:v>
                </c:pt>
                <c:pt idx="190">
                  <c:v>4.334448160535108</c:v>
                </c:pt>
                <c:pt idx="191">
                  <c:v>4.3414715719063457</c:v>
                </c:pt>
                <c:pt idx="192">
                  <c:v>4.3484949832775834</c:v>
                </c:pt>
                <c:pt idx="193">
                  <c:v>4.3555183946488212</c:v>
                </c:pt>
                <c:pt idx="194">
                  <c:v>4.3625418060200589</c:v>
                </c:pt>
                <c:pt idx="195">
                  <c:v>4.3695652173912967</c:v>
                </c:pt>
                <c:pt idx="196">
                  <c:v>4.3765886287625344</c:v>
                </c:pt>
                <c:pt idx="197">
                  <c:v>4.3836120401337721</c:v>
                </c:pt>
                <c:pt idx="198">
                  <c:v>4.3906354515050099</c:v>
                </c:pt>
                <c:pt idx="199">
                  <c:v>4.3976588628762476</c:v>
                </c:pt>
                <c:pt idx="200">
                  <c:v>4.4046822742474854</c:v>
                </c:pt>
                <c:pt idx="201">
                  <c:v>4.4117056856187231</c:v>
                </c:pt>
                <c:pt idx="202">
                  <c:v>4.4187290969899609</c:v>
                </c:pt>
                <c:pt idx="203">
                  <c:v>4.4257525083611986</c:v>
                </c:pt>
                <c:pt idx="204">
                  <c:v>4.4327759197324363</c:v>
                </c:pt>
                <c:pt idx="205">
                  <c:v>4.4397993311036741</c:v>
                </c:pt>
                <c:pt idx="206">
                  <c:v>4.4468227424749118</c:v>
                </c:pt>
                <c:pt idx="207">
                  <c:v>4.4538461538461496</c:v>
                </c:pt>
                <c:pt idx="208">
                  <c:v>4.4608695652173873</c:v>
                </c:pt>
                <c:pt idx="209">
                  <c:v>4.4678929765886251</c:v>
                </c:pt>
                <c:pt idx="210">
                  <c:v>4.4749163879598628</c:v>
                </c:pt>
                <c:pt idx="211">
                  <c:v>4.4819397993311005</c:v>
                </c:pt>
                <c:pt idx="212">
                  <c:v>4.4889632107023383</c:v>
                </c:pt>
                <c:pt idx="213">
                  <c:v>4.495986622073576</c:v>
                </c:pt>
                <c:pt idx="214">
                  <c:v>4.5030100334448138</c:v>
                </c:pt>
                <c:pt idx="215">
                  <c:v>4.5100334448160515</c:v>
                </c:pt>
                <c:pt idx="216">
                  <c:v>4.5170568561872892</c:v>
                </c:pt>
                <c:pt idx="217">
                  <c:v>4.524080267558527</c:v>
                </c:pt>
                <c:pt idx="218">
                  <c:v>4.5311036789297647</c:v>
                </c:pt>
                <c:pt idx="219">
                  <c:v>4.5381270903010025</c:v>
                </c:pt>
                <c:pt idx="220">
                  <c:v>4.5451505016722402</c:v>
                </c:pt>
                <c:pt idx="221">
                  <c:v>4.552173913043478</c:v>
                </c:pt>
                <c:pt idx="222">
                  <c:v>4.5591973244147157</c:v>
                </c:pt>
                <c:pt idx="223">
                  <c:v>4.5662207357859534</c:v>
                </c:pt>
                <c:pt idx="224">
                  <c:v>4.5732441471571912</c:v>
                </c:pt>
                <c:pt idx="225">
                  <c:v>4.5802675585284289</c:v>
                </c:pt>
                <c:pt idx="226">
                  <c:v>4.5872909698996667</c:v>
                </c:pt>
                <c:pt idx="227">
                  <c:v>4.5943143812709044</c:v>
                </c:pt>
                <c:pt idx="228">
                  <c:v>4.6013377926421422</c:v>
                </c:pt>
                <c:pt idx="229">
                  <c:v>4.6083612040133799</c:v>
                </c:pt>
                <c:pt idx="230">
                  <c:v>4.6153846153846176</c:v>
                </c:pt>
                <c:pt idx="231">
                  <c:v>4.6224080267558554</c:v>
                </c:pt>
                <c:pt idx="232">
                  <c:v>4.6294314381270931</c:v>
                </c:pt>
                <c:pt idx="233">
                  <c:v>4.6364548494983309</c:v>
                </c:pt>
                <c:pt idx="234">
                  <c:v>4.6434782608695686</c:v>
                </c:pt>
                <c:pt idx="235">
                  <c:v>4.6505016722408064</c:v>
                </c:pt>
                <c:pt idx="236">
                  <c:v>4.6575250836120441</c:v>
                </c:pt>
                <c:pt idx="237">
                  <c:v>4.6645484949832818</c:v>
                </c:pt>
                <c:pt idx="238">
                  <c:v>4.6715719063545196</c:v>
                </c:pt>
                <c:pt idx="239">
                  <c:v>4.6785953177257573</c:v>
                </c:pt>
                <c:pt idx="240">
                  <c:v>4.6856187290969951</c:v>
                </c:pt>
                <c:pt idx="241">
                  <c:v>4.6926421404682328</c:v>
                </c:pt>
                <c:pt idx="242">
                  <c:v>4.6996655518394705</c:v>
                </c:pt>
                <c:pt idx="243">
                  <c:v>4.7066889632107083</c:v>
                </c:pt>
                <c:pt idx="244">
                  <c:v>4.713712374581946</c:v>
                </c:pt>
                <c:pt idx="245">
                  <c:v>4.7207357859531838</c:v>
                </c:pt>
                <c:pt idx="246">
                  <c:v>4.7277591973244215</c:v>
                </c:pt>
                <c:pt idx="247">
                  <c:v>4.7347826086956593</c:v>
                </c:pt>
                <c:pt idx="248">
                  <c:v>4.741806020066897</c:v>
                </c:pt>
                <c:pt idx="249">
                  <c:v>4.7488294314381347</c:v>
                </c:pt>
                <c:pt idx="250">
                  <c:v>4.7558528428093725</c:v>
                </c:pt>
                <c:pt idx="251">
                  <c:v>4.7628762541806102</c:v>
                </c:pt>
                <c:pt idx="252">
                  <c:v>4.769899665551848</c:v>
                </c:pt>
                <c:pt idx="253">
                  <c:v>4.7769230769230857</c:v>
                </c:pt>
                <c:pt idx="254">
                  <c:v>4.7839464882943235</c:v>
                </c:pt>
                <c:pt idx="255">
                  <c:v>4.7909698996655612</c:v>
                </c:pt>
                <c:pt idx="256">
                  <c:v>4.7979933110367989</c:v>
                </c:pt>
                <c:pt idx="257">
                  <c:v>4.8050167224080367</c:v>
                </c:pt>
                <c:pt idx="258">
                  <c:v>4.8120401337792744</c:v>
                </c:pt>
                <c:pt idx="259">
                  <c:v>4.8190635451505122</c:v>
                </c:pt>
                <c:pt idx="260">
                  <c:v>4.8260869565217499</c:v>
                </c:pt>
                <c:pt idx="261">
                  <c:v>4.8331103678929876</c:v>
                </c:pt>
                <c:pt idx="262">
                  <c:v>4.8401337792642254</c:v>
                </c:pt>
                <c:pt idx="263">
                  <c:v>4.8471571906354631</c:v>
                </c:pt>
                <c:pt idx="264">
                  <c:v>4.8541806020067009</c:v>
                </c:pt>
                <c:pt idx="265">
                  <c:v>4.8612040133779386</c:v>
                </c:pt>
                <c:pt idx="266">
                  <c:v>4.8682274247491764</c:v>
                </c:pt>
                <c:pt idx="267">
                  <c:v>4.8752508361204141</c:v>
                </c:pt>
                <c:pt idx="268">
                  <c:v>4.8822742474916518</c:v>
                </c:pt>
                <c:pt idx="269">
                  <c:v>4.8892976588628896</c:v>
                </c:pt>
                <c:pt idx="270">
                  <c:v>4.8963210702341273</c:v>
                </c:pt>
                <c:pt idx="271">
                  <c:v>4.9033444816053651</c:v>
                </c:pt>
                <c:pt idx="272">
                  <c:v>4.9103678929766028</c:v>
                </c:pt>
                <c:pt idx="273">
                  <c:v>4.9173913043478406</c:v>
                </c:pt>
                <c:pt idx="274">
                  <c:v>4.9244147157190783</c:v>
                </c:pt>
                <c:pt idx="275">
                  <c:v>4.931438127090316</c:v>
                </c:pt>
                <c:pt idx="276">
                  <c:v>4.9384615384615538</c:v>
                </c:pt>
                <c:pt idx="277">
                  <c:v>4.9454849498327915</c:v>
                </c:pt>
                <c:pt idx="278">
                  <c:v>4.9525083612040293</c:v>
                </c:pt>
                <c:pt idx="279">
                  <c:v>4.959531772575267</c:v>
                </c:pt>
                <c:pt idx="280">
                  <c:v>4.9665551839465047</c:v>
                </c:pt>
                <c:pt idx="281">
                  <c:v>4.9735785953177425</c:v>
                </c:pt>
                <c:pt idx="282">
                  <c:v>4.9806020066889802</c:v>
                </c:pt>
                <c:pt idx="283">
                  <c:v>4.987625418060218</c:v>
                </c:pt>
                <c:pt idx="284">
                  <c:v>4.9946488294314557</c:v>
                </c:pt>
                <c:pt idx="285">
                  <c:v>5.0016722408026935</c:v>
                </c:pt>
                <c:pt idx="286">
                  <c:v>5.0086956521739312</c:v>
                </c:pt>
                <c:pt idx="287">
                  <c:v>5.0157190635451689</c:v>
                </c:pt>
                <c:pt idx="288">
                  <c:v>5.0227424749164067</c:v>
                </c:pt>
                <c:pt idx="289">
                  <c:v>5.0297658862876444</c:v>
                </c:pt>
                <c:pt idx="290">
                  <c:v>5.0367892976588822</c:v>
                </c:pt>
                <c:pt idx="291">
                  <c:v>5.0438127090301199</c:v>
                </c:pt>
                <c:pt idx="292">
                  <c:v>5.0508361204013577</c:v>
                </c:pt>
                <c:pt idx="293">
                  <c:v>5.0578595317725954</c:v>
                </c:pt>
                <c:pt idx="294">
                  <c:v>5.0648829431438331</c:v>
                </c:pt>
                <c:pt idx="295">
                  <c:v>5.0719063545150709</c:v>
                </c:pt>
                <c:pt idx="296">
                  <c:v>5.0789297658863086</c:v>
                </c:pt>
                <c:pt idx="297">
                  <c:v>5.0859531772575464</c:v>
                </c:pt>
                <c:pt idx="298">
                  <c:v>5.0929765886287841</c:v>
                </c:pt>
                <c:pt idx="299">
                  <c:v>5.1000000000000218</c:v>
                </c:pt>
              </c:numCache>
            </c:numRef>
          </c:cat>
          <c:val>
            <c:numRef>
              <c:f>versicolor_estymacjagęstości!$N$3:$N$302</c:f>
              <c:numCache>
                <c:formatCode>General</c:formatCode>
                <c:ptCount val="300"/>
                <c:pt idx="0">
                  <c:v>0.15957691702127935</c:v>
                </c:pt>
                <c:pt idx="1">
                  <c:v>0.15801033198519182</c:v>
                </c:pt>
                <c:pt idx="2">
                  <c:v>0.1534022463284169</c:v>
                </c:pt>
                <c:pt idx="3">
                  <c:v>0.14601880905590478</c:v>
                </c:pt>
                <c:pt idx="4">
                  <c:v>0.1362751927547543</c:v>
                </c:pt>
                <c:pt idx="5">
                  <c:v>0.12469696792695137</c:v>
                </c:pt>
                <c:pt idx="6">
                  <c:v>0.11187330062550886</c:v>
                </c:pt>
                <c:pt idx="7">
                  <c:v>9.840776540988555E-2</c:v>
                </c:pt>
                <c:pt idx="8">
                  <c:v>8.4872446485084255E-2</c:v>
                </c:pt>
                <c:pt idx="9">
                  <c:v>7.177006089135983E-2</c:v>
                </c:pt>
                <c:pt idx="10">
                  <c:v>5.9507310784628113E-2</c:v>
                </c:pt>
                <c:pt idx="11">
                  <c:v>4.8380872636466829E-2</c:v>
                </c:pt>
                <c:pt idx="12">
                  <c:v>3.8575686948531612E-2</c:v>
                </c:pt>
                <c:pt idx="13">
                  <c:v>3.0173796242726907E-2</c:v>
                </c:pt>
                <c:pt idx="14">
                  <c:v>2.3171065217519795E-2</c:v>
                </c:pt>
                <c:pt idx="15">
                  <c:v>1.7498760224807411E-2</c:v>
                </c:pt>
                <c:pt idx="16">
                  <c:v>1.3047111002011324E-2</c:v>
                </c:pt>
                <c:pt idx="17">
                  <c:v>9.6884905787394827E-3</c:v>
                </c:pt>
                <c:pt idx="18">
                  <c:v>7.2985529775337794E-3</c:v>
                </c:pt>
                <c:pt idx="19">
                  <c:v>5.7743847761633675E-3</c:v>
                </c:pt>
                <c:pt idx="20">
                  <c:v>5.0493084791159533E-3</c:v>
                </c:pt>
                <c:pt idx="21">
                  <c:v>5.1043269120000382E-3</c:v>
                </c:pt>
                <c:pt idx="22">
                  <c:v>5.976282548970948E-3</c:v>
                </c:pt>
                <c:pt idx="23">
                  <c:v>7.7626471244984499E-3</c:v>
                </c:pt>
                <c:pt idx="24">
                  <c:v>1.0622530088629433E-2</c:v>
                </c:pt>
                <c:pt idx="25">
                  <c:v>1.4773114062957886E-2</c:v>
                </c:pt>
                <c:pt idx="26">
                  <c:v>2.0480429817770207E-2</c:v>
                </c:pt>
                <c:pt idx="27">
                  <c:v>2.8043314609295798E-2</c:v>
                </c:pt>
                <c:pt idx="28">
                  <c:v>3.7769677570228276E-2</c:v>
                </c:pt>
                <c:pt idx="29">
                  <c:v>4.9944897279533364E-2</c:v>
                </c:pt>
                <c:pt idx="30">
                  <c:v>6.4793296279096177E-2</c:v>
                </c:pt>
                <c:pt idx="31">
                  <c:v>8.243507397359251E-2</c:v>
                </c:pt>
                <c:pt idx="32">
                  <c:v>0.10284262740154324</c:v>
                </c:pt>
                <c:pt idx="33">
                  <c:v>0.12580155456463474</c:v>
                </c:pt>
                <c:pt idx="34">
                  <c:v>0.15088247705210017</c:v>
                </c:pt>
                <c:pt idx="35">
                  <c:v>0.17742981793417756</c:v>
                </c:pt>
                <c:pt idx="36">
                  <c:v>0.20457260846415018</c:v>
                </c:pt>
                <c:pt idx="37">
                  <c:v>0.23126023057070524</c:v>
                </c:pt>
                <c:pt idx="38">
                  <c:v>0.25632291473961527</c:v>
                </c:pt>
                <c:pt idx="39">
                  <c:v>0.27855321740715122</c:v>
                </c:pt>
                <c:pt idx="40">
                  <c:v>0.29680118814598544</c:v>
                </c:pt>
                <c:pt idx="41">
                  <c:v>0.3100731664950086</c:v>
                </c:pt>
                <c:pt idx="42">
                  <c:v>0.31762271680448939</c:v>
                </c:pt>
                <c:pt idx="43">
                  <c:v>0.3190225060629161</c:v>
                </c:pt>
                <c:pt idx="44">
                  <c:v>0.31420803102687939</c:v>
                </c:pt>
                <c:pt idx="45">
                  <c:v>0.30348772990487838</c:v>
                </c:pt>
                <c:pt idx="46">
                  <c:v>0.28751857791006585</c:v>
                </c:pt>
                <c:pt idx="47">
                  <c:v>0.26725097105278883</c:v>
                </c:pt>
                <c:pt idx="48">
                  <c:v>0.24385071597845415</c:v>
                </c:pt>
                <c:pt idx="49">
                  <c:v>0.21860856845012253</c:v>
                </c:pt>
                <c:pt idx="50">
                  <c:v>0.19284858096302565</c:v>
                </c:pt>
                <c:pt idx="51">
                  <c:v>0.16784547059608532</c:v>
                </c:pt>
                <c:pt idx="52">
                  <c:v>0.14475859837450422</c:v>
                </c:pt>
                <c:pt idx="53">
                  <c:v>0.12458653917358166</c:v>
                </c:pt>
                <c:pt idx="54">
                  <c:v>0.10814234674679638</c:v>
                </c:pt>
                <c:pt idx="55">
                  <c:v>9.6046214287032611E-2</c:v>
                </c:pt>
                <c:pt idx="56">
                  <c:v>8.8729893871851193E-2</c:v>
                </c:pt>
                <c:pt idx="57">
                  <c:v>8.6446329027928814E-2</c:v>
                </c:pt>
                <c:pt idx="58">
                  <c:v>8.9278549089515935E-2</c:v>
                </c:pt>
                <c:pt idx="59">
                  <c:v>9.7143766010967775E-2</c:v>
                </c:pt>
                <c:pt idx="60">
                  <c:v>0.10979136509276519</c:v>
                </c:pt>
                <c:pt idx="61">
                  <c:v>0.12679650121141889</c:v>
                </c:pt>
                <c:pt idx="62">
                  <c:v>0.14755366296036124</c:v>
                </c:pt>
                <c:pt idx="63">
                  <c:v>0.17127626900253853</c:v>
                </c:pt>
                <c:pt idx="64">
                  <c:v>0.19700869538318747</c:v>
                </c:pt>
                <c:pt idx="65">
                  <c:v>0.22365592457509842</c:v>
                </c:pt>
                <c:pt idx="66">
                  <c:v>0.25003337386701491</c:v>
                </c:pt>
                <c:pt idx="67">
                  <c:v>0.27493581360223363</c:v>
                </c:pt>
                <c:pt idx="68">
                  <c:v>0.29722027668921602</c:v>
                </c:pt>
                <c:pt idx="69">
                  <c:v>0.31589427527754194</c:v>
                </c:pt>
                <c:pt idx="70">
                  <c:v>0.3301982504903424</c:v>
                </c:pt>
                <c:pt idx="71">
                  <c:v>0.33967058422987295</c:v>
                </c:pt>
                <c:pt idx="72">
                  <c:v>0.34418498160506306</c:v>
                </c:pt>
                <c:pt idx="73">
                  <c:v>0.34395347290606559</c:v>
                </c:pt>
                <c:pt idx="74">
                  <c:v>0.33949316690246101</c:v>
                </c:pt>
                <c:pt idx="75">
                  <c:v>0.33156037557634832</c:v>
                </c:pt>
                <c:pt idx="76">
                  <c:v>0.32106082726312368</c:v>
                </c:pt>
                <c:pt idx="77">
                  <c:v>0.30894843398965149</c:v>
                </c:pt>
                <c:pt idx="78">
                  <c:v>0.29612676117092218</c:v>
                </c:pt>
                <c:pt idx="79">
                  <c:v>0.28336663408932494</c:v>
                </c:pt>
                <c:pt idx="80">
                  <c:v>0.27125033430779877</c:v>
                </c:pt>
                <c:pt idx="81">
                  <c:v>0.26014815074979503</c:v>
                </c:pt>
                <c:pt idx="82">
                  <c:v>0.25022753169370476</c:v>
                </c:pt>
                <c:pt idx="83">
                  <c:v>0.24148975194017783</c:v>
                </c:pt>
                <c:pt idx="84">
                  <c:v>0.23382481963174984</c:v>
                </c:pt>
                <c:pt idx="85">
                  <c:v>0.22707301286108628</c:v>
                </c:pt>
                <c:pt idx="86">
                  <c:v>0.22108130059693351</c:v>
                </c:pt>
                <c:pt idx="87">
                  <c:v>0.21574488804747718</c:v>
                </c:pt>
                <c:pt idx="88">
                  <c:v>0.21102776638157883</c:v>
                </c:pt>
                <c:pt idx="89">
                  <c:v>0.20696068756146993</c:v>
                </c:pt>
                <c:pt idx="90">
                  <c:v>0.20361953944858943</c:v>
                </c:pt>
                <c:pt idx="91">
                  <c:v>0.20109081252148178</c:v>
                </c:pt>
                <c:pt idx="92">
                  <c:v>0.19943306734586469</c:v>
                </c:pt>
                <c:pt idx="93">
                  <c:v>0.19864367739836306</c:v>
                </c:pt>
                <c:pt idx="94">
                  <c:v>0.19863864144916871</c:v>
                </c:pt>
                <c:pt idx="95">
                  <c:v>0.19925028705073713</c:v>
                </c:pt>
                <c:pt idx="96">
                  <c:v>0.20024384625402855</c:v>
                </c:pt>
                <c:pt idx="97">
                  <c:v>0.20134994824586355</c:v>
                </c:pt>
                <c:pt idx="98">
                  <c:v>0.20230681245855303</c:v>
                </c:pt>
                <c:pt idx="99">
                  <c:v>0.202903965819766</c:v>
                </c:pt>
                <c:pt idx="100">
                  <c:v>0.20301901405267664</c:v>
                </c:pt>
                <c:pt idx="101">
                  <c:v>0.20264040705373618</c:v>
                </c:pt>
                <c:pt idx="102">
                  <c:v>0.20187195850238485</c:v>
                </c:pt>
                <c:pt idx="103">
                  <c:v>0.20091854211099763</c:v>
                </c:pt>
                <c:pt idx="104">
                  <c:v>0.20005615839130092</c:v>
                </c:pt>
                <c:pt idx="105">
                  <c:v>0.19959268881436834</c:v>
                </c:pt>
                <c:pt idx="106">
                  <c:v>0.19982749200660593</c:v>
                </c:pt>
                <c:pt idx="107">
                  <c:v>0.20101815752322574</c:v>
                </c:pt>
                <c:pt idx="108">
                  <c:v>0.20336115004347927</c:v>
                </c:pt>
                <c:pt idx="109">
                  <c:v>0.20699002895207305</c:v>
                </c:pt>
                <c:pt idx="110">
                  <c:v>0.21199099494477708</c:v>
                </c:pt>
                <c:pt idx="111">
                  <c:v>0.21843147632943588</c:v>
                </c:pt>
                <c:pt idx="112">
                  <c:v>0.22639416090213721</c:v>
                </c:pt>
                <c:pt idx="113">
                  <c:v>0.23600704152649243</c:v>
                </c:pt>
                <c:pt idx="114">
                  <c:v>0.24746016237454668</c:v>
                </c:pt>
                <c:pt idx="115">
                  <c:v>0.26100195555056671</c:v>
                </c:pt>
                <c:pt idx="116">
                  <c:v>0.27691206046929429</c:v>
                </c:pt>
                <c:pt idx="117">
                  <c:v>0.29545264763305001</c:v>
                </c:pt>
                <c:pt idx="118">
                  <c:v>0.31680555974488878</c:v>
                </c:pt>
                <c:pt idx="119">
                  <c:v>0.34100694337923165</c:v>
                </c:pt>
                <c:pt idx="120">
                  <c:v>0.3678934565853984</c:v>
                </c:pt>
                <c:pt idx="121">
                  <c:v>0.39707387209488942</c:v>
                </c:pt>
                <c:pt idx="122">
                  <c:v>0.42793668825848702</c:v>
                </c:pt>
                <c:pt idx="123">
                  <c:v>0.45969851794126054</c:v>
                </c:pt>
                <c:pt idx="124">
                  <c:v>0.4914904308051839</c:v>
                </c:pt>
                <c:pt idx="125">
                  <c:v>0.52247141764565042</c:v>
                </c:pt>
                <c:pt idx="126">
                  <c:v>0.55195130454619046</c:v>
                </c:pt>
                <c:pt idx="127">
                  <c:v>0.57950128680428259</c:v>
                </c:pt>
                <c:pt idx="128">
                  <c:v>0.60502991596033584</c:v>
                </c:pt>
                <c:pt idx="129">
                  <c:v>0.62880634252387968</c:v>
                </c:pt>
                <c:pt idx="130">
                  <c:v>0.65142055682044953</c:v>
                </c:pt>
                <c:pt idx="131">
                  <c:v>0.67368111344769799</c:v>
                </c:pt>
                <c:pt idx="132">
                  <c:v>0.69646253228399513</c:v>
                </c:pt>
                <c:pt idx="133">
                  <c:v>0.72052504544565188</c:v>
                </c:pt>
                <c:pt idx="134">
                  <c:v>0.74633646923435848</c:v>
                </c:pt>
                <c:pt idx="135">
                  <c:v>0.77392808430340354</c:v>
                </c:pt>
                <c:pt idx="136">
                  <c:v>0.80281273281063947</c:v>
                </c:pt>
                <c:pt idx="137">
                  <c:v>0.83198419686901748</c:v>
                </c:pt>
                <c:pt idx="138">
                  <c:v>0.86000370700216189</c:v>
                </c:pt>
                <c:pt idx="139">
                  <c:v>0.88516441648723354</c:v>
                </c:pt>
                <c:pt idx="140">
                  <c:v>0.90571060913838952</c:v>
                </c:pt>
                <c:pt idx="141">
                  <c:v>0.92007796882602155</c:v>
                </c:pt>
                <c:pt idx="142">
                  <c:v>0.92711651788322602</c:v>
                </c:pt>
                <c:pt idx="143">
                  <c:v>0.92625988298975948</c:v>
                </c:pt>
                <c:pt idx="144">
                  <c:v>0.91761314812125605</c:v>
                </c:pt>
                <c:pt idx="145">
                  <c:v>0.9019452156345622</c:v>
                </c:pt>
                <c:pt idx="146">
                  <c:v>0.88058783402643503</c:v>
                </c:pt>
                <c:pt idx="147">
                  <c:v>0.85525926264623364</c:v>
                </c:pt>
                <c:pt idx="148">
                  <c:v>0.82784299890598656</c:v>
                </c:pt>
                <c:pt idx="149">
                  <c:v>0.80015880827716568</c:v>
                </c:pt>
                <c:pt idx="150">
                  <c:v>0.7737632781951721</c:v>
                </c:pt>
                <c:pt idx="151">
                  <c:v>0.74981038315703963</c:v>
                </c:pt>
                <c:pt idx="152">
                  <c:v>0.72899049028968099</c:v>
                </c:pt>
                <c:pt idx="153">
                  <c:v>0.71155122383839975</c:v>
                </c:pt>
                <c:pt idx="154">
                  <c:v>0.69738852100532878</c:v>
                </c:pt>
                <c:pt idx="155">
                  <c:v>0.68618387454287511</c:v>
                </c:pt>
                <c:pt idx="156">
                  <c:v>0.67755640663473948</c:v>
                </c:pt>
                <c:pt idx="157">
                  <c:v>0.67119729727612099</c:v>
                </c:pt>
                <c:pt idx="158">
                  <c:v>0.66695924009434748</c:v>
                </c:pt>
                <c:pt idx="159">
                  <c:v>0.66488388074021443</c:v>
                </c:pt>
                <c:pt idx="160">
                  <c:v>0.66516352875974927</c:v>
                </c:pt>
                <c:pt idx="161">
                  <c:v>0.66804721138550138</c:v>
                </c:pt>
                <c:pt idx="162">
                  <c:v>0.67371270865841748</c:v>
                </c:pt>
                <c:pt idx="163">
                  <c:v>0.68213338303922988</c:v>
                </c:pt>
                <c:pt idx="164">
                  <c:v>0.69297006277298989</c:v>
                </c:pt>
                <c:pt idx="165">
                  <c:v>0.7055137259104175</c:v>
                </c:pt>
                <c:pt idx="166">
                  <c:v>0.71869516345994977</c:v>
                </c:pt>
                <c:pt idx="167">
                  <c:v>0.73116503333386018</c:v>
                </c:pt>
                <c:pt idx="168">
                  <c:v>0.74143420754825973</c:v>
                </c:pt>
                <c:pt idx="169">
                  <c:v>0.74805264770542512</c:v>
                </c:pt>
                <c:pt idx="170">
                  <c:v>0.74979743566627366</c:v>
                </c:pt>
                <c:pt idx="171">
                  <c:v>0.74583846396333231</c:v>
                </c:pt>
                <c:pt idx="172">
                  <c:v>0.73585401847017295</c:v>
                </c:pt>
                <c:pt idx="173">
                  <c:v>0.72007730401266856</c:v>
                </c:pt>
                <c:pt idx="174">
                  <c:v>0.69926714560840963</c:v>
                </c:pt>
                <c:pt idx="175">
                  <c:v>0.67460929892021104</c:v>
                </c:pt>
                <c:pt idx="176">
                  <c:v>0.6475665255929921</c:v>
                </c:pt>
                <c:pt idx="177">
                  <c:v>0.61970367034537788</c:v>
                </c:pt>
                <c:pt idx="178">
                  <c:v>0.59251700271869312</c:v>
                </c:pt>
                <c:pt idx="179">
                  <c:v>0.56729464555967024</c:v>
                </c:pt>
                <c:pt idx="180">
                  <c:v>0.54502764697820949</c:v>
                </c:pt>
                <c:pt idx="181">
                  <c:v>0.52638070428384287</c:v>
                </c:pt>
                <c:pt idx="182">
                  <c:v>0.51171983582315617</c:v>
                </c:pt>
                <c:pt idx="183">
                  <c:v>0.50118369489866765</c:v>
                </c:pt>
                <c:pt idx="184">
                  <c:v>0.49477772655100394</c:v>
                </c:pt>
                <c:pt idx="185">
                  <c:v>0.49246733560394618</c:v>
                </c:pt>
                <c:pt idx="186">
                  <c:v>0.49424813431144982</c:v>
                </c:pt>
                <c:pt idx="187">
                  <c:v>0.50017769053059058</c:v>
                </c:pt>
                <c:pt idx="188">
                  <c:v>0.51036267496612875</c:v>
                </c:pt>
                <c:pt idx="189">
                  <c:v>0.52490598595324478</c:v>
                </c:pt>
                <c:pt idx="190">
                  <c:v>0.54382815133278606</c:v>
                </c:pt>
                <c:pt idx="191">
                  <c:v>0.56698406956052683</c:v>
                </c:pt>
                <c:pt idx="192">
                  <c:v>0.59399849413722761</c:v>
                </c:pt>
                <c:pt idx="193">
                  <c:v>0.62424095045116434</c:v>
                </c:pt>
                <c:pt idx="194">
                  <c:v>0.65685334021730846</c:v>
                </c:pt>
                <c:pt idx="195">
                  <c:v>0.69083262483945163</c:v>
                </c:pt>
                <c:pt idx="196">
                  <c:v>0.72515872443879936</c:v>
                </c:pt>
                <c:pt idx="197">
                  <c:v>0.75894656044219033</c:v>
                </c:pt>
                <c:pt idx="198">
                  <c:v>0.79159338927822098</c:v>
                </c:pt>
                <c:pt idx="199">
                  <c:v>0.82289008090675853</c:v>
                </c:pt>
                <c:pt idx="200">
                  <c:v>0.85306871966646503</c:v>
                </c:pt>
                <c:pt idx="201">
                  <c:v>0.88276860117047951</c:v>
                </c:pt>
                <c:pt idx="202">
                  <c:v>0.91291691191382807</c:v>
                </c:pt>
                <c:pt idx="203">
                  <c:v>0.94453664551394045</c:v>
                </c:pt>
                <c:pt idx="204">
                  <c:v>0.97850958254279452</c:v>
                </c:pt>
                <c:pt idx="205">
                  <c:v>1.0153333729398291</c:v>
                </c:pt>
                <c:pt idx="206">
                  <c:v>1.0549164367777111</c:v>
                </c:pt>
                <c:pt idx="207">
                  <c:v>1.0964511908137089</c:v>
                </c:pt>
                <c:pt idx="208">
                  <c:v>1.1383951275173299</c:v>
                </c:pt>
                <c:pt idx="209">
                  <c:v>1.1785721574714181</c:v>
                </c:pt>
                <c:pt idx="210">
                  <c:v>1.2143862926165225</c:v>
                </c:pt>
                <c:pt idx="211">
                  <c:v>1.243119875465329</c:v>
                </c:pt>
                <c:pt idx="212">
                  <c:v>1.2622728882452519</c:v>
                </c:pt>
                <c:pt idx="213">
                  <c:v>1.269891464059252</c:v>
                </c:pt>
                <c:pt idx="214">
                  <c:v>1.2648343140118314</c:v>
                </c:pt>
                <c:pt idx="215">
                  <c:v>1.2469354288657377</c:v>
                </c:pt>
                <c:pt idx="216">
                  <c:v>1.2170384225991424</c:v>
                </c:pt>
                <c:pt idx="217">
                  <c:v>1.1768991466891483</c:v>
                </c:pt>
                <c:pt idx="218">
                  <c:v>1.1289747937708918</c:v>
                </c:pt>
                <c:pt idx="219">
                  <c:v>1.0761356683984236</c:v>
                </c:pt>
                <c:pt idx="220">
                  <c:v>1.0213469171995733</c:v>
                </c:pt>
                <c:pt idx="221">
                  <c:v>0.96736993014411354</c:v>
                </c:pt>
                <c:pt idx="222">
                  <c:v>0.91652669092345129</c:v>
                </c:pt>
                <c:pt idx="223">
                  <c:v>0.87055658374992806</c:v>
                </c:pt>
                <c:pt idx="224">
                  <c:v>0.83057689742902563</c:v>
                </c:pt>
                <c:pt idx="225">
                  <c:v>0.79713907738143863</c:v>
                </c:pt>
                <c:pt idx="226">
                  <c:v>0.77035625689113441</c:v>
                </c:pt>
                <c:pt idx="227">
                  <c:v>0.75006668922675901</c:v>
                </c:pt>
                <c:pt idx="228">
                  <c:v>0.73599416599997447</c:v>
                </c:pt>
                <c:pt idx="229">
                  <c:v>0.72787065764148862</c:v>
                </c:pt>
                <c:pt idx="230">
                  <c:v>0.72549711778676862</c:v>
                </c:pt>
                <c:pt idx="231">
                  <c:v>0.72873334545476598</c:v>
                </c:pt>
                <c:pt idx="232">
                  <c:v>0.7374239769806995</c:v>
                </c:pt>
                <c:pt idx="233">
                  <c:v>0.75128192794563919</c:v>
                </c:pt>
                <c:pt idx="234">
                  <c:v>0.76976021289377217</c:v>
                </c:pt>
                <c:pt idx="235">
                  <c:v>0.79194625732996937</c:v>
                </c:pt>
                <c:pt idx="236">
                  <c:v>0.81650904338979047</c:v>
                </c:pt>
                <c:pt idx="237">
                  <c:v>0.84171948303247168</c:v>
                </c:pt>
                <c:pt idx="238">
                  <c:v>0.86555024225884514</c:v>
                </c:pt>
                <c:pt idx="239">
                  <c:v>0.88584559215801972</c:v>
                </c:pt>
                <c:pt idx="240">
                  <c:v>0.900537755283914</c:v>
                </c:pt>
                <c:pt idx="241">
                  <c:v>0.90787636326535137</c:v>
                </c:pt>
                <c:pt idx="242">
                  <c:v>0.90663393359445421</c:v>
                </c:pt>
                <c:pt idx="243">
                  <c:v>0.89625341228842714</c:v>
                </c:pt>
                <c:pt idx="244">
                  <c:v>0.87691319762494402</c:v>
                </c:pt>
                <c:pt idx="245">
                  <c:v>0.84949885296643435</c:v>
                </c:pt>
                <c:pt idx="246">
                  <c:v>0.81548630718354909</c:v>
                </c:pt>
                <c:pt idx="247">
                  <c:v>0.77675580977891978</c:v>
                </c:pt>
                <c:pt idx="248">
                  <c:v>0.73536662016808663</c:v>
                </c:pt>
                <c:pt idx="249">
                  <c:v>0.69332752462644054</c:v>
                </c:pt>
                <c:pt idx="250">
                  <c:v>0.65239707248119394</c:v>
                </c:pt>
                <c:pt idx="251">
                  <c:v>0.61394040630518321</c:v>
                </c:pt>
                <c:pt idx="252">
                  <c:v>0.57885829643738873</c:v>
                </c:pt>
                <c:pt idx="253">
                  <c:v>0.54759075600791818</c:v>
                </c:pt>
                <c:pt idx="254">
                  <c:v>0.52018492273443329</c:v>
                </c:pt>
                <c:pt idx="255">
                  <c:v>0.49640700737051791</c:v>
                </c:pt>
                <c:pt idx="256">
                  <c:v>0.47587262155023596</c:v>
                </c:pt>
                <c:pt idx="257">
                  <c:v>0.4581693881593944</c:v>
                </c:pt>
                <c:pt idx="258">
                  <c:v>0.44295010330697548</c:v>
                </c:pt>
                <c:pt idx="259">
                  <c:v>0.42998270260748539</c:v>
                </c:pt>
                <c:pt idx="260">
                  <c:v>0.41915314485513111</c:v>
                </c:pt>
                <c:pt idx="261">
                  <c:v>0.41042709835012325</c:v>
                </c:pt>
                <c:pt idx="262">
                  <c:v>0.40378418402367222</c:v>
                </c:pt>
                <c:pt idx="263">
                  <c:v>0.39914315052557164</c:v>
                </c:pt>
                <c:pt idx="264">
                  <c:v>0.39629707041568546</c:v>
                </c:pt>
                <c:pt idx="265">
                  <c:v>0.39487455829310431</c:v>
                </c:pt>
                <c:pt idx="266">
                  <c:v>0.39433692668147147</c:v>
                </c:pt>
                <c:pt idx="267">
                  <c:v>0.39401343446488701</c:v>
                </c:pt>
                <c:pt idx="268">
                  <c:v>0.39316891203984683</c:v>
                </c:pt>
                <c:pt idx="269">
                  <c:v>0.3910915776831892</c:v>
                </c:pt>
                <c:pt idx="270">
                  <c:v>0.3871849674139653</c:v>
                </c:pt>
                <c:pt idx="271">
                  <c:v>0.38104722303835364</c:v>
                </c:pt>
                <c:pt idx="272">
                  <c:v>0.3725235212994758</c:v>
                </c:pt>
                <c:pt idx="273">
                  <c:v>0.36172257279578746</c:v>
                </c:pt>
                <c:pt idx="274">
                  <c:v>0.34899479571691217</c:v>
                </c:pt>
                <c:pt idx="275">
                  <c:v>0.33487665588454479</c:v>
                </c:pt>
                <c:pt idx="276">
                  <c:v>0.3200114592311088</c:v>
                </c:pt>
                <c:pt idx="277">
                  <c:v>0.3050605502530252</c:v>
                </c:pt>
                <c:pt idx="278">
                  <c:v>0.29061982613037857</c:v>
                </c:pt>
                <c:pt idx="279">
                  <c:v>0.27715467753143513</c:v>
                </c:pt>
                <c:pt idx="280">
                  <c:v>0.26496239075489603</c:v>
                </c:pt>
                <c:pt idx="281">
                  <c:v>0.25416557098222603</c:v>
                </c:pt>
                <c:pt idx="282">
                  <c:v>0.24473436545435132</c:v>
                </c:pt>
                <c:pt idx="283">
                  <c:v>0.2365302659591885</c:v>
                </c:pt>
                <c:pt idx="284">
                  <c:v>0.22936093115033493</c:v>
                </c:pt>
                <c:pt idx="285">
                  <c:v>0.22303430961880852</c:v>
                </c:pt>
                <c:pt idx="286">
                  <c:v>0.21740144783384074</c:v>
                </c:pt>
                <c:pt idx="287">
                  <c:v>0.21238039201751027</c:v>
                </c:pt>
                <c:pt idx="288">
                  <c:v>0.2079578623838628</c:v>
                </c:pt>
                <c:pt idx="289">
                  <c:v>0.20417002288717365</c:v>
                </c:pt>
                <c:pt idx="290">
                  <c:v>0.20106779987143586</c:v>
                </c:pt>
                <c:pt idx="291">
                  <c:v>0.19867507311002458</c:v>
                </c:pt>
                <c:pt idx="292">
                  <c:v>0.19694920051725004</c:v>
                </c:pt>
                <c:pt idx="293">
                  <c:v>0.1957526171993966</c:v>
                </c:pt>
                <c:pt idx="294">
                  <c:v>0.19484189584040765</c:v>
                </c:pt>
                <c:pt idx="295">
                  <c:v>0.19387718592106529</c:v>
                </c:pt>
                <c:pt idx="296">
                  <c:v>0.19245106226709183</c:v>
                </c:pt>
                <c:pt idx="297">
                  <c:v>0.19013224885491695</c:v>
                </c:pt>
                <c:pt idx="298">
                  <c:v>0.1865170823781086</c:v>
                </c:pt>
                <c:pt idx="299">
                  <c:v>0.18128036780715751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C7-4386-A07E-C9C576405A60}"/>
            </c:ext>
          </c:extLst>
        </c:ser>
        <c:ser>
          <c:idx val="3"/>
          <c:order val="3"/>
          <c:tx>
            <c:v>Duża szerokość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versicolor_estymacjagęstości!$K$3:$K$302</c:f>
              <c:numCache>
                <c:formatCode>General</c:formatCode>
                <c:ptCount val="300"/>
                <c:pt idx="0">
                  <c:v>3</c:v>
                </c:pt>
                <c:pt idx="1">
                  <c:v>3.0070234113712373</c:v>
                </c:pt>
                <c:pt idx="2">
                  <c:v>3.0140468227424746</c:v>
                </c:pt>
                <c:pt idx="3">
                  <c:v>3.0210702341137119</c:v>
                </c:pt>
                <c:pt idx="4">
                  <c:v>3.0280936454849492</c:v>
                </c:pt>
                <c:pt idx="5">
                  <c:v>3.0351170568561865</c:v>
                </c:pt>
                <c:pt idx="6">
                  <c:v>3.0421404682274238</c:v>
                </c:pt>
                <c:pt idx="7">
                  <c:v>3.0491638795986611</c:v>
                </c:pt>
                <c:pt idx="8">
                  <c:v>3.0561872909698984</c:v>
                </c:pt>
                <c:pt idx="9">
                  <c:v>3.0632107023411357</c:v>
                </c:pt>
                <c:pt idx="10">
                  <c:v>3.070234113712373</c:v>
                </c:pt>
                <c:pt idx="11">
                  <c:v>3.0772575250836103</c:v>
                </c:pt>
                <c:pt idx="12">
                  <c:v>3.0842809364548476</c:v>
                </c:pt>
                <c:pt idx="13">
                  <c:v>3.0913043478260849</c:v>
                </c:pt>
                <c:pt idx="14">
                  <c:v>3.0983277591973222</c:v>
                </c:pt>
                <c:pt idx="15">
                  <c:v>3.1053511705685595</c:v>
                </c:pt>
                <c:pt idx="16">
                  <c:v>3.1123745819397968</c:v>
                </c:pt>
                <c:pt idx="17">
                  <c:v>3.1193979933110341</c:v>
                </c:pt>
                <c:pt idx="18">
                  <c:v>3.1264214046822714</c:v>
                </c:pt>
                <c:pt idx="19">
                  <c:v>3.1334448160535087</c:v>
                </c:pt>
                <c:pt idx="20">
                  <c:v>3.140468227424746</c:v>
                </c:pt>
                <c:pt idx="21">
                  <c:v>3.1474916387959833</c:v>
                </c:pt>
                <c:pt idx="22">
                  <c:v>3.1545150501672206</c:v>
                </c:pt>
                <c:pt idx="23">
                  <c:v>3.1615384615384579</c:v>
                </c:pt>
                <c:pt idx="24">
                  <c:v>3.1685618729096952</c:v>
                </c:pt>
                <c:pt idx="25">
                  <c:v>3.1755852842809325</c:v>
                </c:pt>
                <c:pt idx="26">
                  <c:v>3.1826086956521698</c:v>
                </c:pt>
                <c:pt idx="27">
                  <c:v>3.189632107023407</c:v>
                </c:pt>
                <c:pt idx="28">
                  <c:v>3.1966555183946443</c:v>
                </c:pt>
                <c:pt idx="29">
                  <c:v>3.2036789297658816</c:v>
                </c:pt>
                <c:pt idx="30">
                  <c:v>3.2107023411371189</c:v>
                </c:pt>
                <c:pt idx="31">
                  <c:v>3.2177257525083562</c:v>
                </c:pt>
                <c:pt idx="32">
                  <c:v>3.2247491638795935</c:v>
                </c:pt>
                <c:pt idx="33">
                  <c:v>3.2317725752508308</c:v>
                </c:pt>
                <c:pt idx="34">
                  <c:v>3.2387959866220681</c:v>
                </c:pt>
                <c:pt idx="35">
                  <c:v>3.2458193979933054</c:v>
                </c:pt>
                <c:pt idx="36">
                  <c:v>3.2528428093645427</c:v>
                </c:pt>
                <c:pt idx="37">
                  <c:v>3.25986622073578</c:v>
                </c:pt>
                <c:pt idx="38">
                  <c:v>3.2668896321070173</c:v>
                </c:pt>
                <c:pt idx="39">
                  <c:v>3.2739130434782546</c:v>
                </c:pt>
                <c:pt idx="40">
                  <c:v>3.2809364548494919</c:v>
                </c:pt>
                <c:pt idx="41">
                  <c:v>3.2879598662207292</c:v>
                </c:pt>
                <c:pt idx="42">
                  <c:v>3.2949832775919665</c:v>
                </c:pt>
                <c:pt idx="43">
                  <c:v>3.3020066889632038</c:v>
                </c:pt>
                <c:pt idx="44">
                  <c:v>3.3090301003344411</c:v>
                </c:pt>
                <c:pt idx="45">
                  <c:v>3.3160535117056784</c:v>
                </c:pt>
                <c:pt idx="46">
                  <c:v>3.3230769230769157</c:v>
                </c:pt>
                <c:pt idx="47">
                  <c:v>3.330100334448153</c:v>
                </c:pt>
                <c:pt idx="48">
                  <c:v>3.3371237458193903</c:v>
                </c:pt>
                <c:pt idx="49">
                  <c:v>3.3441471571906276</c:v>
                </c:pt>
                <c:pt idx="50">
                  <c:v>3.3511705685618649</c:v>
                </c:pt>
                <c:pt idx="51">
                  <c:v>3.3581939799331022</c:v>
                </c:pt>
                <c:pt idx="52">
                  <c:v>3.3652173913043395</c:v>
                </c:pt>
                <c:pt idx="53">
                  <c:v>3.3722408026755768</c:v>
                </c:pt>
                <c:pt idx="54">
                  <c:v>3.3792642140468141</c:v>
                </c:pt>
                <c:pt idx="55">
                  <c:v>3.3862876254180514</c:v>
                </c:pt>
                <c:pt idx="56">
                  <c:v>3.3933110367892887</c:v>
                </c:pt>
                <c:pt idx="57">
                  <c:v>3.400334448160526</c:v>
                </c:pt>
                <c:pt idx="58">
                  <c:v>3.4073578595317633</c:v>
                </c:pt>
                <c:pt idx="59">
                  <c:v>3.4143812709030006</c:v>
                </c:pt>
                <c:pt idx="60">
                  <c:v>3.4214046822742379</c:v>
                </c:pt>
                <c:pt idx="61">
                  <c:v>3.4284280936454752</c:v>
                </c:pt>
                <c:pt idx="62">
                  <c:v>3.4354515050167125</c:v>
                </c:pt>
                <c:pt idx="63">
                  <c:v>3.4424749163879498</c:v>
                </c:pt>
                <c:pt idx="64">
                  <c:v>3.4494983277591871</c:v>
                </c:pt>
                <c:pt idx="65">
                  <c:v>3.4565217391304244</c:v>
                </c:pt>
                <c:pt idx="66">
                  <c:v>3.4635451505016617</c:v>
                </c:pt>
                <c:pt idx="67">
                  <c:v>3.470568561872899</c:v>
                </c:pt>
                <c:pt idx="68">
                  <c:v>3.4775919732441363</c:v>
                </c:pt>
                <c:pt idx="69">
                  <c:v>3.4846153846153736</c:v>
                </c:pt>
                <c:pt idx="70">
                  <c:v>3.4916387959866109</c:v>
                </c:pt>
                <c:pt idx="71">
                  <c:v>3.4986622073578482</c:v>
                </c:pt>
                <c:pt idx="72">
                  <c:v>3.5056856187290855</c:v>
                </c:pt>
                <c:pt idx="73">
                  <c:v>3.5127090301003228</c:v>
                </c:pt>
                <c:pt idx="74">
                  <c:v>3.5197324414715601</c:v>
                </c:pt>
                <c:pt idx="75">
                  <c:v>3.5267558528427974</c:v>
                </c:pt>
                <c:pt idx="76">
                  <c:v>3.5337792642140347</c:v>
                </c:pt>
                <c:pt idx="77">
                  <c:v>3.540802675585272</c:v>
                </c:pt>
                <c:pt idx="78">
                  <c:v>3.5478260869565093</c:v>
                </c:pt>
                <c:pt idx="79">
                  <c:v>3.5548494983277465</c:v>
                </c:pt>
                <c:pt idx="80">
                  <c:v>3.5618729096989838</c:v>
                </c:pt>
                <c:pt idx="81">
                  <c:v>3.5688963210702211</c:v>
                </c:pt>
                <c:pt idx="82">
                  <c:v>3.5759197324414584</c:v>
                </c:pt>
                <c:pt idx="83">
                  <c:v>3.5829431438126957</c:v>
                </c:pt>
                <c:pt idx="84">
                  <c:v>3.589966555183933</c:v>
                </c:pt>
                <c:pt idx="85">
                  <c:v>3.5969899665551703</c:v>
                </c:pt>
                <c:pt idx="86">
                  <c:v>3.6040133779264076</c:v>
                </c:pt>
                <c:pt idx="87">
                  <c:v>3.6110367892976449</c:v>
                </c:pt>
                <c:pt idx="88">
                  <c:v>3.6180602006688822</c:v>
                </c:pt>
                <c:pt idx="89">
                  <c:v>3.6250836120401195</c:v>
                </c:pt>
                <c:pt idx="90">
                  <c:v>3.6321070234113568</c:v>
                </c:pt>
                <c:pt idx="91">
                  <c:v>3.6391304347825941</c:v>
                </c:pt>
                <c:pt idx="92">
                  <c:v>3.6461538461538314</c:v>
                </c:pt>
                <c:pt idx="93">
                  <c:v>3.6531772575250687</c:v>
                </c:pt>
                <c:pt idx="94">
                  <c:v>3.660200668896306</c:v>
                </c:pt>
                <c:pt idx="95">
                  <c:v>3.6672240802675433</c:v>
                </c:pt>
                <c:pt idx="96">
                  <c:v>3.6742474916387806</c:v>
                </c:pt>
                <c:pt idx="97">
                  <c:v>3.6812709030100179</c:v>
                </c:pt>
                <c:pt idx="98">
                  <c:v>3.6882943143812552</c:v>
                </c:pt>
                <c:pt idx="99">
                  <c:v>3.6953177257524925</c:v>
                </c:pt>
                <c:pt idx="100">
                  <c:v>3.7023411371237298</c:v>
                </c:pt>
                <c:pt idx="101">
                  <c:v>3.7093645484949671</c:v>
                </c:pt>
                <c:pt idx="102">
                  <c:v>3.7163879598662044</c:v>
                </c:pt>
                <c:pt idx="103">
                  <c:v>3.7234113712374417</c:v>
                </c:pt>
                <c:pt idx="104">
                  <c:v>3.730434782608679</c:v>
                </c:pt>
                <c:pt idx="105">
                  <c:v>3.7374581939799163</c:v>
                </c:pt>
                <c:pt idx="106">
                  <c:v>3.7444816053511536</c:v>
                </c:pt>
                <c:pt idx="107">
                  <c:v>3.7515050167223909</c:v>
                </c:pt>
                <c:pt idx="108">
                  <c:v>3.7585284280936282</c:v>
                </c:pt>
                <c:pt idx="109">
                  <c:v>3.7655518394648655</c:v>
                </c:pt>
                <c:pt idx="110">
                  <c:v>3.7725752508361028</c:v>
                </c:pt>
                <c:pt idx="111">
                  <c:v>3.7795986622073401</c:v>
                </c:pt>
                <c:pt idx="112">
                  <c:v>3.7866220735785774</c:v>
                </c:pt>
                <c:pt idx="113">
                  <c:v>3.7936454849498147</c:v>
                </c:pt>
                <c:pt idx="114">
                  <c:v>3.800668896321052</c:v>
                </c:pt>
                <c:pt idx="115">
                  <c:v>3.8076923076922893</c:v>
                </c:pt>
                <c:pt idx="116">
                  <c:v>3.8147157190635266</c:v>
                </c:pt>
                <c:pt idx="117">
                  <c:v>3.8217391304347639</c:v>
                </c:pt>
                <c:pt idx="118">
                  <c:v>3.8287625418060012</c:v>
                </c:pt>
                <c:pt idx="119">
                  <c:v>3.8357859531772385</c:v>
                </c:pt>
                <c:pt idx="120">
                  <c:v>3.8428093645484758</c:v>
                </c:pt>
                <c:pt idx="121">
                  <c:v>3.8498327759197131</c:v>
                </c:pt>
                <c:pt idx="122">
                  <c:v>3.8568561872909504</c:v>
                </c:pt>
                <c:pt idx="123">
                  <c:v>3.8638795986621877</c:v>
                </c:pt>
                <c:pt idx="124">
                  <c:v>3.870903010033425</c:v>
                </c:pt>
                <c:pt idx="125">
                  <c:v>3.8779264214046623</c:v>
                </c:pt>
                <c:pt idx="126">
                  <c:v>3.8849498327758996</c:v>
                </c:pt>
                <c:pt idx="127">
                  <c:v>3.8919732441471369</c:v>
                </c:pt>
                <c:pt idx="128">
                  <c:v>3.8989966555183742</c:v>
                </c:pt>
                <c:pt idx="129">
                  <c:v>3.9060200668896115</c:v>
                </c:pt>
                <c:pt idx="130">
                  <c:v>3.9130434782608488</c:v>
                </c:pt>
                <c:pt idx="131">
                  <c:v>3.920066889632086</c:v>
                </c:pt>
                <c:pt idx="132">
                  <c:v>3.9270903010033233</c:v>
                </c:pt>
                <c:pt idx="133">
                  <c:v>3.9341137123745606</c:v>
                </c:pt>
                <c:pt idx="134">
                  <c:v>3.9411371237457979</c:v>
                </c:pt>
                <c:pt idx="135">
                  <c:v>3.9481605351170352</c:v>
                </c:pt>
                <c:pt idx="136">
                  <c:v>3.9551839464882725</c:v>
                </c:pt>
                <c:pt idx="137">
                  <c:v>3.9622073578595098</c:v>
                </c:pt>
                <c:pt idx="138">
                  <c:v>3.9692307692307471</c:v>
                </c:pt>
                <c:pt idx="139">
                  <c:v>3.9762541806019844</c:v>
                </c:pt>
                <c:pt idx="140">
                  <c:v>3.9832775919732217</c:v>
                </c:pt>
                <c:pt idx="141">
                  <c:v>3.990301003344459</c:v>
                </c:pt>
                <c:pt idx="142">
                  <c:v>3.9973244147156963</c:v>
                </c:pt>
                <c:pt idx="143">
                  <c:v>4.0043478260869341</c:v>
                </c:pt>
                <c:pt idx="144">
                  <c:v>4.0113712374581718</c:v>
                </c:pt>
                <c:pt idx="145">
                  <c:v>4.0183946488294096</c:v>
                </c:pt>
                <c:pt idx="146">
                  <c:v>4.0254180602006473</c:v>
                </c:pt>
                <c:pt idx="147">
                  <c:v>4.032441471571885</c:v>
                </c:pt>
                <c:pt idx="148">
                  <c:v>4.0394648829431228</c:v>
                </c:pt>
                <c:pt idx="149">
                  <c:v>4.0464882943143605</c:v>
                </c:pt>
                <c:pt idx="150">
                  <c:v>4.0535117056855983</c:v>
                </c:pt>
                <c:pt idx="151">
                  <c:v>4.060535117056836</c:v>
                </c:pt>
                <c:pt idx="152">
                  <c:v>4.0675585284280737</c:v>
                </c:pt>
                <c:pt idx="153">
                  <c:v>4.0745819397993115</c:v>
                </c:pt>
                <c:pt idx="154">
                  <c:v>4.0816053511705492</c:v>
                </c:pt>
                <c:pt idx="155">
                  <c:v>4.088628762541787</c:v>
                </c:pt>
                <c:pt idx="156">
                  <c:v>4.0956521739130247</c:v>
                </c:pt>
                <c:pt idx="157">
                  <c:v>4.1026755852842625</c:v>
                </c:pt>
                <c:pt idx="158">
                  <c:v>4.1096989966555002</c:v>
                </c:pt>
                <c:pt idx="159">
                  <c:v>4.1167224080267379</c:v>
                </c:pt>
                <c:pt idx="160">
                  <c:v>4.1237458193979757</c:v>
                </c:pt>
                <c:pt idx="161">
                  <c:v>4.1307692307692134</c:v>
                </c:pt>
                <c:pt idx="162">
                  <c:v>4.1377926421404512</c:v>
                </c:pt>
                <c:pt idx="163">
                  <c:v>4.1448160535116889</c:v>
                </c:pt>
                <c:pt idx="164">
                  <c:v>4.1518394648829267</c:v>
                </c:pt>
                <c:pt idx="165">
                  <c:v>4.1588628762541644</c:v>
                </c:pt>
                <c:pt idx="166">
                  <c:v>4.1658862876254021</c:v>
                </c:pt>
                <c:pt idx="167">
                  <c:v>4.1729096989966399</c:v>
                </c:pt>
                <c:pt idx="168">
                  <c:v>4.1799331103678776</c:v>
                </c:pt>
                <c:pt idx="169">
                  <c:v>4.1869565217391154</c:v>
                </c:pt>
                <c:pt idx="170">
                  <c:v>4.1939799331103531</c:v>
                </c:pt>
                <c:pt idx="171">
                  <c:v>4.2010033444815909</c:v>
                </c:pt>
                <c:pt idx="172">
                  <c:v>4.2080267558528286</c:v>
                </c:pt>
                <c:pt idx="173">
                  <c:v>4.2150501672240663</c:v>
                </c:pt>
                <c:pt idx="174">
                  <c:v>4.2220735785953041</c:v>
                </c:pt>
                <c:pt idx="175">
                  <c:v>4.2290969899665418</c:v>
                </c:pt>
                <c:pt idx="176">
                  <c:v>4.2361204013377796</c:v>
                </c:pt>
                <c:pt idx="177">
                  <c:v>4.2431438127090173</c:v>
                </c:pt>
                <c:pt idx="178">
                  <c:v>4.250167224080255</c:v>
                </c:pt>
                <c:pt idx="179">
                  <c:v>4.2571906354514928</c:v>
                </c:pt>
                <c:pt idx="180">
                  <c:v>4.2642140468227305</c:v>
                </c:pt>
                <c:pt idx="181">
                  <c:v>4.2712374581939683</c:v>
                </c:pt>
                <c:pt idx="182">
                  <c:v>4.278260869565206</c:v>
                </c:pt>
                <c:pt idx="183">
                  <c:v>4.2852842809364438</c:v>
                </c:pt>
                <c:pt idx="184">
                  <c:v>4.2923076923076815</c:v>
                </c:pt>
                <c:pt idx="185">
                  <c:v>4.2993311036789192</c:v>
                </c:pt>
                <c:pt idx="186">
                  <c:v>4.306354515050157</c:v>
                </c:pt>
                <c:pt idx="187">
                  <c:v>4.3133779264213947</c:v>
                </c:pt>
                <c:pt idx="188">
                  <c:v>4.3204013377926325</c:v>
                </c:pt>
                <c:pt idx="189">
                  <c:v>4.3274247491638702</c:v>
                </c:pt>
                <c:pt idx="190">
                  <c:v>4.334448160535108</c:v>
                </c:pt>
                <c:pt idx="191">
                  <c:v>4.3414715719063457</c:v>
                </c:pt>
                <c:pt idx="192">
                  <c:v>4.3484949832775834</c:v>
                </c:pt>
                <c:pt idx="193">
                  <c:v>4.3555183946488212</c:v>
                </c:pt>
                <c:pt idx="194">
                  <c:v>4.3625418060200589</c:v>
                </c:pt>
                <c:pt idx="195">
                  <c:v>4.3695652173912967</c:v>
                </c:pt>
                <c:pt idx="196">
                  <c:v>4.3765886287625344</c:v>
                </c:pt>
                <c:pt idx="197">
                  <c:v>4.3836120401337721</c:v>
                </c:pt>
                <c:pt idx="198">
                  <c:v>4.3906354515050099</c:v>
                </c:pt>
                <c:pt idx="199">
                  <c:v>4.3976588628762476</c:v>
                </c:pt>
                <c:pt idx="200">
                  <c:v>4.4046822742474854</c:v>
                </c:pt>
                <c:pt idx="201">
                  <c:v>4.4117056856187231</c:v>
                </c:pt>
                <c:pt idx="202">
                  <c:v>4.4187290969899609</c:v>
                </c:pt>
                <c:pt idx="203">
                  <c:v>4.4257525083611986</c:v>
                </c:pt>
                <c:pt idx="204">
                  <c:v>4.4327759197324363</c:v>
                </c:pt>
                <c:pt idx="205">
                  <c:v>4.4397993311036741</c:v>
                </c:pt>
                <c:pt idx="206">
                  <c:v>4.4468227424749118</c:v>
                </c:pt>
                <c:pt idx="207">
                  <c:v>4.4538461538461496</c:v>
                </c:pt>
                <c:pt idx="208">
                  <c:v>4.4608695652173873</c:v>
                </c:pt>
                <c:pt idx="209">
                  <c:v>4.4678929765886251</c:v>
                </c:pt>
                <c:pt idx="210">
                  <c:v>4.4749163879598628</c:v>
                </c:pt>
                <c:pt idx="211">
                  <c:v>4.4819397993311005</c:v>
                </c:pt>
                <c:pt idx="212">
                  <c:v>4.4889632107023383</c:v>
                </c:pt>
                <c:pt idx="213">
                  <c:v>4.495986622073576</c:v>
                </c:pt>
                <c:pt idx="214">
                  <c:v>4.5030100334448138</c:v>
                </c:pt>
                <c:pt idx="215">
                  <c:v>4.5100334448160515</c:v>
                </c:pt>
                <c:pt idx="216">
                  <c:v>4.5170568561872892</c:v>
                </c:pt>
                <c:pt idx="217">
                  <c:v>4.524080267558527</c:v>
                </c:pt>
                <c:pt idx="218">
                  <c:v>4.5311036789297647</c:v>
                </c:pt>
                <c:pt idx="219">
                  <c:v>4.5381270903010025</c:v>
                </c:pt>
                <c:pt idx="220">
                  <c:v>4.5451505016722402</c:v>
                </c:pt>
                <c:pt idx="221">
                  <c:v>4.552173913043478</c:v>
                </c:pt>
                <c:pt idx="222">
                  <c:v>4.5591973244147157</c:v>
                </c:pt>
                <c:pt idx="223">
                  <c:v>4.5662207357859534</c:v>
                </c:pt>
                <c:pt idx="224">
                  <c:v>4.5732441471571912</c:v>
                </c:pt>
                <c:pt idx="225">
                  <c:v>4.5802675585284289</c:v>
                </c:pt>
                <c:pt idx="226">
                  <c:v>4.5872909698996667</c:v>
                </c:pt>
                <c:pt idx="227">
                  <c:v>4.5943143812709044</c:v>
                </c:pt>
                <c:pt idx="228">
                  <c:v>4.6013377926421422</c:v>
                </c:pt>
                <c:pt idx="229">
                  <c:v>4.6083612040133799</c:v>
                </c:pt>
                <c:pt idx="230">
                  <c:v>4.6153846153846176</c:v>
                </c:pt>
                <c:pt idx="231">
                  <c:v>4.6224080267558554</c:v>
                </c:pt>
                <c:pt idx="232">
                  <c:v>4.6294314381270931</c:v>
                </c:pt>
                <c:pt idx="233">
                  <c:v>4.6364548494983309</c:v>
                </c:pt>
                <c:pt idx="234">
                  <c:v>4.6434782608695686</c:v>
                </c:pt>
                <c:pt idx="235">
                  <c:v>4.6505016722408064</c:v>
                </c:pt>
                <c:pt idx="236">
                  <c:v>4.6575250836120441</c:v>
                </c:pt>
                <c:pt idx="237">
                  <c:v>4.6645484949832818</c:v>
                </c:pt>
                <c:pt idx="238">
                  <c:v>4.6715719063545196</c:v>
                </c:pt>
                <c:pt idx="239">
                  <c:v>4.6785953177257573</c:v>
                </c:pt>
                <c:pt idx="240">
                  <c:v>4.6856187290969951</c:v>
                </c:pt>
                <c:pt idx="241">
                  <c:v>4.6926421404682328</c:v>
                </c:pt>
                <c:pt idx="242">
                  <c:v>4.6996655518394705</c:v>
                </c:pt>
                <c:pt idx="243">
                  <c:v>4.7066889632107083</c:v>
                </c:pt>
                <c:pt idx="244">
                  <c:v>4.713712374581946</c:v>
                </c:pt>
                <c:pt idx="245">
                  <c:v>4.7207357859531838</c:v>
                </c:pt>
                <c:pt idx="246">
                  <c:v>4.7277591973244215</c:v>
                </c:pt>
                <c:pt idx="247">
                  <c:v>4.7347826086956593</c:v>
                </c:pt>
                <c:pt idx="248">
                  <c:v>4.741806020066897</c:v>
                </c:pt>
                <c:pt idx="249">
                  <c:v>4.7488294314381347</c:v>
                </c:pt>
                <c:pt idx="250">
                  <c:v>4.7558528428093725</c:v>
                </c:pt>
                <c:pt idx="251">
                  <c:v>4.7628762541806102</c:v>
                </c:pt>
                <c:pt idx="252">
                  <c:v>4.769899665551848</c:v>
                </c:pt>
                <c:pt idx="253">
                  <c:v>4.7769230769230857</c:v>
                </c:pt>
                <c:pt idx="254">
                  <c:v>4.7839464882943235</c:v>
                </c:pt>
                <c:pt idx="255">
                  <c:v>4.7909698996655612</c:v>
                </c:pt>
                <c:pt idx="256">
                  <c:v>4.7979933110367989</c:v>
                </c:pt>
                <c:pt idx="257">
                  <c:v>4.8050167224080367</c:v>
                </c:pt>
                <c:pt idx="258">
                  <c:v>4.8120401337792744</c:v>
                </c:pt>
                <c:pt idx="259">
                  <c:v>4.8190635451505122</c:v>
                </c:pt>
                <c:pt idx="260">
                  <c:v>4.8260869565217499</c:v>
                </c:pt>
                <c:pt idx="261">
                  <c:v>4.8331103678929876</c:v>
                </c:pt>
                <c:pt idx="262">
                  <c:v>4.8401337792642254</c:v>
                </c:pt>
                <c:pt idx="263">
                  <c:v>4.8471571906354631</c:v>
                </c:pt>
                <c:pt idx="264">
                  <c:v>4.8541806020067009</c:v>
                </c:pt>
                <c:pt idx="265">
                  <c:v>4.8612040133779386</c:v>
                </c:pt>
                <c:pt idx="266">
                  <c:v>4.8682274247491764</c:v>
                </c:pt>
                <c:pt idx="267">
                  <c:v>4.8752508361204141</c:v>
                </c:pt>
                <c:pt idx="268">
                  <c:v>4.8822742474916518</c:v>
                </c:pt>
                <c:pt idx="269">
                  <c:v>4.8892976588628896</c:v>
                </c:pt>
                <c:pt idx="270">
                  <c:v>4.8963210702341273</c:v>
                </c:pt>
                <c:pt idx="271">
                  <c:v>4.9033444816053651</c:v>
                </c:pt>
                <c:pt idx="272">
                  <c:v>4.9103678929766028</c:v>
                </c:pt>
                <c:pt idx="273">
                  <c:v>4.9173913043478406</c:v>
                </c:pt>
                <c:pt idx="274">
                  <c:v>4.9244147157190783</c:v>
                </c:pt>
                <c:pt idx="275">
                  <c:v>4.931438127090316</c:v>
                </c:pt>
                <c:pt idx="276">
                  <c:v>4.9384615384615538</c:v>
                </c:pt>
                <c:pt idx="277">
                  <c:v>4.9454849498327915</c:v>
                </c:pt>
                <c:pt idx="278">
                  <c:v>4.9525083612040293</c:v>
                </c:pt>
                <c:pt idx="279">
                  <c:v>4.959531772575267</c:v>
                </c:pt>
                <c:pt idx="280">
                  <c:v>4.9665551839465047</c:v>
                </c:pt>
                <c:pt idx="281">
                  <c:v>4.9735785953177425</c:v>
                </c:pt>
                <c:pt idx="282">
                  <c:v>4.9806020066889802</c:v>
                </c:pt>
                <c:pt idx="283">
                  <c:v>4.987625418060218</c:v>
                </c:pt>
                <c:pt idx="284">
                  <c:v>4.9946488294314557</c:v>
                </c:pt>
                <c:pt idx="285">
                  <c:v>5.0016722408026935</c:v>
                </c:pt>
                <c:pt idx="286">
                  <c:v>5.0086956521739312</c:v>
                </c:pt>
                <c:pt idx="287">
                  <c:v>5.0157190635451689</c:v>
                </c:pt>
                <c:pt idx="288">
                  <c:v>5.0227424749164067</c:v>
                </c:pt>
                <c:pt idx="289">
                  <c:v>5.0297658862876444</c:v>
                </c:pt>
                <c:pt idx="290">
                  <c:v>5.0367892976588822</c:v>
                </c:pt>
                <c:pt idx="291">
                  <c:v>5.0438127090301199</c:v>
                </c:pt>
                <c:pt idx="292">
                  <c:v>5.0508361204013577</c:v>
                </c:pt>
                <c:pt idx="293">
                  <c:v>5.0578595317725954</c:v>
                </c:pt>
                <c:pt idx="294">
                  <c:v>5.0648829431438331</c:v>
                </c:pt>
                <c:pt idx="295">
                  <c:v>5.0719063545150709</c:v>
                </c:pt>
                <c:pt idx="296">
                  <c:v>5.0789297658863086</c:v>
                </c:pt>
                <c:pt idx="297">
                  <c:v>5.0859531772575464</c:v>
                </c:pt>
                <c:pt idx="298">
                  <c:v>5.0929765886287841</c:v>
                </c:pt>
                <c:pt idx="299">
                  <c:v>5.1000000000000218</c:v>
                </c:pt>
              </c:numCache>
            </c:numRef>
          </c:cat>
          <c:val>
            <c:numRef>
              <c:f>versicolor_estymacjagęstości!$O$3:$O$302</c:f>
              <c:numCache>
                <c:formatCode>General</c:formatCode>
                <c:ptCount val="300"/>
                <c:pt idx="0">
                  <c:v>0.10266543780633337</c:v>
                </c:pt>
                <c:pt idx="1">
                  <c:v>0.10444345226795215</c:v>
                </c:pt>
                <c:pt idx="2">
                  <c:v>0.10624227302444557</c:v>
                </c:pt>
                <c:pt idx="3">
                  <c:v>0.1080620027473327</c:v>
                </c:pt>
                <c:pt idx="4">
                  <c:v>0.10990274331647223</c:v>
                </c:pt>
                <c:pt idx="5">
                  <c:v>0.11176459576568541</c:v>
                </c:pt>
                <c:pt idx="6">
                  <c:v>0.11364766022390062</c:v>
                </c:pt>
                <c:pt idx="7">
                  <c:v>0.11555203585171187</c:v>
                </c:pt>
                <c:pt idx="8">
                  <c:v>0.1174778207732452</c:v>
                </c:pt>
                <c:pt idx="9">
                  <c:v>0.1194251120032362</c:v>
                </c:pt>
                <c:pt idx="10">
                  <c:v>0.12139400536922895</c:v>
                </c:pt>
                <c:pt idx="11">
                  <c:v>0.12338459542881074</c:v>
                </c:pt>
                <c:pt idx="12">
                  <c:v>0.12539697538180714</c:v>
                </c:pt>
                <c:pt idx="13">
                  <c:v>0.127431236977368</c:v>
                </c:pt>
                <c:pt idx="14">
                  <c:v>0.12948747041588429</c:v>
                </c:pt>
                <c:pt idx="15">
                  <c:v>0.13156576424568162</c:v>
                </c:pt>
                <c:pt idx="16">
                  <c:v>0.13366620525444914</c:v>
                </c:pt>
                <c:pt idx="17">
                  <c:v>0.13578887835536527</c:v>
                </c:pt>
                <c:pt idx="18">
                  <c:v>0.13793386646789785</c:v>
                </c:pt>
                <c:pt idx="19">
                  <c:v>0.14010125039325919</c:v>
                </c:pt>
                <c:pt idx="20">
                  <c:v>0.14229110868451181</c:v>
                </c:pt>
                <c:pt idx="21">
                  <c:v>0.14450351751132529</c:v>
                </c:pt>
                <c:pt idx="22">
                  <c:v>0.14673855051940002</c:v>
                </c:pt>
                <c:pt idx="23">
                  <c:v>0.14899627868457882</c:v>
                </c:pt>
                <c:pt idx="24">
                  <c:v>0.15127677016168189</c:v>
                </c:pt>
                <c:pt idx="25">
                  <c:v>0.15358009012810939</c:v>
                </c:pt>
                <c:pt idx="26">
                  <c:v>0.15590630062226549</c:v>
                </c:pt>
                <c:pt idx="27">
                  <c:v>0.1582554603768723</c:v>
                </c:pt>
                <c:pt idx="28">
                  <c:v>0.16062762464724795</c:v>
                </c:pt>
                <c:pt idx="29">
                  <c:v>0.16302284503463887</c:v>
                </c:pt>
                <c:pt idx="30">
                  <c:v>0.16544116930470468</c:v>
                </c:pt>
                <c:pt idx="31">
                  <c:v>0.167882641201265</c:v>
                </c:pt>
                <c:pt idx="32">
                  <c:v>0.17034730025543043</c:v>
                </c:pt>
                <c:pt idx="33">
                  <c:v>0.17283518159024955</c:v>
                </c:pt>
                <c:pt idx="34">
                  <c:v>0.1753463157210142</c:v>
                </c:pt>
                <c:pt idx="35">
                  <c:v>0.17788072835137883</c:v>
                </c:pt>
                <c:pt idx="36">
                  <c:v>0.18043844016545704</c:v>
                </c:pt>
                <c:pt idx="37">
                  <c:v>0.18301946661607263</c:v>
                </c:pt>
                <c:pt idx="38">
                  <c:v>0.18562381770934983</c:v>
                </c:pt>
                <c:pt idx="39">
                  <c:v>0.18825149778583947</c:v>
                </c:pt>
                <c:pt idx="40">
                  <c:v>0.19090250529838934</c:v>
                </c:pt>
                <c:pt idx="41">
                  <c:v>0.19357683258697278</c:v>
                </c:pt>
                <c:pt idx="42">
                  <c:v>0.19627446565070508</c:v>
                </c:pt>
                <c:pt idx="43">
                  <c:v>0.19899538391727933</c:v>
                </c:pt>
                <c:pt idx="44">
                  <c:v>0.2017395600100719</c:v>
                </c:pt>
                <c:pt idx="45">
                  <c:v>0.20450695951316616</c:v>
                </c:pt>
                <c:pt idx="46">
                  <c:v>0.2072975407345618</c:v>
                </c:pt>
                <c:pt idx="47">
                  <c:v>0.21011125446783505</c:v>
                </c:pt>
                <c:pt idx="48">
                  <c:v>0.21294804375253409</c:v>
                </c:pt>
                <c:pt idx="49">
                  <c:v>0.21580784363358901</c:v>
                </c:pt>
                <c:pt idx="50">
                  <c:v>0.21869058092003441</c:v>
                </c:pt>
                <c:pt idx="51">
                  <c:v>0.22159617394334152</c:v>
                </c:pt>
                <c:pt idx="52">
                  <c:v>0.22452453231566452</c:v>
                </c:pt>
                <c:pt idx="53">
                  <c:v>0.22747555668831404</c:v>
                </c:pt>
                <c:pt idx="54">
                  <c:v>0.23044913851077192</c:v>
                </c:pt>
                <c:pt idx="55">
                  <c:v>0.23344515979057043</c:v>
                </c:pt>
                <c:pt idx="56">
                  <c:v>0.23646349285435911</c:v>
                </c:pt>
                <c:pt idx="57">
                  <c:v>0.23950400011048764</c:v>
                </c:pt>
                <c:pt idx="58">
                  <c:v>0.24256653381343901</c:v>
                </c:pt>
                <c:pt idx="59">
                  <c:v>0.24565093583044487</c:v>
                </c:pt>
                <c:pt idx="60">
                  <c:v>0.24875703741061964</c:v>
                </c:pt>
                <c:pt idx="61">
                  <c:v>0.25188465895695328</c:v>
                </c:pt>
                <c:pt idx="62">
                  <c:v>0.25503360980149875</c:v>
                </c:pt>
                <c:pt idx="63">
                  <c:v>0.25820368798409621</c:v>
                </c:pt>
                <c:pt idx="64">
                  <c:v>0.26139468003497018</c:v>
                </c:pt>
                <c:pt idx="65">
                  <c:v>0.26460636076154009</c:v>
                </c:pt>
                <c:pt idx="66">
                  <c:v>0.26783849303978036</c:v>
                </c:pt>
                <c:pt idx="67">
                  <c:v>0.27109082761046377</c:v>
                </c:pt>
                <c:pt idx="68">
                  <c:v>0.27436310288062438</c:v>
                </c:pt>
                <c:pt idx="69">
                  <c:v>0.27765504473056535</c:v>
                </c:pt>
                <c:pt idx="70">
                  <c:v>0.28096636632674049</c:v>
                </c:pt>
                <c:pt idx="71">
                  <c:v>0.28429676794083103</c:v>
                </c:pt>
                <c:pt idx="72">
                  <c:v>0.28764593677533634</c:v>
                </c:pt>
                <c:pt idx="73">
                  <c:v>0.2910135467959874</c:v>
                </c:pt>
                <c:pt idx="74">
                  <c:v>0.29439925857129551</c:v>
                </c:pt>
                <c:pt idx="75">
                  <c:v>0.29780271911953138</c:v>
                </c:pt>
                <c:pt idx="76">
                  <c:v>0.30122356176343301</c:v>
                </c:pt>
                <c:pt idx="77">
                  <c:v>0.30466140599292768</c:v>
                </c:pt>
                <c:pt idx="78">
                  <c:v>0.3081158573361491</c:v>
                </c:pt>
                <c:pt idx="79">
                  <c:v>0.31158650723901932</c:v>
                </c:pt>
                <c:pt idx="80">
                  <c:v>0.31507293295366173</c:v>
                </c:pt>
                <c:pt idx="81">
                  <c:v>0.31857469743589995</c:v>
                </c:pt>
                <c:pt idx="82">
                  <c:v>0.32209134925208538</c:v>
                </c:pt>
                <c:pt idx="83">
                  <c:v>0.32562242249549556</c:v>
                </c:pt>
                <c:pt idx="84">
                  <c:v>0.32916743671252452</c:v>
                </c:pt>
                <c:pt idx="85">
                  <c:v>0.33272589683888565</c:v>
                </c:pt>
                <c:pt idx="86">
                  <c:v>0.33629729314603413</c:v>
                </c:pt>
                <c:pt idx="87">
                  <c:v>0.3398811011980028</c:v>
                </c:pt>
                <c:pt idx="88">
                  <c:v>0.34347678181883717</c:v>
                </c:pt>
                <c:pt idx="89">
                  <c:v>0.34708378107080801</c:v>
                </c:pt>
                <c:pt idx="90">
                  <c:v>0.35070153024355949</c:v>
                </c:pt>
                <c:pt idx="91">
                  <c:v>0.35432944585434833</c:v>
                </c:pt>
                <c:pt idx="92">
                  <c:v>0.35796692965951588</c:v>
                </c:pt>
                <c:pt idx="93">
                  <c:v>0.36161336867731803</c:v>
                </c:pt>
                <c:pt idx="94">
                  <c:v>0.36526813522223617</c:v>
                </c:pt>
                <c:pt idx="95">
                  <c:v>0.3689305869508715</c:v>
                </c:pt>
                <c:pt idx="96">
                  <c:v>0.37260006691951919</c:v>
                </c:pt>
                <c:pt idx="97">
                  <c:v>0.37627590365350416</c:v>
                </c:pt>
                <c:pt idx="98">
                  <c:v>0.37995741122835242</c:v>
                </c:pt>
                <c:pt idx="99">
                  <c:v>0.38364388936285321</c:v>
                </c:pt>
                <c:pt idx="100">
                  <c:v>0.3873346235240655</c:v>
                </c:pt>
                <c:pt idx="101">
                  <c:v>0.39102888504430289</c:v>
                </c:pt>
                <c:pt idx="102">
                  <c:v>0.39472593125012057</c:v>
                </c:pt>
                <c:pt idx="103">
                  <c:v>0.39842500560332578</c:v>
                </c:pt>
                <c:pt idx="104">
                  <c:v>0.40212533785400484</c:v>
                </c:pt>
                <c:pt idx="105">
                  <c:v>0.40582614420557123</c:v>
                </c:pt>
                <c:pt idx="106">
                  <c:v>0.40952662749180513</c:v>
                </c:pt>
                <c:pt idx="107">
                  <c:v>0.41322597736586469</c:v>
                </c:pt>
                <c:pt idx="108">
                  <c:v>0.41692337050122508</c:v>
                </c:pt>
                <c:pt idx="109">
                  <c:v>0.42061797080449792</c:v>
                </c:pt>
                <c:pt idx="110">
                  <c:v>0.42430892964007366</c:v>
                </c:pt>
                <c:pt idx="111">
                  <c:v>0.4279953860665151</c:v>
                </c:pt>
                <c:pt idx="112">
                  <c:v>0.43167646708462842</c:v>
                </c:pt>
                <c:pt idx="113">
                  <c:v>0.4353512878971228</c:v>
                </c:pt>
                <c:pt idx="114">
                  <c:v>0.43901895217976178</c:v>
                </c:pt>
                <c:pt idx="115">
                  <c:v>0.4426785523639053</c:v>
                </c:pt>
                <c:pt idx="116">
                  <c:v>0.44632916993032928</c:v>
                </c:pt>
                <c:pt idx="117">
                  <c:v>0.44996987571419989</c:v>
                </c:pt>
                <c:pt idx="118">
                  <c:v>0.45359973022107747</c:v>
                </c:pt>
                <c:pt idx="119">
                  <c:v>0.45721778395381041</c:v>
                </c:pt>
                <c:pt idx="120">
                  <c:v>0.4608230777501871</c:v>
                </c:pt>
                <c:pt idx="121">
                  <c:v>0.46441464313117697</c:v>
                </c:pt>
                <c:pt idx="122">
                  <c:v>0.46799150265962591</c:v>
                </c:pt>
                <c:pt idx="123">
                  <c:v>0.47155267030922726</c:v>
                </c:pt>
                <c:pt idx="124">
                  <c:v>0.47509715184360751</c:v>
                </c:pt>
                <c:pt idx="125">
                  <c:v>0.47862394520535045</c:v>
                </c:pt>
                <c:pt idx="126">
                  <c:v>0.48213204091477735</c:v>
                </c:pt>
                <c:pt idx="127">
                  <c:v>0.4856204224782994</c:v>
                </c:pt>
                <c:pt idx="128">
                  <c:v>0.4890880668061498</c:v>
                </c:pt>
                <c:pt idx="129">
                  <c:v>0.49253394463930178</c:v>
                </c:pt>
                <c:pt idx="130">
                  <c:v>0.49595702098536465</c:v>
                </c:pt>
                <c:pt idx="131">
                  <c:v>0.4993562555632643</c:v>
                </c:pt>
                <c:pt idx="132">
                  <c:v>0.50273060325647845</c:v>
                </c:pt>
                <c:pt idx="133">
                  <c:v>0.50607901457463511</c:v>
                </c:pt>
                <c:pt idx="134">
                  <c:v>0.50940043612323271</c:v>
                </c:pt>
                <c:pt idx="135">
                  <c:v>0.51269381108127365</c:v>
                </c:pt>
                <c:pt idx="136">
                  <c:v>0.51595807968657392</c:v>
                </c:pt>
                <c:pt idx="137">
                  <c:v>0.51919217972852316</c:v>
                </c:pt>
                <c:pt idx="138">
                  <c:v>0.52239504704805617</c:v>
                </c:pt>
                <c:pt idx="139">
                  <c:v>0.52556561604459107</c:v>
                </c:pt>
                <c:pt idx="140">
                  <c:v>0.52870282018970116</c:v>
                </c:pt>
                <c:pt idx="141">
                  <c:v>0.53180559254726112</c:v>
                </c:pt>
                <c:pt idx="142">
                  <c:v>0.53487286629982012</c:v>
                </c:pt>
                <c:pt idx="143">
                  <c:v>0.53790357528094568</c:v>
                </c:pt>
                <c:pt idx="144">
                  <c:v>0.54089665451327673</c:v>
                </c:pt>
                <c:pt idx="145">
                  <c:v>0.54385104075201895</c:v>
                </c:pt>
                <c:pt idx="146">
                  <c:v>0.54676567303361834</c:v>
                </c:pt>
                <c:pt idx="147">
                  <c:v>0.54963949322933259</c:v>
                </c:pt>
                <c:pt idx="148">
                  <c:v>0.55247144660343028</c:v>
                </c:pt>
                <c:pt idx="149">
                  <c:v>0.55526048237572656</c:v>
                </c:pt>
                <c:pt idx="150">
                  <c:v>0.55800555428817589</c:v>
                </c:pt>
                <c:pt idx="151">
                  <c:v>0.56070562117522116</c:v>
                </c:pt>
                <c:pt idx="152">
                  <c:v>0.56335964753761014</c:v>
                </c:pt>
                <c:pt idx="153">
                  <c:v>0.56596660411937483</c:v>
                </c:pt>
                <c:pt idx="154">
                  <c:v>0.56852546848765606</c:v>
                </c:pt>
                <c:pt idx="155">
                  <c:v>0.57103522561507825</c:v>
                </c:pt>
                <c:pt idx="156">
                  <c:v>0.57349486846433895</c:v>
                </c:pt>
                <c:pt idx="157">
                  <c:v>0.57590339857469575</c:v>
                </c:pt>
                <c:pt idx="158">
                  <c:v>0.57825982665002307</c:v>
                </c:pt>
                <c:pt idx="159">
                  <c:v>0.58056317314809303</c:v>
                </c:pt>
                <c:pt idx="160">
                  <c:v>0.58281246887074756</c:v>
                </c:pt>
                <c:pt idx="161">
                  <c:v>0.58500675555460713</c:v>
                </c:pt>
                <c:pt idx="162">
                  <c:v>0.58714508646195951</c:v>
                </c:pt>
                <c:pt idx="163">
                  <c:v>0.58922652697147326</c:v>
                </c:pt>
                <c:pt idx="164">
                  <c:v>0.591250155168356</c:v>
                </c:pt>
                <c:pt idx="165">
                  <c:v>0.59321506243359645</c:v>
                </c:pt>
                <c:pt idx="166">
                  <c:v>0.59512035403189278</c:v>
                </c:pt>
                <c:pt idx="167">
                  <c:v>0.59696514969789138</c:v>
                </c:pt>
                <c:pt idx="168">
                  <c:v>0.59874858422033084</c:v>
                </c:pt>
                <c:pt idx="169">
                  <c:v>0.60046980802369265</c:v>
                </c:pt>
                <c:pt idx="170">
                  <c:v>0.60212798774694809</c:v>
                </c:pt>
                <c:pt idx="171">
                  <c:v>0.60372230681898431</c:v>
                </c:pt>
                <c:pt idx="172">
                  <c:v>0.60525196603028553</c:v>
                </c:pt>
                <c:pt idx="173">
                  <c:v>0.60671618410044192</c:v>
                </c:pt>
                <c:pt idx="174">
                  <c:v>0.60811419824104629</c:v>
                </c:pt>
                <c:pt idx="175">
                  <c:v>0.60944526471353866</c:v>
                </c:pt>
                <c:pt idx="176">
                  <c:v>0.61070865938154473</c:v>
                </c:pt>
                <c:pt idx="177">
                  <c:v>0.61190367825725955</c:v>
                </c:pt>
                <c:pt idx="178">
                  <c:v>0.61302963804140997</c:v>
                </c:pt>
                <c:pt idx="179">
                  <c:v>0.61408587665633085</c:v>
                </c:pt>
                <c:pt idx="180">
                  <c:v>0.61507175377168344</c:v>
                </c:pt>
                <c:pt idx="181">
                  <c:v>0.61598665132233976</c:v>
                </c:pt>
                <c:pt idx="182">
                  <c:v>0.61682997401794937</c:v>
                </c:pt>
                <c:pt idx="183">
                  <c:v>0.61760114984370695</c:v>
                </c:pt>
                <c:pt idx="184">
                  <c:v>0.61829963055182646</c:v>
                </c:pt>
                <c:pt idx="185">
                  <c:v>0.61892489214323765</c:v>
                </c:pt>
                <c:pt idx="186">
                  <c:v>0.6194764353389971</c:v>
                </c:pt>
                <c:pt idx="187">
                  <c:v>0.61995378604093376</c:v>
                </c:pt>
                <c:pt idx="188">
                  <c:v>0.62035649578101415</c:v>
                </c:pt>
                <c:pt idx="189">
                  <c:v>0.62068414215893952</c:v>
                </c:pt>
                <c:pt idx="190">
                  <c:v>0.62093632926746689</c:v>
                </c:pt>
                <c:pt idx="191">
                  <c:v>0.6211126881049589</c:v>
                </c:pt>
                <c:pt idx="192">
                  <c:v>0.62121287697466598</c:v>
                </c:pt>
                <c:pt idx="193">
                  <c:v>0.62123658187023445</c:v>
                </c:pt>
                <c:pt idx="194">
                  <c:v>0.62118351684696027</c:v>
                </c:pt>
                <c:pt idx="195">
                  <c:v>0.62105342437828559</c:v>
                </c:pt>
                <c:pt idx="196">
                  <c:v>0.62084607569705508</c:v>
                </c:pt>
                <c:pt idx="197">
                  <c:v>0.6205612711210563</c:v>
                </c:pt>
                <c:pt idx="198">
                  <c:v>0.62019884036235473</c:v>
                </c:pt>
                <c:pt idx="199">
                  <c:v>0.61975864281996751</c:v>
                </c:pt>
                <c:pt idx="200">
                  <c:v>0.61924056785540882</c:v>
                </c:pt>
                <c:pt idx="201">
                  <c:v>0.61864453505064521</c:v>
                </c:pt>
                <c:pt idx="202">
                  <c:v>0.61797049444803331</c:v>
                </c:pt>
                <c:pt idx="203">
                  <c:v>0.61721842677178862</c:v>
                </c:pt>
                <c:pt idx="204">
                  <c:v>0.6163883436305756</c:v>
                </c:pt>
                <c:pt idx="205">
                  <c:v>0.61548028770079977</c:v>
                </c:pt>
                <c:pt idx="206">
                  <c:v>0.61449433289020727</c:v>
                </c:pt>
                <c:pt idx="207">
                  <c:v>0.6134305844814093</c:v>
                </c:pt>
                <c:pt idx="208">
                  <c:v>0.61228917925495807</c:v>
                </c:pt>
                <c:pt idx="209">
                  <c:v>0.61107028559162635</c:v>
                </c:pt>
                <c:pt idx="210">
                  <c:v>0.60977410355354777</c:v>
                </c:pt>
                <c:pt idx="211">
                  <c:v>0.60840086494390522</c:v>
                </c:pt>
                <c:pt idx="212">
                  <c:v>0.60695083334486044</c:v>
                </c:pt>
                <c:pt idx="213">
                  <c:v>0.6054243041334495</c:v>
                </c:pt>
                <c:pt idx="214">
                  <c:v>0.60382160447517808</c:v>
                </c:pt>
                <c:pt idx="215">
                  <c:v>0.60214309329507942</c:v>
                </c:pt>
                <c:pt idx="216">
                  <c:v>0.60038916122601582</c:v>
                </c:pt>
                <c:pt idx="217">
                  <c:v>0.59856023053402774</c:v>
                </c:pt>
                <c:pt idx="218">
                  <c:v>0.59665675502055759</c:v>
                </c:pt>
                <c:pt idx="219">
                  <c:v>0.59467921990140415</c:v>
                </c:pt>
                <c:pt idx="220">
                  <c:v>0.59262814166227595</c:v>
                </c:pt>
                <c:pt idx="221">
                  <c:v>0.59050406789085441</c:v>
                </c:pt>
                <c:pt idx="222">
                  <c:v>0.58830757708528802</c:v>
                </c:pt>
                <c:pt idx="223">
                  <c:v>0.58603927843907722</c:v>
                </c:pt>
                <c:pt idx="224">
                  <c:v>0.58369981160232431</c:v>
                </c:pt>
                <c:pt idx="225">
                  <c:v>0.58128984641936854</c:v>
                </c:pt>
                <c:pt idx="226">
                  <c:v>0.57881008264283196</c:v>
                </c:pt>
                <c:pt idx="227">
                  <c:v>0.57626124962414604</c:v>
                </c:pt>
                <c:pt idx="228">
                  <c:v>0.57364410598065896</c:v>
                </c:pt>
                <c:pt idx="229">
                  <c:v>0.57095943923943648</c:v>
                </c:pt>
                <c:pt idx="230">
                  <c:v>0.56820806545791469</c:v>
                </c:pt>
                <c:pt idx="231">
                  <c:v>0.56539082882158709</c:v>
                </c:pt>
                <c:pt idx="232">
                  <c:v>0.56250860121893365</c:v>
                </c:pt>
                <c:pt idx="233">
                  <c:v>0.55956228179383305</c:v>
                </c:pt>
                <c:pt idx="234">
                  <c:v>0.55655279647573408</c:v>
                </c:pt>
                <c:pt idx="235">
                  <c:v>0.55348109748787533</c:v>
                </c:pt>
                <c:pt idx="236">
                  <c:v>0.55034816283389187</c:v>
                </c:pt>
                <c:pt idx="237">
                  <c:v>0.5471549957631624</c:v>
                </c:pt>
                <c:pt idx="238">
                  <c:v>0.54390262421528479</c:v>
                </c:pt>
                <c:pt idx="239">
                  <c:v>0.54059210024409554</c:v>
                </c:pt>
                <c:pt idx="240">
                  <c:v>0.53722449942167771</c:v>
                </c:pt>
                <c:pt idx="241">
                  <c:v>0.53380092022282932</c:v>
                </c:pt>
                <c:pt idx="242">
                  <c:v>0.53032248339049026</c:v>
                </c:pt>
                <c:pt idx="243">
                  <c:v>0.52679033128265651</c:v>
                </c:pt>
                <c:pt idx="244">
                  <c:v>0.52320562720132946</c:v>
                </c:pt>
                <c:pt idx="245">
                  <c:v>0.51956955470408428</c:v>
                </c:pt>
                <c:pt idx="246">
                  <c:v>0.51588331689885569</c:v>
                </c:pt>
                <c:pt idx="247">
                  <c:v>0.51214813572256956</c:v>
                </c:pt>
                <c:pt idx="248">
                  <c:v>0.50836525120427334</c:v>
                </c:pt>
                <c:pt idx="249">
                  <c:v>0.50453592071343412</c:v>
                </c:pt>
                <c:pt idx="250">
                  <c:v>0.50066141819410259</c:v>
                </c:pt>
                <c:pt idx="251">
                  <c:v>0.49674303338565762</c:v>
                </c:pt>
                <c:pt idx="252">
                  <c:v>0.4927820710308668</c:v>
                </c:pt>
                <c:pt idx="253">
                  <c:v>0.48877985007201263</c:v>
                </c:pt>
                <c:pt idx="254">
                  <c:v>0.48473770283586698</c:v>
                </c:pt>
                <c:pt idx="255">
                  <c:v>0.4806569742082859</c:v>
                </c:pt>
                <c:pt idx="256">
                  <c:v>0.4765390207992426</c:v>
                </c:pt>
                <c:pt idx="257">
                  <c:v>0.47238521009910944</c:v>
                </c:pt>
                <c:pt idx="258">
                  <c:v>0.46819691962701837</c:v>
                </c:pt>
                <c:pt idx="259">
                  <c:v>0.4639755360721462</c:v>
                </c:pt>
                <c:pt idx="260">
                  <c:v>0.45972245442877363</c:v>
                </c:pt>
                <c:pt idx="261">
                  <c:v>0.45543907712598214</c:v>
                </c:pt>
                <c:pt idx="262">
                  <c:v>0.45112681315286118</c:v>
                </c:pt>
                <c:pt idx="263">
                  <c:v>0.44678707718009347</c:v>
                </c:pt>
                <c:pt idx="264">
                  <c:v>0.44242128867881081</c:v>
                </c:pt>
                <c:pt idx="265">
                  <c:v>0.43803087103759675</c:v>
                </c:pt>
                <c:pt idx="266">
                  <c:v>0.43361725067853307</c:v>
                </c:pt>
                <c:pt idx="267">
                  <c:v>0.42918185617317073</c:v>
                </c:pt>
                <c:pt idx="268">
                  <c:v>0.42472611735931759</c:v>
                </c:pt>
                <c:pt idx="269">
                  <c:v>0.42025146445953709</c:v>
                </c:pt>
                <c:pt idx="270">
                  <c:v>0.4157593272022293</c:v>
                </c:pt>
                <c:pt idx="271">
                  <c:v>0.4112511339461889</c:v>
                </c:pt>
                <c:pt idx="272">
                  <c:v>0.40672831080950267</c:v>
                </c:pt>
                <c:pt idx="273">
                  <c:v>0.40219228080366609</c:v>
                </c:pt>
                <c:pt idx="274">
                  <c:v>0.39764446297376793</c:v>
                </c:pt>
                <c:pt idx="275">
                  <c:v>0.39308627154560266</c:v>
                </c:pt>
                <c:pt idx="276">
                  <c:v>0.38851911508054254</c:v>
                </c:pt>
                <c:pt idx="277">
                  <c:v>0.3839443956390044</c:v>
                </c:pt>
                <c:pt idx="278">
                  <c:v>0.37936350795331814</c:v>
                </c:pt>
                <c:pt idx="279">
                  <c:v>0.37477783861080199</c:v>
                </c:pt>
                <c:pt idx="280">
                  <c:v>0.37018876524782912</c:v>
                </c:pt>
                <c:pt idx="281">
                  <c:v>0.36559765575564823</c:v>
                </c:pt>
                <c:pt idx="282">
                  <c:v>0.36100586749871544</c:v>
                </c:pt>
                <c:pt idx="283">
                  <c:v>0.35641474654625976</c:v>
                </c:pt>
                <c:pt idx="284">
                  <c:v>0.35182562691780367</c:v>
                </c:pt>
                <c:pt idx="285">
                  <c:v>0.34723982984332002</c:v>
                </c:pt>
                <c:pt idx="286">
                  <c:v>0.34265866303869791</c:v>
                </c:pt>
                <c:pt idx="287">
                  <c:v>0.33808341999716451</c:v>
                </c:pt>
                <c:pt idx="288">
                  <c:v>0.33351537929728192</c:v>
                </c:pt>
                <c:pt idx="289">
                  <c:v>0.32895580392812107</c:v>
                </c:pt>
                <c:pt idx="290">
                  <c:v>0.32440594063218131</c:v>
                </c:pt>
                <c:pt idx="291">
                  <c:v>0.31986701926660666</c:v>
                </c:pt>
                <c:pt idx="292">
                  <c:v>0.31534025218321898</c:v>
                </c:pt>
                <c:pt idx="293">
                  <c:v>0.31082683362785868</c:v>
                </c:pt>
                <c:pt idx="294">
                  <c:v>0.30632793915950485</c:v>
                </c:pt>
                <c:pt idx="295">
                  <c:v>0.30184472508960836</c:v>
                </c:pt>
                <c:pt idx="296">
                  <c:v>0.29737832794204838</c:v>
                </c:pt>
                <c:pt idx="297">
                  <c:v>0.29292986393409887</c:v>
                </c:pt>
                <c:pt idx="298">
                  <c:v>0.28850042847874752</c:v>
                </c:pt>
                <c:pt idx="299">
                  <c:v>0.28409109570869784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C7-4386-A07E-C9C576405A60}"/>
            </c:ext>
          </c:extLst>
        </c:ser>
        <c:ser>
          <c:idx val="4"/>
          <c:order val="4"/>
          <c:tx>
            <c:v>Za duża szerokość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versicolor_estymacjagęstości!$K$3:$K$302</c:f>
              <c:numCache>
                <c:formatCode>General</c:formatCode>
                <c:ptCount val="300"/>
                <c:pt idx="0">
                  <c:v>3</c:v>
                </c:pt>
                <c:pt idx="1">
                  <c:v>3.0070234113712373</c:v>
                </c:pt>
                <c:pt idx="2">
                  <c:v>3.0140468227424746</c:v>
                </c:pt>
                <c:pt idx="3">
                  <c:v>3.0210702341137119</c:v>
                </c:pt>
                <c:pt idx="4">
                  <c:v>3.0280936454849492</c:v>
                </c:pt>
                <c:pt idx="5">
                  <c:v>3.0351170568561865</c:v>
                </c:pt>
                <c:pt idx="6">
                  <c:v>3.0421404682274238</c:v>
                </c:pt>
                <c:pt idx="7">
                  <c:v>3.0491638795986611</c:v>
                </c:pt>
                <c:pt idx="8">
                  <c:v>3.0561872909698984</c:v>
                </c:pt>
                <c:pt idx="9">
                  <c:v>3.0632107023411357</c:v>
                </c:pt>
                <c:pt idx="10">
                  <c:v>3.070234113712373</c:v>
                </c:pt>
                <c:pt idx="11">
                  <c:v>3.0772575250836103</c:v>
                </c:pt>
                <c:pt idx="12">
                  <c:v>3.0842809364548476</c:v>
                </c:pt>
                <c:pt idx="13">
                  <c:v>3.0913043478260849</c:v>
                </c:pt>
                <c:pt idx="14">
                  <c:v>3.0983277591973222</c:v>
                </c:pt>
                <c:pt idx="15">
                  <c:v>3.1053511705685595</c:v>
                </c:pt>
                <c:pt idx="16">
                  <c:v>3.1123745819397968</c:v>
                </c:pt>
                <c:pt idx="17">
                  <c:v>3.1193979933110341</c:v>
                </c:pt>
                <c:pt idx="18">
                  <c:v>3.1264214046822714</c:v>
                </c:pt>
                <c:pt idx="19">
                  <c:v>3.1334448160535087</c:v>
                </c:pt>
                <c:pt idx="20">
                  <c:v>3.140468227424746</c:v>
                </c:pt>
                <c:pt idx="21">
                  <c:v>3.1474916387959833</c:v>
                </c:pt>
                <c:pt idx="22">
                  <c:v>3.1545150501672206</c:v>
                </c:pt>
                <c:pt idx="23">
                  <c:v>3.1615384615384579</c:v>
                </c:pt>
                <c:pt idx="24">
                  <c:v>3.1685618729096952</c:v>
                </c:pt>
                <c:pt idx="25">
                  <c:v>3.1755852842809325</c:v>
                </c:pt>
                <c:pt idx="26">
                  <c:v>3.1826086956521698</c:v>
                </c:pt>
                <c:pt idx="27">
                  <c:v>3.189632107023407</c:v>
                </c:pt>
                <c:pt idx="28">
                  <c:v>3.1966555183946443</c:v>
                </c:pt>
                <c:pt idx="29">
                  <c:v>3.2036789297658816</c:v>
                </c:pt>
                <c:pt idx="30">
                  <c:v>3.2107023411371189</c:v>
                </c:pt>
                <c:pt idx="31">
                  <c:v>3.2177257525083562</c:v>
                </c:pt>
                <c:pt idx="32">
                  <c:v>3.2247491638795935</c:v>
                </c:pt>
                <c:pt idx="33">
                  <c:v>3.2317725752508308</c:v>
                </c:pt>
                <c:pt idx="34">
                  <c:v>3.2387959866220681</c:v>
                </c:pt>
                <c:pt idx="35">
                  <c:v>3.2458193979933054</c:v>
                </c:pt>
                <c:pt idx="36">
                  <c:v>3.2528428093645427</c:v>
                </c:pt>
                <c:pt idx="37">
                  <c:v>3.25986622073578</c:v>
                </c:pt>
                <c:pt idx="38">
                  <c:v>3.2668896321070173</c:v>
                </c:pt>
                <c:pt idx="39">
                  <c:v>3.2739130434782546</c:v>
                </c:pt>
                <c:pt idx="40">
                  <c:v>3.2809364548494919</c:v>
                </c:pt>
                <c:pt idx="41">
                  <c:v>3.2879598662207292</c:v>
                </c:pt>
                <c:pt idx="42">
                  <c:v>3.2949832775919665</c:v>
                </c:pt>
                <c:pt idx="43">
                  <c:v>3.3020066889632038</c:v>
                </c:pt>
                <c:pt idx="44">
                  <c:v>3.3090301003344411</c:v>
                </c:pt>
                <c:pt idx="45">
                  <c:v>3.3160535117056784</c:v>
                </c:pt>
                <c:pt idx="46">
                  <c:v>3.3230769230769157</c:v>
                </c:pt>
                <c:pt idx="47">
                  <c:v>3.330100334448153</c:v>
                </c:pt>
                <c:pt idx="48">
                  <c:v>3.3371237458193903</c:v>
                </c:pt>
                <c:pt idx="49">
                  <c:v>3.3441471571906276</c:v>
                </c:pt>
                <c:pt idx="50">
                  <c:v>3.3511705685618649</c:v>
                </c:pt>
                <c:pt idx="51">
                  <c:v>3.3581939799331022</c:v>
                </c:pt>
                <c:pt idx="52">
                  <c:v>3.3652173913043395</c:v>
                </c:pt>
                <c:pt idx="53">
                  <c:v>3.3722408026755768</c:v>
                </c:pt>
                <c:pt idx="54">
                  <c:v>3.3792642140468141</c:v>
                </c:pt>
                <c:pt idx="55">
                  <c:v>3.3862876254180514</c:v>
                </c:pt>
                <c:pt idx="56">
                  <c:v>3.3933110367892887</c:v>
                </c:pt>
                <c:pt idx="57">
                  <c:v>3.400334448160526</c:v>
                </c:pt>
                <c:pt idx="58">
                  <c:v>3.4073578595317633</c:v>
                </c:pt>
                <c:pt idx="59">
                  <c:v>3.4143812709030006</c:v>
                </c:pt>
                <c:pt idx="60">
                  <c:v>3.4214046822742379</c:v>
                </c:pt>
                <c:pt idx="61">
                  <c:v>3.4284280936454752</c:v>
                </c:pt>
                <c:pt idx="62">
                  <c:v>3.4354515050167125</c:v>
                </c:pt>
                <c:pt idx="63">
                  <c:v>3.4424749163879498</c:v>
                </c:pt>
                <c:pt idx="64">
                  <c:v>3.4494983277591871</c:v>
                </c:pt>
                <c:pt idx="65">
                  <c:v>3.4565217391304244</c:v>
                </c:pt>
                <c:pt idx="66">
                  <c:v>3.4635451505016617</c:v>
                </c:pt>
                <c:pt idx="67">
                  <c:v>3.470568561872899</c:v>
                </c:pt>
                <c:pt idx="68">
                  <c:v>3.4775919732441363</c:v>
                </c:pt>
                <c:pt idx="69">
                  <c:v>3.4846153846153736</c:v>
                </c:pt>
                <c:pt idx="70">
                  <c:v>3.4916387959866109</c:v>
                </c:pt>
                <c:pt idx="71">
                  <c:v>3.4986622073578482</c:v>
                </c:pt>
                <c:pt idx="72">
                  <c:v>3.5056856187290855</c:v>
                </c:pt>
                <c:pt idx="73">
                  <c:v>3.5127090301003228</c:v>
                </c:pt>
                <c:pt idx="74">
                  <c:v>3.5197324414715601</c:v>
                </c:pt>
                <c:pt idx="75">
                  <c:v>3.5267558528427974</c:v>
                </c:pt>
                <c:pt idx="76">
                  <c:v>3.5337792642140347</c:v>
                </c:pt>
                <c:pt idx="77">
                  <c:v>3.540802675585272</c:v>
                </c:pt>
                <c:pt idx="78">
                  <c:v>3.5478260869565093</c:v>
                </c:pt>
                <c:pt idx="79">
                  <c:v>3.5548494983277465</c:v>
                </c:pt>
                <c:pt idx="80">
                  <c:v>3.5618729096989838</c:v>
                </c:pt>
                <c:pt idx="81">
                  <c:v>3.5688963210702211</c:v>
                </c:pt>
                <c:pt idx="82">
                  <c:v>3.5759197324414584</c:v>
                </c:pt>
                <c:pt idx="83">
                  <c:v>3.5829431438126957</c:v>
                </c:pt>
                <c:pt idx="84">
                  <c:v>3.589966555183933</c:v>
                </c:pt>
                <c:pt idx="85">
                  <c:v>3.5969899665551703</c:v>
                </c:pt>
                <c:pt idx="86">
                  <c:v>3.6040133779264076</c:v>
                </c:pt>
                <c:pt idx="87">
                  <c:v>3.6110367892976449</c:v>
                </c:pt>
                <c:pt idx="88">
                  <c:v>3.6180602006688822</c:v>
                </c:pt>
                <c:pt idx="89">
                  <c:v>3.6250836120401195</c:v>
                </c:pt>
                <c:pt idx="90">
                  <c:v>3.6321070234113568</c:v>
                </c:pt>
                <c:pt idx="91">
                  <c:v>3.6391304347825941</c:v>
                </c:pt>
                <c:pt idx="92">
                  <c:v>3.6461538461538314</c:v>
                </c:pt>
                <c:pt idx="93">
                  <c:v>3.6531772575250687</c:v>
                </c:pt>
                <c:pt idx="94">
                  <c:v>3.660200668896306</c:v>
                </c:pt>
                <c:pt idx="95">
                  <c:v>3.6672240802675433</c:v>
                </c:pt>
                <c:pt idx="96">
                  <c:v>3.6742474916387806</c:v>
                </c:pt>
                <c:pt idx="97">
                  <c:v>3.6812709030100179</c:v>
                </c:pt>
                <c:pt idx="98">
                  <c:v>3.6882943143812552</c:v>
                </c:pt>
                <c:pt idx="99">
                  <c:v>3.6953177257524925</c:v>
                </c:pt>
                <c:pt idx="100">
                  <c:v>3.7023411371237298</c:v>
                </c:pt>
                <c:pt idx="101">
                  <c:v>3.7093645484949671</c:v>
                </c:pt>
                <c:pt idx="102">
                  <c:v>3.7163879598662044</c:v>
                </c:pt>
                <c:pt idx="103">
                  <c:v>3.7234113712374417</c:v>
                </c:pt>
                <c:pt idx="104">
                  <c:v>3.730434782608679</c:v>
                </c:pt>
                <c:pt idx="105">
                  <c:v>3.7374581939799163</c:v>
                </c:pt>
                <c:pt idx="106">
                  <c:v>3.7444816053511536</c:v>
                </c:pt>
                <c:pt idx="107">
                  <c:v>3.7515050167223909</c:v>
                </c:pt>
                <c:pt idx="108">
                  <c:v>3.7585284280936282</c:v>
                </c:pt>
                <c:pt idx="109">
                  <c:v>3.7655518394648655</c:v>
                </c:pt>
                <c:pt idx="110">
                  <c:v>3.7725752508361028</c:v>
                </c:pt>
                <c:pt idx="111">
                  <c:v>3.7795986622073401</c:v>
                </c:pt>
                <c:pt idx="112">
                  <c:v>3.7866220735785774</c:v>
                </c:pt>
                <c:pt idx="113">
                  <c:v>3.7936454849498147</c:v>
                </c:pt>
                <c:pt idx="114">
                  <c:v>3.800668896321052</c:v>
                </c:pt>
                <c:pt idx="115">
                  <c:v>3.8076923076922893</c:v>
                </c:pt>
                <c:pt idx="116">
                  <c:v>3.8147157190635266</c:v>
                </c:pt>
                <c:pt idx="117">
                  <c:v>3.8217391304347639</c:v>
                </c:pt>
                <c:pt idx="118">
                  <c:v>3.8287625418060012</c:v>
                </c:pt>
                <c:pt idx="119">
                  <c:v>3.8357859531772385</c:v>
                </c:pt>
                <c:pt idx="120">
                  <c:v>3.8428093645484758</c:v>
                </c:pt>
                <c:pt idx="121">
                  <c:v>3.8498327759197131</c:v>
                </c:pt>
                <c:pt idx="122">
                  <c:v>3.8568561872909504</c:v>
                </c:pt>
                <c:pt idx="123">
                  <c:v>3.8638795986621877</c:v>
                </c:pt>
                <c:pt idx="124">
                  <c:v>3.870903010033425</c:v>
                </c:pt>
                <c:pt idx="125">
                  <c:v>3.8779264214046623</c:v>
                </c:pt>
                <c:pt idx="126">
                  <c:v>3.8849498327758996</c:v>
                </c:pt>
                <c:pt idx="127">
                  <c:v>3.8919732441471369</c:v>
                </c:pt>
                <c:pt idx="128">
                  <c:v>3.8989966555183742</c:v>
                </c:pt>
                <c:pt idx="129">
                  <c:v>3.9060200668896115</c:v>
                </c:pt>
                <c:pt idx="130">
                  <c:v>3.9130434782608488</c:v>
                </c:pt>
                <c:pt idx="131">
                  <c:v>3.920066889632086</c:v>
                </c:pt>
                <c:pt idx="132">
                  <c:v>3.9270903010033233</c:v>
                </c:pt>
                <c:pt idx="133">
                  <c:v>3.9341137123745606</c:v>
                </c:pt>
                <c:pt idx="134">
                  <c:v>3.9411371237457979</c:v>
                </c:pt>
                <c:pt idx="135">
                  <c:v>3.9481605351170352</c:v>
                </c:pt>
                <c:pt idx="136">
                  <c:v>3.9551839464882725</c:v>
                </c:pt>
                <c:pt idx="137">
                  <c:v>3.9622073578595098</c:v>
                </c:pt>
                <c:pt idx="138">
                  <c:v>3.9692307692307471</c:v>
                </c:pt>
                <c:pt idx="139">
                  <c:v>3.9762541806019844</c:v>
                </c:pt>
                <c:pt idx="140">
                  <c:v>3.9832775919732217</c:v>
                </c:pt>
                <c:pt idx="141">
                  <c:v>3.990301003344459</c:v>
                </c:pt>
                <c:pt idx="142">
                  <c:v>3.9973244147156963</c:v>
                </c:pt>
                <c:pt idx="143">
                  <c:v>4.0043478260869341</c:v>
                </c:pt>
                <c:pt idx="144">
                  <c:v>4.0113712374581718</c:v>
                </c:pt>
                <c:pt idx="145">
                  <c:v>4.0183946488294096</c:v>
                </c:pt>
                <c:pt idx="146">
                  <c:v>4.0254180602006473</c:v>
                </c:pt>
                <c:pt idx="147">
                  <c:v>4.032441471571885</c:v>
                </c:pt>
                <c:pt idx="148">
                  <c:v>4.0394648829431228</c:v>
                </c:pt>
                <c:pt idx="149">
                  <c:v>4.0464882943143605</c:v>
                </c:pt>
                <c:pt idx="150">
                  <c:v>4.0535117056855983</c:v>
                </c:pt>
                <c:pt idx="151">
                  <c:v>4.060535117056836</c:v>
                </c:pt>
                <c:pt idx="152">
                  <c:v>4.0675585284280737</c:v>
                </c:pt>
                <c:pt idx="153">
                  <c:v>4.0745819397993115</c:v>
                </c:pt>
                <c:pt idx="154">
                  <c:v>4.0816053511705492</c:v>
                </c:pt>
                <c:pt idx="155">
                  <c:v>4.088628762541787</c:v>
                </c:pt>
                <c:pt idx="156">
                  <c:v>4.0956521739130247</c:v>
                </c:pt>
                <c:pt idx="157">
                  <c:v>4.1026755852842625</c:v>
                </c:pt>
                <c:pt idx="158">
                  <c:v>4.1096989966555002</c:v>
                </c:pt>
                <c:pt idx="159">
                  <c:v>4.1167224080267379</c:v>
                </c:pt>
                <c:pt idx="160">
                  <c:v>4.1237458193979757</c:v>
                </c:pt>
                <c:pt idx="161">
                  <c:v>4.1307692307692134</c:v>
                </c:pt>
                <c:pt idx="162">
                  <c:v>4.1377926421404512</c:v>
                </c:pt>
                <c:pt idx="163">
                  <c:v>4.1448160535116889</c:v>
                </c:pt>
                <c:pt idx="164">
                  <c:v>4.1518394648829267</c:v>
                </c:pt>
                <c:pt idx="165">
                  <c:v>4.1588628762541644</c:v>
                </c:pt>
                <c:pt idx="166">
                  <c:v>4.1658862876254021</c:v>
                </c:pt>
                <c:pt idx="167">
                  <c:v>4.1729096989966399</c:v>
                </c:pt>
                <c:pt idx="168">
                  <c:v>4.1799331103678776</c:v>
                </c:pt>
                <c:pt idx="169">
                  <c:v>4.1869565217391154</c:v>
                </c:pt>
                <c:pt idx="170">
                  <c:v>4.1939799331103531</c:v>
                </c:pt>
                <c:pt idx="171">
                  <c:v>4.2010033444815909</c:v>
                </c:pt>
                <c:pt idx="172">
                  <c:v>4.2080267558528286</c:v>
                </c:pt>
                <c:pt idx="173">
                  <c:v>4.2150501672240663</c:v>
                </c:pt>
                <c:pt idx="174">
                  <c:v>4.2220735785953041</c:v>
                </c:pt>
                <c:pt idx="175">
                  <c:v>4.2290969899665418</c:v>
                </c:pt>
                <c:pt idx="176">
                  <c:v>4.2361204013377796</c:v>
                </c:pt>
                <c:pt idx="177">
                  <c:v>4.2431438127090173</c:v>
                </c:pt>
                <c:pt idx="178">
                  <c:v>4.250167224080255</c:v>
                </c:pt>
                <c:pt idx="179">
                  <c:v>4.2571906354514928</c:v>
                </c:pt>
                <c:pt idx="180">
                  <c:v>4.2642140468227305</c:v>
                </c:pt>
                <c:pt idx="181">
                  <c:v>4.2712374581939683</c:v>
                </c:pt>
                <c:pt idx="182">
                  <c:v>4.278260869565206</c:v>
                </c:pt>
                <c:pt idx="183">
                  <c:v>4.2852842809364438</c:v>
                </c:pt>
                <c:pt idx="184">
                  <c:v>4.2923076923076815</c:v>
                </c:pt>
                <c:pt idx="185">
                  <c:v>4.2993311036789192</c:v>
                </c:pt>
                <c:pt idx="186">
                  <c:v>4.306354515050157</c:v>
                </c:pt>
                <c:pt idx="187">
                  <c:v>4.3133779264213947</c:v>
                </c:pt>
                <c:pt idx="188">
                  <c:v>4.3204013377926325</c:v>
                </c:pt>
                <c:pt idx="189">
                  <c:v>4.3274247491638702</c:v>
                </c:pt>
                <c:pt idx="190">
                  <c:v>4.334448160535108</c:v>
                </c:pt>
                <c:pt idx="191">
                  <c:v>4.3414715719063457</c:v>
                </c:pt>
                <c:pt idx="192">
                  <c:v>4.3484949832775834</c:v>
                </c:pt>
                <c:pt idx="193">
                  <c:v>4.3555183946488212</c:v>
                </c:pt>
                <c:pt idx="194">
                  <c:v>4.3625418060200589</c:v>
                </c:pt>
                <c:pt idx="195">
                  <c:v>4.3695652173912967</c:v>
                </c:pt>
                <c:pt idx="196">
                  <c:v>4.3765886287625344</c:v>
                </c:pt>
                <c:pt idx="197">
                  <c:v>4.3836120401337721</c:v>
                </c:pt>
                <c:pt idx="198">
                  <c:v>4.3906354515050099</c:v>
                </c:pt>
                <c:pt idx="199">
                  <c:v>4.3976588628762476</c:v>
                </c:pt>
                <c:pt idx="200">
                  <c:v>4.4046822742474854</c:v>
                </c:pt>
                <c:pt idx="201">
                  <c:v>4.4117056856187231</c:v>
                </c:pt>
                <c:pt idx="202">
                  <c:v>4.4187290969899609</c:v>
                </c:pt>
                <c:pt idx="203">
                  <c:v>4.4257525083611986</c:v>
                </c:pt>
                <c:pt idx="204">
                  <c:v>4.4327759197324363</c:v>
                </c:pt>
                <c:pt idx="205">
                  <c:v>4.4397993311036741</c:v>
                </c:pt>
                <c:pt idx="206">
                  <c:v>4.4468227424749118</c:v>
                </c:pt>
                <c:pt idx="207">
                  <c:v>4.4538461538461496</c:v>
                </c:pt>
                <c:pt idx="208">
                  <c:v>4.4608695652173873</c:v>
                </c:pt>
                <c:pt idx="209">
                  <c:v>4.4678929765886251</c:v>
                </c:pt>
                <c:pt idx="210">
                  <c:v>4.4749163879598628</c:v>
                </c:pt>
                <c:pt idx="211">
                  <c:v>4.4819397993311005</c:v>
                </c:pt>
                <c:pt idx="212">
                  <c:v>4.4889632107023383</c:v>
                </c:pt>
                <c:pt idx="213">
                  <c:v>4.495986622073576</c:v>
                </c:pt>
                <c:pt idx="214">
                  <c:v>4.5030100334448138</c:v>
                </c:pt>
                <c:pt idx="215">
                  <c:v>4.5100334448160515</c:v>
                </c:pt>
                <c:pt idx="216">
                  <c:v>4.5170568561872892</c:v>
                </c:pt>
                <c:pt idx="217">
                  <c:v>4.524080267558527</c:v>
                </c:pt>
                <c:pt idx="218">
                  <c:v>4.5311036789297647</c:v>
                </c:pt>
                <c:pt idx="219">
                  <c:v>4.5381270903010025</c:v>
                </c:pt>
                <c:pt idx="220">
                  <c:v>4.5451505016722402</c:v>
                </c:pt>
                <c:pt idx="221">
                  <c:v>4.552173913043478</c:v>
                </c:pt>
                <c:pt idx="222">
                  <c:v>4.5591973244147157</c:v>
                </c:pt>
                <c:pt idx="223">
                  <c:v>4.5662207357859534</c:v>
                </c:pt>
                <c:pt idx="224">
                  <c:v>4.5732441471571912</c:v>
                </c:pt>
                <c:pt idx="225">
                  <c:v>4.5802675585284289</c:v>
                </c:pt>
                <c:pt idx="226">
                  <c:v>4.5872909698996667</c:v>
                </c:pt>
                <c:pt idx="227">
                  <c:v>4.5943143812709044</c:v>
                </c:pt>
                <c:pt idx="228">
                  <c:v>4.6013377926421422</c:v>
                </c:pt>
                <c:pt idx="229">
                  <c:v>4.6083612040133799</c:v>
                </c:pt>
                <c:pt idx="230">
                  <c:v>4.6153846153846176</c:v>
                </c:pt>
                <c:pt idx="231">
                  <c:v>4.6224080267558554</c:v>
                </c:pt>
                <c:pt idx="232">
                  <c:v>4.6294314381270931</c:v>
                </c:pt>
                <c:pt idx="233">
                  <c:v>4.6364548494983309</c:v>
                </c:pt>
                <c:pt idx="234">
                  <c:v>4.6434782608695686</c:v>
                </c:pt>
                <c:pt idx="235">
                  <c:v>4.6505016722408064</c:v>
                </c:pt>
                <c:pt idx="236">
                  <c:v>4.6575250836120441</c:v>
                </c:pt>
                <c:pt idx="237">
                  <c:v>4.6645484949832818</c:v>
                </c:pt>
                <c:pt idx="238">
                  <c:v>4.6715719063545196</c:v>
                </c:pt>
                <c:pt idx="239">
                  <c:v>4.6785953177257573</c:v>
                </c:pt>
                <c:pt idx="240">
                  <c:v>4.6856187290969951</c:v>
                </c:pt>
                <c:pt idx="241">
                  <c:v>4.6926421404682328</c:v>
                </c:pt>
                <c:pt idx="242">
                  <c:v>4.6996655518394705</c:v>
                </c:pt>
                <c:pt idx="243">
                  <c:v>4.7066889632107083</c:v>
                </c:pt>
                <c:pt idx="244">
                  <c:v>4.713712374581946</c:v>
                </c:pt>
                <c:pt idx="245">
                  <c:v>4.7207357859531838</c:v>
                </c:pt>
                <c:pt idx="246">
                  <c:v>4.7277591973244215</c:v>
                </c:pt>
                <c:pt idx="247">
                  <c:v>4.7347826086956593</c:v>
                </c:pt>
                <c:pt idx="248">
                  <c:v>4.741806020066897</c:v>
                </c:pt>
                <c:pt idx="249">
                  <c:v>4.7488294314381347</c:v>
                </c:pt>
                <c:pt idx="250">
                  <c:v>4.7558528428093725</c:v>
                </c:pt>
                <c:pt idx="251">
                  <c:v>4.7628762541806102</c:v>
                </c:pt>
                <c:pt idx="252">
                  <c:v>4.769899665551848</c:v>
                </c:pt>
                <c:pt idx="253">
                  <c:v>4.7769230769230857</c:v>
                </c:pt>
                <c:pt idx="254">
                  <c:v>4.7839464882943235</c:v>
                </c:pt>
                <c:pt idx="255">
                  <c:v>4.7909698996655612</c:v>
                </c:pt>
                <c:pt idx="256">
                  <c:v>4.7979933110367989</c:v>
                </c:pt>
                <c:pt idx="257">
                  <c:v>4.8050167224080367</c:v>
                </c:pt>
                <c:pt idx="258">
                  <c:v>4.8120401337792744</c:v>
                </c:pt>
                <c:pt idx="259">
                  <c:v>4.8190635451505122</c:v>
                </c:pt>
                <c:pt idx="260">
                  <c:v>4.8260869565217499</c:v>
                </c:pt>
                <c:pt idx="261">
                  <c:v>4.8331103678929876</c:v>
                </c:pt>
                <c:pt idx="262">
                  <c:v>4.8401337792642254</c:v>
                </c:pt>
                <c:pt idx="263">
                  <c:v>4.8471571906354631</c:v>
                </c:pt>
                <c:pt idx="264">
                  <c:v>4.8541806020067009</c:v>
                </c:pt>
                <c:pt idx="265">
                  <c:v>4.8612040133779386</c:v>
                </c:pt>
                <c:pt idx="266">
                  <c:v>4.8682274247491764</c:v>
                </c:pt>
                <c:pt idx="267">
                  <c:v>4.8752508361204141</c:v>
                </c:pt>
                <c:pt idx="268">
                  <c:v>4.8822742474916518</c:v>
                </c:pt>
                <c:pt idx="269">
                  <c:v>4.8892976588628896</c:v>
                </c:pt>
                <c:pt idx="270">
                  <c:v>4.8963210702341273</c:v>
                </c:pt>
                <c:pt idx="271">
                  <c:v>4.9033444816053651</c:v>
                </c:pt>
                <c:pt idx="272">
                  <c:v>4.9103678929766028</c:v>
                </c:pt>
                <c:pt idx="273">
                  <c:v>4.9173913043478406</c:v>
                </c:pt>
                <c:pt idx="274">
                  <c:v>4.9244147157190783</c:v>
                </c:pt>
                <c:pt idx="275">
                  <c:v>4.931438127090316</c:v>
                </c:pt>
                <c:pt idx="276">
                  <c:v>4.9384615384615538</c:v>
                </c:pt>
                <c:pt idx="277">
                  <c:v>4.9454849498327915</c:v>
                </c:pt>
                <c:pt idx="278">
                  <c:v>4.9525083612040293</c:v>
                </c:pt>
                <c:pt idx="279">
                  <c:v>4.959531772575267</c:v>
                </c:pt>
                <c:pt idx="280">
                  <c:v>4.9665551839465047</c:v>
                </c:pt>
                <c:pt idx="281">
                  <c:v>4.9735785953177425</c:v>
                </c:pt>
                <c:pt idx="282">
                  <c:v>4.9806020066889802</c:v>
                </c:pt>
                <c:pt idx="283">
                  <c:v>4.987625418060218</c:v>
                </c:pt>
                <c:pt idx="284">
                  <c:v>4.9946488294314557</c:v>
                </c:pt>
                <c:pt idx="285">
                  <c:v>5.0016722408026935</c:v>
                </c:pt>
                <c:pt idx="286">
                  <c:v>5.0086956521739312</c:v>
                </c:pt>
                <c:pt idx="287">
                  <c:v>5.0157190635451689</c:v>
                </c:pt>
                <c:pt idx="288">
                  <c:v>5.0227424749164067</c:v>
                </c:pt>
                <c:pt idx="289">
                  <c:v>5.0297658862876444</c:v>
                </c:pt>
                <c:pt idx="290">
                  <c:v>5.0367892976588822</c:v>
                </c:pt>
                <c:pt idx="291">
                  <c:v>5.0438127090301199</c:v>
                </c:pt>
                <c:pt idx="292">
                  <c:v>5.0508361204013577</c:v>
                </c:pt>
                <c:pt idx="293">
                  <c:v>5.0578595317725954</c:v>
                </c:pt>
                <c:pt idx="294">
                  <c:v>5.0648829431438331</c:v>
                </c:pt>
                <c:pt idx="295">
                  <c:v>5.0719063545150709</c:v>
                </c:pt>
                <c:pt idx="296">
                  <c:v>5.0789297658863086</c:v>
                </c:pt>
                <c:pt idx="297">
                  <c:v>5.0859531772575464</c:v>
                </c:pt>
                <c:pt idx="298">
                  <c:v>5.0929765886287841</c:v>
                </c:pt>
                <c:pt idx="299">
                  <c:v>5.1000000000000218</c:v>
                </c:pt>
              </c:numCache>
            </c:numRef>
          </c:cat>
          <c:val>
            <c:numRef>
              <c:f>versicolor_estymacjagęstości!$P$3:$P$302</c:f>
              <c:numCache>
                <c:formatCode>General</c:formatCode>
                <c:ptCount val="300"/>
                <c:pt idx="0">
                  <c:v>7.6978915165678924E-2</c:v>
                </c:pt>
                <c:pt idx="1">
                  <c:v>7.7005883410513079E-2</c:v>
                </c:pt>
                <c:pt idx="2">
                  <c:v>7.7032710429897844E-2</c:v>
                </c:pt>
                <c:pt idx="3">
                  <c:v>7.7059396069570407E-2</c:v>
                </c:pt>
                <c:pt idx="4">
                  <c:v>7.7085940176044337E-2</c:v>
                </c:pt>
                <c:pt idx="5">
                  <c:v>7.7112342596610511E-2</c:v>
                </c:pt>
                <c:pt idx="6">
                  <c:v>7.7138603179338905E-2</c:v>
                </c:pt>
                <c:pt idx="7">
                  <c:v>7.7164721773079842E-2</c:v>
                </c:pt>
                <c:pt idx="8">
                  <c:v>7.7190698227465604E-2</c:v>
                </c:pt>
                <c:pt idx="9">
                  <c:v>7.7216532392911777E-2</c:v>
                </c:pt>
                <c:pt idx="10">
                  <c:v>7.7242224120618791E-2</c:v>
                </c:pt>
                <c:pt idx="11">
                  <c:v>7.7267773262573058E-2</c:v>
                </c:pt>
                <c:pt idx="12">
                  <c:v>7.7293179671548834E-2</c:v>
                </c:pt>
                <c:pt idx="13">
                  <c:v>7.7318443201109338E-2</c:v>
                </c:pt>
                <c:pt idx="14">
                  <c:v>7.7343563705608159E-2</c:v>
                </c:pt>
                <c:pt idx="15">
                  <c:v>7.7368541040190808E-2</c:v>
                </c:pt>
                <c:pt idx="16">
                  <c:v>7.7393375060795869E-2</c:v>
                </c:pt>
                <c:pt idx="17">
                  <c:v>7.741806562415679E-2</c:v>
                </c:pt>
                <c:pt idx="18">
                  <c:v>7.74426125878028E-2</c:v>
                </c:pt>
                <c:pt idx="19">
                  <c:v>7.7467015810060588E-2</c:v>
                </c:pt>
                <c:pt idx="20">
                  <c:v>7.7491275150055522E-2</c:v>
                </c:pt>
                <c:pt idx="21">
                  <c:v>7.7515390467713052E-2</c:v>
                </c:pt>
                <c:pt idx="22">
                  <c:v>7.7539361623760003E-2</c:v>
                </c:pt>
                <c:pt idx="23">
                  <c:v>7.7563188479726097E-2</c:v>
                </c:pt>
                <c:pt idx="24">
                  <c:v>7.7586870897945054E-2</c:v>
                </c:pt>
                <c:pt idx="25">
                  <c:v>7.7610408741556031E-2</c:v>
                </c:pt>
                <c:pt idx="26">
                  <c:v>7.7633801874504915E-2</c:v>
                </c:pt>
                <c:pt idx="27">
                  <c:v>7.7657050161545768E-2</c:v>
                </c:pt>
                <c:pt idx="28">
                  <c:v>7.768015346824178E-2</c:v>
                </c:pt>
                <c:pt idx="29">
                  <c:v>7.7703111660966981E-2</c:v>
                </c:pt>
                <c:pt idx="30">
                  <c:v>7.7725924606907221E-2</c:v>
                </c:pt>
                <c:pt idx="31">
                  <c:v>7.7748592174061701E-2</c:v>
                </c:pt>
                <c:pt idx="32">
                  <c:v>7.7771114231243957E-2</c:v>
                </c:pt>
                <c:pt idx="33">
                  <c:v>7.7793490648083399E-2</c:v>
                </c:pt>
                <c:pt idx="34">
                  <c:v>7.7815721295026355E-2</c:v>
                </c:pt>
                <c:pt idx="35">
                  <c:v>7.7837806043337565E-2</c:v>
                </c:pt>
                <c:pt idx="36">
                  <c:v>7.7859744765101116E-2</c:v>
                </c:pt>
                <c:pt idx="37">
                  <c:v>7.7881537333221937E-2</c:v>
                </c:pt>
                <c:pt idx="38">
                  <c:v>7.7903183621426855E-2</c:v>
                </c:pt>
                <c:pt idx="39">
                  <c:v>7.7924683504265971E-2</c:v>
                </c:pt>
                <c:pt idx="40">
                  <c:v>7.7946036857113668E-2</c:v>
                </c:pt>
                <c:pt idx="41">
                  <c:v>7.796724355617006E-2</c:v>
                </c:pt>
                <c:pt idx="42">
                  <c:v>7.7988303478461946E-2</c:v>
                </c:pt>
                <c:pt idx="43">
                  <c:v>7.8009216501844197E-2</c:v>
                </c:pt>
                <c:pt idx="44">
                  <c:v>7.8029982505000858E-2</c:v>
                </c:pt>
                <c:pt idx="45">
                  <c:v>7.805060136744621E-2</c:v>
                </c:pt>
                <c:pt idx="46">
                  <c:v>7.8071072969526104E-2</c:v>
                </c:pt>
                <c:pt idx="47">
                  <c:v>7.8091397192419157E-2</c:v>
                </c:pt>
                <c:pt idx="48">
                  <c:v>7.811157391813757E-2</c:v>
                </c:pt>
                <c:pt idx="49">
                  <c:v>7.8131603029528721E-2</c:v>
                </c:pt>
                <c:pt idx="50">
                  <c:v>7.815148441027589E-2</c:v>
                </c:pt>
                <c:pt idx="51">
                  <c:v>7.8171217944899785E-2</c:v>
                </c:pt>
                <c:pt idx="52">
                  <c:v>7.8190803518759261E-2</c:v>
                </c:pt>
                <c:pt idx="53">
                  <c:v>7.8210241018052587E-2</c:v>
                </c:pt>
                <c:pt idx="54">
                  <c:v>7.8229530329818747E-2</c:v>
                </c:pt>
                <c:pt idx="55">
                  <c:v>7.8248671341938317E-2</c:v>
                </c:pt>
                <c:pt idx="56">
                  <c:v>7.8267663943134488E-2</c:v>
                </c:pt>
                <c:pt idx="57">
                  <c:v>7.8286508022974349E-2</c:v>
                </c:pt>
                <c:pt idx="58">
                  <c:v>7.8305203471869783E-2</c:v>
                </c:pt>
                <c:pt idx="59">
                  <c:v>7.8323750181078733E-2</c:v>
                </c:pt>
                <c:pt idx="60">
                  <c:v>7.834214804270602E-2</c:v>
                </c:pt>
                <c:pt idx="61">
                  <c:v>7.8360396949704481E-2</c:v>
                </c:pt>
                <c:pt idx="62">
                  <c:v>7.8378496795876079E-2</c:v>
                </c:pt>
                <c:pt idx="63">
                  <c:v>7.8396447475872988E-2</c:v>
                </c:pt>
                <c:pt idx="64">
                  <c:v>7.8414248885198296E-2</c:v>
                </c:pt>
                <c:pt idx="65">
                  <c:v>7.8431900920207326E-2</c:v>
                </c:pt>
                <c:pt idx="66">
                  <c:v>7.8449403478108443E-2</c:v>
                </c:pt>
                <c:pt idx="67">
                  <c:v>7.8466756456964437E-2</c:v>
                </c:pt>
                <c:pt idx="68">
                  <c:v>7.8483959755692917E-2</c:v>
                </c:pt>
                <c:pt idx="69">
                  <c:v>7.8501013274067791E-2</c:v>
                </c:pt>
                <c:pt idx="70">
                  <c:v>7.8517916912719948E-2</c:v>
                </c:pt>
                <c:pt idx="71">
                  <c:v>7.8534670573138315E-2</c:v>
                </c:pt>
                <c:pt idx="72">
                  <c:v>7.8551274157671019E-2</c:v>
                </c:pt>
                <c:pt idx="73">
                  <c:v>7.8567727569525764E-2</c:v>
                </c:pt>
                <c:pt idx="74">
                  <c:v>7.8584030712771633E-2</c:v>
                </c:pt>
                <c:pt idx="75">
                  <c:v>7.8600183492339187E-2</c:v>
                </c:pt>
                <c:pt idx="76">
                  <c:v>7.8616185814021716E-2</c:v>
                </c:pt>
                <c:pt idx="77">
                  <c:v>7.8632037584476469E-2</c:v>
                </c:pt>
                <c:pt idx="78">
                  <c:v>7.8647738711224977E-2</c:v>
                </c:pt>
                <c:pt idx="79">
                  <c:v>7.8663289102654382E-2</c:v>
                </c:pt>
                <c:pt idx="80">
                  <c:v>7.8678688668018248E-2</c:v>
                </c:pt>
                <c:pt idx="81">
                  <c:v>7.8693937317437249E-2</c:v>
                </c:pt>
                <c:pt idx="82">
                  <c:v>7.8709034961900209E-2</c:v>
                </c:pt>
                <c:pt idx="83">
                  <c:v>7.872398151326504E-2</c:v>
                </c:pt>
                <c:pt idx="84">
                  <c:v>7.8738776884259398E-2</c:v>
                </c:pt>
                <c:pt idx="85">
                  <c:v>7.8753420988481607E-2</c:v>
                </c:pt>
                <c:pt idx="86">
                  <c:v>7.8767913740401638E-2</c:v>
                </c:pt>
                <c:pt idx="87">
                  <c:v>7.8782255055361808E-2</c:v>
                </c:pt>
                <c:pt idx="88">
                  <c:v>7.8796444849577485E-2</c:v>
                </c:pt>
                <c:pt idx="89">
                  <c:v>7.8810483040138268E-2</c:v>
                </c:pt>
                <c:pt idx="90">
                  <c:v>7.8824369545008308E-2</c:v>
                </c:pt>
                <c:pt idx="91">
                  <c:v>7.8838104283027649E-2</c:v>
                </c:pt>
                <c:pt idx="92">
                  <c:v>7.8851687173912527E-2</c:v>
                </c:pt>
                <c:pt idx="93">
                  <c:v>7.8865118138256474E-2</c:v>
                </c:pt>
                <c:pt idx="94">
                  <c:v>7.8878397097530903E-2</c:v>
                </c:pt>
                <c:pt idx="95">
                  <c:v>7.8891523974085984E-2</c:v>
                </c:pt>
                <c:pt idx="96">
                  <c:v>7.8904498691151445E-2</c:v>
                </c:pt>
                <c:pt idx="97">
                  <c:v>7.8917321172837174E-2</c:v>
                </c:pt>
                <c:pt idx="98">
                  <c:v>7.8929991344134004E-2</c:v>
                </c:pt>
                <c:pt idx="99">
                  <c:v>7.8942509130914482E-2</c:v>
                </c:pt>
                <c:pt idx="100">
                  <c:v>7.8954874459933669E-2</c:v>
                </c:pt>
                <c:pt idx="101">
                  <c:v>7.8967087258829546E-2</c:v>
                </c:pt>
                <c:pt idx="102">
                  <c:v>7.8979147456124249E-2</c:v>
                </c:pt>
                <c:pt idx="103">
                  <c:v>7.899105498122419E-2</c:v>
                </c:pt>
                <c:pt idx="104">
                  <c:v>7.9002809764421159E-2</c:v>
                </c:pt>
                <c:pt idx="105">
                  <c:v>7.9014411736892748E-2</c:v>
                </c:pt>
                <c:pt idx="106">
                  <c:v>7.902586083070326E-2</c:v>
                </c:pt>
                <c:pt idx="107">
                  <c:v>7.9037156978804118E-2</c:v>
                </c:pt>
                <c:pt idx="108">
                  <c:v>7.904830011503472E-2</c:v>
                </c:pt>
                <c:pt idx="109">
                  <c:v>7.9059290174123012E-2</c:v>
                </c:pt>
                <c:pt idx="110">
                  <c:v>7.9070127091686038E-2</c:v>
                </c:pt>
                <c:pt idx="111">
                  <c:v>7.9080810804230739E-2</c:v>
                </c:pt>
                <c:pt idx="112">
                  <c:v>7.9091341249154401E-2</c:v>
                </c:pt>
                <c:pt idx="113">
                  <c:v>7.9101718364745527E-2</c:v>
                </c:pt>
                <c:pt idx="114">
                  <c:v>7.9111942090184087E-2</c:v>
                </c:pt>
                <c:pt idx="115">
                  <c:v>7.912201236554231E-2</c:v>
                </c:pt>
                <c:pt idx="116">
                  <c:v>7.9131929131785281E-2</c:v>
                </c:pt>
                <c:pt idx="117">
                  <c:v>7.9141692330771563E-2</c:v>
                </c:pt>
                <c:pt idx="118">
                  <c:v>7.9151301905253629E-2</c:v>
                </c:pt>
                <c:pt idx="119">
                  <c:v>7.9160757798878392E-2</c:v>
                </c:pt>
                <c:pt idx="120">
                  <c:v>7.9170059956187991E-2</c:v>
                </c:pt>
                <c:pt idx="121">
                  <c:v>7.9179208322620015E-2</c:v>
                </c:pt>
                <c:pt idx="122">
                  <c:v>7.9188202844508421E-2</c:v>
                </c:pt>
                <c:pt idx="123">
                  <c:v>7.9197043469083669E-2</c:v>
                </c:pt>
                <c:pt idx="124">
                  <c:v>7.9205730144473477E-2</c:v>
                </c:pt>
                <c:pt idx="125">
                  <c:v>7.9214262819703299E-2</c:v>
                </c:pt>
                <c:pt idx="126">
                  <c:v>7.9222641444696762E-2</c:v>
                </c:pt>
                <c:pt idx="127">
                  <c:v>7.9230865970276107E-2</c:v>
                </c:pt>
                <c:pt idx="128">
                  <c:v>7.9238936348162994E-2</c:v>
                </c:pt>
                <c:pt idx="129">
                  <c:v>7.9246852530978337E-2</c:v>
                </c:pt>
                <c:pt idx="130">
                  <c:v>7.9254614472243481E-2</c:v>
                </c:pt>
                <c:pt idx="131">
                  <c:v>7.9262222126380302E-2</c:v>
                </c:pt>
                <c:pt idx="132">
                  <c:v>7.9269675448711482E-2</c:v>
                </c:pt>
                <c:pt idx="133">
                  <c:v>7.9276974395461261E-2</c:v>
                </c:pt>
                <c:pt idx="134">
                  <c:v>7.9284118923755934E-2</c:v>
                </c:pt>
                <c:pt idx="135">
                  <c:v>7.929110899162381E-2</c:v>
                </c:pt>
                <c:pt idx="136">
                  <c:v>7.9297944557996047E-2</c:v>
                </c:pt>
                <c:pt idx="137">
                  <c:v>7.9304625582706789E-2</c:v>
                </c:pt>
                <c:pt idx="138">
                  <c:v>7.9311152026493942E-2</c:v>
                </c:pt>
                <c:pt idx="139">
                  <c:v>7.9317523850998981E-2</c:v>
                </c:pt>
                <c:pt idx="140">
                  <c:v>7.9323741018767935E-2</c:v>
                </c:pt>
                <c:pt idx="141">
                  <c:v>7.9329803493251194E-2</c:v>
                </c:pt>
                <c:pt idx="142">
                  <c:v>7.9335711238804313E-2</c:v>
                </c:pt>
                <c:pt idx="143">
                  <c:v>7.9341464220688135E-2</c:v>
                </c:pt>
                <c:pt idx="144">
                  <c:v>7.9347062405069127E-2</c:v>
                </c:pt>
                <c:pt idx="145">
                  <c:v>7.9352505759019851E-2</c:v>
                </c:pt>
                <c:pt idx="146">
                  <c:v>7.9357794250519115E-2</c:v>
                </c:pt>
                <c:pt idx="147">
                  <c:v>7.9362927848452405E-2</c:v>
                </c:pt>
                <c:pt idx="148">
                  <c:v>7.9367906522612233E-2</c:v>
                </c:pt>
                <c:pt idx="149">
                  <c:v>7.9372730243698245E-2</c:v>
                </c:pt>
                <c:pt idx="150">
                  <c:v>7.9377398983317637E-2</c:v>
                </c:pt>
                <c:pt idx="151">
                  <c:v>7.9381912713985467E-2</c:v>
                </c:pt>
                <c:pt idx="152">
                  <c:v>7.9386271409124881E-2</c:v>
                </c:pt>
                <c:pt idx="153">
                  <c:v>7.9390475043067288E-2</c:v>
                </c:pt>
                <c:pt idx="154">
                  <c:v>7.9394523591052701E-2</c:v>
                </c:pt>
                <c:pt idx="155">
                  <c:v>7.9398417029230103E-2</c:v>
                </c:pt>
                <c:pt idx="156">
                  <c:v>7.9402155334657373E-2</c:v>
                </c:pt>
                <c:pt idx="157">
                  <c:v>7.9405738485301774E-2</c:v>
                </c:pt>
                <c:pt idx="158">
                  <c:v>7.940916646004012E-2</c:v>
                </c:pt>
                <c:pt idx="159">
                  <c:v>7.9412439238658844E-2</c:v>
                </c:pt>
                <c:pt idx="160">
                  <c:v>7.9415556801854387E-2</c:v>
                </c:pt>
                <c:pt idx="161">
                  <c:v>7.9418519131233212E-2</c:v>
                </c:pt>
                <c:pt idx="162">
                  <c:v>7.9421326209312179E-2</c:v>
                </c:pt>
                <c:pt idx="163">
                  <c:v>7.9423978019518532E-2</c:v>
                </c:pt>
                <c:pt idx="164">
                  <c:v>7.9426474546190201E-2</c:v>
                </c:pt>
                <c:pt idx="165">
                  <c:v>7.9428815774575751E-2</c:v>
                </c:pt>
                <c:pt idx="166">
                  <c:v>7.9431001690834849E-2</c:v>
                </c:pt>
                <c:pt idx="167">
                  <c:v>7.9433032282038185E-2</c:v>
                </c:pt>
                <c:pt idx="168">
                  <c:v>7.943490753616754E-2</c:v>
                </c:pt>
                <c:pt idx="169">
                  <c:v>7.9436627442116048E-2</c:v>
                </c:pt>
                <c:pt idx="170">
                  <c:v>7.943819198968835E-2</c:v>
                </c:pt>
                <c:pt idx="171">
                  <c:v>7.9439601169600443E-2</c:v>
                </c:pt>
                <c:pt idx="172">
                  <c:v>7.9440854973480093E-2</c:v>
                </c:pt>
                <c:pt idx="173">
                  <c:v>7.9441953393866657E-2</c:v>
                </c:pt>
                <c:pt idx="174">
                  <c:v>7.9442896424211179E-2</c:v>
                </c:pt>
                <c:pt idx="175">
                  <c:v>7.9443684058876834E-2</c:v>
                </c:pt>
                <c:pt idx="176">
                  <c:v>7.9444316293138292E-2</c:v>
                </c:pt>
                <c:pt idx="177">
                  <c:v>7.9444793123182506E-2</c:v>
                </c:pt>
                <c:pt idx="178">
                  <c:v>7.9445114546108156E-2</c:v>
                </c:pt>
                <c:pt idx="179">
                  <c:v>7.9445280559926001E-2</c:v>
                </c:pt>
                <c:pt idx="180">
                  <c:v>7.9445291163558959E-2</c:v>
                </c:pt>
                <c:pt idx="181">
                  <c:v>7.9445146356841745E-2</c:v>
                </c:pt>
                <c:pt idx="182">
                  <c:v>7.9444846140521275E-2</c:v>
                </c:pt>
                <c:pt idx="183">
                  <c:v>7.9444390516256333E-2</c:v>
                </c:pt>
                <c:pt idx="184">
                  <c:v>7.9443779486617974E-2</c:v>
                </c:pt>
                <c:pt idx="185">
                  <c:v>7.9443013055089079E-2</c:v>
                </c:pt>
                <c:pt idx="186">
                  <c:v>7.9442091226064437E-2</c:v>
                </c:pt>
                <c:pt idx="187">
                  <c:v>7.9441014004850846E-2</c:v>
                </c:pt>
                <c:pt idx="188">
                  <c:v>7.9439781397666928E-2</c:v>
                </c:pt>
                <c:pt idx="189">
                  <c:v>7.9438393411643243E-2</c:v>
                </c:pt>
                <c:pt idx="190">
                  <c:v>7.9436850054821789E-2</c:v>
                </c:pt>
                <c:pt idx="191">
                  <c:v>7.9435151336156556E-2</c:v>
                </c:pt>
                <c:pt idx="192">
                  <c:v>7.9433297265512876E-2</c:v>
                </c:pt>
                <c:pt idx="193">
                  <c:v>7.9431287853667612E-2</c:v>
                </c:pt>
                <c:pt idx="194">
                  <c:v>7.9429123112309097E-2</c:v>
                </c:pt>
                <c:pt idx="195">
                  <c:v>7.9426803054036821E-2</c:v>
                </c:pt>
                <c:pt idx="196">
                  <c:v>7.9424327692361435E-2</c:v>
                </c:pt>
                <c:pt idx="197">
                  <c:v>7.9421697041704625E-2</c:v>
                </c:pt>
                <c:pt idx="198">
                  <c:v>7.9418911117398863E-2</c:v>
                </c:pt>
                <c:pt idx="199">
                  <c:v>7.9415969935687419E-2</c:v>
                </c:pt>
                <c:pt idx="200">
                  <c:v>7.9412873513724128E-2</c:v>
                </c:pt>
                <c:pt idx="201">
                  <c:v>7.940962186957308E-2</c:v>
                </c:pt>
                <c:pt idx="202">
                  <c:v>7.9406215022208765E-2</c:v>
                </c:pt>
                <c:pt idx="203">
                  <c:v>7.9402652991515721E-2</c:v>
                </c:pt>
                <c:pt idx="204">
                  <c:v>7.9398935798288051E-2</c:v>
                </c:pt>
                <c:pt idx="205">
                  <c:v>7.939506346422967E-2</c:v>
                </c:pt>
                <c:pt idx="206">
                  <c:v>7.9391036011954075E-2</c:v>
                </c:pt>
                <c:pt idx="207">
                  <c:v>7.9386853464983725E-2</c:v>
                </c:pt>
                <c:pt idx="208">
                  <c:v>7.9382515847750121E-2</c:v>
                </c:pt>
                <c:pt idx="209">
                  <c:v>7.9378023185593588E-2</c:v>
                </c:pt>
                <c:pt idx="210">
                  <c:v>7.9373375504762783E-2</c:v>
                </c:pt>
                <c:pt idx="211">
                  <c:v>7.9368572832414774E-2</c:v>
                </c:pt>
                <c:pt idx="212">
                  <c:v>7.9363615196614487E-2</c:v>
                </c:pt>
                <c:pt idx="213">
                  <c:v>7.9358502626334579E-2</c:v>
                </c:pt>
                <c:pt idx="214">
                  <c:v>7.935323515145512E-2</c:v>
                </c:pt>
                <c:pt idx="215">
                  <c:v>7.9347812802763332E-2</c:v>
                </c:pt>
                <c:pt idx="216">
                  <c:v>7.9342235611953207E-2</c:v>
                </c:pt>
                <c:pt idx="217">
                  <c:v>7.9336503611625309E-2</c:v>
                </c:pt>
                <c:pt idx="218">
                  <c:v>7.9330616835286305E-2</c:v>
                </c:pt>
                <c:pt idx="219">
                  <c:v>7.9324575317348905E-2</c:v>
                </c:pt>
                <c:pt idx="220">
                  <c:v>7.9318379093131178E-2</c:v>
                </c:pt>
                <c:pt idx="221">
                  <c:v>7.9312028198856521E-2</c:v>
                </c:pt>
                <c:pt idx="222">
                  <c:v>7.9305522671653028E-2</c:v>
                </c:pt>
                <c:pt idx="223">
                  <c:v>7.9298862549553414E-2</c:v>
                </c:pt>
                <c:pt idx="224">
                  <c:v>7.9292047871494464E-2</c:v>
                </c:pt>
                <c:pt idx="225">
                  <c:v>7.9285078677316601E-2</c:v>
                </c:pt>
                <c:pt idx="226">
                  <c:v>7.927795500776369E-2</c:v>
                </c:pt>
                <c:pt idx="227">
                  <c:v>7.927067690448257E-2</c:v>
                </c:pt>
                <c:pt idx="228">
                  <c:v>7.9263244410022429E-2</c:v>
                </c:pt>
                <c:pt idx="229">
                  <c:v>7.9255657567834772E-2</c:v>
                </c:pt>
                <c:pt idx="230">
                  <c:v>7.9247916422272691E-2</c:v>
                </c:pt>
                <c:pt idx="231">
                  <c:v>7.9240021018590664E-2</c:v>
                </c:pt>
                <c:pt idx="232">
                  <c:v>7.9231971402943802E-2</c:v>
                </c:pt>
                <c:pt idx="233">
                  <c:v>7.9223767622387753E-2</c:v>
                </c:pt>
                <c:pt idx="234">
                  <c:v>7.9215409724878075E-2</c:v>
                </c:pt>
                <c:pt idx="235">
                  <c:v>7.9206897759269687E-2</c:v>
                </c:pt>
                <c:pt idx="236">
                  <c:v>7.9198231775316583E-2</c:v>
                </c:pt>
                <c:pt idx="237">
                  <c:v>7.9189411823671202E-2</c:v>
                </c:pt>
                <c:pt idx="238">
                  <c:v>7.9180437955883892E-2</c:v>
                </c:pt>
                <c:pt idx="239">
                  <c:v>7.9171310224402686E-2</c:v>
                </c:pt>
                <c:pt idx="240">
                  <c:v>7.9162028682572341E-2</c:v>
                </c:pt>
                <c:pt idx="241">
                  <c:v>7.9152593384634359E-2</c:v>
                </c:pt>
                <c:pt idx="242">
                  <c:v>7.9143004385726037E-2</c:v>
                </c:pt>
                <c:pt idx="243">
                  <c:v>7.9133261741879984E-2</c:v>
                </c:pt>
                <c:pt idx="244">
                  <c:v>7.9123365510023858E-2</c:v>
                </c:pt>
                <c:pt idx="245">
                  <c:v>7.9113315747979543E-2</c:v>
                </c:pt>
                <c:pt idx="246">
                  <c:v>7.9103112514462587E-2</c:v>
                </c:pt>
                <c:pt idx="247">
                  <c:v>7.9092755869081599E-2</c:v>
                </c:pt>
                <c:pt idx="248">
                  <c:v>7.9082245872338169E-2</c:v>
                </c:pt>
                <c:pt idx="249">
                  <c:v>7.9071582585625508E-2</c:v>
                </c:pt>
                <c:pt idx="250">
                  <c:v>7.9060766071228333E-2</c:v>
                </c:pt>
                <c:pt idx="251">
                  <c:v>7.9049796392322208E-2</c:v>
                </c:pt>
                <c:pt idx="252">
                  <c:v>7.9038673612972815E-2</c:v>
                </c:pt>
                <c:pt idx="253">
                  <c:v>7.9027397798135363E-2</c:v>
                </c:pt>
                <c:pt idx="254">
                  <c:v>7.9015969013654083E-2</c:v>
                </c:pt>
                <c:pt idx="255">
                  <c:v>7.9004387326261388E-2</c:v>
                </c:pt>
                <c:pt idx="256">
                  <c:v>7.899265280357734E-2</c:v>
                </c:pt>
                <c:pt idx="257">
                  <c:v>7.8980765514109014E-2</c:v>
                </c:pt>
                <c:pt idx="258">
                  <c:v>7.8968725527249761E-2</c:v>
                </c:pt>
                <c:pt idx="259">
                  <c:v>7.8956532913278477E-2</c:v>
                </c:pt>
                <c:pt idx="260">
                  <c:v>7.8944187743359207E-2</c:v>
                </c:pt>
                <c:pt idx="261">
                  <c:v>7.8931690089540069E-2</c:v>
                </c:pt>
                <c:pt idx="262">
                  <c:v>7.8919040024752779E-2</c:v>
                </c:pt>
                <c:pt idx="263">
                  <c:v>7.8906237622811945E-2</c:v>
                </c:pt>
                <c:pt idx="264">
                  <c:v>7.8893282958414301E-2</c:v>
                </c:pt>
                <c:pt idx="265">
                  <c:v>7.8880176107137795E-2</c:v>
                </c:pt>
                <c:pt idx="266">
                  <c:v>7.8866917145441404E-2</c:v>
                </c:pt>
                <c:pt idx="267">
                  <c:v>7.8853506150663583E-2</c:v>
                </c:pt>
                <c:pt idx="268">
                  <c:v>7.8839943201022375E-2</c:v>
                </c:pt>
                <c:pt idx="269">
                  <c:v>7.8826228375613927E-2</c:v>
                </c:pt>
                <c:pt idx="270">
                  <c:v>7.8812361754412211E-2</c:v>
                </c:pt>
                <c:pt idx="271">
                  <c:v>7.8798343418267927E-2</c:v>
                </c:pt>
                <c:pt idx="272">
                  <c:v>7.8784173448907965E-2</c:v>
                </c:pt>
                <c:pt idx="273">
                  <c:v>7.8769851928934417E-2</c:v>
                </c:pt>
                <c:pt idx="274">
                  <c:v>7.8755378941823856E-2</c:v>
                </c:pt>
                <c:pt idx="275">
                  <c:v>7.8740754571926627E-2</c:v>
                </c:pt>
                <c:pt idx="276">
                  <c:v>7.8725978904465838E-2</c:v>
                </c:pt>
                <c:pt idx="277">
                  <c:v>7.8711052025536563E-2</c:v>
                </c:pt>
                <c:pt idx="278">
                  <c:v>7.8695974022105181E-2</c:v>
                </c:pt>
                <c:pt idx="279">
                  <c:v>7.8680744982008347E-2</c:v>
                </c:pt>
                <c:pt idx="280">
                  <c:v>7.8665364993952311E-2</c:v>
                </c:pt>
                <c:pt idx="281">
                  <c:v>7.8649834147511671E-2</c:v>
                </c:pt>
                <c:pt idx="282">
                  <c:v>7.8634152533129109E-2</c:v>
                </c:pt>
                <c:pt idx="283">
                  <c:v>7.861832024211407E-2</c:v>
                </c:pt>
                <c:pt idx="284">
                  <c:v>7.8602337366641892E-2</c:v>
                </c:pt>
                <c:pt idx="285">
                  <c:v>7.8586203999753107E-2</c:v>
                </c:pt>
                <c:pt idx="286">
                  <c:v>7.8569920235352544E-2</c:v>
                </c:pt>
                <c:pt idx="287">
                  <c:v>7.8553486168207995E-2</c:v>
                </c:pt>
                <c:pt idx="288">
                  <c:v>7.8536901893950004E-2</c:v>
                </c:pt>
                <c:pt idx="289">
                  <c:v>7.8520167509070343E-2</c:v>
                </c:pt>
                <c:pt idx="290">
                  <c:v>7.8503283110921238E-2</c:v>
                </c:pt>
                <c:pt idx="291">
                  <c:v>7.8486248797714681E-2</c:v>
                </c:pt>
                <c:pt idx="292">
                  <c:v>7.8469064668521077E-2</c:v>
                </c:pt>
                <c:pt idx="293">
                  <c:v>7.8451730823268617E-2</c:v>
                </c:pt>
                <c:pt idx="294">
                  <c:v>7.8434247362742016E-2</c:v>
                </c:pt>
                <c:pt idx="295">
                  <c:v>7.8416614388581871E-2</c:v>
                </c:pt>
                <c:pt idx="296">
                  <c:v>7.8398832003283334E-2</c:v>
                </c:pt>
                <c:pt idx="297">
                  <c:v>7.8380900310195359E-2</c:v>
                </c:pt>
                <c:pt idx="298">
                  <c:v>7.8362819413519691E-2</c:v>
                </c:pt>
                <c:pt idx="299">
                  <c:v>7.8344589418309685E-2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C7-4386-A07E-C9C576405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9492192"/>
        <c:axId val="994788832"/>
      </c:lineChart>
      <c:catAx>
        <c:axId val="102949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94788832"/>
        <c:crosses val="autoZero"/>
        <c:auto val="1"/>
        <c:lblAlgn val="ctr"/>
        <c:lblOffset val="100"/>
        <c:noMultiLvlLbl val="0"/>
      </c:catAx>
      <c:valAx>
        <c:axId val="994788832"/>
        <c:scaling>
          <c:orientation val="minMax"/>
          <c:max val="1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2949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8.5707066829910306E-2"/>
          <c:y val="0.13427275406457029"/>
          <c:w val="0.34389648696411934"/>
          <c:h val="0.25811170984103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Jądro gaussowskie vs Epanecznikowa</a:t>
            </a:r>
          </a:p>
          <a:p>
            <a:pPr>
              <a:defRPr/>
            </a:pP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6.5255029127789271E-2"/>
          <c:y val="0.1170787084361981"/>
          <c:w val="0.88530721041414751"/>
          <c:h val="0.66836986238620588"/>
        </c:manualLayout>
      </c:layout>
      <c:lineChart>
        <c:grouping val="standard"/>
        <c:varyColors val="0"/>
        <c:ser>
          <c:idx val="0"/>
          <c:order val="0"/>
          <c:tx>
            <c:v>gaussowskie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versicolor_estymacjagęstości!$K$3:$K$302</c:f>
              <c:numCache>
                <c:formatCode>General</c:formatCode>
                <c:ptCount val="300"/>
                <c:pt idx="0">
                  <c:v>3</c:v>
                </c:pt>
                <c:pt idx="1">
                  <c:v>3.0070234113712373</c:v>
                </c:pt>
                <c:pt idx="2">
                  <c:v>3.0140468227424746</c:v>
                </c:pt>
                <c:pt idx="3">
                  <c:v>3.0210702341137119</c:v>
                </c:pt>
                <c:pt idx="4">
                  <c:v>3.0280936454849492</c:v>
                </c:pt>
                <c:pt idx="5">
                  <c:v>3.0351170568561865</c:v>
                </c:pt>
                <c:pt idx="6">
                  <c:v>3.0421404682274238</c:v>
                </c:pt>
                <c:pt idx="7">
                  <c:v>3.0491638795986611</c:v>
                </c:pt>
                <c:pt idx="8">
                  <c:v>3.0561872909698984</c:v>
                </c:pt>
                <c:pt idx="9">
                  <c:v>3.0632107023411357</c:v>
                </c:pt>
                <c:pt idx="10">
                  <c:v>3.070234113712373</c:v>
                </c:pt>
                <c:pt idx="11">
                  <c:v>3.0772575250836103</c:v>
                </c:pt>
                <c:pt idx="12">
                  <c:v>3.0842809364548476</c:v>
                </c:pt>
                <c:pt idx="13">
                  <c:v>3.0913043478260849</c:v>
                </c:pt>
                <c:pt idx="14">
                  <c:v>3.0983277591973222</c:v>
                </c:pt>
                <c:pt idx="15">
                  <c:v>3.1053511705685595</c:v>
                </c:pt>
                <c:pt idx="16">
                  <c:v>3.1123745819397968</c:v>
                </c:pt>
                <c:pt idx="17">
                  <c:v>3.1193979933110341</c:v>
                </c:pt>
                <c:pt idx="18">
                  <c:v>3.1264214046822714</c:v>
                </c:pt>
                <c:pt idx="19">
                  <c:v>3.1334448160535087</c:v>
                </c:pt>
                <c:pt idx="20">
                  <c:v>3.140468227424746</c:v>
                </c:pt>
                <c:pt idx="21">
                  <c:v>3.1474916387959833</c:v>
                </c:pt>
                <c:pt idx="22">
                  <c:v>3.1545150501672206</c:v>
                </c:pt>
                <c:pt idx="23">
                  <c:v>3.1615384615384579</c:v>
                </c:pt>
                <c:pt idx="24">
                  <c:v>3.1685618729096952</c:v>
                </c:pt>
                <c:pt idx="25">
                  <c:v>3.1755852842809325</c:v>
                </c:pt>
                <c:pt idx="26">
                  <c:v>3.1826086956521698</c:v>
                </c:pt>
                <c:pt idx="27">
                  <c:v>3.189632107023407</c:v>
                </c:pt>
                <c:pt idx="28">
                  <c:v>3.1966555183946443</c:v>
                </c:pt>
                <c:pt idx="29">
                  <c:v>3.2036789297658816</c:v>
                </c:pt>
                <c:pt idx="30">
                  <c:v>3.2107023411371189</c:v>
                </c:pt>
                <c:pt idx="31">
                  <c:v>3.2177257525083562</c:v>
                </c:pt>
                <c:pt idx="32">
                  <c:v>3.2247491638795935</c:v>
                </c:pt>
                <c:pt idx="33">
                  <c:v>3.2317725752508308</c:v>
                </c:pt>
                <c:pt idx="34">
                  <c:v>3.2387959866220681</c:v>
                </c:pt>
                <c:pt idx="35">
                  <c:v>3.2458193979933054</c:v>
                </c:pt>
                <c:pt idx="36">
                  <c:v>3.2528428093645427</c:v>
                </c:pt>
                <c:pt idx="37">
                  <c:v>3.25986622073578</c:v>
                </c:pt>
                <c:pt idx="38">
                  <c:v>3.2668896321070173</c:v>
                </c:pt>
                <c:pt idx="39">
                  <c:v>3.2739130434782546</c:v>
                </c:pt>
                <c:pt idx="40">
                  <c:v>3.2809364548494919</c:v>
                </c:pt>
                <c:pt idx="41">
                  <c:v>3.2879598662207292</c:v>
                </c:pt>
                <c:pt idx="42">
                  <c:v>3.2949832775919665</c:v>
                </c:pt>
                <c:pt idx="43">
                  <c:v>3.3020066889632038</c:v>
                </c:pt>
                <c:pt idx="44">
                  <c:v>3.3090301003344411</c:v>
                </c:pt>
                <c:pt idx="45">
                  <c:v>3.3160535117056784</c:v>
                </c:pt>
                <c:pt idx="46">
                  <c:v>3.3230769230769157</c:v>
                </c:pt>
                <c:pt idx="47">
                  <c:v>3.330100334448153</c:v>
                </c:pt>
                <c:pt idx="48">
                  <c:v>3.3371237458193903</c:v>
                </c:pt>
                <c:pt idx="49">
                  <c:v>3.3441471571906276</c:v>
                </c:pt>
                <c:pt idx="50">
                  <c:v>3.3511705685618649</c:v>
                </c:pt>
                <c:pt idx="51">
                  <c:v>3.3581939799331022</c:v>
                </c:pt>
                <c:pt idx="52">
                  <c:v>3.3652173913043395</c:v>
                </c:pt>
                <c:pt idx="53">
                  <c:v>3.3722408026755768</c:v>
                </c:pt>
                <c:pt idx="54">
                  <c:v>3.3792642140468141</c:v>
                </c:pt>
                <c:pt idx="55">
                  <c:v>3.3862876254180514</c:v>
                </c:pt>
                <c:pt idx="56">
                  <c:v>3.3933110367892887</c:v>
                </c:pt>
                <c:pt idx="57">
                  <c:v>3.400334448160526</c:v>
                </c:pt>
                <c:pt idx="58">
                  <c:v>3.4073578595317633</c:v>
                </c:pt>
                <c:pt idx="59">
                  <c:v>3.4143812709030006</c:v>
                </c:pt>
                <c:pt idx="60">
                  <c:v>3.4214046822742379</c:v>
                </c:pt>
                <c:pt idx="61">
                  <c:v>3.4284280936454752</c:v>
                </c:pt>
                <c:pt idx="62">
                  <c:v>3.4354515050167125</c:v>
                </c:pt>
                <c:pt idx="63">
                  <c:v>3.4424749163879498</c:v>
                </c:pt>
                <c:pt idx="64">
                  <c:v>3.4494983277591871</c:v>
                </c:pt>
                <c:pt idx="65">
                  <c:v>3.4565217391304244</c:v>
                </c:pt>
                <c:pt idx="66">
                  <c:v>3.4635451505016617</c:v>
                </c:pt>
                <c:pt idx="67">
                  <c:v>3.470568561872899</c:v>
                </c:pt>
                <c:pt idx="68">
                  <c:v>3.4775919732441363</c:v>
                </c:pt>
                <c:pt idx="69">
                  <c:v>3.4846153846153736</c:v>
                </c:pt>
                <c:pt idx="70">
                  <c:v>3.4916387959866109</c:v>
                </c:pt>
                <c:pt idx="71">
                  <c:v>3.4986622073578482</c:v>
                </c:pt>
                <c:pt idx="72">
                  <c:v>3.5056856187290855</c:v>
                </c:pt>
                <c:pt idx="73">
                  <c:v>3.5127090301003228</c:v>
                </c:pt>
                <c:pt idx="74">
                  <c:v>3.5197324414715601</c:v>
                </c:pt>
                <c:pt idx="75">
                  <c:v>3.5267558528427974</c:v>
                </c:pt>
                <c:pt idx="76">
                  <c:v>3.5337792642140347</c:v>
                </c:pt>
                <c:pt idx="77">
                  <c:v>3.540802675585272</c:v>
                </c:pt>
                <c:pt idx="78">
                  <c:v>3.5478260869565093</c:v>
                </c:pt>
                <c:pt idx="79">
                  <c:v>3.5548494983277465</c:v>
                </c:pt>
                <c:pt idx="80">
                  <c:v>3.5618729096989838</c:v>
                </c:pt>
                <c:pt idx="81">
                  <c:v>3.5688963210702211</c:v>
                </c:pt>
                <c:pt idx="82">
                  <c:v>3.5759197324414584</c:v>
                </c:pt>
                <c:pt idx="83">
                  <c:v>3.5829431438126957</c:v>
                </c:pt>
                <c:pt idx="84">
                  <c:v>3.589966555183933</c:v>
                </c:pt>
                <c:pt idx="85">
                  <c:v>3.5969899665551703</c:v>
                </c:pt>
                <c:pt idx="86">
                  <c:v>3.6040133779264076</c:v>
                </c:pt>
                <c:pt idx="87">
                  <c:v>3.6110367892976449</c:v>
                </c:pt>
                <c:pt idx="88">
                  <c:v>3.6180602006688822</c:v>
                </c:pt>
                <c:pt idx="89">
                  <c:v>3.6250836120401195</c:v>
                </c:pt>
                <c:pt idx="90">
                  <c:v>3.6321070234113568</c:v>
                </c:pt>
                <c:pt idx="91">
                  <c:v>3.6391304347825941</c:v>
                </c:pt>
                <c:pt idx="92">
                  <c:v>3.6461538461538314</c:v>
                </c:pt>
                <c:pt idx="93">
                  <c:v>3.6531772575250687</c:v>
                </c:pt>
                <c:pt idx="94">
                  <c:v>3.660200668896306</c:v>
                </c:pt>
                <c:pt idx="95">
                  <c:v>3.6672240802675433</c:v>
                </c:pt>
                <c:pt idx="96">
                  <c:v>3.6742474916387806</c:v>
                </c:pt>
                <c:pt idx="97">
                  <c:v>3.6812709030100179</c:v>
                </c:pt>
                <c:pt idx="98">
                  <c:v>3.6882943143812552</c:v>
                </c:pt>
                <c:pt idx="99">
                  <c:v>3.6953177257524925</c:v>
                </c:pt>
                <c:pt idx="100">
                  <c:v>3.7023411371237298</c:v>
                </c:pt>
                <c:pt idx="101">
                  <c:v>3.7093645484949671</c:v>
                </c:pt>
                <c:pt idx="102">
                  <c:v>3.7163879598662044</c:v>
                </c:pt>
                <c:pt idx="103">
                  <c:v>3.7234113712374417</c:v>
                </c:pt>
                <c:pt idx="104">
                  <c:v>3.730434782608679</c:v>
                </c:pt>
                <c:pt idx="105">
                  <c:v>3.7374581939799163</c:v>
                </c:pt>
                <c:pt idx="106">
                  <c:v>3.7444816053511536</c:v>
                </c:pt>
                <c:pt idx="107">
                  <c:v>3.7515050167223909</c:v>
                </c:pt>
                <c:pt idx="108">
                  <c:v>3.7585284280936282</c:v>
                </c:pt>
                <c:pt idx="109">
                  <c:v>3.7655518394648655</c:v>
                </c:pt>
                <c:pt idx="110">
                  <c:v>3.7725752508361028</c:v>
                </c:pt>
                <c:pt idx="111">
                  <c:v>3.7795986622073401</c:v>
                </c:pt>
                <c:pt idx="112">
                  <c:v>3.7866220735785774</c:v>
                </c:pt>
                <c:pt idx="113">
                  <c:v>3.7936454849498147</c:v>
                </c:pt>
                <c:pt idx="114">
                  <c:v>3.800668896321052</c:v>
                </c:pt>
                <c:pt idx="115">
                  <c:v>3.8076923076922893</c:v>
                </c:pt>
                <c:pt idx="116">
                  <c:v>3.8147157190635266</c:v>
                </c:pt>
                <c:pt idx="117">
                  <c:v>3.8217391304347639</c:v>
                </c:pt>
                <c:pt idx="118">
                  <c:v>3.8287625418060012</c:v>
                </c:pt>
                <c:pt idx="119">
                  <c:v>3.8357859531772385</c:v>
                </c:pt>
                <c:pt idx="120">
                  <c:v>3.8428093645484758</c:v>
                </c:pt>
                <c:pt idx="121">
                  <c:v>3.8498327759197131</c:v>
                </c:pt>
                <c:pt idx="122">
                  <c:v>3.8568561872909504</c:v>
                </c:pt>
                <c:pt idx="123">
                  <c:v>3.8638795986621877</c:v>
                </c:pt>
                <c:pt idx="124">
                  <c:v>3.870903010033425</c:v>
                </c:pt>
                <c:pt idx="125">
                  <c:v>3.8779264214046623</c:v>
                </c:pt>
                <c:pt idx="126">
                  <c:v>3.8849498327758996</c:v>
                </c:pt>
                <c:pt idx="127">
                  <c:v>3.8919732441471369</c:v>
                </c:pt>
                <c:pt idx="128">
                  <c:v>3.8989966555183742</c:v>
                </c:pt>
                <c:pt idx="129">
                  <c:v>3.9060200668896115</c:v>
                </c:pt>
                <c:pt idx="130">
                  <c:v>3.9130434782608488</c:v>
                </c:pt>
                <c:pt idx="131">
                  <c:v>3.920066889632086</c:v>
                </c:pt>
                <c:pt idx="132">
                  <c:v>3.9270903010033233</c:v>
                </c:pt>
                <c:pt idx="133">
                  <c:v>3.9341137123745606</c:v>
                </c:pt>
                <c:pt idx="134">
                  <c:v>3.9411371237457979</c:v>
                </c:pt>
                <c:pt idx="135">
                  <c:v>3.9481605351170352</c:v>
                </c:pt>
                <c:pt idx="136">
                  <c:v>3.9551839464882725</c:v>
                </c:pt>
                <c:pt idx="137">
                  <c:v>3.9622073578595098</c:v>
                </c:pt>
                <c:pt idx="138">
                  <c:v>3.9692307692307471</c:v>
                </c:pt>
                <c:pt idx="139">
                  <c:v>3.9762541806019844</c:v>
                </c:pt>
                <c:pt idx="140">
                  <c:v>3.9832775919732217</c:v>
                </c:pt>
                <c:pt idx="141">
                  <c:v>3.990301003344459</c:v>
                </c:pt>
                <c:pt idx="142">
                  <c:v>3.9973244147156963</c:v>
                </c:pt>
                <c:pt idx="143">
                  <c:v>4.0043478260869341</c:v>
                </c:pt>
                <c:pt idx="144">
                  <c:v>4.0113712374581718</c:v>
                </c:pt>
                <c:pt idx="145">
                  <c:v>4.0183946488294096</c:v>
                </c:pt>
                <c:pt idx="146">
                  <c:v>4.0254180602006473</c:v>
                </c:pt>
                <c:pt idx="147">
                  <c:v>4.032441471571885</c:v>
                </c:pt>
                <c:pt idx="148">
                  <c:v>4.0394648829431228</c:v>
                </c:pt>
                <c:pt idx="149">
                  <c:v>4.0464882943143605</c:v>
                </c:pt>
                <c:pt idx="150">
                  <c:v>4.0535117056855983</c:v>
                </c:pt>
                <c:pt idx="151">
                  <c:v>4.060535117056836</c:v>
                </c:pt>
                <c:pt idx="152">
                  <c:v>4.0675585284280737</c:v>
                </c:pt>
                <c:pt idx="153">
                  <c:v>4.0745819397993115</c:v>
                </c:pt>
                <c:pt idx="154">
                  <c:v>4.0816053511705492</c:v>
                </c:pt>
                <c:pt idx="155">
                  <c:v>4.088628762541787</c:v>
                </c:pt>
                <c:pt idx="156">
                  <c:v>4.0956521739130247</c:v>
                </c:pt>
                <c:pt idx="157">
                  <c:v>4.1026755852842625</c:v>
                </c:pt>
                <c:pt idx="158">
                  <c:v>4.1096989966555002</c:v>
                </c:pt>
                <c:pt idx="159">
                  <c:v>4.1167224080267379</c:v>
                </c:pt>
                <c:pt idx="160">
                  <c:v>4.1237458193979757</c:v>
                </c:pt>
                <c:pt idx="161">
                  <c:v>4.1307692307692134</c:v>
                </c:pt>
                <c:pt idx="162">
                  <c:v>4.1377926421404512</c:v>
                </c:pt>
                <c:pt idx="163">
                  <c:v>4.1448160535116889</c:v>
                </c:pt>
                <c:pt idx="164">
                  <c:v>4.1518394648829267</c:v>
                </c:pt>
                <c:pt idx="165">
                  <c:v>4.1588628762541644</c:v>
                </c:pt>
                <c:pt idx="166">
                  <c:v>4.1658862876254021</c:v>
                </c:pt>
                <c:pt idx="167">
                  <c:v>4.1729096989966399</c:v>
                </c:pt>
                <c:pt idx="168">
                  <c:v>4.1799331103678776</c:v>
                </c:pt>
                <c:pt idx="169">
                  <c:v>4.1869565217391154</c:v>
                </c:pt>
                <c:pt idx="170">
                  <c:v>4.1939799331103531</c:v>
                </c:pt>
                <c:pt idx="171">
                  <c:v>4.2010033444815909</c:v>
                </c:pt>
                <c:pt idx="172">
                  <c:v>4.2080267558528286</c:v>
                </c:pt>
                <c:pt idx="173">
                  <c:v>4.2150501672240663</c:v>
                </c:pt>
                <c:pt idx="174">
                  <c:v>4.2220735785953041</c:v>
                </c:pt>
                <c:pt idx="175">
                  <c:v>4.2290969899665418</c:v>
                </c:pt>
                <c:pt idx="176">
                  <c:v>4.2361204013377796</c:v>
                </c:pt>
                <c:pt idx="177">
                  <c:v>4.2431438127090173</c:v>
                </c:pt>
                <c:pt idx="178">
                  <c:v>4.250167224080255</c:v>
                </c:pt>
                <c:pt idx="179">
                  <c:v>4.2571906354514928</c:v>
                </c:pt>
                <c:pt idx="180">
                  <c:v>4.2642140468227305</c:v>
                </c:pt>
                <c:pt idx="181">
                  <c:v>4.2712374581939683</c:v>
                </c:pt>
                <c:pt idx="182">
                  <c:v>4.278260869565206</c:v>
                </c:pt>
                <c:pt idx="183">
                  <c:v>4.2852842809364438</c:v>
                </c:pt>
                <c:pt idx="184">
                  <c:v>4.2923076923076815</c:v>
                </c:pt>
                <c:pt idx="185">
                  <c:v>4.2993311036789192</c:v>
                </c:pt>
                <c:pt idx="186">
                  <c:v>4.306354515050157</c:v>
                </c:pt>
                <c:pt idx="187">
                  <c:v>4.3133779264213947</c:v>
                </c:pt>
                <c:pt idx="188">
                  <c:v>4.3204013377926325</c:v>
                </c:pt>
                <c:pt idx="189">
                  <c:v>4.3274247491638702</c:v>
                </c:pt>
                <c:pt idx="190">
                  <c:v>4.334448160535108</c:v>
                </c:pt>
                <c:pt idx="191">
                  <c:v>4.3414715719063457</c:v>
                </c:pt>
                <c:pt idx="192">
                  <c:v>4.3484949832775834</c:v>
                </c:pt>
                <c:pt idx="193">
                  <c:v>4.3555183946488212</c:v>
                </c:pt>
                <c:pt idx="194">
                  <c:v>4.3625418060200589</c:v>
                </c:pt>
                <c:pt idx="195">
                  <c:v>4.3695652173912967</c:v>
                </c:pt>
                <c:pt idx="196">
                  <c:v>4.3765886287625344</c:v>
                </c:pt>
                <c:pt idx="197">
                  <c:v>4.3836120401337721</c:v>
                </c:pt>
                <c:pt idx="198">
                  <c:v>4.3906354515050099</c:v>
                </c:pt>
                <c:pt idx="199">
                  <c:v>4.3976588628762476</c:v>
                </c:pt>
                <c:pt idx="200">
                  <c:v>4.4046822742474854</c:v>
                </c:pt>
                <c:pt idx="201">
                  <c:v>4.4117056856187231</c:v>
                </c:pt>
                <c:pt idx="202">
                  <c:v>4.4187290969899609</c:v>
                </c:pt>
                <c:pt idx="203">
                  <c:v>4.4257525083611986</c:v>
                </c:pt>
                <c:pt idx="204">
                  <c:v>4.4327759197324363</c:v>
                </c:pt>
                <c:pt idx="205">
                  <c:v>4.4397993311036741</c:v>
                </c:pt>
                <c:pt idx="206">
                  <c:v>4.4468227424749118</c:v>
                </c:pt>
                <c:pt idx="207">
                  <c:v>4.4538461538461496</c:v>
                </c:pt>
                <c:pt idx="208">
                  <c:v>4.4608695652173873</c:v>
                </c:pt>
                <c:pt idx="209">
                  <c:v>4.4678929765886251</c:v>
                </c:pt>
                <c:pt idx="210">
                  <c:v>4.4749163879598628</c:v>
                </c:pt>
                <c:pt idx="211">
                  <c:v>4.4819397993311005</c:v>
                </c:pt>
                <c:pt idx="212">
                  <c:v>4.4889632107023383</c:v>
                </c:pt>
                <c:pt idx="213">
                  <c:v>4.495986622073576</c:v>
                </c:pt>
                <c:pt idx="214">
                  <c:v>4.5030100334448138</c:v>
                </c:pt>
                <c:pt idx="215">
                  <c:v>4.5100334448160515</c:v>
                </c:pt>
                <c:pt idx="216">
                  <c:v>4.5170568561872892</c:v>
                </c:pt>
                <c:pt idx="217">
                  <c:v>4.524080267558527</c:v>
                </c:pt>
                <c:pt idx="218">
                  <c:v>4.5311036789297647</c:v>
                </c:pt>
                <c:pt idx="219">
                  <c:v>4.5381270903010025</c:v>
                </c:pt>
                <c:pt idx="220">
                  <c:v>4.5451505016722402</c:v>
                </c:pt>
                <c:pt idx="221">
                  <c:v>4.552173913043478</c:v>
                </c:pt>
                <c:pt idx="222">
                  <c:v>4.5591973244147157</c:v>
                </c:pt>
                <c:pt idx="223">
                  <c:v>4.5662207357859534</c:v>
                </c:pt>
                <c:pt idx="224">
                  <c:v>4.5732441471571912</c:v>
                </c:pt>
                <c:pt idx="225">
                  <c:v>4.5802675585284289</c:v>
                </c:pt>
                <c:pt idx="226">
                  <c:v>4.5872909698996667</c:v>
                </c:pt>
                <c:pt idx="227">
                  <c:v>4.5943143812709044</c:v>
                </c:pt>
                <c:pt idx="228">
                  <c:v>4.6013377926421422</c:v>
                </c:pt>
                <c:pt idx="229">
                  <c:v>4.6083612040133799</c:v>
                </c:pt>
                <c:pt idx="230">
                  <c:v>4.6153846153846176</c:v>
                </c:pt>
                <c:pt idx="231">
                  <c:v>4.6224080267558554</c:v>
                </c:pt>
                <c:pt idx="232">
                  <c:v>4.6294314381270931</c:v>
                </c:pt>
                <c:pt idx="233">
                  <c:v>4.6364548494983309</c:v>
                </c:pt>
                <c:pt idx="234">
                  <c:v>4.6434782608695686</c:v>
                </c:pt>
                <c:pt idx="235">
                  <c:v>4.6505016722408064</c:v>
                </c:pt>
                <c:pt idx="236">
                  <c:v>4.6575250836120441</c:v>
                </c:pt>
                <c:pt idx="237">
                  <c:v>4.6645484949832818</c:v>
                </c:pt>
                <c:pt idx="238">
                  <c:v>4.6715719063545196</c:v>
                </c:pt>
                <c:pt idx="239">
                  <c:v>4.6785953177257573</c:v>
                </c:pt>
                <c:pt idx="240">
                  <c:v>4.6856187290969951</c:v>
                </c:pt>
                <c:pt idx="241">
                  <c:v>4.6926421404682328</c:v>
                </c:pt>
                <c:pt idx="242">
                  <c:v>4.6996655518394705</c:v>
                </c:pt>
                <c:pt idx="243">
                  <c:v>4.7066889632107083</c:v>
                </c:pt>
                <c:pt idx="244">
                  <c:v>4.713712374581946</c:v>
                </c:pt>
                <c:pt idx="245">
                  <c:v>4.7207357859531838</c:v>
                </c:pt>
                <c:pt idx="246">
                  <c:v>4.7277591973244215</c:v>
                </c:pt>
                <c:pt idx="247">
                  <c:v>4.7347826086956593</c:v>
                </c:pt>
                <c:pt idx="248">
                  <c:v>4.741806020066897</c:v>
                </c:pt>
                <c:pt idx="249">
                  <c:v>4.7488294314381347</c:v>
                </c:pt>
                <c:pt idx="250">
                  <c:v>4.7558528428093725</c:v>
                </c:pt>
                <c:pt idx="251">
                  <c:v>4.7628762541806102</c:v>
                </c:pt>
                <c:pt idx="252">
                  <c:v>4.769899665551848</c:v>
                </c:pt>
                <c:pt idx="253">
                  <c:v>4.7769230769230857</c:v>
                </c:pt>
                <c:pt idx="254">
                  <c:v>4.7839464882943235</c:v>
                </c:pt>
                <c:pt idx="255">
                  <c:v>4.7909698996655612</c:v>
                </c:pt>
                <c:pt idx="256">
                  <c:v>4.7979933110367989</c:v>
                </c:pt>
                <c:pt idx="257">
                  <c:v>4.8050167224080367</c:v>
                </c:pt>
                <c:pt idx="258">
                  <c:v>4.8120401337792744</c:v>
                </c:pt>
                <c:pt idx="259">
                  <c:v>4.8190635451505122</c:v>
                </c:pt>
                <c:pt idx="260">
                  <c:v>4.8260869565217499</c:v>
                </c:pt>
                <c:pt idx="261">
                  <c:v>4.8331103678929876</c:v>
                </c:pt>
                <c:pt idx="262">
                  <c:v>4.8401337792642254</c:v>
                </c:pt>
                <c:pt idx="263">
                  <c:v>4.8471571906354631</c:v>
                </c:pt>
                <c:pt idx="264">
                  <c:v>4.8541806020067009</c:v>
                </c:pt>
                <c:pt idx="265">
                  <c:v>4.8612040133779386</c:v>
                </c:pt>
                <c:pt idx="266">
                  <c:v>4.8682274247491764</c:v>
                </c:pt>
                <c:pt idx="267">
                  <c:v>4.8752508361204141</c:v>
                </c:pt>
                <c:pt idx="268">
                  <c:v>4.8822742474916518</c:v>
                </c:pt>
                <c:pt idx="269">
                  <c:v>4.8892976588628896</c:v>
                </c:pt>
                <c:pt idx="270">
                  <c:v>4.8963210702341273</c:v>
                </c:pt>
                <c:pt idx="271">
                  <c:v>4.9033444816053651</c:v>
                </c:pt>
                <c:pt idx="272">
                  <c:v>4.9103678929766028</c:v>
                </c:pt>
                <c:pt idx="273">
                  <c:v>4.9173913043478406</c:v>
                </c:pt>
                <c:pt idx="274">
                  <c:v>4.9244147157190783</c:v>
                </c:pt>
                <c:pt idx="275">
                  <c:v>4.931438127090316</c:v>
                </c:pt>
                <c:pt idx="276">
                  <c:v>4.9384615384615538</c:v>
                </c:pt>
                <c:pt idx="277">
                  <c:v>4.9454849498327915</c:v>
                </c:pt>
                <c:pt idx="278">
                  <c:v>4.9525083612040293</c:v>
                </c:pt>
                <c:pt idx="279">
                  <c:v>4.959531772575267</c:v>
                </c:pt>
                <c:pt idx="280">
                  <c:v>4.9665551839465047</c:v>
                </c:pt>
                <c:pt idx="281">
                  <c:v>4.9735785953177425</c:v>
                </c:pt>
                <c:pt idx="282">
                  <c:v>4.9806020066889802</c:v>
                </c:pt>
                <c:pt idx="283">
                  <c:v>4.987625418060218</c:v>
                </c:pt>
                <c:pt idx="284">
                  <c:v>4.9946488294314557</c:v>
                </c:pt>
                <c:pt idx="285">
                  <c:v>5.0016722408026935</c:v>
                </c:pt>
                <c:pt idx="286">
                  <c:v>5.0086956521739312</c:v>
                </c:pt>
                <c:pt idx="287">
                  <c:v>5.0157190635451689</c:v>
                </c:pt>
                <c:pt idx="288">
                  <c:v>5.0227424749164067</c:v>
                </c:pt>
                <c:pt idx="289">
                  <c:v>5.0297658862876444</c:v>
                </c:pt>
                <c:pt idx="290">
                  <c:v>5.0367892976588822</c:v>
                </c:pt>
                <c:pt idx="291">
                  <c:v>5.0438127090301199</c:v>
                </c:pt>
                <c:pt idx="292">
                  <c:v>5.0508361204013577</c:v>
                </c:pt>
                <c:pt idx="293">
                  <c:v>5.0578595317725954</c:v>
                </c:pt>
                <c:pt idx="294">
                  <c:v>5.0648829431438331</c:v>
                </c:pt>
                <c:pt idx="295">
                  <c:v>5.0719063545150709</c:v>
                </c:pt>
                <c:pt idx="296">
                  <c:v>5.0789297658863086</c:v>
                </c:pt>
                <c:pt idx="297">
                  <c:v>5.0859531772575464</c:v>
                </c:pt>
                <c:pt idx="298">
                  <c:v>5.0929765886287841</c:v>
                </c:pt>
                <c:pt idx="299">
                  <c:v>5.1000000000000218</c:v>
                </c:pt>
              </c:numCache>
            </c:numRef>
          </c:cat>
          <c:val>
            <c:numRef>
              <c:f>versicolor_estymacjagęstości!$M$3:$M$302</c:f>
              <c:numCache>
                <c:formatCode>General</c:formatCode>
                <c:ptCount val="300"/>
                <c:pt idx="0">
                  <c:v>7.2286816673830967E-2</c:v>
                </c:pt>
                <c:pt idx="1">
                  <c:v>7.4051345712255467E-2</c:v>
                </c:pt>
                <c:pt idx="2">
                  <c:v>7.5836224352428191E-2</c:v>
                </c:pt>
                <c:pt idx="3">
                  <c:v>7.7641416245647132E-2</c:v>
                </c:pt>
                <c:pt idx="4">
                  <c:v>7.9466876818004781E-2</c:v>
                </c:pt>
                <c:pt idx="5">
                  <c:v>8.1312550880070431E-2</c:v>
                </c:pt>
                <c:pt idx="6">
                  <c:v>8.317837022209966E-2</c:v>
                </c:pt>
                <c:pt idx="7">
                  <c:v>8.506425122300483E-2</c:v>
                </c:pt>
                <c:pt idx="8">
                  <c:v>8.6970092502134388E-2</c:v>
                </c:pt>
                <c:pt idx="9">
                  <c:v>8.8895772643469748E-2</c:v>
                </c:pt>
                <c:pt idx="10">
                  <c:v>9.0841148022141688E-2</c:v>
                </c:pt>
                <c:pt idx="11">
                  <c:v>9.280605076318979E-2</c:v>
                </c:pt>
                <c:pt idx="12">
                  <c:v>9.479028686223652E-2</c:v>
                </c:pt>
                <c:pt idx="13">
                  <c:v>9.6793634497213649E-2</c:v>
                </c:pt>
                <c:pt idx="14">
                  <c:v>9.8815842559474412E-2</c:v>
                </c:pt>
                <c:pt idx="15">
                  <c:v>0.10085662943154365</c:v>
                </c:pt>
                <c:pt idx="16">
                  <c:v>0.10291568203741605</c:v>
                </c:pt>
                <c:pt idx="17">
                  <c:v>0.10499265518971168</c:v>
                </c:pt>
                <c:pt idx="18">
                  <c:v>0.1070871712561523</c:v>
                </c:pt>
                <c:pt idx="19">
                  <c:v>0.10919882016574757</c:v>
                </c:pt>
                <c:pt idx="20">
                  <c:v>0.11132715977278683</c:v>
                </c:pt>
                <c:pt idx="21">
                  <c:v>0.113471716594243</c:v>
                </c:pt>
                <c:pt idx="22">
                  <c:v>0.1156319869335255</c:v>
                </c:pt>
                <c:pt idx="23">
                  <c:v>0.11780743840069047</c:v>
                </c:pt>
                <c:pt idx="24">
                  <c:v>0.11999751183625273</c:v>
                </c:pt>
                <c:pt idx="25">
                  <c:v>0.12220162364265998</c:v>
                </c:pt>
                <c:pt idx="26">
                  <c:v>0.12441916852432057</c:v>
                </c:pt>
                <c:pt idx="27">
                  <c:v>0.1266495226338335</c:v>
                </c:pt>
                <c:pt idx="28">
                  <c:v>0.12889204711878399</c:v>
                </c:pt>
                <c:pt idx="29">
                  <c:v>0.13114609206016184</c:v>
                </c:pt>
                <c:pt idx="30">
                  <c:v>0.13341100079015594</c:v>
                </c:pt>
                <c:pt idx="31">
                  <c:v>0.13568611457379989</c:v>
                </c:pt>
                <c:pt idx="32">
                  <c:v>0.13797077763571486</c:v>
                </c:pt>
                <c:pt idx="33">
                  <c:v>0.14026434251003514</c:v>
                </c:pt>
                <c:pt idx="34">
                  <c:v>0.14256617568853439</c:v>
                </c:pt>
                <c:pt idx="35">
                  <c:v>0.14487566353901171</c:v>
                </c:pt>
                <c:pt idx="36">
                  <c:v>0.14719221846317146</c:v>
                </c:pt>
                <c:pt idx="37">
                  <c:v>0.14951528526054958</c:v>
                </c:pt>
                <c:pt idx="38">
                  <c:v>0.15184434766252472</c:v>
                </c:pt>
                <c:pt idx="39">
                  <c:v>0.15417893499811836</c:v>
                </c:pt>
                <c:pt idx="40">
                  <c:v>0.1565186289511469</c:v>
                </c:pt>
                <c:pt idx="41">
                  <c:v>0.15886307036635577</c:v>
                </c:pt>
                <c:pt idx="42">
                  <c:v>0.16121196606045396</c:v>
                </c:pt>
                <c:pt idx="43">
                  <c:v>0.16356509559248034</c:v>
                </c:pt>
                <c:pt idx="44">
                  <c:v>0.16592231794669635</c:v>
                </c:pt>
                <c:pt idx="45">
                  <c:v>0.1682835780801992</c:v>
                </c:pt>
                <c:pt idx="46">
                  <c:v>0.170648913286718</c:v>
                </c:pt>
                <c:pt idx="47">
                  <c:v>0.17301845932757881</c:v>
                </c:pt>
                <c:pt idx="48">
                  <c:v>0.17539245628062383</c:v>
                </c:pt>
                <c:pt idx="49">
                  <c:v>0.17777125405793845</c:v>
                </c:pt>
                <c:pt idx="50">
                  <c:v>0.18015531754359729</c:v>
                </c:pt>
                <c:pt idx="51">
                  <c:v>0.18254523130326936</c:v>
                </c:pt>
                <c:pt idx="52">
                  <c:v>0.18494170381845007</c:v>
                </c:pt>
                <c:pt idx="53">
                  <c:v>0.18734557119929551</c:v>
                </c:pt>
                <c:pt idx="54">
                  <c:v>0.18975780033154058</c:v>
                </c:pt>
                <c:pt idx="55">
                  <c:v>0.19217949141477139</c:v>
                </c:pt>
                <c:pt idx="56">
                  <c:v>0.1946118798514121</c:v>
                </c:pt>
                <c:pt idx="57">
                  <c:v>0.19705633744816367</c:v>
                </c:pt>
                <c:pt idx="58">
                  <c:v>0.19951437289428892</c:v>
                </c:pt>
                <c:pt idx="59">
                  <c:v>0.2019876314841044</c:v>
                </c:pt>
                <c:pt idx="60">
                  <c:v>0.20447789405425876</c:v>
                </c:pt>
                <c:pt idx="61">
                  <c:v>0.20698707510989381</c:v>
                </c:pt>
                <c:pt idx="62">
                  <c:v>0.20951722011756599</c:v>
                </c:pt>
                <c:pt idx="63">
                  <c:v>0.21207050194683824</c:v>
                </c:pt>
                <c:pt idx="64">
                  <c:v>0.21464921644675131</c:v>
                </c:pt>
                <c:pt idx="65">
                  <c:v>0.2172557771479042</c:v>
                </c:pt>
                <c:pt idx="66">
                  <c:v>0.21989270908563138</c:v>
                </c:pt>
                <c:pt idx="67">
                  <c:v>0.22256264174472348</c:v>
                </c:pt>
                <c:pt idx="68">
                  <c:v>0.2252683011312836</c:v>
                </c:pt>
                <c:pt idx="69">
                  <c:v>0.22801250098263165</c:v>
                </c:pt>
                <c:pt idx="70">
                  <c:v>0.23079813313162886</c:v>
                </c:pt>
                <c:pt idx="71">
                  <c:v>0.23362815704737086</c:v>
                </c:pt>
                <c:pt idx="72">
                  <c:v>0.23650558857987103</c:v>
                </c:pt>
                <c:pt idx="73">
                  <c:v>0.23943348794208041</c:v>
                </c:pt>
                <c:pt idx="74">
                  <c:v>0.24241494696834431</c:v>
                </c:pt>
                <c:pt idx="75">
                  <c:v>0.24545307569414204</c:v>
                </c:pt>
                <c:pt idx="76">
                  <c:v>0.24855098830764843</c:v>
                </c:pt>
                <c:pt idx="77">
                  <c:v>0.25171178852927067</c:v>
                </c:pt>
                <c:pt idx="78">
                  <c:v>0.25493855448078739</c:v>
                </c:pt>
                <c:pt idx="79">
                  <c:v>0.25823432311103206</c:v>
                </c:pt>
                <c:pt idx="80">
                  <c:v>0.26160207425015453</c:v>
                </c:pt>
                <c:pt idx="81">
                  <c:v>0.2650447143693212</c:v>
                </c:pt>
                <c:pt idx="82">
                  <c:v>0.2685650601272514</c:v>
                </c:pt>
                <c:pt idx="83">
                  <c:v>0.27216582178914933</c:v>
                </c:pt>
                <c:pt idx="84">
                  <c:v>0.27584958660738035</c:v>
                </c:pt>
                <c:pt idx="85">
                  <c:v>0.27961880225656138</c:v>
                </c:pt>
                <c:pt idx="86">
                  <c:v>0.28347576041860062</c:v>
                </c:pt>
                <c:pt idx="87">
                  <c:v>0.28742258061553533</c:v>
                </c:pt>
                <c:pt idx="88">
                  <c:v>0.29146119438977552</c:v>
                </c:pt>
                <c:pt idx="89">
                  <c:v>0.29559332993252618</c:v>
                </c:pt>
                <c:pt idx="90">
                  <c:v>0.29982049726166948</c:v>
                </c:pt>
                <c:pt idx="91">
                  <c:v>0.30414397405025773</c:v>
                </c:pt>
                <c:pt idx="92">
                  <c:v>0.30856479220592342</c:v>
                </c:pt>
                <c:pt idx="93">
                  <c:v>0.31308372529997802</c:v>
                </c:pt>
                <c:pt idx="94">
                  <c:v>0.31770127694269462</c:v>
                </c:pt>
                <c:pt idx="95">
                  <c:v>0.32241767019826895</c:v>
                </c:pt>
                <c:pt idx="96">
                  <c:v>0.32723283812920362</c:v>
                </c:pt>
                <c:pt idx="97">
                  <c:v>0.33214641555537422</c:v>
                </c:pt>
                <c:pt idx="98">
                  <c:v>0.33715773210782285</c:v>
                </c:pt>
                <c:pt idx="99">
                  <c:v>0.34226580665138928</c:v>
                </c:pt>
                <c:pt idx="100">
                  <c:v>0.34746934314365591</c:v>
                </c:pt>
                <c:pt idx="101">
                  <c:v>0.35276672799039427</c:v>
                </c:pt>
                <c:pt idx="102">
                  <c:v>0.35815602894975962</c:v>
                </c:pt>
                <c:pt idx="103">
                  <c:v>0.36363499562895046</c:v>
                </c:pt>
                <c:pt idx="104">
                  <c:v>0.36920106160798644</c:v>
                </c:pt>
                <c:pt idx="105">
                  <c:v>0.37485134821567373</c:v>
                </c:pt>
                <c:pt idx="106">
                  <c:v>0.38058266997282364</c:v>
                </c:pt>
                <c:pt idx="107">
                  <c:v>0.38639154170741402</c:v>
                </c:pt>
                <c:pt idx="108">
                  <c:v>0.39227418733568692</c:v>
                </c:pt>
                <c:pt idx="109">
                  <c:v>0.39822655029226761</c:v>
                </c:pt>
                <c:pt idx="110">
                  <c:v>0.40424430558131208</c:v>
                </c:pt>
                <c:pt idx="111">
                  <c:v>0.41032287340954254</c:v>
                </c:pt>
                <c:pt idx="112">
                  <c:v>0.41645743435089666</c:v>
                </c:pt>
                <c:pt idx="113">
                  <c:v>0.42264294598146623</c:v>
                </c:pt>
                <c:pt idx="114">
                  <c:v>0.42887416091253372</c:v>
                </c:pt>
                <c:pt idx="115">
                  <c:v>0.43514564613892154</c:v>
                </c:pt>
                <c:pt idx="116">
                  <c:v>0.44145180360960851</c:v>
                </c:pt>
                <c:pt idx="117">
                  <c:v>0.44778689191776944</c:v>
                </c:pt>
                <c:pt idx="118">
                  <c:v>0.4541450489980916</c:v>
                </c:pt>
                <c:pt idx="119">
                  <c:v>0.46052031571054197</c:v>
                </c:pt>
                <c:pt idx="120">
                  <c:v>0.46690666018174415</c:v>
                </c:pt>
                <c:pt idx="121">
                  <c:v>0.47329800276786499</c:v>
                </c:pt>
                <c:pt idx="122">
                  <c:v>0.47968824149648609</c:v>
                </c:pt>
                <c:pt idx="123">
                  <c:v>0.48607127783937082</c:v>
                </c:pt>
                <c:pt idx="124">
                  <c:v>0.4924410426634423</c:v>
                </c:pt>
                <c:pt idx="125">
                  <c:v>0.49879152220366629</c:v>
                </c:pt>
                <c:pt idx="126">
                  <c:v>0.50511678389895498</c:v>
                </c:pt>
                <c:pt idx="127">
                  <c:v>0.51141100193071132</c:v>
                </c:pt>
                <c:pt idx="128">
                  <c:v>0.5176684823032196</c:v>
                </c:pt>
                <c:pt idx="129">
                  <c:v>0.5238836873058117</c:v>
                </c:pt>
                <c:pt idx="130">
                  <c:v>0.53005125919858598</c:v>
                </c:pt>
                <c:pt idx="131">
                  <c:v>0.53616604296644177</c:v>
                </c:pt>
                <c:pt idx="132">
                  <c:v>0.5422231079903016</c:v>
                </c:pt>
                <c:pt idx="133">
                  <c:v>0.54821776848962256</c:v>
                </c:pt>
                <c:pt idx="134">
                  <c:v>0.55414560259660595</c:v>
                </c:pt>
                <c:pt idx="135">
                  <c:v>0.56000246992989</c:v>
                </c:pt>
                <c:pt idx="136">
                  <c:v>0.5657845275438933</c:v>
                </c:pt>
                <c:pt idx="137">
                  <c:v>0.57148824413932042</c:v>
                </c:pt>
                <c:pt idx="138">
                  <c:v>0.57711041243060379</c:v>
                </c:pt>
                <c:pt idx="139">
                  <c:v>0.58264815957714866</c:v>
                </c:pt>
                <c:pt idx="140">
                  <c:v>0.58809895559711722</c:v>
                </c:pt>
                <c:pt idx="141">
                  <c:v>0.59346061969504527</c:v>
                </c:pt>
                <c:pt idx="142">
                  <c:v>0.59873132444774868</c:v>
                </c:pt>
                <c:pt idx="143">
                  <c:v>0.60390959780665809</c:v>
                </c:pt>
                <c:pt idx="144">
                  <c:v>0.60899432288881605</c:v>
                </c:pt>
                <c:pt idx="145">
                  <c:v>0.61398473554320521</c:v>
                </c:pt>
                <c:pt idx="146">
                  <c:v>0.61888041969370411</c:v>
                </c:pt>
                <c:pt idx="147">
                  <c:v>0.62368130047474091</c:v>
                </c:pt>
                <c:pt idx="148">
                  <c:v>0.62838763519048157</c:v>
                </c:pt>
                <c:pt idx="149">
                  <c:v>0.63300000214305352</c:v>
                </c:pt>
                <c:pt idx="150">
                  <c:v>0.63751928738978991</c:v>
                </c:pt>
                <c:pt idx="151">
                  <c:v>0.64194666950363521</c:v>
                </c:pt>
                <c:pt idx="152">
                  <c:v>0.64628360242458915</c:v>
                </c:pt>
                <c:pt idx="153">
                  <c:v>0.65053179650331805</c:v>
                </c:pt>
                <c:pt idx="154">
                  <c:v>0.65469319785066171</c:v>
                </c:pt>
                <c:pt idx="155">
                  <c:v>0.65876996611868599</c:v>
                </c:pt>
                <c:pt idx="156">
                  <c:v>0.66276445085003166</c:v>
                </c:pt>
                <c:pt idx="157">
                  <c:v>0.66667916654254866</c:v>
                </c:pt>
                <c:pt idx="158">
                  <c:v>0.67051676658546522</c:v>
                </c:pt>
                <c:pt idx="159">
                  <c:v>0.67428001623157363</c:v>
                </c:pt>
                <c:pt idx="160">
                  <c:v>0.67797176477706733</c:v>
                </c:pt>
                <c:pt idx="161">
                  <c:v>0.68159491712663511</c:v>
                </c:pt>
                <c:pt idx="162">
                  <c:v>0.68515240492620966</c:v>
                </c:pt>
                <c:pt idx="163">
                  <c:v>0.68864715744932314</c:v>
                </c:pt>
                <c:pt idx="164">
                  <c:v>0.69208207242528808</c:v>
                </c:pt>
                <c:pt idx="165">
                  <c:v>0.69545998699842126</c:v>
                </c:pt>
                <c:pt idx="166">
                  <c:v>0.69878364900721013</c:v>
                </c:pt>
                <c:pt idx="167">
                  <c:v>0.70205568877071156</c:v>
                </c:pt>
                <c:pt idx="168">
                  <c:v>0.70527859156656381</c:v>
                </c:pt>
                <c:pt idx="169">
                  <c:v>0.70845467098081416</c:v>
                </c:pt>
                <c:pt idx="170">
                  <c:v>0.71158604330433217</c:v>
                </c:pt>
                <c:pt idx="171">
                  <c:v>0.71467460314394471</c:v>
                </c:pt>
                <c:pt idx="172">
                  <c:v>0.71772200040862588</c:v>
                </c:pt>
                <c:pt idx="173">
                  <c:v>0.72072961882216435</c:v>
                </c:pt>
                <c:pt idx="174">
                  <c:v>0.72369855610378853</c:v>
                </c:pt>
                <c:pt idx="175">
                  <c:v>0.72662960594728709</c:v>
                </c:pt>
                <c:pt idx="176">
                  <c:v>0.72952324191737905</c:v>
                </c:pt>
                <c:pt idx="177">
                  <c:v>0.73237960336943031</c:v>
                </c:pt>
                <c:pt idx="178">
                  <c:v>0.73519848348531536</c:v>
                </c:pt>
                <c:pt idx="179">
                  <c:v>0.73797931950424744</c:v>
                </c:pt>
                <c:pt idx="180">
                  <c:v>0.74072118521296437</c:v>
                </c:pt>
                <c:pt idx="181">
                  <c:v>0.74342278574477205</c:v>
                </c:pt>
                <c:pt idx="182">
                  <c:v>0.74608245472180268</c:v>
                </c:pt>
                <c:pt idx="183">
                  <c:v>0.74869815375949633</c:v>
                </c:pt>
                <c:pt idx="184">
                  <c:v>0.75126747433689578</c:v>
                </c:pt>
                <c:pt idx="185">
                  <c:v>0.75378764202097304</c:v>
                </c:pt>
                <c:pt idx="186">
                  <c:v>0.7562555230180027</c:v>
                </c:pt>
                <c:pt idx="187">
                  <c:v>0.75866763301002049</c:v>
                </c:pt>
                <c:pt idx="188">
                  <c:v>0.76102014821985831</c:v>
                </c:pt>
                <c:pt idx="189">
                  <c:v>0.76330891863412753</c:v>
                </c:pt>
                <c:pt idx="190">
                  <c:v>0.76552948330001647</c:v>
                </c:pt>
                <c:pt idx="191">
                  <c:v>0.76767708759893849</c:v>
                </c:pt>
                <c:pt idx="192">
                  <c:v>0.76974670238796605</c:v>
                </c:pt>
                <c:pt idx="193">
                  <c:v>0.77173304488879646</c:v>
                </c:pt>
                <c:pt idx="194">
                  <c:v>0.77363060119366256</c:v>
                </c:pt>
                <c:pt idx="195">
                  <c:v>0.77543365024831856</c:v>
                </c:pt>
                <c:pt idx="196">
                  <c:v>0.77713628916396127</c:v>
                </c:pt>
                <c:pt idx="197">
                  <c:v>0.77873245970279314</c:v>
                </c:pt>
                <c:pt idx="198">
                  <c:v>0.78021597577592916</c:v>
                </c:pt>
                <c:pt idx="199">
                  <c:v>0.78158055178750152</c:v>
                </c:pt>
                <c:pt idx="200">
                  <c:v>0.78281983165518276</c:v>
                </c:pt>
                <c:pt idx="201">
                  <c:v>0.78392741833489943</c:v>
                </c:pt>
                <c:pt idx="202">
                  <c:v>0.78489690367629039</c:v>
                </c:pt>
                <c:pt idx="203">
                  <c:v>0.78572189843543028</c:v>
                </c:pt>
                <c:pt idx="204">
                  <c:v>0.78639606227250114</c:v>
                </c:pt>
                <c:pt idx="205">
                  <c:v>0.78691313356438386</c:v>
                </c:pt>
                <c:pt idx="206">
                  <c:v>0.78726695886560172</c:v>
                </c:pt>
                <c:pt idx="207">
                  <c:v>0.7874515218555237</c:v>
                </c:pt>
                <c:pt idx="208">
                  <c:v>0.78746097161527329</c:v>
                </c:pt>
                <c:pt idx="209">
                  <c:v>0.7872896500842792</c:v>
                </c:pt>
                <c:pt idx="210">
                  <c:v>0.78693211855378042</c:v>
                </c:pt>
                <c:pt idx="211">
                  <c:v>0.78638318306280663</c:v>
                </c:pt>
                <c:pt idx="212">
                  <c:v>0.78563791857111498</c:v>
                </c:pt>
                <c:pt idx="213">
                  <c:v>0.78469169179315879</c:v>
                </c:pt>
                <c:pt idx="214">
                  <c:v>0.78354018258738467</c:v>
                </c:pt>
                <c:pt idx="215">
                  <c:v>0.7821794038058052</c:v>
                </c:pt>
                <c:pt idx="216">
                  <c:v>0.78060571951989854</c:v>
                </c:pt>
                <c:pt idx="217">
                  <c:v>0.77881586155024918</c:v>
                </c:pt>
                <c:pt idx="218">
                  <c:v>0.77680694423897023</c:v>
                </c:pt>
                <c:pt idx="219">
                  <c:v>0.77457647741564672</c:v>
                </c:pt>
                <c:pt idx="220">
                  <c:v>0.77212237751933399</c:v>
                </c:pt>
                <c:pt idx="221">
                  <c:v>0.76944297685081497</c:v>
                </c:pt>
                <c:pt idx="222">
                  <c:v>0.7665370309409365</c:v>
                </c:pt>
                <c:pt idx="223">
                  <c:v>0.76340372403217494</c:v>
                </c:pt>
                <c:pt idx="224">
                  <c:v>0.76004267268166159</c:v>
                </c:pt>
                <c:pt idx="225">
                  <c:v>0.7564539275045955</c:v>
                </c:pt>
                <c:pt idx="226">
                  <c:v>0.75263797308725477</c:v>
                </c:pt>
                <c:pt idx="227">
                  <c:v>0.74859572610859382</c:v>
                </c:pt>
                <c:pt idx="228">
                  <c:v>0.74432853171866109</c:v>
                </c:pt>
                <c:pt idx="229">
                  <c:v>0.73983815823072241</c:v>
                </c:pt>
                <c:pt idx="230">
                  <c:v>0.73512679019197924</c:v>
                </c:pt>
                <c:pt idx="231">
                  <c:v>0.73019701990514452</c:v>
                </c:pt>
                <c:pt idx="232">
                  <c:v>0.72505183747976065</c:v>
                </c:pt>
                <c:pt idx="233">
                  <c:v>0.71969461949810654</c:v>
                </c:pt>
                <c:pt idx="234">
                  <c:v>0.71412911638571053</c:v>
                </c:pt>
                <c:pt idx="235">
                  <c:v>0.70835943858097816</c:v>
                </c:pt>
                <c:pt idx="236">
                  <c:v>0.70239004160212659</c:v>
                </c:pt>
                <c:pt idx="237">
                  <c:v>0.69622571011260204</c:v>
                </c:pt>
                <c:pt idx="238">
                  <c:v>0.68987154108840021</c:v>
                </c:pt>
                <c:pt idx="239">
                  <c:v>0.68333292619220831</c:v>
                </c:pt>
                <c:pt idx="240">
                  <c:v>0.67661553346012127</c:v>
                </c:pt>
                <c:pt idx="241">
                  <c:v>0.66972528840682322</c:v>
                </c:pt>
                <c:pt idx="242">
                  <c:v>0.66266835465459506</c:v>
                </c:pt>
                <c:pt idx="243">
                  <c:v>0.65545111419040225</c:v>
                </c:pt>
                <c:pt idx="244">
                  <c:v>0.64808014735357677</c:v>
                </c:pt>
                <c:pt idx="245">
                  <c:v>0.64056221265434365</c:v>
                </c:pt>
                <c:pt idx="246">
                  <c:v>0.63290422652067391</c:v>
                </c:pt>
                <c:pt idx="247">
                  <c:v>0.62511324306766369</c:v>
                </c:pt>
                <c:pt idx="248">
                  <c:v>0.61719643397997714</c:v>
                </c:pt>
                <c:pt idx="249">
                  <c:v>0.60916106859381203</c:v>
                </c:pt>
                <c:pt idx="250">
                  <c:v>0.60101449426041953</c:v>
                </c:pt>
                <c:pt idx="251">
                  <c:v>0.59276411706849819</c:v>
                </c:pt>
                <c:pt idx="252">
                  <c:v>0.58441738299779356</c:v>
                </c:pt>
                <c:pt idx="253">
                  <c:v>0.57598175957104503</c:v>
                </c:pt>
                <c:pt idx="254">
                  <c:v>0.56746471806603627</c:v>
                </c:pt>
                <c:pt idx="255">
                  <c:v>0.55887371634400462</c:v>
                </c:pt>
                <c:pt idx="256">
                  <c:v>0.55021618234506342</c:v>
                </c:pt>
                <c:pt idx="257">
                  <c:v>0.54149949829561583</c:v>
                </c:pt>
                <c:pt idx="258">
                  <c:v>0.532730985667073</c:v>
                </c:pt>
                <c:pt idx="259">
                  <c:v>0.52391789091950502</c:v>
                </c:pt>
                <c:pt idx="260">
                  <c:v>0.51506737205824593</c:v>
                </c:pt>
                <c:pt idx="261">
                  <c:v>0.50618648602591454</c:v>
                </c:pt>
                <c:pt idx="262">
                  <c:v>0.49728217694689419</c:v>
                </c:pt>
                <c:pt idx="263">
                  <c:v>0.4883612652359906</c:v>
                </c:pt>
                <c:pt idx="264">
                  <c:v>0.47943043757786946</c:v>
                </c:pt>
                <c:pt idx="265">
                  <c:v>0.47049623777889282</c:v>
                </c:pt>
                <c:pt idx="266">
                  <c:v>0.46156505848824192</c:v>
                </c:pt>
                <c:pt idx="267">
                  <c:v>0.45264313378065435</c:v>
                </c:pt>
                <c:pt idx="268">
                  <c:v>0.44373653258884627</c:v>
                </c:pt>
                <c:pt idx="269">
                  <c:v>0.43485115296962223</c:v>
                </c:pt>
                <c:pt idx="270">
                  <c:v>0.42599271718394133</c:v>
                </c:pt>
                <c:pt idx="271">
                  <c:v>0.41716676756769722</c:v>
                </c:pt>
                <c:pt idx="272">
                  <c:v>0.40837866316679122</c:v>
                </c:pt>
                <c:pt idx="273">
                  <c:v>0.39963357710718328</c:v>
                </c:pt>
                <c:pt idx="274">
                  <c:v>0.39093649466799874</c:v>
                </c:pt>
                <c:pt idx="275">
                  <c:v>0.38229221202350183</c:v>
                </c:pt>
                <c:pt idx="276">
                  <c:v>0.3737053356177652</c:v>
                </c:pt>
                <c:pt idx="277">
                  <c:v>0.36518028213420234</c:v>
                </c:pt>
                <c:pt idx="278">
                  <c:v>0.35672127902078116</c:v>
                </c:pt>
                <c:pt idx="279">
                  <c:v>0.34833236553069069</c:v>
                </c:pt>
                <c:pt idx="280">
                  <c:v>0.34001739423749344</c:v>
                </c:pt>
                <c:pt idx="281">
                  <c:v>0.33178003298335135</c:v>
                </c:pt>
                <c:pt idx="282">
                  <c:v>0.32362376721875802</c:v>
                </c:pt>
                <c:pt idx="283">
                  <c:v>0.31555190269234196</c:v>
                </c:pt>
                <c:pt idx="284">
                  <c:v>0.30756756844969962</c:v>
                </c:pt>
                <c:pt idx="285">
                  <c:v>0.29967372010087706</c:v>
                </c:pt>
                <c:pt idx="286">
                  <c:v>0.29187314331702235</c:v>
                </c:pt>
                <c:pt idx="287">
                  <c:v>0.28416845751786507</c:v>
                </c:pt>
                <c:pt idx="288">
                  <c:v>0.27656211971303402</c:v>
                </c:pt>
                <c:pt idx="289">
                  <c:v>0.26905642846177302</c:v>
                </c:pt>
                <c:pt idx="290">
                  <c:v>0.26165352791735141</c:v>
                </c:pt>
                <c:pt idx="291">
                  <c:v>0.2543554119243619</c:v>
                </c:pt>
                <c:pt idx="292">
                  <c:v>0.24716392813914573</c:v>
                </c:pt>
                <c:pt idx="293">
                  <c:v>0.2400807821457456</c:v>
                </c:pt>
                <c:pt idx="294">
                  <c:v>0.23310754154207008</c:v>
                </c:pt>
                <c:pt idx="295">
                  <c:v>0.22624563997330305</c:v>
                </c:pt>
                <c:pt idx="296">
                  <c:v>0.21949638109201305</c:v>
                </c:pt>
                <c:pt idx="297">
                  <c:v>0.21286094242688644</c:v>
                </c:pt>
                <c:pt idx="298">
                  <c:v>0.20634037914448361</c:v>
                </c:pt>
                <c:pt idx="299">
                  <c:v>0.19993562769091497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C9-4B18-B9EF-2DF1B508B901}"/>
            </c:ext>
          </c:extLst>
        </c:ser>
        <c:ser>
          <c:idx val="1"/>
          <c:order val="1"/>
          <c:tx>
            <c:v>Epanecznikow, domyślne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versicolor_estymacjagęstości!$K$3:$K$302</c:f>
              <c:numCache>
                <c:formatCode>General</c:formatCode>
                <c:ptCount val="300"/>
                <c:pt idx="0">
                  <c:v>3</c:v>
                </c:pt>
                <c:pt idx="1">
                  <c:v>3.0070234113712373</c:v>
                </c:pt>
                <c:pt idx="2">
                  <c:v>3.0140468227424746</c:v>
                </c:pt>
                <c:pt idx="3">
                  <c:v>3.0210702341137119</c:v>
                </c:pt>
                <c:pt idx="4">
                  <c:v>3.0280936454849492</c:v>
                </c:pt>
                <c:pt idx="5">
                  <c:v>3.0351170568561865</c:v>
                </c:pt>
                <c:pt idx="6">
                  <c:v>3.0421404682274238</c:v>
                </c:pt>
                <c:pt idx="7">
                  <c:v>3.0491638795986611</c:v>
                </c:pt>
                <c:pt idx="8">
                  <c:v>3.0561872909698984</c:v>
                </c:pt>
                <c:pt idx="9">
                  <c:v>3.0632107023411357</c:v>
                </c:pt>
                <c:pt idx="10">
                  <c:v>3.070234113712373</c:v>
                </c:pt>
                <c:pt idx="11">
                  <c:v>3.0772575250836103</c:v>
                </c:pt>
                <c:pt idx="12">
                  <c:v>3.0842809364548476</c:v>
                </c:pt>
                <c:pt idx="13">
                  <c:v>3.0913043478260849</c:v>
                </c:pt>
                <c:pt idx="14">
                  <c:v>3.0983277591973222</c:v>
                </c:pt>
                <c:pt idx="15">
                  <c:v>3.1053511705685595</c:v>
                </c:pt>
                <c:pt idx="16">
                  <c:v>3.1123745819397968</c:v>
                </c:pt>
                <c:pt idx="17">
                  <c:v>3.1193979933110341</c:v>
                </c:pt>
                <c:pt idx="18">
                  <c:v>3.1264214046822714</c:v>
                </c:pt>
                <c:pt idx="19">
                  <c:v>3.1334448160535087</c:v>
                </c:pt>
                <c:pt idx="20">
                  <c:v>3.140468227424746</c:v>
                </c:pt>
                <c:pt idx="21">
                  <c:v>3.1474916387959833</c:v>
                </c:pt>
                <c:pt idx="22">
                  <c:v>3.1545150501672206</c:v>
                </c:pt>
                <c:pt idx="23">
                  <c:v>3.1615384615384579</c:v>
                </c:pt>
                <c:pt idx="24">
                  <c:v>3.1685618729096952</c:v>
                </c:pt>
                <c:pt idx="25">
                  <c:v>3.1755852842809325</c:v>
                </c:pt>
                <c:pt idx="26">
                  <c:v>3.1826086956521698</c:v>
                </c:pt>
                <c:pt idx="27">
                  <c:v>3.189632107023407</c:v>
                </c:pt>
                <c:pt idx="28">
                  <c:v>3.1966555183946443</c:v>
                </c:pt>
                <c:pt idx="29">
                  <c:v>3.2036789297658816</c:v>
                </c:pt>
                <c:pt idx="30">
                  <c:v>3.2107023411371189</c:v>
                </c:pt>
                <c:pt idx="31">
                  <c:v>3.2177257525083562</c:v>
                </c:pt>
                <c:pt idx="32">
                  <c:v>3.2247491638795935</c:v>
                </c:pt>
                <c:pt idx="33">
                  <c:v>3.2317725752508308</c:v>
                </c:pt>
                <c:pt idx="34">
                  <c:v>3.2387959866220681</c:v>
                </c:pt>
                <c:pt idx="35">
                  <c:v>3.2458193979933054</c:v>
                </c:pt>
                <c:pt idx="36">
                  <c:v>3.2528428093645427</c:v>
                </c:pt>
                <c:pt idx="37">
                  <c:v>3.25986622073578</c:v>
                </c:pt>
                <c:pt idx="38">
                  <c:v>3.2668896321070173</c:v>
                </c:pt>
                <c:pt idx="39">
                  <c:v>3.2739130434782546</c:v>
                </c:pt>
                <c:pt idx="40">
                  <c:v>3.2809364548494919</c:v>
                </c:pt>
                <c:pt idx="41">
                  <c:v>3.2879598662207292</c:v>
                </c:pt>
                <c:pt idx="42">
                  <c:v>3.2949832775919665</c:v>
                </c:pt>
                <c:pt idx="43">
                  <c:v>3.3020066889632038</c:v>
                </c:pt>
                <c:pt idx="44">
                  <c:v>3.3090301003344411</c:v>
                </c:pt>
                <c:pt idx="45">
                  <c:v>3.3160535117056784</c:v>
                </c:pt>
                <c:pt idx="46">
                  <c:v>3.3230769230769157</c:v>
                </c:pt>
                <c:pt idx="47">
                  <c:v>3.330100334448153</c:v>
                </c:pt>
                <c:pt idx="48">
                  <c:v>3.3371237458193903</c:v>
                </c:pt>
                <c:pt idx="49">
                  <c:v>3.3441471571906276</c:v>
                </c:pt>
                <c:pt idx="50">
                  <c:v>3.3511705685618649</c:v>
                </c:pt>
                <c:pt idx="51">
                  <c:v>3.3581939799331022</c:v>
                </c:pt>
                <c:pt idx="52">
                  <c:v>3.3652173913043395</c:v>
                </c:pt>
                <c:pt idx="53">
                  <c:v>3.3722408026755768</c:v>
                </c:pt>
                <c:pt idx="54">
                  <c:v>3.3792642140468141</c:v>
                </c:pt>
                <c:pt idx="55">
                  <c:v>3.3862876254180514</c:v>
                </c:pt>
                <c:pt idx="56">
                  <c:v>3.3933110367892887</c:v>
                </c:pt>
                <c:pt idx="57">
                  <c:v>3.400334448160526</c:v>
                </c:pt>
                <c:pt idx="58">
                  <c:v>3.4073578595317633</c:v>
                </c:pt>
                <c:pt idx="59">
                  <c:v>3.4143812709030006</c:v>
                </c:pt>
                <c:pt idx="60">
                  <c:v>3.4214046822742379</c:v>
                </c:pt>
                <c:pt idx="61">
                  <c:v>3.4284280936454752</c:v>
                </c:pt>
                <c:pt idx="62">
                  <c:v>3.4354515050167125</c:v>
                </c:pt>
                <c:pt idx="63">
                  <c:v>3.4424749163879498</c:v>
                </c:pt>
                <c:pt idx="64">
                  <c:v>3.4494983277591871</c:v>
                </c:pt>
                <c:pt idx="65">
                  <c:v>3.4565217391304244</c:v>
                </c:pt>
                <c:pt idx="66">
                  <c:v>3.4635451505016617</c:v>
                </c:pt>
                <c:pt idx="67">
                  <c:v>3.470568561872899</c:v>
                </c:pt>
                <c:pt idx="68">
                  <c:v>3.4775919732441363</c:v>
                </c:pt>
                <c:pt idx="69">
                  <c:v>3.4846153846153736</c:v>
                </c:pt>
                <c:pt idx="70">
                  <c:v>3.4916387959866109</c:v>
                </c:pt>
                <c:pt idx="71">
                  <c:v>3.4986622073578482</c:v>
                </c:pt>
                <c:pt idx="72">
                  <c:v>3.5056856187290855</c:v>
                </c:pt>
                <c:pt idx="73">
                  <c:v>3.5127090301003228</c:v>
                </c:pt>
                <c:pt idx="74">
                  <c:v>3.5197324414715601</c:v>
                </c:pt>
                <c:pt idx="75">
                  <c:v>3.5267558528427974</c:v>
                </c:pt>
                <c:pt idx="76">
                  <c:v>3.5337792642140347</c:v>
                </c:pt>
                <c:pt idx="77">
                  <c:v>3.540802675585272</c:v>
                </c:pt>
                <c:pt idx="78">
                  <c:v>3.5478260869565093</c:v>
                </c:pt>
                <c:pt idx="79">
                  <c:v>3.5548494983277465</c:v>
                </c:pt>
                <c:pt idx="80">
                  <c:v>3.5618729096989838</c:v>
                </c:pt>
                <c:pt idx="81">
                  <c:v>3.5688963210702211</c:v>
                </c:pt>
                <c:pt idx="82">
                  <c:v>3.5759197324414584</c:v>
                </c:pt>
                <c:pt idx="83">
                  <c:v>3.5829431438126957</c:v>
                </c:pt>
                <c:pt idx="84">
                  <c:v>3.589966555183933</c:v>
                </c:pt>
                <c:pt idx="85">
                  <c:v>3.5969899665551703</c:v>
                </c:pt>
                <c:pt idx="86">
                  <c:v>3.6040133779264076</c:v>
                </c:pt>
                <c:pt idx="87">
                  <c:v>3.6110367892976449</c:v>
                </c:pt>
                <c:pt idx="88">
                  <c:v>3.6180602006688822</c:v>
                </c:pt>
                <c:pt idx="89">
                  <c:v>3.6250836120401195</c:v>
                </c:pt>
                <c:pt idx="90">
                  <c:v>3.6321070234113568</c:v>
                </c:pt>
                <c:pt idx="91">
                  <c:v>3.6391304347825941</c:v>
                </c:pt>
                <c:pt idx="92">
                  <c:v>3.6461538461538314</c:v>
                </c:pt>
                <c:pt idx="93">
                  <c:v>3.6531772575250687</c:v>
                </c:pt>
                <c:pt idx="94">
                  <c:v>3.660200668896306</c:v>
                </c:pt>
                <c:pt idx="95">
                  <c:v>3.6672240802675433</c:v>
                </c:pt>
                <c:pt idx="96">
                  <c:v>3.6742474916387806</c:v>
                </c:pt>
                <c:pt idx="97">
                  <c:v>3.6812709030100179</c:v>
                </c:pt>
                <c:pt idx="98">
                  <c:v>3.6882943143812552</c:v>
                </c:pt>
                <c:pt idx="99">
                  <c:v>3.6953177257524925</c:v>
                </c:pt>
                <c:pt idx="100">
                  <c:v>3.7023411371237298</c:v>
                </c:pt>
                <c:pt idx="101">
                  <c:v>3.7093645484949671</c:v>
                </c:pt>
                <c:pt idx="102">
                  <c:v>3.7163879598662044</c:v>
                </c:pt>
                <c:pt idx="103">
                  <c:v>3.7234113712374417</c:v>
                </c:pt>
                <c:pt idx="104">
                  <c:v>3.730434782608679</c:v>
                </c:pt>
                <c:pt idx="105">
                  <c:v>3.7374581939799163</c:v>
                </c:pt>
                <c:pt idx="106">
                  <c:v>3.7444816053511536</c:v>
                </c:pt>
                <c:pt idx="107">
                  <c:v>3.7515050167223909</c:v>
                </c:pt>
                <c:pt idx="108">
                  <c:v>3.7585284280936282</c:v>
                </c:pt>
                <c:pt idx="109">
                  <c:v>3.7655518394648655</c:v>
                </c:pt>
                <c:pt idx="110">
                  <c:v>3.7725752508361028</c:v>
                </c:pt>
                <c:pt idx="111">
                  <c:v>3.7795986622073401</c:v>
                </c:pt>
                <c:pt idx="112">
                  <c:v>3.7866220735785774</c:v>
                </c:pt>
                <c:pt idx="113">
                  <c:v>3.7936454849498147</c:v>
                </c:pt>
                <c:pt idx="114">
                  <c:v>3.800668896321052</c:v>
                </c:pt>
                <c:pt idx="115">
                  <c:v>3.8076923076922893</c:v>
                </c:pt>
                <c:pt idx="116">
                  <c:v>3.8147157190635266</c:v>
                </c:pt>
                <c:pt idx="117">
                  <c:v>3.8217391304347639</c:v>
                </c:pt>
                <c:pt idx="118">
                  <c:v>3.8287625418060012</c:v>
                </c:pt>
                <c:pt idx="119">
                  <c:v>3.8357859531772385</c:v>
                </c:pt>
                <c:pt idx="120">
                  <c:v>3.8428093645484758</c:v>
                </c:pt>
                <c:pt idx="121">
                  <c:v>3.8498327759197131</c:v>
                </c:pt>
                <c:pt idx="122">
                  <c:v>3.8568561872909504</c:v>
                </c:pt>
                <c:pt idx="123">
                  <c:v>3.8638795986621877</c:v>
                </c:pt>
                <c:pt idx="124">
                  <c:v>3.870903010033425</c:v>
                </c:pt>
                <c:pt idx="125">
                  <c:v>3.8779264214046623</c:v>
                </c:pt>
                <c:pt idx="126">
                  <c:v>3.8849498327758996</c:v>
                </c:pt>
                <c:pt idx="127">
                  <c:v>3.8919732441471369</c:v>
                </c:pt>
                <c:pt idx="128">
                  <c:v>3.8989966555183742</c:v>
                </c:pt>
                <c:pt idx="129">
                  <c:v>3.9060200668896115</c:v>
                </c:pt>
                <c:pt idx="130">
                  <c:v>3.9130434782608488</c:v>
                </c:pt>
                <c:pt idx="131">
                  <c:v>3.920066889632086</c:v>
                </c:pt>
                <c:pt idx="132">
                  <c:v>3.9270903010033233</c:v>
                </c:pt>
                <c:pt idx="133">
                  <c:v>3.9341137123745606</c:v>
                </c:pt>
                <c:pt idx="134">
                  <c:v>3.9411371237457979</c:v>
                </c:pt>
                <c:pt idx="135">
                  <c:v>3.9481605351170352</c:v>
                </c:pt>
                <c:pt idx="136">
                  <c:v>3.9551839464882725</c:v>
                </c:pt>
                <c:pt idx="137">
                  <c:v>3.9622073578595098</c:v>
                </c:pt>
                <c:pt idx="138">
                  <c:v>3.9692307692307471</c:v>
                </c:pt>
                <c:pt idx="139">
                  <c:v>3.9762541806019844</c:v>
                </c:pt>
                <c:pt idx="140">
                  <c:v>3.9832775919732217</c:v>
                </c:pt>
                <c:pt idx="141">
                  <c:v>3.990301003344459</c:v>
                </c:pt>
                <c:pt idx="142">
                  <c:v>3.9973244147156963</c:v>
                </c:pt>
                <c:pt idx="143">
                  <c:v>4.0043478260869341</c:v>
                </c:pt>
                <c:pt idx="144">
                  <c:v>4.0113712374581718</c:v>
                </c:pt>
                <c:pt idx="145">
                  <c:v>4.0183946488294096</c:v>
                </c:pt>
                <c:pt idx="146">
                  <c:v>4.0254180602006473</c:v>
                </c:pt>
                <c:pt idx="147">
                  <c:v>4.032441471571885</c:v>
                </c:pt>
                <c:pt idx="148">
                  <c:v>4.0394648829431228</c:v>
                </c:pt>
                <c:pt idx="149">
                  <c:v>4.0464882943143605</c:v>
                </c:pt>
                <c:pt idx="150">
                  <c:v>4.0535117056855983</c:v>
                </c:pt>
                <c:pt idx="151">
                  <c:v>4.060535117056836</c:v>
                </c:pt>
                <c:pt idx="152">
                  <c:v>4.0675585284280737</c:v>
                </c:pt>
                <c:pt idx="153">
                  <c:v>4.0745819397993115</c:v>
                </c:pt>
                <c:pt idx="154">
                  <c:v>4.0816053511705492</c:v>
                </c:pt>
                <c:pt idx="155">
                  <c:v>4.088628762541787</c:v>
                </c:pt>
                <c:pt idx="156">
                  <c:v>4.0956521739130247</c:v>
                </c:pt>
                <c:pt idx="157">
                  <c:v>4.1026755852842625</c:v>
                </c:pt>
                <c:pt idx="158">
                  <c:v>4.1096989966555002</c:v>
                </c:pt>
                <c:pt idx="159">
                  <c:v>4.1167224080267379</c:v>
                </c:pt>
                <c:pt idx="160">
                  <c:v>4.1237458193979757</c:v>
                </c:pt>
                <c:pt idx="161">
                  <c:v>4.1307692307692134</c:v>
                </c:pt>
                <c:pt idx="162">
                  <c:v>4.1377926421404512</c:v>
                </c:pt>
                <c:pt idx="163">
                  <c:v>4.1448160535116889</c:v>
                </c:pt>
                <c:pt idx="164">
                  <c:v>4.1518394648829267</c:v>
                </c:pt>
                <c:pt idx="165">
                  <c:v>4.1588628762541644</c:v>
                </c:pt>
                <c:pt idx="166">
                  <c:v>4.1658862876254021</c:v>
                </c:pt>
                <c:pt idx="167">
                  <c:v>4.1729096989966399</c:v>
                </c:pt>
                <c:pt idx="168">
                  <c:v>4.1799331103678776</c:v>
                </c:pt>
                <c:pt idx="169">
                  <c:v>4.1869565217391154</c:v>
                </c:pt>
                <c:pt idx="170">
                  <c:v>4.1939799331103531</c:v>
                </c:pt>
                <c:pt idx="171">
                  <c:v>4.2010033444815909</c:v>
                </c:pt>
                <c:pt idx="172">
                  <c:v>4.2080267558528286</c:v>
                </c:pt>
                <c:pt idx="173">
                  <c:v>4.2150501672240663</c:v>
                </c:pt>
                <c:pt idx="174">
                  <c:v>4.2220735785953041</c:v>
                </c:pt>
                <c:pt idx="175">
                  <c:v>4.2290969899665418</c:v>
                </c:pt>
                <c:pt idx="176">
                  <c:v>4.2361204013377796</c:v>
                </c:pt>
                <c:pt idx="177">
                  <c:v>4.2431438127090173</c:v>
                </c:pt>
                <c:pt idx="178">
                  <c:v>4.250167224080255</c:v>
                </c:pt>
                <c:pt idx="179">
                  <c:v>4.2571906354514928</c:v>
                </c:pt>
                <c:pt idx="180">
                  <c:v>4.2642140468227305</c:v>
                </c:pt>
                <c:pt idx="181">
                  <c:v>4.2712374581939683</c:v>
                </c:pt>
                <c:pt idx="182">
                  <c:v>4.278260869565206</c:v>
                </c:pt>
                <c:pt idx="183">
                  <c:v>4.2852842809364438</c:v>
                </c:pt>
                <c:pt idx="184">
                  <c:v>4.2923076923076815</c:v>
                </c:pt>
                <c:pt idx="185">
                  <c:v>4.2993311036789192</c:v>
                </c:pt>
                <c:pt idx="186">
                  <c:v>4.306354515050157</c:v>
                </c:pt>
                <c:pt idx="187">
                  <c:v>4.3133779264213947</c:v>
                </c:pt>
                <c:pt idx="188">
                  <c:v>4.3204013377926325</c:v>
                </c:pt>
                <c:pt idx="189">
                  <c:v>4.3274247491638702</c:v>
                </c:pt>
                <c:pt idx="190">
                  <c:v>4.334448160535108</c:v>
                </c:pt>
                <c:pt idx="191">
                  <c:v>4.3414715719063457</c:v>
                </c:pt>
                <c:pt idx="192">
                  <c:v>4.3484949832775834</c:v>
                </c:pt>
                <c:pt idx="193">
                  <c:v>4.3555183946488212</c:v>
                </c:pt>
                <c:pt idx="194">
                  <c:v>4.3625418060200589</c:v>
                </c:pt>
                <c:pt idx="195">
                  <c:v>4.3695652173912967</c:v>
                </c:pt>
                <c:pt idx="196">
                  <c:v>4.3765886287625344</c:v>
                </c:pt>
                <c:pt idx="197">
                  <c:v>4.3836120401337721</c:v>
                </c:pt>
                <c:pt idx="198">
                  <c:v>4.3906354515050099</c:v>
                </c:pt>
                <c:pt idx="199">
                  <c:v>4.3976588628762476</c:v>
                </c:pt>
                <c:pt idx="200">
                  <c:v>4.4046822742474854</c:v>
                </c:pt>
                <c:pt idx="201">
                  <c:v>4.4117056856187231</c:v>
                </c:pt>
                <c:pt idx="202">
                  <c:v>4.4187290969899609</c:v>
                </c:pt>
                <c:pt idx="203">
                  <c:v>4.4257525083611986</c:v>
                </c:pt>
                <c:pt idx="204">
                  <c:v>4.4327759197324363</c:v>
                </c:pt>
                <c:pt idx="205">
                  <c:v>4.4397993311036741</c:v>
                </c:pt>
                <c:pt idx="206">
                  <c:v>4.4468227424749118</c:v>
                </c:pt>
                <c:pt idx="207">
                  <c:v>4.4538461538461496</c:v>
                </c:pt>
                <c:pt idx="208">
                  <c:v>4.4608695652173873</c:v>
                </c:pt>
                <c:pt idx="209">
                  <c:v>4.4678929765886251</c:v>
                </c:pt>
                <c:pt idx="210">
                  <c:v>4.4749163879598628</c:v>
                </c:pt>
                <c:pt idx="211">
                  <c:v>4.4819397993311005</c:v>
                </c:pt>
                <c:pt idx="212">
                  <c:v>4.4889632107023383</c:v>
                </c:pt>
                <c:pt idx="213">
                  <c:v>4.495986622073576</c:v>
                </c:pt>
                <c:pt idx="214">
                  <c:v>4.5030100334448138</c:v>
                </c:pt>
                <c:pt idx="215">
                  <c:v>4.5100334448160515</c:v>
                </c:pt>
                <c:pt idx="216">
                  <c:v>4.5170568561872892</c:v>
                </c:pt>
                <c:pt idx="217">
                  <c:v>4.524080267558527</c:v>
                </c:pt>
                <c:pt idx="218">
                  <c:v>4.5311036789297647</c:v>
                </c:pt>
                <c:pt idx="219">
                  <c:v>4.5381270903010025</c:v>
                </c:pt>
                <c:pt idx="220">
                  <c:v>4.5451505016722402</c:v>
                </c:pt>
                <c:pt idx="221">
                  <c:v>4.552173913043478</c:v>
                </c:pt>
                <c:pt idx="222">
                  <c:v>4.5591973244147157</c:v>
                </c:pt>
                <c:pt idx="223">
                  <c:v>4.5662207357859534</c:v>
                </c:pt>
                <c:pt idx="224">
                  <c:v>4.5732441471571912</c:v>
                </c:pt>
                <c:pt idx="225">
                  <c:v>4.5802675585284289</c:v>
                </c:pt>
                <c:pt idx="226">
                  <c:v>4.5872909698996667</c:v>
                </c:pt>
                <c:pt idx="227">
                  <c:v>4.5943143812709044</c:v>
                </c:pt>
                <c:pt idx="228">
                  <c:v>4.6013377926421422</c:v>
                </c:pt>
                <c:pt idx="229">
                  <c:v>4.6083612040133799</c:v>
                </c:pt>
                <c:pt idx="230">
                  <c:v>4.6153846153846176</c:v>
                </c:pt>
                <c:pt idx="231">
                  <c:v>4.6224080267558554</c:v>
                </c:pt>
                <c:pt idx="232">
                  <c:v>4.6294314381270931</c:v>
                </c:pt>
                <c:pt idx="233">
                  <c:v>4.6364548494983309</c:v>
                </c:pt>
                <c:pt idx="234">
                  <c:v>4.6434782608695686</c:v>
                </c:pt>
                <c:pt idx="235">
                  <c:v>4.6505016722408064</c:v>
                </c:pt>
                <c:pt idx="236">
                  <c:v>4.6575250836120441</c:v>
                </c:pt>
                <c:pt idx="237">
                  <c:v>4.6645484949832818</c:v>
                </c:pt>
                <c:pt idx="238">
                  <c:v>4.6715719063545196</c:v>
                </c:pt>
                <c:pt idx="239">
                  <c:v>4.6785953177257573</c:v>
                </c:pt>
                <c:pt idx="240">
                  <c:v>4.6856187290969951</c:v>
                </c:pt>
                <c:pt idx="241">
                  <c:v>4.6926421404682328</c:v>
                </c:pt>
                <c:pt idx="242">
                  <c:v>4.6996655518394705</c:v>
                </c:pt>
                <c:pt idx="243">
                  <c:v>4.7066889632107083</c:v>
                </c:pt>
                <c:pt idx="244">
                  <c:v>4.713712374581946</c:v>
                </c:pt>
                <c:pt idx="245">
                  <c:v>4.7207357859531838</c:v>
                </c:pt>
                <c:pt idx="246">
                  <c:v>4.7277591973244215</c:v>
                </c:pt>
                <c:pt idx="247">
                  <c:v>4.7347826086956593</c:v>
                </c:pt>
                <c:pt idx="248">
                  <c:v>4.741806020066897</c:v>
                </c:pt>
                <c:pt idx="249">
                  <c:v>4.7488294314381347</c:v>
                </c:pt>
                <c:pt idx="250">
                  <c:v>4.7558528428093725</c:v>
                </c:pt>
                <c:pt idx="251">
                  <c:v>4.7628762541806102</c:v>
                </c:pt>
                <c:pt idx="252">
                  <c:v>4.769899665551848</c:v>
                </c:pt>
                <c:pt idx="253">
                  <c:v>4.7769230769230857</c:v>
                </c:pt>
                <c:pt idx="254">
                  <c:v>4.7839464882943235</c:v>
                </c:pt>
                <c:pt idx="255">
                  <c:v>4.7909698996655612</c:v>
                </c:pt>
                <c:pt idx="256">
                  <c:v>4.7979933110367989</c:v>
                </c:pt>
                <c:pt idx="257">
                  <c:v>4.8050167224080367</c:v>
                </c:pt>
                <c:pt idx="258">
                  <c:v>4.8120401337792744</c:v>
                </c:pt>
                <c:pt idx="259">
                  <c:v>4.8190635451505122</c:v>
                </c:pt>
                <c:pt idx="260">
                  <c:v>4.8260869565217499</c:v>
                </c:pt>
                <c:pt idx="261">
                  <c:v>4.8331103678929876</c:v>
                </c:pt>
                <c:pt idx="262">
                  <c:v>4.8401337792642254</c:v>
                </c:pt>
                <c:pt idx="263">
                  <c:v>4.8471571906354631</c:v>
                </c:pt>
                <c:pt idx="264">
                  <c:v>4.8541806020067009</c:v>
                </c:pt>
                <c:pt idx="265">
                  <c:v>4.8612040133779386</c:v>
                </c:pt>
                <c:pt idx="266">
                  <c:v>4.8682274247491764</c:v>
                </c:pt>
                <c:pt idx="267">
                  <c:v>4.8752508361204141</c:v>
                </c:pt>
                <c:pt idx="268">
                  <c:v>4.8822742474916518</c:v>
                </c:pt>
                <c:pt idx="269">
                  <c:v>4.8892976588628896</c:v>
                </c:pt>
                <c:pt idx="270">
                  <c:v>4.8963210702341273</c:v>
                </c:pt>
                <c:pt idx="271">
                  <c:v>4.9033444816053651</c:v>
                </c:pt>
                <c:pt idx="272">
                  <c:v>4.9103678929766028</c:v>
                </c:pt>
                <c:pt idx="273">
                  <c:v>4.9173913043478406</c:v>
                </c:pt>
                <c:pt idx="274">
                  <c:v>4.9244147157190783</c:v>
                </c:pt>
                <c:pt idx="275">
                  <c:v>4.931438127090316</c:v>
                </c:pt>
                <c:pt idx="276">
                  <c:v>4.9384615384615538</c:v>
                </c:pt>
                <c:pt idx="277">
                  <c:v>4.9454849498327915</c:v>
                </c:pt>
                <c:pt idx="278">
                  <c:v>4.9525083612040293</c:v>
                </c:pt>
                <c:pt idx="279">
                  <c:v>4.959531772575267</c:v>
                </c:pt>
                <c:pt idx="280">
                  <c:v>4.9665551839465047</c:v>
                </c:pt>
                <c:pt idx="281">
                  <c:v>4.9735785953177425</c:v>
                </c:pt>
                <c:pt idx="282">
                  <c:v>4.9806020066889802</c:v>
                </c:pt>
                <c:pt idx="283">
                  <c:v>4.987625418060218</c:v>
                </c:pt>
                <c:pt idx="284">
                  <c:v>4.9946488294314557</c:v>
                </c:pt>
                <c:pt idx="285">
                  <c:v>5.0016722408026935</c:v>
                </c:pt>
                <c:pt idx="286">
                  <c:v>5.0086956521739312</c:v>
                </c:pt>
                <c:pt idx="287">
                  <c:v>5.0157190635451689</c:v>
                </c:pt>
                <c:pt idx="288">
                  <c:v>5.0227424749164067</c:v>
                </c:pt>
                <c:pt idx="289">
                  <c:v>5.0297658862876444</c:v>
                </c:pt>
                <c:pt idx="290">
                  <c:v>5.0367892976588822</c:v>
                </c:pt>
                <c:pt idx="291">
                  <c:v>5.0438127090301199</c:v>
                </c:pt>
                <c:pt idx="292">
                  <c:v>5.0508361204013577</c:v>
                </c:pt>
                <c:pt idx="293">
                  <c:v>5.0578595317725954</c:v>
                </c:pt>
                <c:pt idx="294">
                  <c:v>5.0648829431438331</c:v>
                </c:pt>
                <c:pt idx="295">
                  <c:v>5.0719063545150709</c:v>
                </c:pt>
                <c:pt idx="296">
                  <c:v>5.0789297658863086</c:v>
                </c:pt>
                <c:pt idx="297">
                  <c:v>5.0859531772575464</c:v>
                </c:pt>
                <c:pt idx="298">
                  <c:v>5.0929765886287841</c:v>
                </c:pt>
                <c:pt idx="299">
                  <c:v>5.1000000000000218</c:v>
                </c:pt>
              </c:numCache>
            </c:numRef>
          </c:cat>
          <c:val>
            <c:numRef>
              <c:f>versicolor_estymacjagęstości!$R$3:$R$302</c:f>
              <c:numCache>
                <c:formatCode>General</c:formatCode>
                <c:ptCount val="300"/>
                <c:pt idx="0">
                  <c:v>7.0057484349638252E-2</c:v>
                </c:pt>
                <c:pt idx="1">
                  <c:v>7.2580730657368558E-2</c:v>
                </c:pt>
                <c:pt idx="2">
                  <c:v>7.5047981855236964E-2</c:v>
                </c:pt>
                <c:pt idx="3">
                  <c:v>7.7459237943243456E-2</c:v>
                </c:pt>
                <c:pt idx="4">
                  <c:v>7.9814498921387991E-2</c:v>
                </c:pt>
                <c:pt idx="5">
                  <c:v>8.211376478967064E-2</c:v>
                </c:pt>
                <c:pt idx="6">
                  <c:v>8.4357035548091347E-2</c:v>
                </c:pt>
                <c:pt idx="7">
                  <c:v>8.6544311196650139E-2</c:v>
                </c:pt>
                <c:pt idx="8">
                  <c:v>8.8675591735347017E-2</c:v>
                </c:pt>
                <c:pt idx="9">
                  <c:v>9.0750877164181981E-2</c:v>
                </c:pt>
                <c:pt idx="10">
                  <c:v>9.2770167483155017E-2</c:v>
                </c:pt>
                <c:pt idx="11">
                  <c:v>9.473346269226611E-2</c:v>
                </c:pt>
                <c:pt idx="12">
                  <c:v>9.6640762791515303E-2</c:v>
                </c:pt>
                <c:pt idx="13">
                  <c:v>9.8567163960112836E-2</c:v>
                </c:pt>
                <c:pt idx="14">
                  <c:v>0.10116800349150898</c:v>
                </c:pt>
                <c:pt idx="15">
                  <c:v>0.10370164889107084</c:v>
                </c:pt>
                <c:pt idx="16">
                  <c:v>0.10616810015879835</c:v>
                </c:pt>
                <c:pt idx="17">
                  <c:v>0.10856735729469158</c:v>
                </c:pt>
                <c:pt idx="18">
                  <c:v>0.1108994202987505</c:v>
                </c:pt>
                <c:pt idx="19">
                  <c:v>0.11316428917097511</c:v>
                </c:pt>
                <c:pt idx="20">
                  <c:v>0.11536196391136543</c:v>
                </c:pt>
                <c:pt idx="21">
                  <c:v>0.11749244451992145</c:v>
                </c:pt>
                <c:pt idx="22">
                  <c:v>0.11955573099664317</c:v>
                </c:pt>
                <c:pt idx="23">
                  <c:v>0.12155182334153056</c:v>
                </c:pt>
                <c:pt idx="24">
                  <c:v>0.12348072155458367</c:v>
                </c:pt>
                <c:pt idx="25">
                  <c:v>0.12534242563580245</c:v>
                </c:pt>
                <c:pt idx="26">
                  <c:v>0.12713693558518693</c:v>
                </c:pt>
                <c:pt idx="27">
                  <c:v>0.12886425140273713</c:v>
                </c:pt>
                <c:pt idx="28">
                  <c:v>0.13121422192958471</c:v>
                </c:pt>
                <c:pt idx="29">
                  <c:v>0.13360414654716765</c:v>
                </c:pt>
                <c:pt idx="30">
                  <c:v>0.13591567801094392</c:v>
                </c:pt>
                <c:pt idx="31">
                  <c:v>0.13814881632091347</c:v>
                </c:pt>
                <c:pt idx="32">
                  <c:v>0.14030356147707632</c:v>
                </c:pt>
                <c:pt idx="33">
                  <c:v>0.14237991347943249</c:v>
                </c:pt>
                <c:pt idx="34">
                  <c:v>0.14437787232798199</c:v>
                </c:pt>
                <c:pt idx="35">
                  <c:v>0.14629743802272474</c:v>
                </c:pt>
                <c:pt idx="36">
                  <c:v>0.1481386105636609</c:v>
                </c:pt>
                <c:pt idx="37">
                  <c:v>0.14990138995079033</c:v>
                </c:pt>
                <c:pt idx="38">
                  <c:v>0.15158577618411306</c:v>
                </c:pt>
                <c:pt idx="39">
                  <c:v>0.1531917692636291</c:v>
                </c:pt>
                <c:pt idx="40">
                  <c:v>0.15471936918933848</c:v>
                </c:pt>
                <c:pt idx="41">
                  <c:v>0.15616857596124112</c:v>
                </c:pt>
                <c:pt idx="42">
                  <c:v>0.15803782656532836</c:v>
                </c:pt>
                <c:pt idx="43">
                  <c:v>0.16012991052712194</c:v>
                </c:pt>
                <c:pt idx="44">
                  <c:v>0.1621324023131365</c:v>
                </c:pt>
                <c:pt idx="45">
                  <c:v>0.16404530192337197</c:v>
                </c:pt>
                <c:pt idx="46">
                  <c:v>0.16586860935782838</c:v>
                </c:pt>
                <c:pt idx="47">
                  <c:v>0.16760232461650568</c:v>
                </c:pt>
                <c:pt idx="48">
                  <c:v>0.16924644769940392</c:v>
                </c:pt>
                <c:pt idx="49">
                  <c:v>0.17080097860652305</c:v>
                </c:pt>
                <c:pt idx="50">
                  <c:v>0.17226591733786317</c:v>
                </c:pt>
                <c:pt idx="51">
                  <c:v>0.17364126389342419</c:v>
                </c:pt>
                <c:pt idx="52">
                  <c:v>0.17492701827320617</c:v>
                </c:pt>
                <c:pt idx="53">
                  <c:v>0.17612318047720901</c:v>
                </c:pt>
                <c:pt idx="54">
                  <c:v>0.17722975050543285</c:v>
                </c:pt>
                <c:pt idx="55">
                  <c:v>0.17824672835787758</c:v>
                </c:pt>
                <c:pt idx="56">
                  <c:v>0.18009328483152182</c:v>
                </c:pt>
                <c:pt idx="57">
                  <c:v>0.18333806812633022</c:v>
                </c:pt>
                <c:pt idx="58">
                  <c:v>0.18645966217944238</c:v>
                </c:pt>
                <c:pt idx="59">
                  <c:v>0.18945806699085832</c:v>
                </c:pt>
                <c:pt idx="60">
                  <c:v>0.19233328256057805</c:v>
                </c:pt>
                <c:pt idx="61">
                  <c:v>0.19508530888860151</c:v>
                </c:pt>
                <c:pt idx="62">
                  <c:v>0.19771414597492878</c:v>
                </c:pt>
                <c:pt idx="63">
                  <c:v>0.20021979381955979</c:v>
                </c:pt>
                <c:pt idx="64">
                  <c:v>0.20260225242249458</c:v>
                </c:pt>
                <c:pt idx="65">
                  <c:v>0.20486152178373315</c:v>
                </c:pt>
                <c:pt idx="66">
                  <c:v>0.20699760190327551</c:v>
                </c:pt>
                <c:pt idx="67">
                  <c:v>0.20901049278112166</c:v>
                </c:pt>
                <c:pt idx="68">
                  <c:v>0.21090019441727156</c:v>
                </c:pt>
                <c:pt idx="69">
                  <c:v>0.21266670681172525</c:v>
                </c:pt>
                <c:pt idx="70">
                  <c:v>0.21487857336516603</c:v>
                </c:pt>
                <c:pt idx="71">
                  <c:v>0.2204236891017784</c:v>
                </c:pt>
                <c:pt idx="72">
                  <c:v>0.22578962048683257</c:v>
                </c:pt>
                <c:pt idx="73">
                  <c:v>0.23136660213164284</c:v>
                </c:pt>
                <c:pt idx="74">
                  <c:v>0.23719729292855093</c:v>
                </c:pt>
                <c:pt idx="75">
                  <c:v>0.24285999839587316</c:v>
                </c:pt>
                <c:pt idx="76">
                  <c:v>0.24835471853360985</c:v>
                </c:pt>
                <c:pt idx="77">
                  <c:v>0.25368145334176068</c:v>
                </c:pt>
                <c:pt idx="78">
                  <c:v>0.25884020282032577</c:v>
                </c:pt>
                <c:pt idx="79">
                  <c:v>0.26383096696930503</c:v>
                </c:pt>
                <c:pt idx="80">
                  <c:v>0.26865374578869855</c:v>
                </c:pt>
                <c:pt idx="81">
                  <c:v>0.27330853927850635</c:v>
                </c:pt>
                <c:pt idx="82">
                  <c:v>0.27779534743872836</c:v>
                </c:pt>
                <c:pt idx="83">
                  <c:v>0.28211417026936458</c:v>
                </c:pt>
                <c:pt idx="84">
                  <c:v>0.28626500777041519</c:v>
                </c:pt>
                <c:pt idx="85">
                  <c:v>0.29243202502688748</c:v>
                </c:pt>
                <c:pt idx="86">
                  <c:v>0.29863628319958874</c:v>
                </c:pt>
                <c:pt idx="87">
                  <c:v>0.30463895897678717</c:v>
                </c:pt>
                <c:pt idx="88">
                  <c:v>0.31044005235848265</c:v>
                </c:pt>
                <c:pt idx="89">
                  <c:v>0.31603956334467531</c:v>
                </c:pt>
                <c:pt idx="90">
                  <c:v>0.32143749193536492</c:v>
                </c:pt>
                <c:pt idx="91">
                  <c:v>0.32663383813055175</c:v>
                </c:pt>
                <c:pt idx="92">
                  <c:v>0.33162860193023552</c:v>
                </c:pt>
                <c:pt idx="93">
                  <c:v>0.33642178333441641</c:v>
                </c:pt>
                <c:pt idx="94">
                  <c:v>0.34101338234309453</c:v>
                </c:pt>
                <c:pt idx="95">
                  <c:v>0.34540339895626959</c:v>
                </c:pt>
                <c:pt idx="96">
                  <c:v>0.34959183317394177</c:v>
                </c:pt>
                <c:pt idx="97">
                  <c:v>0.35357868499611117</c:v>
                </c:pt>
                <c:pt idx="98">
                  <c:v>0.35736395442277746</c:v>
                </c:pt>
                <c:pt idx="99">
                  <c:v>0.36309472203887483</c:v>
                </c:pt>
                <c:pt idx="100">
                  <c:v>0.36967334751751035</c:v>
                </c:pt>
                <c:pt idx="101">
                  <c:v>0.37600559451275345</c:v>
                </c:pt>
                <c:pt idx="102">
                  <c:v>0.38209146302460412</c:v>
                </c:pt>
                <c:pt idx="103">
                  <c:v>0.38793095305306236</c:v>
                </c:pt>
                <c:pt idx="104">
                  <c:v>0.39352406459812789</c:v>
                </c:pt>
                <c:pt idx="105">
                  <c:v>0.3988707976598011</c:v>
                </c:pt>
                <c:pt idx="106">
                  <c:v>0.40397115223808194</c:v>
                </c:pt>
                <c:pt idx="107">
                  <c:v>0.40882512833297013</c:v>
                </c:pt>
                <c:pt idx="108">
                  <c:v>0.41343272594446601</c:v>
                </c:pt>
                <c:pt idx="109">
                  <c:v>0.41779394507256962</c:v>
                </c:pt>
                <c:pt idx="110">
                  <c:v>0.42190878571728063</c:v>
                </c:pt>
                <c:pt idx="111">
                  <c:v>0.42577724787859905</c:v>
                </c:pt>
                <c:pt idx="112">
                  <c:v>0.42939933155652532</c:v>
                </c:pt>
                <c:pt idx="113">
                  <c:v>0.43346473754893899</c:v>
                </c:pt>
                <c:pt idx="114">
                  <c:v>0.43819765754917345</c:v>
                </c:pt>
                <c:pt idx="115">
                  <c:v>0.44266180102207092</c:v>
                </c:pt>
                <c:pt idx="116">
                  <c:v>0.44810571059840976</c:v>
                </c:pt>
                <c:pt idx="117">
                  <c:v>0.45368495668770009</c:v>
                </c:pt>
                <c:pt idx="118">
                  <c:v>0.459017824293598</c:v>
                </c:pt>
                <c:pt idx="119">
                  <c:v>0.46410431341610375</c:v>
                </c:pt>
                <c:pt idx="120">
                  <c:v>0.46894442405521664</c:v>
                </c:pt>
                <c:pt idx="121">
                  <c:v>0.47353815621093731</c:v>
                </c:pt>
                <c:pt idx="122">
                  <c:v>0.47788550988326567</c:v>
                </c:pt>
                <c:pt idx="123">
                  <c:v>0.48198648507220115</c:v>
                </c:pt>
                <c:pt idx="124">
                  <c:v>0.48584108177774454</c:v>
                </c:pt>
                <c:pt idx="125">
                  <c:v>0.48944929999989523</c:v>
                </c:pt>
                <c:pt idx="126">
                  <c:v>0.4928111397386537</c:v>
                </c:pt>
                <c:pt idx="127">
                  <c:v>0.49653578413984112</c:v>
                </c:pt>
                <c:pt idx="128">
                  <c:v>0.50262271922521329</c:v>
                </c:pt>
                <c:pt idx="129">
                  <c:v>0.50841847973930332</c:v>
                </c:pt>
                <c:pt idx="130">
                  <c:v>0.51392306568211132</c:v>
                </c:pt>
                <c:pt idx="131">
                  <c:v>0.51913647705363752</c:v>
                </c:pt>
                <c:pt idx="132">
                  <c:v>0.5240587138538817</c:v>
                </c:pt>
                <c:pt idx="133">
                  <c:v>0.52868977608284362</c:v>
                </c:pt>
                <c:pt idx="134">
                  <c:v>0.53302966374052374</c:v>
                </c:pt>
                <c:pt idx="135">
                  <c:v>0.53707837682692194</c:v>
                </c:pt>
                <c:pt idx="136">
                  <c:v>0.54083591534203801</c:v>
                </c:pt>
                <c:pt idx="137">
                  <c:v>0.54430227928587227</c:v>
                </c:pt>
                <c:pt idx="138">
                  <c:v>0.5474774686584245</c:v>
                </c:pt>
                <c:pt idx="139">
                  <c:v>0.5503614834596946</c:v>
                </c:pt>
                <c:pt idx="140">
                  <c:v>0.552954323689683</c:v>
                </c:pt>
                <c:pt idx="141">
                  <c:v>0.55525598934838905</c:v>
                </c:pt>
                <c:pt idx="142">
                  <c:v>0.56263013118233896</c:v>
                </c:pt>
                <c:pt idx="143">
                  <c:v>0.569920961129743</c:v>
                </c:pt>
                <c:pt idx="144">
                  <c:v>0.57731165942022233</c:v>
                </c:pt>
                <c:pt idx="145">
                  <c:v>0.58550534385330477</c:v>
                </c:pt>
                <c:pt idx="146">
                  <c:v>0.59335185860524353</c:v>
                </c:pt>
                <c:pt idx="147">
                  <c:v>0.60085120367603817</c:v>
                </c:pt>
                <c:pt idx="148">
                  <c:v>0.60800337906568891</c:v>
                </c:pt>
                <c:pt idx="149">
                  <c:v>0.61480838477419542</c:v>
                </c:pt>
                <c:pt idx="150">
                  <c:v>0.62126622080155824</c:v>
                </c:pt>
                <c:pt idx="151">
                  <c:v>0.62737688714777717</c:v>
                </c:pt>
                <c:pt idx="152">
                  <c:v>0.6331403838128522</c:v>
                </c:pt>
                <c:pt idx="153">
                  <c:v>0.638556710796783</c:v>
                </c:pt>
                <c:pt idx="154">
                  <c:v>0.64362586809957012</c:v>
                </c:pt>
                <c:pt idx="155">
                  <c:v>0.64834785572121301</c:v>
                </c:pt>
                <c:pt idx="156">
                  <c:v>0.65444790739731884</c:v>
                </c:pt>
                <c:pt idx="157">
                  <c:v>0.66087134642862355</c:v>
                </c:pt>
                <c:pt idx="158">
                  <c:v>0.66695491240408311</c:v>
                </c:pt>
                <c:pt idx="159">
                  <c:v>0.67343514647539027</c:v>
                </c:pt>
                <c:pt idx="160">
                  <c:v>0.6795458128216092</c:v>
                </c:pt>
                <c:pt idx="161">
                  <c:v>0.68528691144273923</c:v>
                </c:pt>
                <c:pt idx="162">
                  <c:v>0.69065844233878038</c:v>
                </c:pt>
                <c:pt idx="163">
                  <c:v>0.69566040550973318</c:v>
                </c:pt>
                <c:pt idx="164">
                  <c:v>0.70029280095559698</c:v>
                </c:pt>
                <c:pt idx="165">
                  <c:v>0.70455562867637189</c:v>
                </c:pt>
                <c:pt idx="166">
                  <c:v>0.70844888867205857</c:v>
                </c:pt>
                <c:pt idx="167">
                  <c:v>0.71197258094265636</c:v>
                </c:pt>
                <c:pt idx="168">
                  <c:v>0.71512670548816526</c:v>
                </c:pt>
                <c:pt idx="169">
                  <c:v>0.71791126230858548</c:v>
                </c:pt>
                <c:pt idx="170">
                  <c:v>0.72224267709198897</c:v>
                </c:pt>
                <c:pt idx="171">
                  <c:v>0.72829441525116256</c:v>
                </c:pt>
                <c:pt idx="172">
                  <c:v>0.7339205905753855</c:v>
                </c:pt>
                <c:pt idx="173">
                  <c:v>0.73978456937852011</c:v>
                </c:pt>
                <c:pt idx="174">
                  <c:v>0.74538648015513631</c:v>
                </c:pt>
                <c:pt idx="175">
                  <c:v>0.75057402711877419</c:v>
                </c:pt>
                <c:pt idx="176">
                  <c:v>0.75534721026943352</c:v>
                </c:pt>
                <c:pt idx="177">
                  <c:v>0.75970602960711475</c:v>
                </c:pt>
                <c:pt idx="178">
                  <c:v>0.76365048513181766</c:v>
                </c:pt>
                <c:pt idx="179">
                  <c:v>0.76718057684354224</c:v>
                </c:pt>
                <c:pt idx="180">
                  <c:v>0.77029630474228861</c:v>
                </c:pt>
                <c:pt idx="181">
                  <c:v>0.77299766882805676</c:v>
                </c:pt>
                <c:pt idx="182">
                  <c:v>0.77528466910084681</c:v>
                </c:pt>
                <c:pt idx="183">
                  <c:v>0.77715730556065821</c:v>
                </c:pt>
                <c:pt idx="184">
                  <c:v>0.77899729320382916</c:v>
                </c:pt>
                <c:pt idx="185">
                  <c:v>0.78164906162086256</c:v>
                </c:pt>
                <c:pt idx="186">
                  <c:v>0.78386406818097265</c:v>
                </c:pt>
                <c:pt idx="187">
                  <c:v>0.78611045815173552</c:v>
                </c:pt>
                <c:pt idx="188">
                  <c:v>0.78827613568649113</c:v>
                </c:pt>
                <c:pt idx="189">
                  <c:v>0.79001625038629619</c:v>
                </c:pt>
                <c:pt idx="190">
                  <c:v>0.79133080225115071</c:v>
                </c:pt>
                <c:pt idx="191">
                  <c:v>0.79221979128105446</c:v>
                </c:pt>
                <c:pt idx="192">
                  <c:v>0.79268321747600723</c:v>
                </c:pt>
                <c:pt idx="193">
                  <c:v>0.79272108083600989</c:v>
                </c:pt>
                <c:pt idx="194">
                  <c:v>0.79233338136106157</c:v>
                </c:pt>
                <c:pt idx="195">
                  <c:v>0.79152011905116226</c:v>
                </c:pt>
                <c:pt idx="196">
                  <c:v>0.79028129390631296</c:v>
                </c:pt>
                <c:pt idx="197">
                  <c:v>0.78861690592651246</c:v>
                </c:pt>
                <c:pt idx="198">
                  <c:v>0.78652695511176174</c:v>
                </c:pt>
                <c:pt idx="199">
                  <c:v>0.78562022389990771</c:v>
                </c:pt>
                <c:pt idx="200">
                  <c:v>0.78426994182209497</c:v>
                </c:pt>
                <c:pt idx="201">
                  <c:v>0.78329237612482694</c:v>
                </c:pt>
                <c:pt idx="202">
                  <c:v>0.78351075705328888</c:v>
                </c:pt>
                <c:pt idx="203">
                  <c:v>0.78331477416877238</c:v>
                </c:pt>
                <c:pt idx="204">
                  <c:v>0.78270442747127777</c:v>
                </c:pt>
                <c:pt idx="205">
                  <c:v>0.78167971696080485</c:v>
                </c:pt>
                <c:pt idx="206">
                  <c:v>0.78024064263735371</c:v>
                </c:pt>
                <c:pt idx="207">
                  <c:v>0.77838720450092425</c:v>
                </c:pt>
                <c:pt idx="208">
                  <c:v>0.77611940255151646</c:v>
                </c:pt>
                <c:pt idx="209">
                  <c:v>0.77343723678913068</c:v>
                </c:pt>
                <c:pt idx="210">
                  <c:v>0.77034070721376646</c:v>
                </c:pt>
                <c:pt idx="211">
                  <c:v>0.76682981382542337</c:v>
                </c:pt>
                <c:pt idx="212">
                  <c:v>0.76290455662410295</c:v>
                </c:pt>
                <c:pt idx="213">
                  <c:v>0.7591782958927028</c:v>
                </c:pt>
                <c:pt idx="214">
                  <c:v>0.75522237470264797</c:v>
                </c:pt>
                <c:pt idx="215">
                  <c:v>0.75123892953052063</c:v>
                </c:pt>
                <c:pt idx="216">
                  <c:v>0.75052619177499236</c:v>
                </c:pt>
                <c:pt idx="217">
                  <c:v>0.74944388629437542</c:v>
                </c:pt>
                <c:pt idx="218">
                  <c:v>0.74799201308867003</c:v>
                </c:pt>
                <c:pt idx="219">
                  <c:v>0.74617057215787574</c:v>
                </c:pt>
                <c:pt idx="220">
                  <c:v>0.7439795635019929</c:v>
                </c:pt>
                <c:pt idx="221">
                  <c:v>0.74141898712102094</c:v>
                </c:pt>
                <c:pt idx="222">
                  <c:v>0.73848884301496032</c:v>
                </c:pt>
                <c:pt idx="223">
                  <c:v>0.73518913118381146</c:v>
                </c:pt>
                <c:pt idx="224">
                  <c:v>0.73151985162757338</c:v>
                </c:pt>
                <c:pt idx="225">
                  <c:v>0.72748100434624663</c:v>
                </c:pt>
                <c:pt idx="226">
                  <c:v>0.72307258933983121</c:v>
                </c:pt>
                <c:pt idx="227">
                  <c:v>0.71871630109000983</c:v>
                </c:pt>
                <c:pt idx="228">
                  <c:v>0.71436948070444273</c:v>
                </c:pt>
                <c:pt idx="229">
                  <c:v>0.70964189357181406</c:v>
                </c:pt>
                <c:pt idx="230">
                  <c:v>0.7066409998129598</c:v>
                </c:pt>
                <c:pt idx="231">
                  <c:v>0.70363406241337401</c:v>
                </c:pt>
                <c:pt idx="232">
                  <c:v>0.70027995533264487</c:v>
                </c:pt>
                <c:pt idx="233">
                  <c:v>0.69657867857077116</c:v>
                </c:pt>
                <c:pt idx="234">
                  <c:v>0.69253023212775355</c:v>
                </c:pt>
                <c:pt idx="235">
                  <c:v>0.68813461600359249</c:v>
                </c:pt>
                <c:pt idx="236">
                  <c:v>0.68339183019828742</c:v>
                </c:pt>
                <c:pt idx="237">
                  <c:v>0.67830187471183778</c:v>
                </c:pt>
                <c:pt idx="238">
                  <c:v>0.6728647495442448</c:v>
                </c:pt>
                <c:pt idx="239">
                  <c:v>0.6670804546955077</c:v>
                </c:pt>
                <c:pt idx="240">
                  <c:v>0.6609489901656268</c:v>
                </c:pt>
                <c:pt idx="241">
                  <c:v>0.65447035595460157</c:v>
                </c:pt>
                <c:pt idx="242">
                  <c:v>0.64764455206243254</c:v>
                </c:pt>
                <c:pt idx="243">
                  <c:v>0.64047157848911951</c:v>
                </c:pt>
                <c:pt idx="244">
                  <c:v>0.63497998998514205</c:v>
                </c:pt>
                <c:pt idx="245">
                  <c:v>0.6304115889505495</c:v>
                </c:pt>
                <c:pt idx="246">
                  <c:v>0.62554081432270259</c:v>
                </c:pt>
                <c:pt idx="247">
                  <c:v>0.62036766610160143</c:v>
                </c:pt>
                <c:pt idx="248">
                  <c:v>0.61489214428724559</c:v>
                </c:pt>
                <c:pt idx="249">
                  <c:v>0.60911424887963539</c:v>
                </c:pt>
                <c:pt idx="250">
                  <c:v>0.60303397987877094</c:v>
                </c:pt>
                <c:pt idx="251">
                  <c:v>0.59665133728465203</c:v>
                </c:pt>
                <c:pt idx="252">
                  <c:v>0.58996632109727842</c:v>
                </c:pt>
                <c:pt idx="253">
                  <c:v>0.58297893131665057</c:v>
                </c:pt>
                <c:pt idx="254">
                  <c:v>0.57568916794276837</c:v>
                </c:pt>
                <c:pt idx="255">
                  <c:v>0.56809703097563202</c:v>
                </c:pt>
                <c:pt idx="256">
                  <c:v>0.56020252041524099</c:v>
                </c:pt>
                <c:pt idx="257">
                  <c:v>0.55200563626159538</c:v>
                </c:pt>
                <c:pt idx="258">
                  <c:v>0.54413122958166749</c:v>
                </c:pt>
                <c:pt idx="259">
                  <c:v>0.53697372132441157</c:v>
                </c:pt>
                <c:pt idx="260">
                  <c:v>0.52953623751784595</c:v>
                </c:pt>
                <c:pt idx="261">
                  <c:v>0.52181877816197086</c:v>
                </c:pt>
                <c:pt idx="262">
                  <c:v>0.51382134325678597</c:v>
                </c:pt>
                <c:pt idx="263">
                  <c:v>0.50554393280229137</c:v>
                </c:pt>
                <c:pt idx="264">
                  <c:v>0.49698654679848719</c:v>
                </c:pt>
                <c:pt idx="265">
                  <c:v>0.48814918524537343</c:v>
                </c:pt>
                <c:pt idx="266">
                  <c:v>0.47903184814295013</c:v>
                </c:pt>
                <c:pt idx="267">
                  <c:v>0.46963453549121698</c:v>
                </c:pt>
                <c:pt idx="268">
                  <c:v>0.45995724729017434</c:v>
                </c:pt>
                <c:pt idx="269">
                  <c:v>0.44999998353982196</c:v>
                </c:pt>
                <c:pt idx="270">
                  <c:v>0.43976274424015988</c:v>
                </c:pt>
                <c:pt idx="271">
                  <c:v>0.42924552939118826</c:v>
                </c:pt>
                <c:pt idx="272">
                  <c:v>0.41892172797107946</c:v>
                </c:pt>
                <c:pt idx="273">
                  <c:v>0.41112214245407347</c:v>
                </c:pt>
                <c:pt idx="274">
                  <c:v>0.40308737747564732</c:v>
                </c:pt>
                <c:pt idx="275">
                  <c:v>0.3948174330358008</c:v>
                </c:pt>
                <c:pt idx="276">
                  <c:v>0.38631230913453452</c:v>
                </c:pt>
                <c:pt idx="277">
                  <c:v>0.37757200577184807</c:v>
                </c:pt>
                <c:pt idx="278">
                  <c:v>0.36859652294774153</c:v>
                </c:pt>
                <c:pt idx="279">
                  <c:v>0.35938586066221473</c:v>
                </c:pt>
                <c:pt idx="280">
                  <c:v>0.34994001891526799</c:v>
                </c:pt>
                <c:pt idx="281">
                  <c:v>0.34025899770690116</c:v>
                </c:pt>
                <c:pt idx="282">
                  <c:v>0.33034279703711411</c:v>
                </c:pt>
                <c:pt idx="283">
                  <c:v>0.32019141690590708</c:v>
                </c:pt>
                <c:pt idx="284">
                  <c:v>0.30980485731328</c:v>
                </c:pt>
                <c:pt idx="285">
                  <c:v>0.29918311825923277</c:v>
                </c:pt>
                <c:pt idx="286">
                  <c:v>0.28832619974376533</c:v>
                </c:pt>
                <c:pt idx="287">
                  <c:v>0.2824255292293219</c:v>
                </c:pt>
                <c:pt idx="288">
                  <c:v>0.27689374566172381</c:v>
                </c:pt>
                <c:pt idx="289">
                  <c:v>0.27120517578651226</c:v>
                </c:pt>
                <c:pt idx="290">
                  <c:v>0.26535981960368749</c:v>
                </c:pt>
                <c:pt idx="291">
                  <c:v>0.25935767711324925</c:v>
                </c:pt>
                <c:pt idx="292">
                  <c:v>0.25319874831519756</c:v>
                </c:pt>
                <c:pt idx="293">
                  <c:v>0.24688303320953253</c:v>
                </c:pt>
                <c:pt idx="294">
                  <c:v>0.24041053179625413</c:v>
                </c:pt>
                <c:pt idx="295">
                  <c:v>0.23378124407536227</c:v>
                </c:pt>
                <c:pt idx="296">
                  <c:v>0.22699517004685704</c:v>
                </c:pt>
                <c:pt idx="297">
                  <c:v>0.22005230971073836</c:v>
                </c:pt>
                <c:pt idx="298">
                  <c:v>0.21295266306700639</c:v>
                </c:pt>
                <c:pt idx="299">
                  <c:v>0.20569623011566088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C9-4B18-B9EF-2DF1B508B901}"/>
            </c:ext>
          </c:extLst>
        </c:ser>
        <c:ser>
          <c:idx val="2"/>
          <c:order val="2"/>
          <c:tx>
            <c:v>Epanecznikow, mała szerokość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versicolor_estymacjagęstości!$K$3:$K$302</c:f>
              <c:numCache>
                <c:formatCode>General</c:formatCode>
                <c:ptCount val="300"/>
                <c:pt idx="0">
                  <c:v>3</c:v>
                </c:pt>
                <c:pt idx="1">
                  <c:v>3.0070234113712373</c:v>
                </c:pt>
                <c:pt idx="2">
                  <c:v>3.0140468227424746</c:v>
                </c:pt>
                <c:pt idx="3">
                  <c:v>3.0210702341137119</c:v>
                </c:pt>
                <c:pt idx="4">
                  <c:v>3.0280936454849492</c:v>
                </c:pt>
                <c:pt idx="5">
                  <c:v>3.0351170568561865</c:v>
                </c:pt>
                <c:pt idx="6">
                  <c:v>3.0421404682274238</c:v>
                </c:pt>
                <c:pt idx="7">
                  <c:v>3.0491638795986611</c:v>
                </c:pt>
                <c:pt idx="8">
                  <c:v>3.0561872909698984</c:v>
                </c:pt>
                <c:pt idx="9">
                  <c:v>3.0632107023411357</c:v>
                </c:pt>
                <c:pt idx="10">
                  <c:v>3.070234113712373</c:v>
                </c:pt>
                <c:pt idx="11">
                  <c:v>3.0772575250836103</c:v>
                </c:pt>
                <c:pt idx="12">
                  <c:v>3.0842809364548476</c:v>
                </c:pt>
                <c:pt idx="13">
                  <c:v>3.0913043478260849</c:v>
                </c:pt>
                <c:pt idx="14">
                  <c:v>3.0983277591973222</c:v>
                </c:pt>
                <c:pt idx="15">
                  <c:v>3.1053511705685595</c:v>
                </c:pt>
                <c:pt idx="16">
                  <c:v>3.1123745819397968</c:v>
                </c:pt>
                <c:pt idx="17">
                  <c:v>3.1193979933110341</c:v>
                </c:pt>
                <c:pt idx="18">
                  <c:v>3.1264214046822714</c:v>
                </c:pt>
                <c:pt idx="19">
                  <c:v>3.1334448160535087</c:v>
                </c:pt>
                <c:pt idx="20">
                  <c:v>3.140468227424746</c:v>
                </c:pt>
                <c:pt idx="21">
                  <c:v>3.1474916387959833</c:v>
                </c:pt>
                <c:pt idx="22">
                  <c:v>3.1545150501672206</c:v>
                </c:pt>
                <c:pt idx="23">
                  <c:v>3.1615384615384579</c:v>
                </c:pt>
                <c:pt idx="24">
                  <c:v>3.1685618729096952</c:v>
                </c:pt>
                <c:pt idx="25">
                  <c:v>3.1755852842809325</c:v>
                </c:pt>
                <c:pt idx="26">
                  <c:v>3.1826086956521698</c:v>
                </c:pt>
                <c:pt idx="27">
                  <c:v>3.189632107023407</c:v>
                </c:pt>
                <c:pt idx="28">
                  <c:v>3.1966555183946443</c:v>
                </c:pt>
                <c:pt idx="29">
                  <c:v>3.2036789297658816</c:v>
                </c:pt>
                <c:pt idx="30">
                  <c:v>3.2107023411371189</c:v>
                </c:pt>
                <c:pt idx="31">
                  <c:v>3.2177257525083562</c:v>
                </c:pt>
                <c:pt idx="32">
                  <c:v>3.2247491638795935</c:v>
                </c:pt>
                <c:pt idx="33">
                  <c:v>3.2317725752508308</c:v>
                </c:pt>
                <c:pt idx="34">
                  <c:v>3.2387959866220681</c:v>
                </c:pt>
                <c:pt idx="35">
                  <c:v>3.2458193979933054</c:v>
                </c:pt>
                <c:pt idx="36">
                  <c:v>3.2528428093645427</c:v>
                </c:pt>
                <c:pt idx="37">
                  <c:v>3.25986622073578</c:v>
                </c:pt>
                <c:pt idx="38">
                  <c:v>3.2668896321070173</c:v>
                </c:pt>
                <c:pt idx="39">
                  <c:v>3.2739130434782546</c:v>
                </c:pt>
                <c:pt idx="40">
                  <c:v>3.2809364548494919</c:v>
                </c:pt>
                <c:pt idx="41">
                  <c:v>3.2879598662207292</c:v>
                </c:pt>
                <c:pt idx="42">
                  <c:v>3.2949832775919665</c:v>
                </c:pt>
                <c:pt idx="43">
                  <c:v>3.3020066889632038</c:v>
                </c:pt>
                <c:pt idx="44">
                  <c:v>3.3090301003344411</c:v>
                </c:pt>
                <c:pt idx="45">
                  <c:v>3.3160535117056784</c:v>
                </c:pt>
                <c:pt idx="46">
                  <c:v>3.3230769230769157</c:v>
                </c:pt>
                <c:pt idx="47">
                  <c:v>3.330100334448153</c:v>
                </c:pt>
                <c:pt idx="48">
                  <c:v>3.3371237458193903</c:v>
                </c:pt>
                <c:pt idx="49">
                  <c:v>3.3441471571906276</c:v>
                </c:pt>
                <c:pt idx="50">
                  <c:v>3.3511705685618649</c:v>
                </c:pt>
                <c:pt idx="51">
                  <c:v>3.3581939799331022</c:v>
                </c:pt>
                <c:pt idx="52">
                  <c:v>3.3652173913043395</c:v>
                </c:pt>
                <c:pt idx="53">
                  <c:v>3.3722408026755768</c:v>
                </c:pt>
                <c:pt idx="54">
                  <c:v>3.3792642140468141</c:v>
                </c:pt>
                <c:pt idx="55">
                  <c:v>3.3862876254180514</c:v>
                </c:pt>
                <c:pt idx="56">
                  <c:v>3.3933110367892887</c:v>
                </c:pt>
                <c:pt idx="57">
                  <c:v>3.400334448160526</c:v>
                </c:pt>
                <c:pt idx="58">
                  <c:v>3.4073578595317633</c:v>
                </c:pt>
                <c:pt idx="59">
                  <c:v>3.4143812709030006</c:v>
                </c:pt>
                <c:pt idx="60">
                  <c:v>3.4214046822742379</c:v>
                </c:pt>
                <c:pt idx="61">
                  <c:v>3.4284280936454752</c:v>
                </c:pt>
                <c:pt idx="62">
                  <c:v>3.4354515050167125</c:v>
                </c:pt>
                <c:pt idx="63">
                  <c:v>3.4424749163879498</c:v>
                </c:pt>
                <c:pt idx="64">
                  <c:v>3.4494983277591871</c:v>
                </c:pt>
                <c:pt idx="65">
                  <c:v>3.4565217391304244</c:v>
                </c:pt>
                <c:pt idx="66">
                  <c:v>3.4635451505016617</c:v>
                </c:pt>
                <c:pt idx="67">
                  <c:v>3.470568561872899</c:v>
                </c:pt>
                <c:pt idx="68">
                  <c:v>3.4775919732441363</c:v>
                </c:pt>
                <c:pt idx="69">
                  <c:v>3.4846153846153736</c:v>
                </c:pt>
                <c:pt idx="70">
                  <c:v>3.4916387959866109</c:v>
                </c:pt>
                <c:pt idx="71">
                  <c:v>3.4986622073578482</c:v>
                </c:pt>
                <c:pt idx="72">
                  <c:v>3.5056856187290855</c:v>
                </c:pt>
                <c:pt idx="73">
                  <c:v>3.5127090301003228</c:v>
                </c:pt>
                <c:pt idx="74">
                  <c:v>3.5197324414715601</c:v>
                </c:pt>
                <c:pt idx="75">
                  <c:v>3.5267558528427974</c:v>
                </c:pt>
                <c:pt idx="76">
                  <c:v>3.5337792642140347</c:v>
                </c:pt>
                <c:pt idx="77">
                  <c:v>3.540802675585272</c:v>
                </c:pt>
                <c:pt idx="78">
                  <c:v>3.5478260869565093</c:v>
                </c:pt>
                <c:pt idx="79">
                  <c:v>3.5548494983277465</c:v>
                </c:pt>
                <c:pt idx="80">
                  <c:v>3.5618729096989838</c:v>
                </c:pt>
                <c:pt idx="81">
                  <c:v>3.5688963210702211</c:v>
                </c:pt>
                <c:pt idx="82">
                  <c:v>3.5759197324414584</c:v>
                </c:pt>
                <c:pt idx="83">
                  <c:v>3.5829431438126957</c:v>
                </c:pt>
                <c:pt idx="84">
                  <c:v>3.589966555183933</c:v>
                </c:pt>
                <c:pt idx="85">
                  <c:v>3.5969899665551703</c:v>
                </c:pt>
                <c:pt idx="86">
                  <c:v>3.6040133779264076</c:v>
                </c:pt>
                <c:pt idx="87">
                  <c:v>3.6110367892976449</c:v>
                </c:pt>
                <c:pt idx="88">
                  <c:v>3.6180602006688822</c:v>
                </c:pt>
                <c:pt idx="89">
                  <c:v>3.6250836120401195</c:v>
                </c:pt>
                <c:pt idx="90">
                  <c:v>3.6321070234113568</c:v>
                </c:pt>
                <c:pt idx="91">
                  <c:v>3.6391304347825941</c:v>
                </c:pt>
                <c:pt idx="92">
                  <c:v>3.6461538461538314</c:v>
                </c:pt>
                <c:pt idx="93">
                  <c:v>3.6531772575250687</c:v>
                </c:pt>
                <c:pt idx="94">
                  <c:v>3.660200668896306</c:v>
                </c:pt>
                <c:pt idx="95">
                  <c:v>3.6672240802675433</c:v>
                </c:pt>
                <c:pt idx="96">
                  <c:v>3.6742474916387806</c:v>
                </c:pt>
                <c:pt idx="97">
                  <c:v>3.6812709030100179</c:v>
                </c:pt>
                <c:pt idx="98">
                  <c:v>3.6882943143812552</c:v>
                </c:pt>
                <c:pt idx="99">
                  <c:v>3.6953177257524925</c:v>
                </c:pt>
                <c:pt idx="100">
                  <c:v>3.7023411371237298</c:v>
                </c:pt>
                <c:pt idx="101">
                  <c:v>3.7093645484949671</c:v>
                </c:pt>
                <c:pt idx="102">
                  <c:v>3.7163879598662044</c:v>
                </c:pt>
                <c:pt idx="103">
                  <c:v>3.7234113712374417</c:v>
                </c:pt>
                <c:pt idx="104">
                  <c:v>3.730434782608679</c:v>
                </c:pt>
                <c:pt idx="105">
                  <c:v>3.7374581939799163</c:v>
                </c:pt>
                <c:pt idx="106">
                  <c:v>3.7444816053511536</c:v>
                </c:pt>
                <c:pt idx="107">
                  <c:v>3.7515050167223909</c:v>
                </c:pt>
                <c:pt idx="108">
                  <c:v>3.7585284280936282</c:v>
                </c:pt>
                <c:pt idx="109">
                  <c:v>3.7655518394648655</c:v>
                </c:pt>
                <c:pt idx="110">
                  <c:v>3.7725752508361028</c:v>
                </c:pt>
                <c:pt idx="111">
                  <c:v>3.7795986622073401</c:v>
                </c:pt>
                <c:pt idx="112">
                  <c:v>3.7866220735785774</c:v>
                </c:pt>
                <c:pt idx="113">
                  <c:v>3.7936454849498147</c:v>
                </c:pt>
                <c:pt idx="114">
                  <c:v>3.800668896321052</c:v>
                </c:pt>
                <c:pt idx="115">
                  <c:v>3.8076923076922893</c:v>
                </c:pt>
                <c:pt idx="116">
                  <c:v>3.8147157190635266</c:v>
                </c:pt>
                <c:pt idx="117">
                  <c:v>3.8217391304347639</c:v>
                </c:pt>
                <c:pt idx="118">
                  <c:v>3.8287625418060012</c:v>
                </c:pt>
                <c:pt idx="119">
                  <c:v>3.8357859531772385</c:v>
                </c:pt>
                <c:pt idx="120">
                  <c:v>3.8428093645484758</c:v>
                </c:pt>
                <c:pt idx="121">
                  <c:v>3.8498327759197131</c:v>
                </c:pt>
                <c:pt idx="122">
                  <c:v>3.8568561872909504</c:v>
                </c:pt>
                <c:pt idx="123">
                  <c:v>3.8638795986621877</c:v>
                </c:pt>
                <c:pt idx="124">
                  <c:v>3.870903010033425</c:v>
                </c:pt>
                <c:pt idx="125">
                  <c:v>3.8779264214046623</c:v>
                </c:pt>
                <c:pt idx="126">
                  <c:v>3.8849498327758996</c:v>
                </c:pt>
                <c:pt idx="127">
                  <c:v>3.8919732441471369</c:v>
                </c:pt>
                <c:pt idx="128">
                  <c:v>3.8989966555183742</c:v>
                </c:pt>
                <c:pt idx="129">
                  <c:v>3.9060200668896115</c:v>
                </c:pt>
                <c:pt idx="130">
                  <c:v>3.9130434782608488</c:v>
                </c:pt>
                <c:pt idx="131">
                  <c:v>3.920066889632086</c:v>
                </c:pt>
                <c:pt idx="132">
                  <c:v>3.9270903010033233</c:v>
                </c:pt>
                <c:pt idx="133">
                  <c:v>3.9341137123745606</c:v>
                </c:pt>
                <c:pt idx="134">
                  <c:v>3.9411371237457979</c:v>
                </c:pt>
                <c:pt idx="135">
                  <c:v>3.9481605351170352</c:v>
                </c:pt>
                <c:pt idx="136">
                  <c:v>3.9551839464882725</c:v>
                </c:pt>
                <c:pt idx="137">
                  <c:v>3.9622073578595098</c:v>
                </c:pt>
                <c:pt idx="138">
                  <c:v>3.9692307692307471</c:v>
                </c:pt>
                <c:pt idx="139">
                  <c:v>3.9762541806019844</c:v>
                </c:pt>
                <c:pt idx="140">
                  <c:v>3.9832775919732217</c:v>
                </c:pt>
                <c:pt idx="141">
                  <c:v>3.990301003344459</c:v>
                </c:pt>
                <c:pt idx="142">
                  <c:v>3.9973244147156963</c:v>
                </c:pt>
                <c:pt idx="143">
                  <c:v>4.0043478260869341</c:v>
                </c:pt>
                <c:pt idx="144">
                  <c:v>4.0113712374581718</c:v>
                </c:pt>
                <c:pt idx="145">
                  <c:v>4.0183946488294096</c:v>
                </c:pt>
                <c:pt idx="146">
                  <c:v>4.0254180602006473</c:v>
                </c:pt>
                <c:pt idx="147">
                  <c:v>4.032441471571885</c:v>
                </c:pt>
                <c:pt idx="148">
                  <c:v>4.0394648829431228</c:v>
                </c:pt>
                <c:pt idx="149">
                  <c:v>4.0464882943143605</c:v>
                </c:pt>
                <c:pt idx="150">
                  <c:v>4.0535117056855983</c:v>
                </c:pt>
                <c:pt idx="151">
                  <c:v>4.060535117056836</c:v>
                </c:pt>
                <c:pt idx="152">
                  <c:v>4.0675585284280737</c:v>
                </c:pt>
                <c:pt idx="153">
                  <c:v>4.0745819397993115</c:v>
                </c:pt>
                <c:pt idx="154">
                  <c:v>4.0816053511705492</c:v>
                </c:pt>
                <c:pt idx="155">
                  <c:v>4.088628762541787</c:v>
                </c:pt>
                <c:pt idx="156">
                  <c:v>4.0956521739130247</c:v>
                </c:pt>
                <c:pt idx="157">
                  <c:v>4.1026755852842625</c:v>
                </c:pt>
                <c:pt idx="158">
                  <c:v>4.1096989966555002</c:v>
                </c:pt>
                <c:pt idx="159">
                  <c:v>4.1167224080267379</c:v>
                </c:pt>
                <c:pt idx="160">
                  <c:v>4.1237458193979757</c:v>
                </c:pt>
                <c:pt idx="161">
                  <c:v>4.1307692307692134</c:v>
                </c:pt>
                <c:pt idx="162">
                  <c:v>4.1377926421404512</c:v>
                </c:pt>
                <c:pt idx="163">
                  <c:v>4.1448160535116889</c:v>
                </c:pt>
                <c:pt idx="164">
                  <c:v>4.1518394648829267</c:v>
                </c:pt>
                <c:pt idx="165">
                  <c:v>4.1588628762541644</c:v>
                </c:pt>
                <c:pt idx="166">
                  <c:v>4.1658862876254021</c:v>
                </c:pt>
                <c:pt idx="167">
                  <c:v>4.1729096989966399</c:v>
                </c:pt>
                <c:pt idx="168">
                  <c:v>4.1799331103678776</c:v>
                </c:pt>
                <c:pt idx="169">
                  <c:v>4.1869565217391154</c:v>
                </c:pt>
                <c:pt idx="170">
                  <c:v>4.1939799331103531</c:v>
                </c:pt>
                <c:pt idx="171">
                  <c:v>4.2010033444815909</c:v>
                </c:pt>
                <c:pt idx="172">
                  <c:v>4.2080267558528286</c:v>
                </c:pt>
                <c:pt idx="173">
                  <c:v>4.2150501672240663</c:v>
                </c:pt>
                <c:pt idx="174">
                  <c:v>4.2220735785953041</c:v>
                </c:pt>
                <c:pt idx="175">
                  <c:v>4.2290969899665418</c:v>
                </c:pt>
                <c:pt idx="176">
                  <c:v>4.2361204013377796</c:v>
                </c:pt>
                <c:pt idx="177">
                  <c:v>4.2431438127090173</c:v>
                </c:pt>
                <c:pt idx="178">
                  <c:v>4.250167224080255</c:v>
                </c:pt>
                <c:pt idx="179">
                  <c:v>4.2571906354514928</c:v>
                </c:pt>
                <c:pt idx="180">
                  <c:v>4.2642140468227305</c:v>
                </c:pt>
                <c:pt idx="181">
                  <c:v>4.2712374581939683</c:v>
                </c:pt>
                <c:pt idx="182">
                  <c:v>4.278260869565206</c:v>
                </c:pt>
                <c:pt idx="183">
                  <c:v>4.2852842809364438</c:v>
                </c:pt>
                <c:pt idx="184">
                  <c:v>4.2923076923076815</c:v>
                </c:pt>
                <c:pt idx="185">
                  <c:v>4.2993311036789192</c:v>
                </c:pt>
                <c:pt idx="186">
                  <c:v>4.306354515050157</c:v>
                </c:pt>
                <c:pt idx="187">
                  <c:v>4.3133779264213947</c:v>
                </c:pt>
                <c:pt idx="188">
                  <c:v>4.3204013377926325</c:v>
                </c:pt>
                <c:pt idx="189">
                  <c:v>4.3274247491638702</c:v>
                </c:pt>
                <c:pt idx="190">
                  <c:v>4.334448160535108</c:v>
                </c:pt>
                <c:pt idx="191">
                  <c:v>4.3414715719063457</c:v>
                </c:pt>
                <c:pt idx="192">
                  <c:v>4.3484949832775834</c:v>
                </c:pt>
                <c:pt idx="193">
                  <c:v>4.3555183946488212</c:v>
                </c:pt>
                <c:pt idx="194">
                  <c:v>4.3625418060200589</c:v>
                </c:pt>
                <c:pt idx="195">
                  <c:v>4.3695652173912967</c:v>
                </c:pt>
                <c:pt idx="196">
                  <c:v>4.3765886287625344</c:v>
                </c:pt>
                <c:pt idx="197">
                  <c:v>4.3836120401337721</c:v>
                </c:pt>
                <c:pt idx="198">
                  <c:v>4.3906354515050099</c:v>
                </c:pt>
                <c:pt idx="199">
                  <c:v>4.3976588628762476</c:v>
                </c:pt>
                <c:pt idx="200">
                  <c:v>4.4046822742474854</c:v>
                </c:pt>
                <c:pt idx="201">
                  <c:v>4.4117056856187231</c:v>
                </c:pt>
                <c:pt idx="202">
                  <c:v>4.4187290969899609</c:v>
                </c:pt>
                <c:pt idx="203">
                  <c:v>4.4257525083611986</c:v>
                </c:pt>
                <c:pt idx="204">
                  <c:v>4.4327759197324363</c:v>
                </c:pt>
                <c:pt idx="205">
                  <c:v>4.4397993311036741</c:v>
                </c:pt>
                <c:pt idx="206">
                  <c:v>4.4468227424749118</c:v>
                </c:pt>
                <c:pt idx="207">
                  <c:v>4.4538461538461496</c:v>
                </c:pt>
                <c:pt idx="208">
                  <c:v>4.4608695652173873</c:v>
                </c:pt>
                <c:pt idx="209">
                  <c:v>4.4678929765886251</c:v>
                </c:pt>
                <c:pt idx="210">
                  <c:v>4.4749163879598628</c:v>
                </c:pt>
                <c:pt idx="211">
                  <c:v>4.4819397993311005</c:v>
                </c:pt>
                <c:pt idx="212">
                  <c:v>4.4889632107023383</c:v>
                </c:pt>
                <c:pt idx="213">
                  <c:v>4.495986622073576</c:v>
                </c:pt>
                <c:pt idx="214">
                  <c:v>4.5030100334448138</c:v>
                </c:pt>
                <c:pt idx="215">
                  <c:v>4.5100334448160515</c:v>
                </c:pt>
                <c:pt idx="216">
                  <c:v>4.5170568561872892</c:v>
                </c:pt>
                <c:pt idx="217">
                  <c:v>4.524080267558527</c:v>
                </c:pt>
                <c:pt idx="218">
                  <c:v>4.5311036789297647</c:v>
                </c:pt>
                <c:pt idx="219">
                  <c:v>4.5381270903010025</c:v>
                </c:pt>
                <c:pt idx="220">
                  <c:v>4.5451505016722402</c:v>
                </c:pt>
                <c:pt idx="221">
                  <c:v>4.552173913043478</c:v>
                </c:pt>
                <c:pt idx="222">
                  <c:v>4.5591973244147157</c:v>
                </c:pt>
                <c:pt idx="223">
                  <c:v>4.5662207357859534</c:v>
                </c:pt>
                <c:pt idx="224">
                  <c:v>4.5732441471571912</c:v>
                </c:pt>
                <c:pt idx="225">
                  <c:v>4.5802675585284289</c:v>
                </c:pt>
                <c:pt idx="226">
                  <c:v>4.5872909698996667</c:v>
                </c:pt>
                <c:pt idx="227">
                  <c:v>4.5943143812709044</c:v>
                </c:pt>
                <c:pt idx="228">
                  <c:v>4.6013377926421422</c:v>
                </c:pt>
                <c:pt idx="229">
                  <c:v>4.6083612040133799</c:v>
                </c:pt>
                <c:pt idx="230">
                  <c:v>4.6153846153846176</c:v>
                </c:pt>
                <c:pt idx="231">
                  <c:v>4.6224080267558554</c:v>
                </c:pt>
                <c:pt idx="232">
                  <c:v>4.6294314381270931</c:v>
                </c:pt>
                <c:pt idx="233">
                  <c:v>4.6364548494983309</c:v>
                </c:pt>
                <c:pt idx="234">
                  <c:v>4.6434782608695686</c:v>
                </c:pt>
                <c:pt idx="235">
                  <c:v>4.6505016722408064</c:v>
                </c:pt>
                <c:pt idx="236">
                  <c:v>4.6575250836120441</c:v>
                </c:pt>
                <c:pt idx="237">
                  <c:v>4.6645484949832818</c:v>
                </c:pt>
                <c:pt idx="238">
                  <c:v>4.6715719063545196</c:v>
                </c:pt>
                <c:pt idx="239">
                  <c:v>4.6785953177257573</c:v>
                </c:pt>
                <c:pt idx="240">
                  <c:v>4.6856187290969951</c:v>
                </c:pt>
                <c:pt idx="241">
                  <c:v>4.6926421404682328</c:v>
                </c:pt>
                <c:pt idx="242">
                  <c:v>4.6996655518394705</c:v>
                </c:pt>
                <c:pt idx="243">
                  <c:v>4.7066889632107083</c:v>
                </c:pt>
                <c:pt idx="244">
                  <c:v>4.713712374581946</c:v>
                </c:pt>
                <c:pt idx="245">
                  <c:v>4.7207357859531838</c:v>
                </c:pt>
                <c:pt idx="246">
                  <c:v>4.7277591973244215</c:v>
                </c:pt>
                <c:pt idx="247">
                  <c:v>4.7347826086956593</c:v>
                </c:pt>
                <c:pt idx="248">
                  <c:v>4.741806020066897</c:v>
                </c:pt>
                <c:pt idx="249">
                  <c:v>4.7488294314381347</c:v>
                </c:pt>
                <c:pt idx="250">
                  <c:v>4.7558528428093725</c:v>
                </c:pt>
                <c:pt idx="251">
                  <c:v>4.7628762541806102</c:v>
                </c:pt>
                <c:pt idx="252">
                  <c:v>4.769899665551848</c:v>
                </c:pt>
                <c:pt idx="253">
                  <c:v>4.7769230769230857</c:v>
                </c:pt>
                <c:pt idx="254">
                  <c:v>4.7839464882943235</c:v>
                </c:pt>
                <c:pt idx="255">
                  <c:v>4.7909698996655612</c:v>
                </c:pt>
                <c:pt idx="256">
                  <c:v>4.7979933110367989</c:v>
                </c:pt>
                <c:pt idx="257">
                  <c:v>4.8050167224080367</c:v>
                </c:pt>
                <c:pt idx="258">
                  <c:v>4.8120401337792744</c:v>
                </c:pt>
                <c:pt idx="259">
                  <c:v>4.8190635451505122</c:v>
                </c:pt>
                <c:pt idx="260">
                  <c:v>4.8260869565217499</c:v>
                </c:pt>
                <c:pt idx="261">
                  <c:v>4.8331103678929876</c:v>
                </c:pt>
                <c:pt idx="262">
                  <c:v>4.8401337792642254</c:v>
                </c:pt>
                <c:pt idx="263">
                  <c:v>4.8471571906354631</c:v>
                </c:pt>
                <c:pt idx="264">
                  <c:v>4.8541806020067009</c:v>
                </c:pt>
                <c:pt idx="265">
                  <c:v>4.8612040133779386</c:v>
                </c:pt>
                <c:pt idx="266">
                  <c:v>4.8682274247491764</c:v>
                </c:pt>
                <c:pt idx="267">
                  <c:v>4.8752508361204141</c:v>
                </c:pt>
                <c:pt idx="268">
                  <c:v>4.8822742474916518</c:v>
                </c:pt>
                <c:pt idx="269">
                  <c:v>4.8892976588628896</c:v>
                </c:pt>
                <c:pt idx="270">
                  <c:v>4.8963210702341273</c:v>
                </c:pt>
                <c:pt idx="271">
                  <c:v>4.9033444816053651</c:v>
                </c:pt>
                <c:pt idx="272">
                  <c:v>4.9103678929766028</c:v>
                </c:pt>
                <c:pt idx="273">
                  <c:v>4.9173913043478406</c:v>
                </c:pt>
                <c:pt idx="274">
                  <c:v>4.9244147157190783</c:v>
                </c:pt>
                <c:pt idx="275">
                  <c:v>4.931438127090316</c:v>
                </c:pt>
                <c:pt idx="276">
                  <c:v>4.9384615384615538</c:v>
                </c:pt>
                <c:pt idx="277">
                  <c:v>4.9454849498327915</c:v>
                </c:pt>
                <c:pt idx="278">
                  <c:v>4.9525083612040293</c:v>
                </c:pt>
                <c:pt idx="279">
                  <c:v>4.959531772575267</c:v>
                </c:pt>
                <c:pt idx="280">
                  <c:v>4.9665551839465047</c:v>
                </c:pt>
                <c:pt idx="281">
                  <c:v>4.9735785953177425</c:v>
                </c:pt>
                <c:pt idx="282">
                  <c:v>4.9806020066889802</c:v>
                </c:pt>
                <c:pt idx="283">
                  <c:v>4.987625418060218</c:v>
                </c:pt>
                <c:pt idx="284">
                  <c:v>4.9946488294314557</c:v>
                </c:pt>
                <c:pt idx="285">
                  <c:v>5.0016722408026935</c:v>
                </c:pt>
                <c:pt idx="286">
                  <c:v>5.0086956521739312</c:v>
                </c:pt>
                <c:pt idx="287">
                  <c:v>5.0157190635451689</c:v>
                </c:pt>
                <c:pt idx="288">
                  <c:v>5.0227424749164067</c:v>
                </c:pt>
                <c:pt idx="289">
                  <c:v>5.0297658862876444</c:v>
                </c:pt>
                <c:pt idx="290">
                  <c:v>5.0367892976588822</c:v>
                </c:pt>
                <c:pt idx="291">
                  <c:v>5.0438127090301199</c:v>
                </c:pt>
                <c:pt idx="292">
                  <c:v>5.0508361204013577</c:v>
                </c:pt>
                <c:pt idx="293">
                  <c:v>5.0578595317725954</c:v>
                </c:pt>
                <c:pt idx="294">
                  <c:v>5.0648829431438331</c:v>
                </c:pt>
                <c:pt idx="295">
                  <c:v>5.0719063545150709</c:v>
                </c:pt>
                <c:pt idx="296">
                  <c:v>5.0789297658863086</c:v>
                </c:pt>
                <c:pt idx="297">
                  <c:v>5.0859531772575464</c:v>
                </c:pt>
                <c:pt idx="298">
                  <c:v>5.0929765886287841</c:v>
                </c:pt>
                <c:pt idx="299">
                  <c:v>5.1000000000000218</c:v>
                </c:pt>
              </c:numCache>
            </c:numRef>
          </c:cat>
          <c:val>
            <c:numRef>
              <c:f>versicolor_estymacjagęstości!$S$3:$S$302</c:f>
              <c:numCache>
                <c:formatCode>General</c:formatCode>
                <c:ptCount val="300"/>
                <c:pt idx="0">
                  <c:v>0.13416407864998736</c:v>
                </c:pt>
                <c:pt idx="1">
                  <c:v>0.13363463169807729</c:v>
                </c:pt>
                <c:pt idx="2">
                  <c:v>0.13204629084234704</c:v>
                </c:pt>
                <c:pt idx="3">
                  <c:v>0.12939905608279662</c:v>
                </c:pt>
                <c:pt idx="4">
                  <c:v>0.12569292741942603</c:v>
                </c:pt>
                <c:pt idx="5">
                  <c:v>0.12092790485223527</c:v>
                </c:pt>
                <c:pt idx="6">
                  <c:v>0.11510398838122435</c:v>
                </c:pt>
                <c:pt idx="7">
                  <c:v>0.10822117800639328</c:v>
                </c:pt>
                <c:pt idx="8">
                  <c:v>0.10027947372774203</c:v>
                </c:pt>
                <c:pt idx="9">
                  <c:v>9.1278875545270588E-2</c:v>
                </c:pt>
                <c:pt idx="10">
                  <c:v>8.1219383458979E-2</c:v>
                </c:pt>
                <c:pt idx="11">
                  <c:v>7.0100997468867249E-2</c:v>
                </c:pt>
                <c:pt idx="12">
                  <c:v>5.7923717574935328E-2</c:v>
                </c:pt>
                <c:pt idx="13">
                  <c:v>4.4687543777183238E-2</c:v>
                </c:pt>
                <c:pt idx="14">
                  <c:v>3.0392476075610974E-2</c:v>
                </c:pt>
                <c:pt idx="15">
                  <c:v>1.5038514470218567E-2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6.84619329537124E-3</c:v>
                </c:pt>
                <c:pt idx="28">
                  <c:v>3.9066822083044066E-2</c:v>
                </c:pt>
                <c:pt idx="29">
                  <c:v>6.9169663063076536E-2</c:v>
                </c:pt>
                <c:pt idx="30">
                  <c:v>9.7154716235468702E-2</c:v>
                </c:pt>
                <c:pt idx="31">
                  <c:v>0.12302198160022051</c:v>
                </c:pt>
                <c:pt idx="32">
                  <c:v>0.14677145915733197</c:v>
                </c:pt>
                <c:pt idx="33">
                  <c:v>0.16840314890680311</c:v>
                </c:pt>
                <c:pt idx="34">
                  <c:v>0.18791705084863392</c:v>
                </c:pt>
                <c:pt idx="35">
                  <c:v>0.2053131649828244</c:v>
                </c:pt>
                <c:pt idx="36">
                  <c:v>0.22059149130937455</c:v>
                </c:pt>
                <c:pt idx="37">
                  <c:v>0.23375202982828433</c:v>
                </c:pt>
                <c:pt idx="38">
                  <c:v>0.24479478053955381</c:v>
                </c:pt>
                <c:pt idx="39">
                  <c:v>0.25371974344318293</c:v>
                </c:pt>
                <c:pt idx="40">
                  <c:v>0.2605269185391717</c:v>
                </c:pt>
                <c:pt idx="41">
                  <c:v>0.26521630582752015</c:v>
                </c:pt>
                <c:pt idx="42">
                  <c:v>0.26778790530822832</c:v>
                </c:pt>
                <c:pt idx="43">
                  <c:v>0.26824171698129606</c:v>
                </c:pt>
                <c:pt idx="44">
                  <c:v>0.26657774084672359</c:v>
                </c:pt>
                <c:pt idx="45">
                  <c:v>0.26279597690451073</c:v>
                </c:pt>
                <c:pt idx="46">
                  <c:v>0.25689642515465749</c:v>
                </c:pt>
                <c:pt idx="47">
                  <c:v>0.24887908559716393</c:v>
                </c:pt>
                <c:pt idx="48">
                  <c:v>0.23874395823203007</c:v>
                </c:pt>
                <c:pt idx="49">
                  <c:v>0.22649104305925583</c:v>
                </c:pt>
                <c:pt idx="50">
                  <c:v>0.21212034007884131</c:v>
                </c:pt>
                <c:pt idx="51">
                  <c:v>0.19563184929078645</c:v>
                </c:pt>
                <c:pt idx="52">
                  <c:v>0.1770255706950912</c:v>
                </c:pt>
                <c:pt idx="53">
                  <c:v>0.15630150429175566</c:v>
                </c:pt>
                <c:pt idx="54">
                  <c:v>0.13345965008077976</c:v>
                </c:pt>
                <c:pt idx="55">
                  <c:v>0.10850000806216356</c:v>
                </c:pt>
                <c:pt idx="56">
                  <c:v>0.10541036694933512</c:v>
                </c:pt>
                <c:pt idx="57">
                  <c:v>0.10732646068006274</c:v>
                </c:pt>
                <c:pt idx="58">
                  <c:v>0.10500697879550974</c:v>
                </c:pt>
                <c:pt idx="59">
                  <c:v>0.11096835938438074</c:v>
                </c:pt>
                <c:pt idx="60">
                  <c:v>0.13572630732608426</c:v>
                </c:pt>
                <c:pt idx="61">
                  <c:v>0.15836646746014746</c:v>
                </c:pt>
                <c:pt idx="62">
                  <c:v>0.17888883978657033</c:v>
                </c:pt>
                <c:pt idx="63">
                  <c:v>0.19729342430535288</c:v>
                </c:pt>
                <c:pt idx="64">
                  <c:v>0.21358022101649507</c:v>
                </c:pt>
                <c:pt idx="65">
                  <c:v>0.22774922991999694</c:v>
                </c:pt>
                <c:pt idx="66">
                  <c:v>0.23980045101585848</c:v>
                </c:pt>
                <c:pt idx="67">
                  <c:v>0.24973388430407967</c:v>
                </c:pt>
                <c:pt idx="68">
                  <c:v>0.2575495297846605</c:v>
                </c:pt>
                <c:pt idx="69">
                  <c:v>0.26324738745760107</c:v>
                </c:pt>
                <c:pt idx="70">
                  <c:v>0.27496155133858685</c:v>
                </c:pt>
                <c:pt idx="71">
                  <c:v>0.29223160667470705</c:v>
                </c:pt>
                <c:pt idx="72">
                  <c:v>0.30632498029936667</c:v>
                </c:pt>
                <c:pt idx="73">
                  <c:v>0.31724167221256583</c:v>
                </c:pt>
                <c:pt idx="74">
                  <c:v>0.32498168241430453</c:v>
                </c:pt>
                <c:pt idx="75">
                  <c:v>0.3295450109045826</c:v>
                </c:pt>
                <c:pt idx="76">
                  <c:v>0.33093165768340022</c:v>
                </c:pt>
                <c:pt idx="77">
                  <c:v>0.32914162275075737</c:v>
                </c:pt>
                <c:pt idx="78">
                  <c:v>0.32417490610665406</c:v>
                </c:pt>
                <c:pt idx="79">
                  <c:v>0.31603150775109012</c:v>
                </c:pt>
                <c:pt idx="80">
                  <c:v>0.30471142768406578</c:v>
                </c:pt>
                <c:pt idx="81">
                  <c:v>0.29021466590558087</c:v>
                </c:pt>
                <c:pt idx="82">
                  <c:v>0.2725412224156355</c:v>
                </c:pt>
                <c:pt idx="83">
                  <c:v>0.25169109721422961</c:v>
                </c:pt>
                <c:pt idx="84">
                  <c:v>0.23187855597693752</c:v>
                </c:pt>
                <c:pt idx="85">
                  <c:v>0.22073495822721897</c:v>
                </c:pt>
                <c:pt idx="86">
                  <c:v>0.20535578486221973</c:v>
                </c:pt>
                <c:pt idx="87">
                  <c:v>0.1857410358819398</c:v>
                </c:pt>
                <c:pt idx="88">
                  <c:v>0.19276371149457172</c:v>
                </c:pt>
                <c:pt idx="89">
                  <c:v>0.20133570976359658</c:v>
                </c:pt>
                <c:pt idx="90">
                  <c:v>0.20778992022498119</c:v>
                </c:pt>
                <c:pt idx="91">
                  <c:v>0.21212634287872545</c:v>
                </c:pt>
                <c:pt idx="92">
                  <c:v>0.21434497772482936</c:v>
                </c:pt>
                <c:pt idx="93">
                  <c:v>0.21444582476329294</c:v>
                </c:pt>
                <c:pt idx="94">
                  <c:v>0.21242888399411616</c:v>
                </c:pt>
                <c:pt idx="95">
                  <c:v>0.20829415541729904</c:v>
                </c:pt>
                <c:pt idx="96">
                  <c:v>0.20204163903284167</c:v>
                </c:pt>
                <c:pt idx="97">
                  <c:v>0.19367133484074386</c:v>
                </c:pt>
                <c:pt idx="98">
                  <c:v>0.18341765217738679</c:v>
                </c:pt>
                <c:pt idx="99">
                  <c:v>0.18712378084076461</c:v>
                </c:pt>
                <c:pt idx="100">
                  <c:v>0.18765322779268193</c:v>
                </c:pt>
                <c:pt idx="101">
                  <c:v>0.18500599303313872</c:v>
                </c:pt>
                <c:pt idx="102">
                  <c:v>0.19041061393052325</c:v>
                </c:pt>
                <c:pt idx="103">
                  <c:v>0.19948684739184408</c:v>
                </c:pt>
                <c:pt idx="104">
                  <c:v>0.20644529304552464</c:v>
                </c:pt>
                <c:pt idx="105">
                  <c:v>0.21128595089156482</c:v>
                </c:pt>
                <c:pt idx="106">
                  <c:v>0.21400882092996473</c:v>
                </c:pt>
                <c:pt idx="107">
                  <c:v>0.21461390316072423</c:v>
                </c:pt>
                <c:pt idx="108">
                  <c:v>0.21310119758384344</c:v>
                </c:pt>
                <c:pt idx="109">
                  <c:v>0.20947070419932232</c:v>
                </c:pt>
                <c:pt idx="110">
                  <c:v>0.20372242300716084</c:v>
                </c:pt>
                <c:pt idx="111">
                  <c:v>0.19585635400735907</c:v>
                </c:pt>
                <c:pt idx="112">
                  <c:v>0.18587249719991686</c:v>
                </c:pt>
                <c:pt idx="113">
                  <c:v>0.21204680577985871</c:v>
                </c:pt>
                <c:pt idx="114">
                  <c:v>0.24434306984638821</c:v>
                </c:pt>
                <c:pt idx="115">
                  <c:v>0.27134486439381683</c:v>
                </c:pt>
                <c:pt idx="116">
                  <c:v>0.30013279205390764</c:v>
                </c:pt>
                <c:pt idx="117">
                  <c:v>0.33437036161077166</c:v>
                </c:pt>
                <c:pt idx="118">
                  <c:v>0.36437235555235509</c:v>
                </c:pt>
                <c:pt idx="119">
                  <c:v>0.39013877387865775</c:v>
                </c:pt>
                <c:pt idx="120">
                  <c:v>0.41166961658967977</c:v>
                </c:pt>
                <c:pt idx="121">
                  <c:v>0.42896488368542113</c:v>
                </c:pt>
                <c:pt idx="122">
                  <c:v>0.44202457516588189</c:v>
                </c:pt>
                <c:pt idx="123">
                  <c:v>0.45084869103106179</c:v>
                </c:pt>
                <c:pt idx="124">
                  <c:v>0.45543723128096114</c:v>
                </c:pt>
                <c:pt idx="125">
                  <c:v>0.45579019591557995</c:v>
                </c:pt>
                <c:pt idx="126">
                  <c:v>0.45190758493491789</c:v>
                </c:pt>
                <c:pt idx="127">
                  <c:v>0.48834367995795491</c:v>
                </c:pt>
                <c:pt idx="128">
                  <c:v>0.55477666654289204</c:v>
                </c:pt>
                <c:pt idx="129">
                  <c:v>0.61167960799344789</c:v>
                </c:pt>
                <c:pt idx="130">
                  <c:v>0.66204520020384405</c:v>
                </c:pt>
                <c:pt idx="131">
                  <c:v>0.71746064783712593</c:v>
                </c:pt>
                <c:pt idx="132">
                  <c:v>0.76440494423984651</c:v>
                </c:pt>
                <c:pt idx="133">
                  <c:v>0.80287808941200545</c:v>
                </c:pt>
                <c:pt idx="134">
                  <c:v>0.83288008335360342</c:v>
                </c:pt>
                <c:pt idx="135">
                  <c:v>0.85441092606463986</c:v>
                </c:pt>
                <c:pt idx="136">
                  <c:v>0.8674706175451149</c:v>
                </c:pt>
                <c:pt idx="137">
                  <c:v>0.87205915779502885</c:v>
                </c:pt>
                <c:pt idx="138">
                  <c:v>0.86817654681438128</c:v>
                </c:pt>
                <c:pt idx="139">
                  <c:v>0.85582278460317252</c:v>
                </c:pt>
                <c:pt idx="140">
                  <c:v>0.83499787116140223</c:v>
                </c:pt>
                <c:pt idx="141">
                  <c:v>0.82071090723957629</c:v>
                </c:pt>
                <c:pt idx="142">
                  <c:v>0.83097209340282363</c:v>
                </c:pt>
                <c:pt idx="143">
                  <c:v>0.82958544662404854</c:v>
                </c:pt>
                <c:pt idx="144">
                  <c:v>0.81655096690325035</c:v>
                </c:pt>
                <c:pt idx="145">
                  <c:v>0.84072454227374993</c:v>
                </c:pt>
                <c:pt idx="146">
                  <c:v>0.85953251494639293</c:v>
                </c:pt>
                <c:pt idx="147">
                  <c:v>0.8698693363884733</c:v>
                </c:pt>
                <c:pt idx="148">
                  <c:v>0.87173500659999181</c:v>
                </c:pt>
                <c:pt idx="149">
                  <c:v>0.86512952558094747</c:v>
                </c:pt>
                <c:pt idx="150">
                  <c:v>0.85005289333134093</c:v>
                </c:pt>
                <c:pt idx="151">
                  <c:v>0.82650510985117176</c:v>
                </c:pt>
                <c:pt idx="152">
                  <c:v>0.79448617514044051</c:v>
                </c:pt>
                <c:pt idx="153">
                  <c:v>0.75399608919914674</c:v>
                </c:pt>
                <c:pt idx="154">
                  <c:v>0.70503485202729044</c:v>
                </c:pt>
                <c:pt idx="155">
                  <c:v>0.65174319500141797</c:v>
                </c:pt>
                <c:pt idx="156">
                  <c:v>0.65088599517455004</c:v>
                </c:pt>
                <c:pt idx="157">
                  <c:v>0.63732206850183837</c:v>
                </c:pt>
                <c:pt idx="158">
                  <c:v>0.61105141498328319</c:v>
                </c:pt>
                <c:pt idx="159">
                  <c:v>0.63240067299687563</c:v>
                </c:pt>
                <c:pt idx="160">
                  <c:v>0.67135284160171083</c:v>
                </c:pt>
                <c:pt idx="161">
                  <c:v>0.70289275287980413</c:v>
                </c:pt>
                <c:pt idx="162">
                  <c:v>0.72702040683115532</c:v>
                </c:pt>
                <c:pt idx="163">
                  <c:v>0.74373580345576429</c:v>
                </c:pt>
                <c:pt idx="164">
                  <c:v>0.75303894275363126</c:v>
                </c:pt>
                <c:pt idx="165">
                  <c:v>0.75492982472475612</c:v>
                </c:pt>
                <c:pt idx="166">
                  <c:v>0.74940844936913864</c:v>
                </c:pt>
                <c:pt idx="167">
                  <c:v>0.73647481668677917</c:v>
                </c:pt>
                <c:pt idx="168">
                  <c:v>0.7161289266776778</c:v>
                </c:pt>
                <c:pt idx="169">
                  <c:v>0.68837077934183422</c:v>
                </c:pt>
                <c:pt idx="170">
                  <c:v>0.68024238798598291</c:v>
                </c:pt>
                <c:pt idx="171">
                  <c:v>0.66856934328436501</c:v>
                </c:pt>
                <c:pt idx="172">
                  <c:v>0.6473662534483644</c:v>
                </c:pt>
                <c:pt idx="173">
                  <c:v>0.64034928049550033</c:v>
                </c:pt>
                <c:pt idx="174">
                  <c:v>0.6537115130913399</c:v>
                </c:pt>
                <c:pt idx="175">
                  <c:v>0.66072038226425767</c:v>
                </c:pt>
                <c:pt idx="176">
                  <c:v>0.66137588801425351</c:v>
                </c:pt>
                <c:pt idx="177">
                  <c:v>0.65567803034132788</c:v>
                </c:pt>
                <c:pt idx="178">
                  <c:v>0.6436268092454801</c:v>
                </c:pt>
                <c:pt idx="179">
                  <c:v>0.62522222472671063</c:v>
                </c:pt>
                <c:pt idx="180">
                  <c:v>0.60046427678501946</c:v>
                </c:pt>
                <c:pt idx="181">
                  <c:v>0.56935296542040648</c:v>
                </c:pt>
                <c:pt idx="182">
                  <c:v>0.53188829063287169</c:v>
                </c:pt>
                <c:pt idx="183">
                  <c:v>0.48807025242241492</c:v>
                </c:pt>
                <c:pt idx="184">
                  <c:v>0.47663972083697698</c:v>
                </c:pt>
                <c:pt idx="185">
                  <c:v>0.4829426607406852</c:v>
                </c:pt>
                <c:pt idx="186">
                  <c:v>0.47865666160619058</c:v>
                </c:pt>
                <c:pt idx="187">
                  <c:v>0.47900362344080533</c:v>
                </c:pt>
                <c:pt idx="188">
                  <c:v>0.52403182611278998</c:v>
                </c:pt>
                <c:pt idx="189">
                  <c:v>0.5627066653618531</c:v>
                </c:pt>
                <c:pt idx="190">
                  <c:v>0.59502814118799419</c:v>
                </c:pt>
                <c:pt idx="191">
                  <c:v>0.62099625359121369</c:v>
                </c:pt>
                <c:pt idx="192">
                  <c:v>0.64061100257151116</c:v>
                </c:pt>
                <c:pt idx="193">
                  <c:v>0.65387238812888682</c:v>
                </c:pt>
                <c:pt idx="194">
                  <c:v>0.66078041026334078</c:v>
                </c:pt>
                <c:pt idx="195">
                  <c:v>0.66133506897487293</c:v>
                </c:pt>
                <c:pt idx="196">
                  <c:v>0.65553636426348327</c:v>
                </c:pt>
                <c:pt idx="197">
                  <c:v>0.64338429612917192</c:v>
                </c:pt>
                <c:pt idx="198">
                  <c:v>0.66540466717259628</c:v>
                </c:pt>
                <c:pt idx="199">
                  <c:v>0.75225917904548545</c:v>
                </c:pt>
                <c:pt idx="200">
                  <c:v>0.8253480701687107</c:v>
                </c:pt>
                <c:pt idx="201">
                  <c:v>0.88467134054227237</c:v>
                </c:pt>
                <c:pt idx="202">
                  <c:v>0.96450197624245415</c:v>
                </c:pt>
                <c:pt idx="203">
                  <c:v>1.0331535976734769</c:v>
                </c:pt>
                <c:pt idx="204">
                  <c:v>1.0901573861624763</c:v>
                </c:pt>
                <c:pt idx="205">
                  <c:v>1.1355133417094525</c:v>
                </c:pt>
                <c:pt idx="206">
                  <c:v>1.1692214643144057</c:v>
                </c:pt>
                <c:pt idx="207">
                  <c:v>1.191281753977335</c:v>
                </c:pt>
                <c:pt idx="208">
                  <c:v>1.2016942106982416</c:v>
                </c:pt>
                <c:pt idx="209">
                  <c:v>1.2004588344771245</c:v>
                </c:pt>
                <c:pt idx="210">
                  <c:v>1.187575625313984</c:v>
                </c:pt>
                <c:pt idx="211">
                  <c:v>1.1630445832088203</c:v>
                </c:pt>
                <c:pt idx="212">
                  <c:v>1.1323663738575662</c:v>
                </c:pt>
                <c:pt idx="213">
                  <c:v>1.1331731501652447</c:v>
                </c:pt>
                <c:pt idx="214">
                  <c:v>1.1191554118194385</c:v>
                </c:pt>
                <c:pt idx="215">
                  <c:v>1.0903131588201482</c:v>
                </c:pt>
                <c:pt idx="216">
                  <c:v>1.0982644675786348</c:v>
                </c:pt>
                <c:pt idx="217">
                  <c:v>1.112483900001366</c:v>
                </c:pt>
                <c:pt idx="218">
                  <c:v>1.1161143933858941</c:v>
                </c:pt>
                <c:pt idx="219">
                  <c:v>1.1091559477322201</c:v>
                </c:pt>
                <c:pt idx="220">
                  <c:v>1.091608563040342</c:v>
                </c:pt>
                <c:pt idx="221">
                  <c:v>1.0634722393102618</c:v>
                </c:pt>
                <c:pt idx="222">
                  <c:v>1.0247469765419779</c:v>
                </c:pt>
                <c:pt idx="223">
                  <c:v>0.97543277473549139</c:v>
                </c:pt>
                <c:pt idx="224">
                  <c:v>0.91552963389080178</c:v>
                </c:pt>
                <c:pt idx="225">
                  <c:v>0.84503755400790892</c:v>
                </c:pt>
                <c:pt idx="226">
                  <c:v>0.76395653508681305</c:v>
                </c:pt>
                <c:pt idx="227">
                  <c:v>0.74369138273647084</c:v>
                </c:pt>
                <c:pt idx="228">
                  <c:v>0.71845441136208421</c:v>
                </c:pt>
                <c:pt idx="229">
                  <c:v>0.67733403143039328</c:v>
                </c:pt>
                <c:pt idx="230">
                  <c:v>0.68145825510740787</c:v>
                </c:pt>
                <c:pt idx="231">
                  <c:v>0.73404998566381108</c:v>
                </c:pt>
                <c:pt idx="232">
                  <c:v>0.77817056498965165</c:v>
                </c:pt>
                <c:pt idx="233">
                  <c:v>0.81381999308493014</c:v>
                </c:pt>
                <c:pt idx="234">
                  <c:v>0.84099826994964633</c:v>
                </c:pt>
                <c:pt idx="235">
                  <c:v>0.85970539558379988</c:v>
                </c:pt>
                <c:pt idx="236">
                  <c:v>0.86994136998739091</c:v>
                </c:pt>
                <c:pt idx="237">
                  <c:v>0.87170619316041975</c:v>
                </c:pt>
                <c:pt idx="238">
                  <c:v>0.86499986510288629</c:v>
                </c:pt>
                <c:pt idx="239">
                  <c:v>0.84982238581479019</c:v>
                </c:pt>
                <c:pt idx="240">
                  <c:v>0.8261737552961318</c:v>
                </c:pt>
                <c:pt idx="241">
                  <c:v>0.81496832870736757</c:v>
                </c:pt>
                <c:pt idx="242">
                  <c:v>0.80569040116912438</c:v>
                </c:pt>
                <c:pt idx="243">
                  <c:v>0.7858235345926784</c:v>
                </c:pt>
                <c:pt idx="244">
                  <c:v>0.76922969466626823</c:v>
                </c:pt>
                <c:pt idx="245">
                  <c:v>0.78120528048327642</c:v>
                </c:pt>
                <c:pt idx="246">
                  <c:v>0.78576860897354228</c:v>
                </c:pt>
                <c:pt idx="247">
                  <c:v>0.78291968013706648</c:v>
                </c:pt>
                <c:pt idx="248">
                  <c:v>0.77265849397384823</c:v>
                </c:pt>
                <c:pt idx="249">
                  <c:v>0.75498505048388798</c:v>
                </c:pt>
                <c:pt idx="250">
                  <c:v>0.72989934966718573</c:v>
                </c:pt>
                <c:pt idx="251">
                  <c:v>0.69740139152374114</c:v>
                </c:pt>
                <c:pt idx="252">
                  <c:v>0.65749117605355456</c:v>
                </c:pt>
                <c:pt idx="253">
                  <c:v>0.61016870325662598</c:v>
                </c:pt>
                <c:pt idx="254">
                  <c:v>0.55543397313295517</c:v>
                </c:pt>
                <c:pt idx="255">
                  <c:v>0.50643371776170365</c:v>
                </c:pt>
                <c:pt idx="256">
                  <c:v>0.46869171361838313</c:v>
                </c:pt>
                <c:pt idx="257">
                  <c:v>0.42141966434068018</c:v>
                </c:pt>
                <c:pt idx="258">
                  <c:v>0.36746139638526143</c:v>
                </c:pt>
                <c:pt idx="259">
                  <c:v>0.38823588630782407</c:v>
                </c:pt>
                <c:pt idx="260">
                  <c:v>0.40477480061510557</c:v>
                </c:pt>
                <c:pt idx="261">
                  <c:v>0.4170781393071058</c:v>
                </c:pt>
                <c:pt idx="262">
                  <c:v>0.42514590238382488</c:v>
                </c:pt>
                <c:pt idx="263">
                  <c:v>0.42897808984526281</c:v>
                </c:pt>
                <c:pt idx="264">
                  <c:v>0.42857470169141948</c:v>
                </c:pt>
                <c:pt idx="265">
                  <c:v>0.423935737922295</c:v>
                </c:pt>
                <c:pt idx="266">
                  <c:v>0.41506119853788914</c:v>
                </c:pt>
                <c:pt idx="267">
                  <c:v>0.40195108353820219</c:v>
                </c:pt>
                <c:pt idx="268">
                  <c:v>0.38460539292323409</c:v>
                </c:pt>
                <c:pt idx="269">
                  <c:v>0.36565365319283744</c:v>
                </c:pt>
                <c:pt idx="270">
                  <c:v>0.3559975492603713</c:v>
                </c:pt>
                <c:pt idx="271">
                  <c:v>0.34104697580880344</c:v>
                </c:pt>
                <c:pt idx="272">
                  <c:v>0.32080193283813424</c:v>
                </c:pt>
                <c:pt idx="273">
                  <c:v>0.32275464364835899</c:v>
                </c:pt>
                <c:pt idx="274">
                  <c:v>0.32837686604244581</c:v>
                </c:pt>
                <c:pt idx="275">
                  <c:v>0.33082240672507174</c:v>
                </c:pt>
                <c:pt idx="276">
                  <c:v>0.33009126569623665</c:v>
                </c:pt>
                <c:pt idx="277">
                  <c:v>0.32618344295594071</c:v>
                </c:pt>
                <c:pt idx="278">
                  <c:v>0.3190989385041838</c:v>
                </c:pt>
                <c:pt idx="279">
                  <c:v>0.30883775234096611</c:v>
                </c:pt>
                <c:pt idx="280">
                  <c:v>0.29539988446628751</c:v>
                </c:pt>
                <c:pt idx="281">
                  <c:v>0.27878533488014789</c:v>
                </c:pt>
                <c:pt idx="282">
                  <c:v>0.25899410358254749</c:v>
                </c:pt>
                <c:pt idx="283">
                  <c:v>0.23602619057348617</c:v>
                </c:pt>
                <c:pt idx="284">
                  <c:v>0.22492011032321757</c:v>
                </c:pt>
                <c:pt idx="285">
                  <c:v>0.21095279549662546</c:v>
                </c:pt>
                <c:pt idx="286">
                  <c:v>0.19274990505475209</c:v>
                </c:pt>
                <c:pt idx="287">
                  <c:v>0.18943575922546982</c:v>
                </c:pt>
                <c:pt idx="288">
                  <c:v>0.19871368676369883</c:v>
                </c:pt>
                <c:pt idx="289">
                  <c:v>0.2058738264942872</c:v>
                </c:pt>
                <c:pt idx="290">
                  <c:v>0.21091617841723498</c:v>
                </c:pt>
                <c:pt idx="291">
                  <c:v>0.21384074253254218</c:v>
                </c:pt>
                <c:pt idx="292">
                  <c:v>0.21464751884020875</c:v>
                </c:pt>
                <c:pt idx="293">
                  <c:v>0.21333650734023471</c:v>
                </c:pt>
                <c:pt idx="294">
                  <c:v>0.2099077080326201</c:v>
                </c:pt>
                <c:pt idx="295">
                  <c:v>0.20436112091736489</c:v>
                </c:pt>
                <c:pt idx="296">
                  <c:v>0.19669674599446907</c:v>
                </c:pt>
                <c:pt idx="297">
                  <c:v>0.18691458326393259</c:v>
                </c:pt>
                <c:pt idx="298">
                  <c:v>0.17501463272575557</c:v>
                </c:pt>
                <c:pt idx="299">
                  <c:v>0.16099689437993794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C9-4B18-B9EF-2DF1B508B901}"/>
            </c:ext>
          </c:extLst>
        </c:ser>
        <c:ser>
          <c:idx val="3"/>
          <c:order val="3"/>
          <c:tx>
            <c:v>Epanecznikow, duża szerokość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versicolor_estymacjagęstości!$K$3:$K$302</c:f>
              <c:numCache>
                <c:formatCode>General</c:formatCode>
                <c:ptCount val="300"/>
                <c:pt idx="0">
                  <c:v>3</c:v>
                </c:pt>
                <c:pt idx="1">
                  <c:v>3.0070234113712373</c:v>
                </c:pt>
                <c:pt idx="2">
                  <c:v>3.0140468227424746</c:v>
                </c:pt>
                <c:pt idx="3">
                  <c:v>3.0210702341137119</c:v>
                </c:pt>
                <c:pt idx="4">
                  <c:v>3.0280936454849492</c:v>
                </c:pt>
                <c:pt idx="5">
                  <c:v>3.0351170568561865</c:v>
                </c:pt>
                <c:pt idx="6">
                  <c:v>3.0421404682274238</c:v>
                </c:pt>
                <c:pt idx="7">
                  <c:v>3.0491638795986611</c:v>
                </c:pt>
                <c:pt idx="8">
                  <c:v>3.0561872909698984</c:v>
                </c:pt>
                <c:pt idx="9">
                  <c:v>3.0632107023411357</c:v>
                </c:pt>
                <c:pt idx="10">
                  <c:v>3.070234113712373</c:v>
                </c:pt>
                <c:pt idx="11">
                  <c:v>3.0772575250836103</c:v>
                </c:pt>
                <c:pt idx="12">
                  <c:v>3.0842809364548476</c:v>
                </c:pt>
                <c:pt idx="13">
                  <c:v>3.0913043478260849</c:v>
                </c:pt>
                <c:pt idx="14">
                  <c:v>3.0983277591973222</c:v>
                </c:pt>
                <c:pt idx="15">
                  <c:v>3.1053511705685595</c:v>
                </c:pt>
                <c:pt idx="16">
                  <c:v>3.1123745819397968</c:v>
                </c:pt>
                <c:pt idx="17">
                  <c:v>3.1193979933110341</c:v>
                </c:pt>
                <c:pt idx="18">
                  <c:v>3.1264214046822714</c:v>
                </c:pt>
                <c:pt idx="19">
                  <c:v>3.1334448160535087</c:v>
                </c:pt>
                <c:pt idx="20">
                  <c:v>3.140468227424746</c:v>
                </c:pt>
                <c:pt idx="21">
                  <c:v>3.1474916387959833</c:v>
                </c:pt>
                <c:pt idx="22">
                  <c:v>3.1545150501672206</c:v>
                </c:pt>
                <c:pt idx="23">
                  <c:v>3.1615384615384579</c:v>
                </c:pt>
                <c:pt idx="24">
                  <c:v>3.1685618729096952</c:v>
                </c:pt>
                <c:pt idx="25">
                  <c:v>3.1755852842809325</c:v>
                </c:pt>
                <c:pt idx="26">
                  <c:v>3.1826086956521698</c:v>
                </c:pt>
                <c:pt idx="27">
                  <c:v>3.189632107023407</c:v>
                </c:pt>
                <c:pt idx="28">
                  <c:v>3.1966555183946443</c:v>
                </c:pt>
                <c:pt idx="29">
                  <c:v>3.2036789297658816</c:v>
                </c:pt>
                <c:pt idx="30">
                  <c:v>3.2107023411371189</c:v>
                </c:pt>
                <c:pt idx="31">
                  <c:v>3.2177257525083562</c:v>
                </c:pt>
                <c:pt idx="32">
                  <c:v>3.2247491638795935</c:v>
                </c:pt>
                <c:pt idx="33">
                  <c:v>3.2317725752508308</c:v>
                </c:pt>
                <c:pt idx="34">
                  <c:v>3.2387959866220681</c:v>
                </c:pt>
                <c:pt idx="35">
                  <c:v>3.2458193979933054</c:v>
                </c:pt>
                <c:pt idx="36">
                  <c:v>3.2528428093645427</c:v>
                </c:pt>
                <c:pt idx="37">
                  <c:v>3.25986622073578</c:v>
                </c:pt>
                <c:pt idx="38">
                  <c:v>3.2668896321070173</c:v>
                </c:pt>
                <c:pt idx="39">
                  <c:v>3.2739130434782546</c:v>
                </c:pt>
                <c:pt idx="40">
                  <c:v>3.2809364548494919</c:v>
                </c:pt>
                <c:pt idx="41">
                  <c:v>3.2879598662207292</c:v>
                </c:pt>
                <c:pt idx="42">
                  <c:v>3.2949832775919665</c:v>
                </c:pt>
                <c:pt idx="43">
                  <c:v>3.3020066889632038</c:v>
                </c:pt>
                <c:pt idx="44">
                  <c:v>3.3090301003344411</c:v>
                </c:pt>
                <c:pt idx="45">
                  <c:v>3.3160535117056784</c:v>
                </c:pt>
                <c:pt idx="46">
                  <c:v>3.3230769230769157</c:v>
                </c:pt>
                <c:pt idx="47">
                  <c:v>3.330100334448153</c:v>
                </c:pt>
                <c:pt idx="48">
                  <c:v>3.3371237458193903</c:v>
                </c:pt>
                <c:pt idx="49">
                  <c:v>3.3441471571906276</c:v>
                </c:pt>
                <c:pt idx="50">
                  <c:v>3.3511705685618649</c:v>
                </c:pt>
                <c:pt idx="51">
                  <c:v>3.3581939799331022</c:v>
                </c:pt>
                <c:pt idx="52">
                  <c:v>3.3652173913043395</c:v>
                </c:pt>
                <c:pt idx="53">
                  <c:v>3.3722408026755768</c:v>
                </c:pt>
                <c:pt idx="54">
                  <c:v>3.3792642140468141</c:v>
                </c:pt>
                <c:pt idx="55">
                  <c:v>3.3862876254180514</c:v>
                </c:pt>
                <c:pt idx="56">
                  <c:v>3.3933110367892887</c:v>
                </c:pt>
                <c:pt idx="57">
                  <c:v>3.400334448160526</c:v>
                </c:pt>
                <c:pt idx="58">
                  <c:v>3.4073578595317633</c:v>
                </c:pt>
                <c:pt idx="59">
                  <c:v>3.4143812709030006</c:v>
                </c:pt>
                <c:pt idx="60">
                  <c:v>3.4214046822742379</c:v>
                </c:pt>
                <c:pt idx="61">
                  <c:v>3.4284280936454752</c:v>
                </c:pt>
                <c:pt idx="62">
                  <c:v>3.4354515050167125</c:v>
                </c:pt>
                <c:pt idx="63">
                  <c:v>3.4424749163879498</c:v>
                </c:pt>
                <c:pt idx="64">
                  <c:v>3.4494983277591871</c:v>
                </c:pt>
                <c:pt idx="65">
                  <c:v>3.4565217391304244</c:v>
                </c:pt>
                <c:pt idx="66">
                  <c:v>3.4635451505016617</c:v>
                </c:pt>
                <c:pt idx="67">
                  <c:v>3.470568561872899</c:v>
                </c:pt>
                <c:pt idx="68">
                  <c:v>3.4775919732441363</c:v>
                </c:pt>
                <c:pt idx="69">
                  <c:v>3.4846153846153736</c:v>
                </c:pt>
                <c:pt idx="70">
                  <c:v>3.4916387959866109</c:v>
                </c:pt>
                <c:pt idx="71">
                  <c:v>3.4986622073578482</c:v>
                </c:pt>
                <c:pt idx="72">
                  <c:v>3.5056856187290855</c:v>
                </c:pt>
                <c:pt idx="73">
                  <c:v>3.5127090301003228</c:v>
                </c:pt>
                <c:pt idx="74">
                  <c:v>3.5197324414715601</c:v>
                </c:pt>
                <c:pt idx="75">
                  <c:v>3.5267558528427974</c:v>
                </c:pt>
                <c:pt idx="76">
                  <c:v>3.5337792642140347</c:v>
                </c:pt>
                <c:pt idx="77">
                  <c:v>3.540802675585272</c:v>
                </c:pt>
                <c:pt idx="78">
                  <c:v>3.5478260869565093</c:v>
                </c:pt>
                <c:pt idx="79">
                  <c:v>3.5548494983277465</c:v>
                </c:pt>
                <c:pt idx="80">
                  <c:v>3.5618729096989838</c:v>
                </c:pt>
                <c:pt idx="81">
                  <c:v>3.5688963210702211</c:v>
                </c:pt>
                <c:pt idx="82">
                  <c:v>3.5759197324414584</c:v>
                </c:pt>
                <c:pt idx="83">
                  <c:v>3.5829431438126957</c:v>
                </c:pt>
                <c:pt idx="84">
                  <c:v>3.589966555183933</c:v>
                </c:pt>
                <c:pt idx="85">
                  <c:v>3.5969899665551703</c:v>
                </c:pt>
                <c:pt idx="86">
                  <c:v>3.6040133779264076</c:v>
                </c:pt>
                <c:pt idx="87">
                  <c:v>3.6110367892976449</c:v>
                </c:pt>
                <c:pt idx="88">
                  <c:v>3.6180602006688822</c:v>
                </c:pt>
                <c:pt idx="89">
                  <c:v>3.6250836120401195</c:v>
                </c:pt>
                <c:pt idx="90">
                  <c:v>3.6321070234113568</c:v>
                </c:pt>
                <c:pt idx="91">
                  <c:v>3.6391304347825941</c:v>
                </c:pt>
                <c:pt idx="92">
                  <c:v>3.6461538461538314</c:v>
                </c:pt>
                <c:pt idx="93">
                  <c:v>3.6531772575250687</c:v>
                </c:pt>
                <c:pt idx="94">
                  <c:v>3.660200668896306</c:v>
                </c:pt>
                <c:pt idx="95">
                  <c:v>3.6672240802675433</c:v>
                </c:pt>
                <c:pt idx="96">
                  <c:v>3.6742474916387806</c:v>
                </c:pt>
                <c:pt idx="97">
                  <c:v>3.6812709030100179</c:v>
                </c:pt>
                <c:pt idx="98">
                  <c:v>3.6882943143812552</c:v>
                </c:pt>
                <c:pt idx="99">
                  <c:v>3.6953177257524925</c:v>
                </c:pt>
                <c:pt idx="100">
                  <c:v>3.7023411371237298</c:v>
                </c:pt>
                <c:pt idx="101">
                  <c:v>3.7093645484949671</c:v>
                </c:pt>
                <c:pt idx="102">
                  <c:v>3.7163879598662044</c:v>
                </c:pt>
                <c:pt idx="103">
                  <c:v>3.7234113712374417</c:v>
                </c:pt>
                <c:pt idx="104">
                  <c:v>3.730434782608679</c:v>
                </c:pt>
                <c:pt idx="105">
                  <c:v>3.7374581939799163</c:v>
                </c:pt>
                <c:pt idx="106">
                  <c:v>3.7444816053511536</c:v>
                </c:pt>
                <c:pt idx="107">
                  <c:v>3.7515050167223909</c:v>
                </c:pt>
                <c:pt idx="108">
                  <c:v>3.7585284280936282</c:v>
                </c:pt>
                <c:pt idx="109">
                  <c:v>3.7655518394648655</c:v>
                </c:pt>
                <c:pt idx="110">
                  <c:v>3.7725752508361028</c:v>
                </c:pt>
                <c:pt idx="111">
                  <c:v>3.7795986622073401</c:v>
                </c:pt>
                <c:pt idx="112">
                  <c:v>3.7866220735785774</c:v>
                </c:pt>
                <c:pt idx="113">
                  <c:v>3.7936454849498147</c:v>
                </c:pt>
                <c:pt idx="114">
                  <c:v>3.800668896321052</c:v>
                </c:pt>
                <c:pt idx="115">
                  <c:v>3.8076923076922893</c:v>
                </c:pt>
                <c:pt idx="116">
                  <c:v>3.8147157190635266</c:v>
                </c:pt>
                <c:pt idx="117">
                  <c:v>3.8217391304347639</c:v>
                </c:pt>
                <c:pt idx="118">
                  <c:v>3.8287625418060012</c:v>
                </c:pt>
                <c:pt idx="119">
                  <c:v>3.8357859531772385</c:v>
                </c:pt>
                <c:pt idx="120">
                  <c:v>3.8428093645484758</c:v>
                </c:pt>
                <c:pt idx="121">
                  <c:v>3.8498327759197131</c:v>
                </c:pt>
                <c:pt idx="122">
                  <c:v>3.8568561872909504</c:v>
                </c:pt>
                <c:pt idx="123">
                  <c:v>3.8638795986621877</c:v>
                </c:pt>
                <c:pt idx="124">
                  <c:v>3.870903010033425</c:v>
                </c:pt>
                <c:pt idx="125">
                  <c:v>3.8779264214046623</c:v>
                </c:pt>
                <c:pt idx="126">
                  <c:v>3.8849498327758996</c:v>
                </c:pt>
                <c:pt idx="127">
                  <c:v>3.8919732441471369</c:v>
                </c:pt>
                <c:pt idx="128">
                  <c:v>3.8989966555183742</c:v>
                </c:pt>
                <c:pt idx="129">
                  <c:v>3.9060200668896115</c:v>
                </c:pt>
                <c:pt idx="130">
                  <c:v>3.9130434782608488</c:v>
                </c:pt>
                <c:pt idx="131">
                  <c:v>3.920066889632086</c:v>
                </c:pt>
                <c:pt idx="132">
                  <c:v>3.9270903010033233</c:v>
                </c:pt>
                <c:pt idx="133">
                  <c:v>3.9341137123745606</c:v>
                </c:pt>
                <c:pt idx="134">
                  <c:v>3.9411371237457979</c:v>
                </c:pt>
                <c:pt idx="135">
                  <c:v>3.9481605351170352</c:v>
                </c:pt>
                <c:pt idx="136">
                  <c:v>3.9551839464882725</c:v>
                </c:pt>
                <c:pt idx="137">
                  <c:v>3.9622073578595098</c:v>
                </c:pt>
                <c:pt idx="138">
                  <c:v>3.9692307692307471</c:v>
                </c:pt>
                <c:pt idx="139">
                  <c:v>3.9762541806019844</c:v>
                </c:pt>
                <c:pt idx="140">
                  <c:v>3.9832775919732217</c:v>
                </c:pt>
                <c:pt idx="141">
                  <c:v>3.990301003344459</c:v>
                </c:pt>
                <c:pt idx="142">
                  <c:v>3.9973244147156963</c:v>
                </c:pt>
                <c:pt idx="143">
                  <c:v>4.0043478260869341</c:v>
                </c:pt>
                <c:pt idx="144">
                  <c:v>4.0113712374581718</c:v>
                </c:pt>
                <c:pt idx="145">
                  <c:v>4.0183946488294096</c:v>
                </c:pt>
                <c:pt idx="146">
                  <c:v>4.0254180602006473</c:v>
                </c:pt>
                <c:pt idx="147">
                  <c:v>4.032441471571885</c:v>
                </c:pt>
                <c:pt idx="148">
                  <c:v>4.0394648829431228</c:v>
                </c:pt>
                <c:pt idx="149">
                  <c:v>4.0464882943143605</c:v>
                </c:pt>
                <c:pt idx="150">
                  <c:v>4.0535117056855983</c:v>
                </c:pt>
                <c:pt idx="151">
                  <c:v>4.060535117056836</c:v>
                </c:pt>
                <c:pt idx="152">
                  <c:v>4.0675585284280737</c:v>
                </c:pt>
                <c:pt idx="153">
                  <c:v>4.0745819397993115</c:v>
                </c:pt>
                <c:pt idx="154">
                  <c:v>4.0816053511705492</c:v>
                </c:pt>
                <c:pt idx="155">
                  <c:v>4.088628762541787</c:v>
                </c:pt>
                <c:pt idx="156">
                  <c:v>4.0956521739130247</c:v>
                </c:pt>
                <c:pt idx="157">
                  <c:v>4.1026755852842625</c:v>
                </c:pt>
                <c:pt idx="158">
                  <c:v>4.1096989966555002</c:v>
                </c:pt>
                <c:pt idx="159">
                  <c:v>4.1167224080267379</c:v>
                </c:pt>
                <c:pt idx="160">
                  <c:v>4.1237458193979757</c:v>
                </c:pt>
                <c:pt idx="161">
                  <c:v>4.1307692307692134</c:v>
                </c:pt>
                <c:pt idx="162">
                  <c:v>4.1377926421404512</c:v>
                </c:pt>
                <c:pt idx="163">
                  <c:v>4.1448160535116889</c:v>
                </c:pt>
                <c:pt idx="164">
                  <c:v>4.1518394648829267</c:v>
                </c:pt>
                <c:pt idx="165">
                  <c:v>4.1588628762541644</c:v>
                </c:pt>
                <c:pt idx="166">
                  <c:v>4.1658862876254021</c:v>
                </c:pt>
                <c:pt idx="167">
                  <c:v>4.1729096989966399</c:v>
                </c:pt>
                <c:pt idx="168">
                  <c:v>4.1799331103678776</c:v>
                </c:pt>
                <c:pt idx="169">
                  <c:v>4.1869565217391154</c:v>
                </c:pt>
                <c:pt idx="170">
                  <c:v>4.1939799331103531</c:v>
                </c:pt>
                <c:pt idx="171">
                  <c:v>4.2010033444815909</c:v>
                </c:pt>
                <c:pt idx="172">
                  <c:v>4.2080267558528286</c:v>
                </c:pt>
                <c:pt idx="173">
                  <c:v>4.2150501672240663</c:v>
                </c:pt>
                <c:pt idx="174">
                  <c:v>4.2220735785953041</c:v>
                </c:pt>
                <c:pt idx="175">
                  <c:v>4.2290969899665418</c:v>
                </c:pt>
                <c:pt idx="176">
                  <c:v>4.2361204013377796</c:v>
                </c:pt>
                <c:pt idx="177">
                  <c:v>4.2431438127090173</c:v>
                </c:pt>
                <c:pt idx="178">
                  <c:v>4.250167224080255</c:v>
                </c:pt>
                <c:pt idx="179">
                  <c:v>4.2571906354514928</c:v>
                </c:pt>
                <c:pt idx="180">
                  <c:v>4.2642140468227305</c:v>
                </c:pt>
                <c:pt idx="181">
                  <c:v>4.2712374581939683</c:v>
                </c:pt>
                <c:pt idx="182">
                  <c:v>4.278260869565206</c:v>
                </c:pt>
                <c:pt idx="183">
                  <c:v>4.2852842809364438</c:v>
                </c:pt>
                <c:pt idx="184">
                  <c:v>4.2923076923076815</c:v>
                </c:pt>
                <c:pt idx="185">
                  <c:v>4.2993311036789192</c:v>
                </c:pt>
                <c:pt idx="186">
                  <c:v>4.306354515050157</c:v>
                </c:pt>
                <c:pt idx="187">
                  <c:v>4.3133779264213947</c:v>
                </c:pt>
                <c:pt idx="188">
                  <c:v>4.3204013377926325</c:v>
                </c:pt>
                <c:pt idx="189">
                  <c:v>4.3274247491638702</c:v>
                </c:pt>
                <c:pt idx="190">
                  <c:v>4.334448160535108</c:v>
                </c:pt>
                <c:pt idx="191">
                  <c:v>4.3414715719063457</c:v>
                </c:pt>
                <c:pt idx="192">
                  <c:v>4.3484949832775834</c:v>
                </c:pt>
                <c:pt idx="193">
                  <c:v>4.3555183946488212</c:v>
                </c:pt>
                <c:pt idx="194">
                  <c:v>4.3625418060200589</c:v>
                </c:pt>
                <c:pt idx="195">
                  <c:v>4.3695652173912967</c:v>
                </c:pt>
                <c:pt idx="196">
                  <c:v>4.3765886287625344</c:v>
                </c:pt>
                <c:pt idx="197">
                  <c:v>4.3836120401337721</c:v>
                </c:pt>
                <c:pt idx="198">
                  <c:v>4.3906354515050099</c:v>
                </c:pt>
                <c:pt idx="199">
                  <c:v>4.3976588628762476</c:v>
                </c:pt>
                <c:pt idx="200">
                  <c:v>4.4046822742474854</c:v>
                </c:pt>
                <c:pt idx="201">
                  <c:v>4.4117056856187231</c:v>
                </c:pt>
                <c:pt idx="202">
                  <c:v>4.4187290969899609</c:v>
                </c:pt>
                <c:pt idx="203">
                  <c:v>4.4257525083611986</c:v>
                </c:pt>
                <c:pt idx="204">
                  <c:v>4.4327759197324363</c:v>
                </c:pt>
                <c:pt idx="205">
                  <c:v>4.4397993311036741</c:v>
                </c:pt>
                <c:pt idx="206">
                  <c:v>4.4468227424749118</c:v>
                </c:pt>
                <c:pt idx="207">
                  <c:v>4.4538461538461496</c:v>
                </c:pt>
                <c:pt idx="208">
                  <c:v>4.4608695652173873</c:v>
                </c:pt>
                <c:pt idx="209">
                  <c:v>4.4678929765886251</c:v>
                </c:pt>
                <c:pt idx="210">
                  <c:v>4.4749163879598628</c:v>
                </c:pt>
                <c:pt idx="211">
                  <c:v>4.4819397993311005</c:v>
                </c:pt>
                <c:pt idx="212">
                  <c:v>4.4889632107023383</c:v>
                </c:pt>
                <c:pt idx="213">
                  <c:v>4.495986622073576</c:v>
                </c:pt>
                <c:pt idx="214">
                  <c:v>4.5030100334448138</c:v>
                </c:pt>
                <c:pt idx="215">
                  <c:v>4.5100334448160515</c:v>
                </c:pt>
                <c:pt idx="216">
                  <c:v>4.5170568561872892</c:v>
                </c:pt>
                <c:pt idx="217">
                  <c:v>4.524080267558527</c:v>
                </c:pt>
                <c:pt idx="218">
                  <c:v>4.5311036789297647</c:v>
                </c:pt>
                <c:pt idx="219">
                  <c:v>4.5381270903010025</c:v>
                </c:pt>
                <c:pt idx="220">
                  <c:v>4.5451505016722402</c:v>
                </c:pt>
                <c:pt idx="221">
                  <c:v>4.552173913043478</c:v>
                </c:pt>
                <c:pt idx="222">
                  <c:v>4.5591973244147157</c:v>
                </c:pt>
                <c:pt idx="223">
                  <c:v>4.5662207357859534</c:v>
                </c:pt>
                <c:pt idx="224">
                  <c:v>4.5732441471571912</c:v>
                </c:pt>
                <c:pt idx="225">
                  <c:v>4.5802675585284289</c:v>
                </c:pt>
                <c:pt idx="226">
                  <c:v>4.5872909698996667</c:v>
                </c:pt>
                <c:pt idx="227">
                  <c:v>4.5943143812709044</c:v>
                </c:pt>
                <c:pt idx="228">
                  <c:v>4.6013377926421422</c:v>
                </c:pt>
                <c:pt idx="229">
                  <c:v>4.6083612040133799</c:v>
                </c:pt>
                <c:pt idx="230">
                  <c:v>4.6153846153846176</c:v>
                </c:pt>
                <c:pt idx="231">
                  <c:v>4.6224080267558554</c:v>
                </c:pt>
                <c:pt idx="232">
                  <c:v>4.6294314381270931</c:v>
                </c:pt>
                <c:pt idx="233">
                  <c:v>4.6364548494983309</c:v>
                </c:pt>
                <c:pt idx="234">
                  <c:v>4.6434782608695686</c:v>
                </c:pt>
                <c:pt idx="235">
                  <c:v>4.6505016722408064</c:v>
                </c:pt>
                <c:pt idx="236">
                  <c:v>4.6575250836120441</c:v>
                </c:pt>
                <c:pt idx="237">
                  <c:v>4.6645484949832818</c:v>
                </c:pt>
                <c:pt idx="238">
                  <c:v>4.6715719063545196</c:v>
                </c:pt>
                <c:pt idx="239">
                  <c:v>4.6785953177257573</c:v>
                </c:pt>
                <c:pt idx="240">
                  <c:v>4.6856187290969951</c:v>
                </c:pt>
                <c:pt idx="241">
                  <c:v>4.6926421404682328</c:v>
                </c:pt>
                <c:pt idx="242">
                  <c:v>4.6996655518394705</c:v>
                </c:pt>
                <c:pt idx="243">
                  <c:v>4.7066889632107083</c:v>
                </c:pt>
                <c:pt idx="244">
                  <c:v>4.713712374581946</c:v>
                </c:pt>
                <c:pt idx="245">
                  <c:v>4.7207357859531838</c:v>
                </c:pt>
                <c:pt idx="246">
                  <c:v>4.7277591973244215</c:v>
                </c:pt>
                <c:pt idx="247">
                  <c:v>4.7347826086956593</c:v>
                </c:pt>
                <c:pt idx="248">
                  <c:v>4.741806020066897</c:v>
                </c:pt>
                <c:pt idx="249">
                  <c:v>4.7488294314381347</c:v>
                </c:pt>
                <c:pt idx="250">
                  <c:v>4.7558528428093725</c:v>
                </c:pt>
                <c:pt idx="251">
                  <c:v>4.7628762541806102</c:v>
                </c:pt>
                <c:pt idx="252">
                  <c:v>4.769899665551848</c:v>
                </c:pt>
                <c:pt idx="253">
                  <c:v>4.7769230769230857</c:v>
                </c:pt>
                <c:pt idx="254">
                  <c:v>4.7839464882943235</c:v>
                </c:pt>
                <c:pt idx="255">
                  <c:v>4.7909698996655612</c:v>
                </c:pt>
                <c:pt idx="256">
                  <c:v>4.7979933110367989</c:v>
                </c:pt>
                <c:pt idx="257">
                  <c:v>4.8050167224080367</c:v>
                </c:pt>
                <c:pt idx="258">
                  <c:v>4.8120401337792744</c:v>
                </c:pt>
                <c:pt idx="259">
                  <c:v>4.8190635451505122</c:v>
                </c:pt>
                <c:pt idx="260">
                  <c:v>4.8260869565217499</c:v>
                </c:pt>
                <c:pt idx="261">
                  <c:v>4.8331103678929876</c:v>
                </c:pt>
                <c:pt idx="262">
                  <c:v>4.8401337792642254</c:v>
                </c:pt>
                <c:pt idx="263">
                  <c:v>4.8471571906354631</c:v>
                </c:pt>
                <c:pt idx="264">
                  <c:v>4.8541806020067009</c:v>
                </c:pt>
                <c:pt idx="265">
                  <c:v>4.8612040133779386</c:v>
                </c:pt>
                <c:pt idx="266">
                  <c:v>4.8682274247491764</c:v>
                </c:pt>
                <c:pt idx="267">
                  <c:v>4.8752508361204141</c:v>
                </c:pt>
                <c:pt idx="268">
                  <c:v>4.8822742474916518</c:v>
                </c:pt>
                <c:pt idx="269">
                  <c:v>4.8892976588628896</c:v>
                </c:pt>
                <c:pt idx="270">
                  <c:v>4.8963210702341273</c:v>
                </c:pt>
                <c:pt idx="271">
                  <c:v>4.9033444816053651</c:v>
                </c:pt>
                <c:pt idx="272">
                  <c:v>4.9103678929766028</c:v>
                </c:pt>
                <c:pt idx="273">
                  <c:v>4.9173913043478406</c:v>
                </c:pt>
                <c:pt idx="274">
                  <c:v>4.9244147157190783</c:v>
                </c:pt>
                <c:pt idx="275">
                  <c:v>4.931438127090316</c:v>
                </c:pt>
                <c:pt idx="276">
                  <c:v>4.9384615384615538</c:v>
                </c:pt>
                <c:pt idx="277">
                  <c:v>4.9454849498327915</c:v>
                </c:pt>
                <c:pt idx="278">
                  <c:v>4.9525083612040293</c:v>
                </c:pt>
                <c:pt idx="279">
                  <c:v>4.959531772575267</c:v>
                </c:pt>
                <c:pt idx="280">
                  <c:v>4.9665551839465047</c:v>
                </c:pt>
                <c:pt idx="281">
                  <c:v>4.9735785953177425</c:v>
                </c:pt>
                <c:pt idx="282">
                  <c:v>4.9806020066889802</c:v>
                </c:pt>
                <c:pt idx="283">
                  <c:v>4.987625418060218</c:v>
                </c:pt>
                <c:pt idx="284">
                  <c:v>4.9946488294314557</c:v>
                </c:pt>
                <c:pt idx="285">
                  <c:v>5.0016722408026935</c:v>
                </c:pt>
                <c:pt idx="286">
                  <c:v>5.0086956521739312</c:v>
                </c:pt>
                <c:pt idx="287">
                  <c:v>5.0157190635451689</c:v>
                </c:pt>
                <c:pt idx="288">
                  <c:v>5.0227424749164067</c:v>
                </c:pt>
                <c:pt idx="289">
                  <c:v>5.0297658862876444</c:v>
                </c:pt>
                <c:pt idx="290">
                  <c:v>5.0367892976588822</c:v>
                </c:pt>
                <c:pt idx="291">
                  <c:v>5.0438127090301199</c:v>
                </c:pt>
                <c:pt idx="292">
                  <c:v>5.0508361204013577</c:v>
                </c:pt>
                <c:pt idx="293">
                  <c:v>5.0578595317725954</c:v>
                </c:pt>
                <c:pt idx="294">
                  <c:v>5.0648829431438331</c:v>
                </c:pt>
                <c:pt idx="295">
                  <c:v>5.0719063545150709</c:v>
                </c:pt>
                <c:pt idx="296">
                  <c:v>5.0789297658863086</c:v>
                </c:pt>
                <c:pt idx="297">
                  <c:v>5.0859531772575464</c:v>
                </c:pt>
                <c:pt idx="298">
                  <c:v>5.0929765886287841</c:v>
                </c:pt>
                <c:pt idx="299">
                  <c:v>5.1000000000000218</c:v>
                </c:pt>
              </c:numCache>
            </c:numRef>
          </c:cat>
          <c:val>
            <c:numRef>
              <c:f>versicolor_estymacjagęstości!$T$3:$T$302</c:f>
              <c:numCache>
                <c:formatCode>General</c:formatCode>
                <c:ptCount val="300"/>
                <c:pt idx="0">
                  <c:v>9.7172336799990849E-2</c:v>
                </c:pt>
                <c:pt idx="1">
                  <c:v>9.9518379221427478E-2</c:v>
                </c:pt>
                <c:pt idx="2">
                  <c:v>0.10184118117309576</c:v>
                </c:pt>
                <c:pt idx="3">
                  <c:v>0.10414074265499569</c:v>
                </c:pt>
                <c:pt idx="4">
                  <c:v>0.1064170636671273</c:v>
                </c:pt>
                <c:pt idx="5">
                  <c:v>0.10867014420949055</c:v>
                </c:pt>
                <c:pt idx="6">
                  <c:v>0.11089998428208546</c:v>
                </c:pt>
                <c:pt idx="7">
                  <c:v>0.11310658388491203</c:v>
                </c:pt>
                <c:pt idx="8">
                  <c:v>0.11528994301797021</c:v>
                </c:pt>
                <c:pt idx="9">
                  <c:v>0.11745006168126008</c:v>
                </c:pt>
                <c:pt idx="10">
                  <c:v>0.11958693987478161</c:v>
                </c:pt>
                <c:pt idx="11">
                  <c:v>0.12170057759853481</c:v>
                </c:pt>
                <c:pt idx="12">
                  <c:v>0.12379097485251962</c:v>
                </c:pt>
                <c:pt idx="13">
                  <c:v>0.12585813163673615</c:v>
                </c:pt>
                <c:pt idx="14">
                  <c:v>0.12830631676270243</c:v>
                </c:pt>
                <c:pt idx="15">
                  <c:v>0.13094628887545029</c:v>
                </c:pt>
                <c:pt idx="16">
                  <c:v>0.13355866293034827</c:v>
                </c:pt>
                <c:pt idx="17">
                  <c:v>0.1361434389273963</c:v>
                </c:pt>
                <c:pt idx="18">
                  <c:v>0.13870061686659452</c:v>
                </c:pt>
                <c:pt idx="19">
                  <c:v>0.14123019674794274</c:v>
                </c:pt>
                <c:pt idx="20">
                  <c:v>0.14373217857144102</c:v>
                </c:pt>
                <c:pt idx="21">
                  <c:v>0.14620656233708951</c:v>
                </c:pt>
                <c:pt idx="22">
                  <c:v>0.148653348044888</c:v>
                </c:pt>
                <c:pt idx="23">
                  <c:v>0.15107253569483661</c:v>
                </c:pt>
                <c:pt idx="24">
                  <c:v>0.15346412528693532</c:v>
                </c:pt>
                <c:pt idx="25">
                  <c:v>0.15582811682118414</c:v>
                </c:pt>
                <c:pt idx="26">
                  <c:v>0.15816451029758297</c:v>
                </c:pt>
                <c:pt idx="27">
                  <c:v>0.16047330571613203</c:v>
                </c:pt>
                <c:pt idx="28">
                  <c:v>0.16309606980247557</c:v>
                </c:pt>
                <c:pt idx="29">
                  <c:v>0.16617678082404466</c:v>
                </c:pt>
                <c:pt idx="30">
                  <c:v>0.16922408367032166</c:v>
                </c:pt>
                <c:pt idx="31">
                  <c:v>0.17223797834130661</c:v>
                </c:pt>
                <c:pt idx="32">
                  <c:v>0.1752184648369996</c:v>
                </c:pt>
                <c:pt idx="33">
                  <c:v>0.17816554315740066</c:v>
                </c:pt>
                <c:pt idx="34">
                  <c:v>0.18107921330250967</c:v>
                </c:pt>
                <c:pt idx="35">
                  <c:v>0.18395947527232667</c:v>
                </c:pt>
                <c:pt idx="36">
                  <c:v>0.18680632906685177</c:v>
                </c:pt>
                <c:pt idx="37">
                  <c:v>0.18961977468608471</c:v>
                </c:pt>
                <c:pt idx="38">
                  <c:v>0.19239981213002585</c:v>
                </c:pt>
                <c:pt idx="39">
                  <c:v>0.19514644139867487</c:v>
                </c:pt>
                <c:pt idx="40">
                  <c:v>0.19785966249203191</c:v>
                </c:pt>
                <c:pt idx="41">
                  <c:v>0.20053947541009695</c:v>
                </c:pt>
                <c:pt idx="42">
                  <c:v>0.203257769651634</c:v>
                </c:pt>
                <c:pt idx="43">
                  <c:v>0.20628501375912292</c:v>
                </c:pt>
                <c:pt idx="44">
                  <c:v>0.20927594463259871</c:v>
                </c:pt>
                <c:pt idx="45">
                  <c:v>0.2122305622720615</c:v>
                </c:pt>
                <c:pt idx="46">
                  <c:v>0.21514886667751126</c:v>
                </c:pt>
                <c:pt idx="47">
                  <c:v>0.21803085784894796</c:v>
                </c:pt>
                <c:pt idx="48">
                  <c:v>0.22087653578637159</c:v>
                </c:pt>
                <c:pt idx="49">
                  <c:v>0.22368590048978226</c:v>
                </c:pt>
                <c:pt idx="50">
                  <c:v>0.22645895195917998</c:v>
                </c:pt>
                <c:pt idx="51">
                  <c:v>0.22919569019456443</c:v>
                </c:pt>
                <c:pt idx="52">
                  <c:v>0.23189611519593595</c:v>
                </c:pt>
                <c:pt idx="53">
                  <c:v>0.23456022696329443</c:v>
                </c:pt>
                <c:pt idx="54">
                  <c:v>0.23718802549663981</c:v>
                </c:pt>
                <c:pt idx="55">
                  <c:v>0.23977951079597223</c:v>
                </c:pt>
                <c:pt idx="56">
                  <c:v>0.24233468286129164</c:v>
                </c:pt>
                <c:pt idx="57">
                  <c:v>0.24562908203158348</c:v>
                </c:pt>
                <c:pt idx="58">
                  <c:v>0.24893569595274598</c:v>
                </c:pt>
                <c:pt idx="59">
                  <c:v>0.25220018652245346</c:v>
                </c:pt>
                <c:pt idx="60">
                  <c:v>0.25542255374070577</c:v>
                </c:pt>
                <c:pt idx="61">
                  <c:v>0.25860279760750293</c:v>
                </c:pt>
                <c:pt idx="62">
                  <c:v>0.26174091812284489</c:v>
                </c:pt>
                <c:pt idx="63">
                  <c:v>0.26483691528673176</c:v>
                </c:pt>
                <c:pt idx="64">
                  <c:v>0.26789078909916353</c:v>
                </c:pt>
                <c:pt idx="65">
                  <c:v>0.27090253956014015</c:v>
                </c:pt>
                <c:pt idx="66">
                  <c:v>0.27387216666966169</c:v>
                </c:pt>
                <c:pt idx="67">
                  <c:v>0.27679967042772824</c:v>
                </c:pt>
                <c:pt idx="68">
                  <c:v>0.27968505083433925</c:v>
                </c:pt>
                <c:pt idx="69">
                  <c:v>0.28252830788949568</c:v>
                </c:pt>
                <c:pt idx="70">
                  <c:v>0.28532944159319668</c:v>
                </c:pt>
                <c:pt idx="71">
                  <c:v>0.28910078709565085</c:v>
                </c:pt>
                <c:pt idx="72">
                  <c:v>0.29326221454548024</c:v>
                </c:pt>
                <c:pt idx="73">
                  <c:v>0.29737135093833117</c:v>
                </c:pt>
                <c:pt idx="74">
                  <c:v>0.30142819627420292</c:v>
                </c:pt>
                <c:pt idx="75">
                  <c:v>0.3054327505530961</c:v>
                </c:pt>
                <c:pt idx="76">
                  <c:v>0.30938501377501049</c:v>
                </c:pt>
                <c:pt idx="77">
                  <c:v>0.31328498593994608</c:v>
                </c:pt>
                <c:pt idx="78">
                  <c:v>0.31713266704790283</c:v>
                </c:pt>
                <c:pt idx="79">
                  <c:v>0.320928057098881</c:v>
                </c:pt>
                <c:pt idx="80">
                  <c:v>0.32467115609288016</c:v>
                </c:pt>
                <c:pt idx="81">
                  <c:v>0.32836196402990059</c:v>
                </c:pt>
                <c:pt idx="82">
                  <c:v>0.33200048090994233</c:v>
                </c:pt>
                <c:pt idx="83">
                  <c:v>0.33558670673300534</c:v>
                </c:pt>
                <c:pt idx="84">
                  <c:v>0.33912064149908955</c:v>
                </c:pt>
                <c:pt idx="85">
                  <c:v>0.34288809876818882</c:v>
                </c:pt>
                <c:pt idx="86">
                  <c:v>0.34693757770516098</c:v>
                </c:pt>
                <c:pt idx="87">
                  <c:v>0.3509304079970727</c:v>
                </c:pt>
                <c:pt idx="88">
                  <c:v>0.35486658964392415</c:v>
                </c:pt>
                <c:pt idx="89">
                  <c:v>0.35874612264571532</c:v>
                </c:pt>
                <c:pt idx="90">
                  <c:v>0.3625690070024461</c:v>
                </c:pt>
                <c:pt idx="91">
                  <c:v>0.36633524271411655</c:v>
                </c:pt>
                <c:pt idx="92">
                  <c:v>0.37004482978072656</c:v>
                </c:pt>
                <c:pt idx="93">
                  <c:v>0.37369776820227651</c:v>
                </c:pt>
                <c:pt idx="94">
                  <c:v>0.37729405797876597</c:v>
                </c:pt>
                <c:pt idx="95">
                  <c:v>0.3808336991101951</c:v>
                </c:pt>
                <c:pt idx="96">
                  <c:v>0.38431669159656401</c:v>
                </c:pt>
                <c:pt idx="97">
                  <c:v>0.38774303543787236</c:v>
                </c:pt>
                <c:pt idx="98">
                  <c:v>0.39111273063412028</c:v>
                </c:pt>
                <c:pt idx="99">
                  <c:v>0.39465498080141953</c:v>
                </c:pt>
                <c:pt idx="100">
                  <c:v>0.39894665171724242</c:v>
                </c:pt>
                <c:pt idx="101">
                  <c:v>0.40317441134120235</c:v>
                </c:pt>
                <c:pt idx="102">
                  <c:v>0.4073382596732994</c:v>
                </c:pt>
                <c:pt idx="103">
                  <c:v>0.4114381967135336</c:v>
                </c:pt>
                <c:pt idx="104">
                  <c:v>0.41547422246190463</c:v>
                </c:pt>
                <c:pt idx="105">
                  <c:v>0.41944633691841327</c:v>
                </c:pt>
                <c:pt idx="106">
                  <c:v>0.42335454008305823</c:v>
                </c:pt>
                <c:pt idx="107">
                  <c:v>0.42719883195584057</c:v>
                </c:pt>
                <c:pt idx="108">
                  <c:v>0.43097921253676008</c:v>
                </c:pt>
                <c:pt idx="109">
                  <c:v>0.43469568182581658</c:v>
                </c:pt>
                <c:pt idx="110">
                  <c:v>0.43834823982301002</c:v>
                </c:pt>
                <c:pt idx="111">
                  <c:v>0.44193688652834068</c:v>
                </c:pt>
                <c:pt idx="112">
                  <c:v>0.44546162194180827</c:v>
                </c:pt>
                <c:pt idx="113">
                  <c:v>0.44892244606341275</c:v>
                </c:pt>
                <c:pt idx="114">
                  <c:v>0.45272681561137201</c:v>
                </c:pt>
                <c:pt idx="115">
                  <c:v>0.45647171297505568</c:v>
                </c:pt>
                <c:pt idx="116">
                  <c:v>0.4601497939881557</c:v>
                </c:pt>
                <c:pt idx="117">
                  <c:v>0.46376105865067146</c:v>
                </c:pt>
                <c:pt idx="118">
                  <c:v>0.46730550696260326</c:v>
                </c:pt>
                <c:pt idx="119">
                  <c:v>0.47078313892395113</c:v>
                </c:pt>
                <c:pt idx="120">
                  <c:v>0.47419395453471508</c:v>
                </c:pt>
                <c:pt idx="121">
                  <c:v>0.47753795379489494</c:v>
                </c:pt>
                <c:pt idx="122">
                  <c:v>0.48081513670449078</c:v>
                </c:pt>
                <c:pt idx="123">
                  <c:v>0.48402550326350285</c:v>
                </c:pt>
                <c:pt idx="124">
                  <c:v>0.48716905347193074</c:v>
                </c:pt>
                <c:pt idx="125">
                  <c:v>0.49024578732977442</c:v>
                </c:pt>
                <c:pt idx="126">
                  <c:v>0.49325570483703468</c:v>
                </c:pt>
                <c:pt idx="127">
                  <c:v>0.49619880599371058</c:v>
                </c:pt>
                <c:pt idx="128">
                  <c:v>0.49938404890004606</c:v>
                </c:pt>
                <c:pt idx="129">
                  <c:v>0.50260610486200674</c:v>
                </c:pt>
                <c:pt idx="130">
                  <c:v>0.5057584394146627</c:v>
                </c:pt>
                <c:pt idx="131">
                  <c:v>0.5088410525580136</c:v>
                </c:pt>
                <c:pt idx="132">
                  <c:v>0.51185394429205933</c:v>
                </c:pt>
                <c:pt idx="133">
                  <c:v>0.5147971146168</c:v>
                </c:pt>
                <c:pt idx="134">
                  <c:v>0.51767056353223584</c:v>
                </c:pt>
                <c:pt idx="135">
                  <c:v>0.5204742910383664</c:v>
                </c:pt>
                <c:pt idx="136">
                  <c:v>0.52320829713519235</c:v>
                </c:pt>
                <c:pt idx="137">
                  <c:v>0.52587258182271257</c:v>
                </c:pt>
                <c:pt idx="138">
                  <c:v>0.5284671451009284</c:v>
                </c:pt>
                <c:pt idx="139">
                  <c:v>0.53099198696983863</c:v>
                </c:pt>
                <c:pt idx="140">
                  <c:v>0.53344710742944479</c:v>
                </c:pt>
                <c:pt idx="141">
                  <c:v>0.53583250647974512</c:v>
                </c:pt>
                <c:pt idx="142">
                  <c:v>0.53825333151894106</c:v>
                </c:pt>
                <c:pt idx="143">
                  <c:v>0.54070592734418221</c:v>
                </c:pt>
                <c:pt idx="144">
                  <c:v>0.54324005379064588</c:v>
                </c:pt>
                <c:pt idx="145">
                  <c:v>0.5457601922311508</c:v>
                </c:pt>
                <c:pt idx="146">
                  <c:v>0.54821060926235099</c:v>
                </c:pt>
                <c:pt idx="147">
                  <c:v>0.55059130488424635</c:v>
                </c:pt>
                <c:pt idx="148">
                  <c:v>0.55290227909683631</c:v>
                </c:pt>
                <c:pt idx="149">
                  <c:v>0.55514353190012145</c:v>
                </c:pt>
                <c:pt idx="150">
                  <c:v>0.55731506329410141</c:v>
                </c:pt>
                <c:pt idx="151">
                  <c:v>0.55941687327877643</c:v>
                </c:pt>
                <c:pt idx="152">
                  <c:v>0.56144896185414639</c:v>
                </c:pt>
                <c:pt idx="153">
                  <c:v>0.5634113290202114</c:v>
                </c:pt>
                <c:pt idx="154">
                  <c:v>0.56530397477697114</c:v>
                </c:pt>
                <c:pt idx="155">
                  <c:v>0.56712689912442593</c:v>
                </c:pt>
                <c:pt idx="156">
                  <c:v>0.56893583546592108</c:v>
                </c:pt>
                <c:pt idx="157">
                  <c:v>0.57082630242864008</c:v>
                </c:pt>
                <c:pt idx="158">
                  <c:v>0.57264559545269367</c:v>
                </c:pt>
                <c:pt idx="159">
                  <c:v>0.57439371453808152</c:v>
                </c:pt>
                <c:pt idx="160">
                  <c:v>0.57607065968480409</c:v>
                </c:pt>
                <c:pt idx="161">
                  <c:v>0.57767643089286091</c:v>
                </c:pt>
                <c:pt idx="162">
                  <c:v>0.57921102816225212</c:v>
                </c:pt>
                <c:pt idx="163">
                  <c:v>0.58067445149297769</c:v>
                </c:pt>
                <c:pt idx="164">
                  <c:v>0.58206670088503809</c:v>
                </c:pt>
                <c:pt idx="165">
                  <c:v>0.58338777633843253</c:v>
                </c:pt>
                <c:pt idx="166">
                  <c:v>0.58463767785316156</c:v>
                </c:pt>
                <c:pt idx="167">
                  <c:v>0.58581640542922497</c:v>
                </c:pt>
                <c:pt idx="168">
                  <c:v>0.58692395906662298</c:v>
                </c:pt>
                <c:pt idx="169">
                  <c:v>0.58796033876535536</c:v>
                </c:pt>
                <c:pt idx="170">
                  <c:v>0.5889255445254219</c:v>
                </c:pt>
                <c:pt idx="171">
                  <c:v>0.58981957634682303</c:v>
                </c:pt>
                <c:pt idx="172">
                  <c:v>0.59064243422955898</c:v>
                </c:pt>
                <c:pt idx="173">
                  <c:v>0.59139411817362864</c:v>
                </c:pt>
                <c:pt idx="174">
                  <c:v>0.59207462817903367</c:v>
                </c:pt>
                <c:pt idx="175">
                  <c:v>0.59268396424577208</c:v>
                </c:pt>
                <c:pt idx="176">
                  <c:v>0.59322212637384586</c:v>
                </c:pt>
                <c:pt idx="177">
                  <c:v>0.59368911456325379</c:v>
                </c:pt>
                <c:pt idx="178">
                  <c:v>0.59408492881399599</c:v>
                </c:pt>
                <c:pt idx="179">
                  <c:v>0.59440956912607257</c:v>
                </c:pt>
                <c:pt idx="180">
                  <c:v>0.59466303549948352</c:v>
                </c:pt>
                <c:pt idx="181">
                  <c:v>0.59484532793422928</c:v>
                </c:pt>
                <c:pt idx="182">
                  <c:v>0.59495644643030954</c:v>
                </c:pt>
                <c:pt idx="183">
                  <c:v>0.59499639098772394</c:v>
                </c:pt>
                <c:pt idx="184">
                  <c:v>0.59496516160647273</c:v>
                </c:pt>
                <c:pt idx="185">
                  <c:v>0.59486275828655566</c:v>
                </c:pt>
                <c:pt idx="186">
                  <c:v>0.59469652519428073</c:v>
                </c:pt>
                <c:pt idx="187">
                  <c:v>0.59486947994028017</c:v>
                </c:pt>
                <c:pt idx="188">
                  <c:v>0.594974165806335</c:v>
                </c:pt>
                <c:pt idx="189">
                  <c:v>0.59501058279244545</c:v>
                </c:pt>
                <c:pt idx="190">
                  <c:v>0.59497873089861097</c:v>
                </c:pt>
                <c:pt idx="191">
                  <c:v>0.5948786101248319</c:v>
                </c:pt>
                <c:pt idx="192">
                  <c:v>0.59471022047110911</c:v>
                </c:pt>
                <c:pt idx="193">
                  <c:v>0.59447356193744127</c:v>
                </c:pt>
                <c:pt idx="194">
                  <c:v>0.59416863452382895</c:v>
                </c:pt>
                <c:pt idx="195">
                  <c:v>0.59379543823027248</c:v>
                </c:pt>
                <c:pt idx="196">
                  <c:v>0.59335397305677107</c:v>
                </c:pt>
                <c:pt idx="197">
                  <c:v>0.59284423900332506</c:v>
                </c:pt>
                <c:pt idx="198">
                  <c:v>0.59226623606993467</c:v>
                </c:pt>
                <c:pt idx="199">
                  <c:v>0.59161996425659991</c:v>
                </c:pt>
                <c:pt idx="200">
                  <c:v>0.59090542356332043</c:v>
                </c:pt>
                <c:pt idx="201">
                  <c:v>0.59012261399009658</c:v>
                </c:pt>
                <c:pt idx="202">
                  <c:v>0.58927153553692813</c:v>
                </c:pt>
                <c:pt idx="203">
                  <c:v>0.58835218820381541</c:v>
                </c:pt>
                <c:pt idx="204">
                  <c:v>0.58736457199075753</c:v>
                </c:pt>
                <c:pt idx="205">
                  <c:v>0.58630868689775573</c:v>
                </c:pt>
                <c:pt idx="206">
                  <c:v>0.58518453292480921</c:v>
                </c:pt>
                <c:pt idx="207">
                  <c:v>0.58399211007191831</c:v>
                </c:pt>
                <c:pt idx="208">
                  <c:v>0.58273141833908271</c:v>
                </c:pt>
                <c:pt idx="209">
                  <c:v>0.58140245772630272</c:v>
                </c:pt>
                <c:pt idx="210">
                  <c:v>0.58000522823357781</c:v>
                </c:pt>
                <c:pt idx="211">
                  <c:v>0.57853972986090885</c:v>
                </c:pt>
                <c:pt idx="212">
                  <c:v>0.57700596260829518</c:v>
                </c:pt>
                <c:pt idx="213">
                  <c:v>0.57540392647573735</c:v>
                </c:pt>
                <c:pt idx="214">
                  <c:v>0.57373362146323437</c:v>
                </c:pt>
                <c:pt idx="215">
                  <c:v>0.57222082777940875</c:v>
                </c:pt>
                <c:pt idx="216">
                  <c:v>0.57083321264768938</c:v>
                </c:pt>
                <c:pt idx="217">
                  <c:v>0.56938023369474644</c:v>
                </c:pt>
                <c:pt idx="218">
                  <c:v>0.56786189092058048</c:v>
                </c:pt>
                <c:pt idx="219">
                  <c:v>0.56627818432519095</c:v>
                </c:pt>
                <c:pt idx="220">
                  <c:v>0.56462911390857762</c:v>
                </c:pt>
                <c:pt idx="221">
                  <c:v>0.56291467967074094</c:v>
                </c:pt>
                <c:pt idx="222">
                  <c:v>0.5611348816116809</c:v>
                </c:pt>
                <c:pt idx="223">
                  <c:v>0.55928971973139741</c:v>
                </c:pt>
                <c:pt idx="224">
                  <c:v>0.55737919402989033</c:v>
                </c:pt>
                <c:pt idx="225">
                  <c:v>0.55540330450715969</c:v>
                </c:pt>
                <c:pt idx="226">
                  <c:v>0.5533620511632058</c:v>
                </c:pt>
                <c:pt idx="227">
                  <c:v>0.55125543399802834</c:v>
                </c:pt>
                <c:pt idx="228">
                  <c:v>0.54908345301162753</c:v>
                </c:pt>
                <c:pt idx="229">
                  <c:v>0.54690930434748186</c:v>
                </c:pt>
                <c:pt idx="230">
                  <c:v>0.54481586369864632</c:v>
                </c:pt>
                <c:pt idx="231">
                  <c:v>0.54265851175794788</c:v>
                </c:pt>
                <c:pt idx="232">
                  <c:v>0.54043724852538622</c:v>
                </c:pt>
                <c:pt idx="233">
                  <c:v>0.53815207400096188</c:v>
                </c:pt>
                <c:pt idx="234">
                  <c:v>0.5358029881846742</c:v>
                </c:pt>
                <c:pt idx="235">
                  <c:v>0.53338999107652407</c:v>
                </c:pt>
                <c:pt idx="236">
                  <c:v>0.53091308267651061</c:v>
                </c:pt>
                <c:pt idx="237">
                  <c:v>0.52837226298463447</c:v>
                </c:pt>
                <c:pt idx="238">
                  <c:v>0.52576753200089532</c:v>
                </c:pt>
                <c:pt idx="239">
                  <c:v>0.52309888972529273</c:v>
                </c:pt>
                <c:pt idx="240">
                  <c:v>0.52036633615782801</c:v>
                </c:pt>
                <c:pt idx="241">
                  <c:v>0.51756987129849974</c:v>
                </c:pt>
                <c:pt idx="242">
                  <c:v>0.51470949514730857</c:v>
                </c:pt>
                <c:pt idx="243">
                  <c:v>0.51179879222983593</c:v>
                </c:pt>
                <c:pt idx="244">
                  <c:v>0.50901951563460723</c:v>
                </c:pt>
                <c:pt idx="245">
                  <c:v>0.50617778027687654</c:v>
                </c:pt>
                <c:pt idx="246">
                  <c:v>0.50327358615664286</c:v>
                </c:pt>
                <c:pt idx="247">
                  <c:v>0.50030693327390685</c:v>
                </c:pt>
                <c:pt idx="248">
                  <c:v>0.49727782162866879</c:v>
                </c:pt>
                <c:pt idx="249">
                  <c:v>0.49418625122092802</c:v>
                </c:pt>
                <c:pt idx="250">
                  <c:v>0.49103222205068481</c:v>
                </c:pt>
                <c:pt idx="251">
                  <c:v>0.48781573411793916</c:v>
                </c:pt>
                <c:pt idx="252">
                  <c:v>0.48453678742269091</c:v>
                </c:pt>
                <c:pt idx="253">
                  <c:v>0.48119538196494049</c:v>
                </c:pt>
                <c:pt idx="254">
                  <c:v>0.47779151774468787</c:v>
                </c:pt>
                <c:pt idx="255">
                  <c:v>0.47432519476193247</c:v>
                </c:pt>
                <c:pt idx="256">
                  <c:v>0.47079641301667463</c:v>
                </c:pt>
                <c:pt idx="257">
                  <c:v>0.46720517250891425</c:v>
                </c:pt>
                <c:pt idx="258">
                  <c:v>0.46372410478863435</c:v>
                </c:pt>
                <c:pt idx="259">
                  <c:v>0.4602179755845941</c:v>
                </c:pt>
                <c:pt idx="260">
                  <c:v>0.4566508401474122</c:v>
                </c:pt>
                <c:pt idx="261">
                  <c:v>0.45302269847708809</c:v>
                </c:pt>
                <c:pt idx="262">
                  <c:v>0.4493335505736224</c:v>
                </c:pt>
                <c:pt idx="263">
                  <c:v>0.4455833964370145</c:v>
                </c:pt>
                <c:pt idx="264">
                  <c:v>0.44177223606726496</c:v>
                </c:pt>
                <c:pt idx="265">
                  <c:v>0.43790006946437326</c:v>
                </c:pt>
                <c:pt idx="266">
                  <c:v>0.43396689662833993</c:v>
                </c:pt>
                <c:pt idx="267">
                  <c:v>0.42997271755916444</c:v>
                </c:pt>
                <c:pt idx="268">
                  <c:v>0.42591753225684709</c:v>
                </c:pt>
                <c:pt idx="269">
                  <c:v>0.42180134072138786</c:v>
                </c:pt>
                <c:pt idx="270">
                  <c:v>0.41762414295278677</c:v>
                </c:pt>
                <c:pt idx="271">
                  <c:v>0.41338593895104353</c:v>
                </c:pt>
                <c:pt idx="272">
                  <c:v>0.40945524504904768</c:v>
                </c:pt>
                <c:pt idx="273">
                  <c:v>0.40572407754622392</c:v>
                </c:pt>
                <c:pt idx="274">
                  <c:v>0.4019362613983396</c:v>
                </c:pt>
                <c:pt idx="275">
                  <c:v>0.3980917966053949</c:v>
                </c:pt>
                <c:pt idx="276">
                  <c:v>0.39419068316738998</c:v>
                </c:pt>
                <c:pt idx="277">
                  <c:v>0.39023292108432506</c:v>
                </c:pt>
                <c:pt idx="278">
                  <c:v>0.38621851035619947</c:v>
                </c:pt>
                <c:pt idx="279">
                  <c:v>0.38214745098301373</c:v>
                </c:pt>
                <c:pt idx="280">
                  <c:v>0.37801974296476748</c:v>
                </c:pt>
                <c:pt idx="281">
                  <c:v>0.37383538630146085</c:v>
                </c:pt>
                <c:pt idx="282">
                  <c:v>0.36959438099309377</c:v>
                </c:pt>
                <c:pt idx="283">
                  <c:v>0.36529672703966648</c:v>
                </c:pt>
                <c:pt idx="284">
                  <c:v>0.36094242444117897</c:v>
                </c:pt>
                <c:pt idx="285">
                  <c:v>0.35653147319763095</c:v>
                </c:pt>
                <c:pt idx="286">
                  <c:v>0.35242951505007769</c:v>
                </c:pt>
                <c:pt idx="287">
                  <c:v>0.34895195225679437</c:v>
                </c:pt>
                <c:pt idx="288">
                  <c:v>0.3454250034652534</c:v>
                </c:pt>
                <c:pt idx="289">
                  <c:v>0.34184866867545466</c:v>
                </c:pt>
                <c:pt idx="290">
                  <c:v>0.33822294788739837</c:v>
                </c:pt>
                <c:pt idx="291">
                  <c:v>0.33454784110108399</c:v>
                </c:pt>
                <c:pt idx="292">
                  <c:v>0.33082334831651222</c:v>
                </c:pt>
                <c:pt idx="293">
                  <c:v>0.32704946953368252</c:v>
                </c:pt>
                <c:pt idx="294">
                  <c:v>0.32322620475259517</c:v>
                </c:pt>
                <c:pt idx="295">
                  <c:v>0.31935355397325005</c:v>
                </c:pt>
                <c:pt idx="296">
                  <c:v>0.31543151719564699</c:v>
                </c:pt>
                <c:pt idx="297">
                  <c:v>0.31146009441978645</c:v>
                </c:pt>
                <c:pt idx="298">
                  <c:v>0.30743928564566814</c:v>
                </c:pt>
                <c:pt idx="299">
                  <c:v>0.30336909087329195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C9-4B18-B9EF-2DF1B508B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2844960"/>
        <c:axId val="790136752"/>
      </c:lineChart>
      <c:catAx>
        <c:axId val="99284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90136752"/>
        <c:crosses val="autoZero"/>
        <c:auto val="1"/>
        <c:lblAlgn val="ctr"/>
        <c:lblOffset val="100"/>
        <c:noMultiLvlLbl val="0"/>
      </c:catAx>
      <c:valAx>
        <c:axId val="790136752"/>
        <c:scaling>
          <c:orientation val="minMax"/>
          <c:max val="1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9284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8.6773978508491764E-2"/>
          <c:y val="0.10750866716170344"/>
          <c:w val="0.41785465565388402"/>
          <c:h val="0.21624387633081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488156</xdr:colOff>
      <xdr:row>9</xdr:row>
      <xdr:rowOff>142875</xdr:rowOff>
    </xdr:from>
    <xdr:to>
      <xdr:col>15</xdr:col>
      <xdr:colOff>95251</xdr:colOff>
      <xdr:row>28</xdr:row>
      <xdr:rowOff>71437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2C6EA28A-7976-433A-9EBC-8DAA20629B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330821</xdr:colOff>
      <xdr:row>3</xdr:row>
      <xdr:rowOff>22112</xdr:rowOff>
    </xdr:from>
    <xdr:to>
      <xdr:col>34</xdr:col>
      <xdr:colOff>491556</xdr:colOff>
      <xdr:row>21</xdr:row>
      <xdr:rowOff>101883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A58F9191-BA97-4A74-8AE3-1B5FEEC21B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266700</xdr:colOff>
      <xdr:row>2</xdr:row>
      <xdr:rowOff>119062</xdr:rowOff>
    </xdr:from>
    <xdr:to>
      <xdr:col>19</xdr:col>
      <xdr:colOff>571500</xdr:colOff>
      <xdr:row>17</xdr:row>
      <xdr:rowOff>4762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70493D98-B9E0-4856-8B11-79F5F33F92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351744</xdr:colOff>
      <xdr:row>1</xdr:row>
      <xdr:rowOff>27214</xdr:rowOff>
    </xdr:from>
    <xdr:to>
      <xdr:col>31</xdr:col>
      <xdr:colOff>367393</xdr:colOff>
      <xdr:row>28</xdr:row>
      <xdr:rowOff>174171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D3BAFB15-B4B2-4F50-A526-4CEEF24482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382361</xdr:colOff>
      <xdr:row>29</xdr:row>
      <xdr:rowOff>77561</xdr:rowOff>
    </xdr:from>
    <xdr:to>
      <xdr:col>31</xdr:col>
      <xdr:colOff>340179</xdr:colOff>
      <xdr:row>53</xdr:row>
      <xdr:rowOff>13607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38792C26-5C50-4C80-97CB-AADF8C8230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232171</xdr:colOff>
      <xdr:row>18</xdr:row>
      <xdr:rowOff>35719</xdr:rowOff>
    </xdr:from>
    <xdr:to>
      <xdr:col>14</xdr:col>
      <xdr:colOff>71437</xdr:colOff>
      <xdr:row>37</xdr:row>
      <xdr:rowOff>91677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9B2D8E7E-7881-463F-ADF3-7E5635AA5E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261937</xdr:colOff>
      <xdr:row>18</xdr:row>
      <xdr:rowOff>23812</xdr:rowOff>
    </xdr:from>
    <xdr:to>
      <xdr:col>23</xdr:col>
      <xdr:colOff>381000</xdr:colOff>
      <xdr:row>37</xdr:row>
      <xdr:rowOff>115490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C862BBD5-3AFB-4D1F-9A33-30CEB60E81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2</xdr:row>
      <xdr:rowOff>157162</xdr:rowOff>
    </xdr:from>
    <xdr:to>
      <xdr:col>19</xdr:col>
      <xdr:colOff>533400</xdr:colOff>
      <xdr:row>17</xdr:row>
      <xdr:rowOff>42862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EA358198-D837-40D0-A1AF-AD2608B892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208358</xdr:colOff>
      <xdr:row>9</xdr:row>
      <xdr:rowOff>95250</xdr:rowOff>
    </xdr:from>
    <xdr:to>
      <xdr:col>14</xdr:col>
      <xdr:colOff>571499</xdr:colOff>
      <xdr:row>26</xdr:row>
      <xdr:rowOff>115491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66BAA3C0-2EDC-4965-804B-F98A0BD832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303608</xdr:colOff>
      <xdr:row>9</xdr:row>
      <xdr:rowOff>71437</xdr:rowOff>
    </xdr:from>
    <xdr:to>
      <xdr:col>23</xdr:col>
      <xdr:colOff>547687</xdr:colOff>
      <xdr:row>26</xdr:row>
      <xdr:rowOff>151209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420811A8-F274-42CA-953C-A1B23FB360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9D7C9-464C-44A4-B276-9252BC5425F9}">
  <sheetPr codeName="Arkusz2"/>
  <dimension ref="A1:X151"/>
  <sheetViews>
    <sheetView zoomScale="70" zoomScaleNormal="70" workbookViewId="0">
      <selection activeCell="Y3" sqref="Y3"/>
    </sheetView>
  </sheetViews>
  <sheetFormatPr defaultRowHeight="15" x14ac:dyDescent="0.25"/>
  <cols>
    <col min="11" max="11" width="8.28515625" customWidth="1"/>
    <col min="12" max="12" width="8.5703125" customWidth="1"/>
    <col min="16" max="16" width="9.140625" customWidth="1"/>
  </cols>
  <sheetData>
    <row r="1" spans="1:24" x14ac:dyDescent="0.2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G1" s="2" t="s">
        <v>21</v>
      </c>
      <c r="U1" t="s">
        <v>35</v>
      </c>
      <c r="X1" t="s">
        <v>36</v>
      </c>
    </row>
    <row r="2" spans="1:24" x14ac:dyDescent="0.25">
      <c r="A2" s="1">
        <v>5.0999999999999996</v>
      </c>
      <c r="B2" s="1">
        <v>3.5</v>
      </c>
      <c r="C2" s="2">
        <v>1.4</v>
      </c>
      <c r="D2" s="1">
        <v>0.2</v>
      </c>
      <c r="E2" s="1" t="s">
        <v>5</v>
      </c>
      <c r="G2" t="s">
        <v>9</v>
      </c>
      <c r="H2">
        <f>AVERAGE(C2:C151)</f>
        <v>3.7580000000000027</v>
      </c>
      <c r="J2" t="s">
        <v>16</v>
      </c>
      <c r="K2" t="s">
        <v>23</v>
      </c>
      <c r="L2" t="s">
        <v>24</v>
      </c>
      <c r="M2" t="s">
        <v>25</v>
      </c>
      <c r="N2" t="s">
        <v>27</v>
      </c>
      <c r="O2" t="s">
        <v>32</v>
      </c>
      <c r="P2" t="s">
        <v>28</v>
      </c>
      <c r="Q2" t="s">
        <v>29</v>
      </c>
      <c r="R2" t="s">
        <v>30</v>
      </c>
      <c r="S2" t="s">
        <v>31</v>
      </c>
    </row>
    <row r="3" spans="1:24" x14ac:dyDescent="0.25">
      <c r="A3" s="1">
        <v>4.9000000000000004</v>
      </c>
      <c r="B3" s="1">
        <v>3</v>
      </c>
      <c r="C3" s="2">
        <v>1.4</v>
      </c>
      <c r="D3" s="1">
        <v>0.2</v>
      </c>
      <c r="E3" s="1" t="s">
        <v>5</v>
      </c>
      <c r="G3" t="s">
        <v>10</v>
      </c>
      <c r="H3">
        <f>_xlfn.STDEV.S(C2:C151)</f>
        <v>1.7652982332594624</v>
      </c>
      <c r="J3">
        <v>1</v>
      </c>
      <c r="K3">
        <f>H6-$H$8/2</f>
        <v>0.89827586206896548</v>
      </c>
      <c r="L3">
        <f>K3+$H$8</f>
        <v>1.1017241379310345</v>
      </c>
      <c r="M3">
        <f>COUNTIF($C$2:$C$151,"&lt;="&amp;L3)-COUNTIF($C$2:$C$151,"&lt;="&amp;K3)</f>
        <v>2</v>
      </c>
      <c r="N3">
        <f t="shared" ref="N3:N32" si="0">M3/M$33/H$8</f>
        <v>6.5536723163841806E-2</v>
      </c>
      <c r="O3">
        <f>_xlfn.NORM.DIST((K3+L3)/2,$H$2,$H$3,FALSE)</f>
        <v>6.6689029091961977E-2</v>
      </c>
      <c r="P3" cm="1">
        <f t="array" ref="P3">EstymacjaGaussowska((K3+L3)/2,$C$2:$C$151)</f>
        <v>0.15197430392932543</v>
      </c>
      <c r="Q3">
        <f>M3</f>
        <v>2</v>
      </c>
      <c r="R3">
        <f>Q3/$M$33</f>
        <v>1.3333333333333334E-2</v>
      </c>
      <c r="S3">
        <f>_xlfn.NORM.DIST((K3+L3)/2,$H$2,$H$3,TRUE)</f>
        <v>5.9103692836246752E-2</v>
      </c>
      <c r="U3" cm="1">
        <f t="array" ref="U3">DystrybuantaGaussowska(K3,$C$2:$C$151)</f>
        <v>7.0994104977745165E-2</v>
      </c>
      <c r="X3" cm="1">
        <f t="array" ref="X3">DystrybuantaEpanecznikowa(K3,$C$2:$C$151)</f>
        <v>-8.6471085323624561E-2</v>
      </c>
    </row>
    <row r="4" spans="1:24" x14ac:dyDescent="0.25">
      <c r="A4" s="1">
        <v>4.7</v>
      </c>
      <c r="B4" s="1">
        <v>3.2</v>
      </c>
      <c r="C4" s="2">
        <v>1.3</v>
      </c>
      <c r="D4" s="1">
        <v>0.2</v>
      </c>
      <c r="E4" s="1" t="s">
        <v>5</v>
      </c>
      <c r="J4">
        <v>2</v>
      </c>
      <c r="K4">
        <f>L3</f>
        <v>1.1017241379310345</v>
      </c>
      <c r="L4">
        <f t="shared" ref="L4:L32" si="1">K4+$H$8</f>
        <v>1.3051724137931036</v>
      </c>
      <c r="M4">
        <f t="shared" ref="M4:M32" si="2">COUNTIF($C$2:$C$151,"&lt;="&amp;L4)-COUNTIF($C$2:$C$151,"&lt;="&amp;K4)</f>
        <v>9</v>
      </c>
      <c r="N4">
        <f t="shared" si="0"/>
        <v>0.29491525423728809</v>
      </c>
      <c r="O4">
        <f t="shared" ref="O4:O32" si="3">_xlfn.NORM.DIST((K4+L4)/2,$H$2,$H$3,FALSE)</f>
        <v>7.931737406002394E-2</v>
      </c>
      <c r="P4" cm="1">
        <f t="array" ref="P4">EstymacjaGaussowska((K4+L4)/2,$C$2:$C$151)</f>
        <v>0.17604284421074076</v>
      </c>
      <c r="Q4">
        <f>SUM(Q3+M4)</f>
        <v>11</v>
      </c>
      <c r="R4">
        <f t="shared" ref="R3:R32" si="4">Q4/$M$33</f>
        <v>7.3333333333333334E-2</v>
      </c>
      <c r="S4">
        <f t="shared" ref="S4:S32" si="5">_xlfn.NORM.DIST((K4+L4)/2,$H$2,$H$3,TRUE)</f>
        <v>7.3935359205173218E-2</v>
      </c>
      <c r="U4" cm="1">
        <f t="array" ref="U4">DystrybuantaGaussowska(K4,$C$2:$C$151)</f>
        <v>0.10185264693883665</v>
      </c>
      <c r="X4" cm="1">
        <f t="array" ref="X4">DystrybuantaEpanecznikowa(K4,$C$2:$C$151)</f>
        <v>-5.6816711133812689E-2</v>
      </c>
    </row>
    <row r="5" spans="1:24" x14ac:dyDescent="0.25">
      <c r="A5" s="1">
        <v>4.5999999999999996</v>
      </c>
      <c r="B5" s="1">
        <v>3.1</v>
      </c>
      <c r="C5" s="2">
        <v>1.5</v>
      </c>
      <c r="D5" s="1">
        <v>0.2</v>
      </c>
      <c r="E5" s="1" t="s">
        <v>5</v>
      </c>
      <c r="G5" t="s">
        <v>14</v>
      </c>
      <c r="H5">
        <v>30</v>
      </c>
      <c r="J5">
        <v>3</v>
      </c>
      <c r="K5">
        <f t="shared" ref="K5:K32" si="6">L4</f>
        <v>1.3051724137931036</v>
      </c>
      <c r="L5">
        <f t="shared" si="1"/>
        <v>1.5086206896551726</v>
      </c>
      <c r="M5">
        <f t="shared" si="2"/>
        <v>26</v>
      </c>
      <c r="N5">
        <f t="shared" si="0"/>
        <v>0.85197740112994347</v>
      </c>
      <c r="O5">
        <f t="shared" si="3"/>
        <v>9.3092319229378898E-2</v>
      </c>
      <c r="P5" cm="1">
        <f t="array" ref="P5">EstymacjaGaussowska((K5+L5)/2,$C$2:$C$151)</f>
        <v>0.18791413283096797</v>
      </c>
      <c r="Q5">
        <f t="shared" ref="Q5:Q32" si="7">SUM(Q4+M5)</f>
        <v>37</v>
      </c>
      <c r="R5">
        <f t="shared" si="4"/>
        <v>0.24666666666666667</v>
      </c>
      <c r="S5">
        <f t="shared" si="5"/>
        <v>9.1455580156060853E-2</v>
      </c>
      <c r="U5" cm="1">
        <f t="array" ref="U5">DystrybuantaGaussowska(K5,$C$2:$C$151)</f>
        <v>0.13756323491192779</v>
      </c>
      <c r="X5" cm="1">
        <f t="array" ref="X5">DystrybuantaEpanecznikowa(K5,$C$2:$C$151)</f>
        <v>-2.5104831034243186E-2</v>
      </c>
    </row>
    <row r="6" spans="1:24" x14ac:dyDescent="0.25">
      <c r="A6" s="1">
        <v>5</v>
      </c>
      <c r="B6" s="1">
        <v>3.6</v>
      </c>
      <c r="C6" s="2">
        <v>1.4</v>
      </c>
      <c r="D6" s="1">
        <v>0.2</v>
      </c>
      <c r="E6" s="1" t="s">
        <v>5</v>
      </c>
      <c r="G6" t="s">
        <v>22</v>
      </c>
      <c r="H6">
        <f>MIN(C2:C151)</f>
        <v>1</v>
      </c>
      <c r="J6">
        <v>4</v>
      </c>
      <c r="K6">
        <f t="shared" si="6"/>
        <v>1.5086206896551726</v>
      </c>
      <c r="L6">
        <f t="shared" si="1"/>
        <v>1.7120689655172416</v>
      </c>
      <c r="M6">
        <f t="shared" si="2"/>
        <v>11</v>
      </c>
      <c r="N6">
        <f t="shared" si="0"/>
        <v>0.36045197740112989</v>
      </c>
      <c r="O6">
        <f t="shared" si="3"/>
        <v>0.10781792314766429</v>
      </c>
      <c r="P6" cm="1">
        <f t="array" ref="P6">EstymacjaGaussowska((K6+L6)/2,$C$2:$C$151)</f>
        <v>0.1850614480897407</v>
      </c>
      <c r="Q6">
        <f t="shared" si="7"/>
        <v>48</v>
      </c>
      <c r="R6">
        <f t="shared" si="4"/>
        <v>0.32</v>
      </c>
      <c r="S6">
        <f t="shared" si="5"/>
        <v>0.11187893924072326</v>
      </c>
      <c r="U6" cm="1">
        <f t="array" ref="U6">DystrybuantaGaussowska(K6,$C$2:$C$151)</f>
        <v>0.17566691558828032</v>
      </c>
      <c r="X6" cm="1">
        <f t="array" ref="X6">DystrybuantaEpanecznikowa(K6,$C$2:$C$151)</f>
        <v>4.1735235230725082E-3</v>
      </c>
    </row>
    <row r="7" spans="1:24" x14ac:dyDescent="0.25">
      <c r="A7" s="1">
        <v>5.4</v>
      </c>
      <c r="B7" s="1">
        <v>3.9</v>
      </c>
      <c r="C7" s="2">
        <v>1.7</v>
      </c>
      <c r="D7" s="1">
        <v>0.4</v>
      </c>
      <c r="E7" s="1" t="s">
        <v>5</v>
      </c>
      <c r="G7" t="s">
        <v>13</v>
      </c>
      <c r="H7">
        <f>MAX(C2:C151)</f>
        <v>6.9</v>
      </c>
      <c r="J7">
        <v>5</v>
      </c>
      <c r="K7">
        <f t="shared" si="6"/>
        <v>1.7120689655172416</v>
      </c>
      <c r="L7">
        <f t="shared" si="1"/>
        <v>1.9155172413793107</v>
      </c>
      <c r="M7">
        <f t="shared" si="2"/>
        <v>2</v>
      </c>
      <c r="N7">
        <f t="shared" si="0"/>
        <v>6.5536723163841806E-2</v>
      </c>
      <c r="O7">
        <f t="shared" si="3"/>
        <v>0.12322523730078648</v>
      </c>
      <c r="P7" cm="1">
        <f t="array" ref="P7">EstymacjaGaussowska((K7+L7)/2,$C$2:$C$151)</f>
        <v>0.16861424038725314</v>
      </c>
      <c r="Q7">
        <f t="shared" si="7"/>
        <v>50</v>
      </c>
      <c r="R7">
        <f t="shared" si="4"/>
        <v>0.33333333333333331</v>
      </c>
      <c r="S7">
        <f t="shared" si="5"/>
        <v>0.13537271028457545</v>
      </c>
      <c r="U7" cm="1">
        <f t="array" ref="U7">DystrybuantaGaussowska(K7,$C$2:$C$151)</f>
        <v>0.21319999519067143</v>
      </c>
      <c r="X7" cm="1">
        <f t="array" ref="X7">DystrybuantaEpanecznikowa(K7,$C$2:$C$151)</f>
        <v>3.6634001973968322E-2</v>
      </c>
    </row>
    <row r="8" spans="1:24" x14ac:dyDescent="0.25">
      <c r="A8" s="1">
        <v>4.5999999999999996</v>
      </c>
      <c r="B8" s="1">
        <v>3.4</v>
      </c>
      <c r="C8" s="2">
        <v>1.4</v>
      </c>
      <c r="D8" s="1">
        <v>0.3</v>
      </c>
      <c r="E8" s="1" t="s">
        <v>5</v>
      </c>
      <c r="G8" t="s">
        <v>15</v>
      </c>
      <c r="H8">
        <f>($H$7-$H$6)/($H$5-1)</f>
        <v>0.20344827586206898</v>
      </c>
      <c r="J8">
        <v>6</v>
      </c>
      <c r="K8">
        <f t="shared" si="6"/>
        <v>1.9155172413793107</v>
      </c>
      <c r="L8">
        <f t="shared" si="1"/>
        <v>2.1189655172413797</v>
      </c>
      <c r="M8">
        <f t="shared" si="2"/>
        <v>0</v>
      </c>
      <c r="N8">
        <f t="shared" si="0"/>
        <v>0</v>
      </c>
      <c r="O8">
        <f t="shared" si="3"/>
        <v>0.13897604676128952</v>
      </c>
      <c r="P8" cm="1">
        <f t="array" ref="P8">EstymacjaGaussowska((K8+L8)/2,$C$2:$C$151)</f>
        <v>0.14305175875682727</v>
      </c>
      <c r="Q8">
        <f t="shared" si="7"/>
        <v>50</v>
      </c>
      <c r="R8">
        <f t="shared" si="4"/>
        <v>0.33333333333333331</v>
      </c>
      <c r="S8">
        <f t="shared" si="5"/>
        <v>0.16204229521275762</v>
      </c>
      <c r="U8" cm="1">
        <f t="array" ref="U8">DystrybuantaGaussowska(K8,$C$2:$C$151)</f>
        <v>0.24742585812994175</v>
      </c>
      <c r="X8" cm="1">
        <f t="array" ref="X8">DystrybuantaEpanecznikowa(K8,$C$2:$C$151)</f>
        <v>6.1240900664526213E-2</v>
      </c>
    </row>
    <row r="9" spans="1:24" x14ac:dyDescent="0.25">
      <c r="A9" s="1">
        <v>5</v>
      </c>
      <c r="B9" s="1">
        <v>3.4</v>
      </c>
      <c r="C9" s="2">
        <v>1.5</v>
      </c>
      <c r="D9" s="1">
        <v>0.2</v>
      </c>
      <c r="E9" s="1" t="s">
        <v>5</v>
      </c>
      <c r="J9">
        <v>7</v>
      </c>
      <c r="K9">
        <f t="shared" si="6"/>
        <v>2.1189655172413797</v>
      </c>
      <c r="L9">
        <f t="shared" si="1"/>
        <v>2.3224137931034488</v>
      </c>
      <c r="M9">
        <f t="shared" si="2"/>
        <v>0</v>
      </c>
      <c r="N9">
        <f t="shared" si="0"/>
        <v>0</v>
      </c>
      <c r="O9">
        <f t="shared" si="3"/>
        <v>0.15467204722770772</v>
      </c>
      <c r="P9" cm="1">
        <f t="array" ref="P9">EstymacjaGaussowska((K9+L9)/2,$C$2:$C$151)</f>
        <v>0.1146984331545351</v>
      </c>
      <c r="Q9">
        <f t="shared" si="7"/>
        <v>50</v>
      </c>
      <c r="R9">
        <f t="shared" si="4"/>
        <v>0.33333333333333331</v>
      </c>
      <c r="S9">
        <f t="shared" si="5"/>
        <v>0.19191797169463518</v>
      </c>
      <c r="U9" cm="1">
        <f t="array" ref="U9">DystrybuantaGaussowska(K9,$C$2:$C$151)</f>
        <v>0.27650593234558607</v>
      </c>
      <c r="X9" cm="1">
        <f t="array" ref="X9">DystrybuantaEpanecznikowa(K9,$C$2:$C$151)</f>
        <v>8.045772731252393E-2</v>
      </c>
    </row>
    <row r="10" spans="1:24" x14ac:dyDescent="0.25">
      <c r="A10" s="1">
        <v>4.4000000000000004</v>
      </c>
      <c r="B10" s="1">
        <v>2.9</v>
      </c>
      <c r="C10" s="2">
        <v>1.4</v>
      </c>
      <c r="D10" s="1">
        <v>0.2</v>
      </c>
      <c r="E10" s="1" t="s">
        <v>5</v>
      </c>
      <c r="J10">
        <v>8</v>
      </c>
      <c r="K10">
        <f t="shared" si="6"/>
        <v>2.3224137931034488</v>
      </c>
      <c r="L10">
        <f t="shared" si="1"/>
        <v>2.5258620689655178</v>
      </c>
      <c r="M10">
        <f t="shared" si="2"/>
        <v>0</v>
      </c>
      <c r="N10">
        <f t="shared" si="0"/>
        <v>0</v>
      </c>
      <c r="O10">
        <f t="shared" si="3"/>
        <v>0.16986945886846291</v>
      </c>
      <c r="P10" cm="1">
        <f t="array" ref="P10">EstymacjaGaussowska((K10+L10)/2,$C$2:$C$151)</f>
        <v>8.9777725963558416E-2</v>
      </c>
      <c r="Q10">
        <f t="shared" si="7"/>
        <v>50</v>
      </c>
      <c r="R10">
        <f t="shared" si="4"/>
        <v>0.33333333333333331</v>
      </c>
      <c r="S10">
        <f t="shared" si="5"/>
        <v>0.22494406525643032</v>
      </c>
      <c r="U10" cm="1">
        <f t="array" ref="U10">DystrybuantaGaussowska(K10,$C$2:$C$151)</f>
        <v>0.29987128304586608</v>
      </c>
      <c r="X10" cm="1">
        <f t="array" ref="X10">DystrybuantaEpanecznikowa(K10,$C$2:$C$151)</f>
        <v>0.10011126682317607</v>
      </c>
    </row>
    <row r="11" spans="1:24" x14ac:dyDescent="0.25">
      <c r="A11" s="1">
        <v>4.9000000000000004</v>
      </c>
      <c r="B11" s="1">
        <v>3.1</v>
      </c>
      <c r="C11" s="2">
        <v>1.5</v>
      </c>
      <c r="D11" s="1">
        <v>0.1</v>
      </c>
      <c r="E11" s="1" t="s">
        <v>5</v>
      </c>
      <c r="J11">
        <v>9</v>
      </c>
      <c r="K11">
        <f t="shared" si="6"/>
        <v>2.5258620689655178</v>
      </c>
      <c r="L11">
        <f t="shared" si="1"/>
        <v>2.7293103448275868</v>
      </c>
      <c r="M11">
        <f t="shared" si="2"/>
        <v>0</v>
      </c>
      <c r="N11">
        <f t="shared" si="0"/>
        <v>0</v>
      </c>
      <c r="O11">
        <f t="shared" si="3"/>
        <v>0.18409854756427901</v>
      </c>
      <c r="P11" cm="1">
        <f t="array" ref="P11">EstymacjaGaussowska((K11+L11)/2,$C$2:$C$151)</f>
        <v>7.2886004812263899E-2</v>
      </c>
      <c r="Q11">
        <f t="shared" si="7"/>
        <v>50</v>
      </c>
      <c r="R11">
        <f t="shared" si="4"/>
        <v>0.33333333333333331</v>
      </c>
      <c r="S11">
        <f t="shared" si="5"/>
        <v>0.26097160736762659</v>
      </c>
      <c r="U11" cm="1">
        <f t="array" ref="U11">DystrybuantaGaussowska(K11,$C$2:$C$151)</f>
        <v>0.31820589095085017</v>
      </c>
      <c r="X11" cm="1">
        <f t="array" ref="X11">DystrybuantaEpanecznikowa(K11,$C$2:$C$151)</f>
        <v>9.6043201559847927E-2</v>
      </c>
    </row>
    <row r="12" spans="1:24" x14ac:dyDescent="0.25">
      <c r="A12" s="1">
        <v>5.4</v>
      </c>
      <c r="B12" s="1">
        <v>3.7</v>
      </c>
      <c r="C12" s="2">
        <v>1.5</v>
      </c>
      <c r="D12" s="1">
        <v>0.2</v>
      </c>
      <c r="E12" s="1" t="s">
        <v>5</v>
      </c>
      <c r="J12">
        <v>10</v>
      </c>
      <c r="K12">
        <f t="shared" si="6"/>
        <v>2.7293103448275868</v>
      </c>
      <c r="L12">
        <f t="shared" si="1"/>
        <v>2.9327586206896559</v>
      </c>
      <c r="M12">
        <f t="shared" si="2"/>
        <v>0</v>
      </c>
      <c r="N12">
        <f t="shared" si="0"/>
        <v>0</v>
      </c>
      <c r="O12">
        <f t="shared" si="3"/>
        <v>0.19688698587124326</v>
      </c>
      <c r="P12" cm="1">
        <f t="array" ref="P12">EstymacjaGaussowska((K12+L12)/2,$C$2:$C$151)</f>
        <v>6.6364825758659943E-2</v>
      </c>
      <c r="Q12">
        <f t="shared" si="7"/>
        <v>50</v>
      </c>
      <c r="R12">
        <f t="shared" si="4"/>
        <v>0.33333333333333331</v>
      </c>
      <c r="S12">
        <f t="shared" si="5"/>
        <v>0.29975537814460251</v>
      </c>
      <c r="U12" cm="1">
        <f t="array" ref="U12">DystrybuantaGaussowska(K12,$C$2:$C$151)</f>
        <v>0.33312359818989135</v>
      </c>
      <c r="X12" cm="1">
        <f t="array" ref="X12">DystrybuantaEpanecznikowa(K12,$C$2:$C$151)</f>
        <v>8.4809193985657991E-2</v>
      </c>
    </row>
    <row r="13" spans="1:24" x14ac:dyDescent="0.25">
      <c r="A13" s="1">
        <v>4.8</v>
      </c>
      <c r="B13" s="1">
        <v>3.4</v>
      </c>
      <c r="C13" s="2">
        <v>1.6</v>
      </c>
      <c r="D13" s="1">
        <v>0.2</v>
      </c>
      <c r="E13" s="1" t="s">
        <v>5</v>
      </c>
      <c r="J13">
        <v>11</v>
      </c>
      <c r="K13">
        <f t="shared" si="6"/>
        <v>2.9327586206896559</v>
      </c>
      <c r="L13">
        <f t="shared" si="1"/>
        <v>3.1362068965517249</v>
      </c>
      <c r="M13">
        <f t="shared" si="2"/>
        <v>1</v>
      </c>
      <c r="N13">
        <f t="shared" si="0"/>
        <v>3.2768361581920903E-2</v>
      </c>
      <c r="O13">
        <f t="shared" si="3"/>
        <v>0.20778550499191067</v>
      </c>
      <c r="P13" cm="1">
        <f t="array" ref="P13">EstymacjaGaussowska((K13+L13)/2,$C$2:$C$151)</f>
        <v>7.0503277058756808E-2</v>
      </c>
      <c r="Q13">
        <f t="shared" si="7"/>
        <v>51</v>
      </c>
      <c r="R13">
        <f t="shared" si="4"/>
        <v>0.34</v>
      </c>
      <c r="S13">
        <f t="shared" si="5"/>
        <v>0.34095596462516509</v>
      </c>
      <c r="U13" cm="1">
        <f t="array" ref="U13">DystrybuantaGaussowska(K13,$C$2:$C$151)</f>
        <v>0.34671662842888357</v>
      </c>
      <c r="X13" cm="1">
        <f t="array" ref="X13">DystrybuantaEpanecznikowa(K13,$C$2:$C$151)</f>
        <v>4.9927091205048207E-2</v>
      </c>
    </row>
    <row r="14" spans="1:24" x14ac:dyDescent="0.25">
      <c r="A14" s="1">
        <v>4.8</v>
      </c>
      <c r="B14" s="1">
        <v>3</v>
      </c>
      <c r="C14" s="2">
        <v>1.4</v>
      </c>
      <c r="D14" s="1">
        <v>0.1</v>
      </c>
      <c r="E14" s="1" t="s">
        <v>5</v>
      </c>
      <c r="J14">
        <v>12</v>
      </c>
      <c r="K14">
        <f t="shared" si="6"/>
        <v>3.1362068965517249</v>
      </c>
      <c r="L14">
        <f t="shared" si="1"/>
        <v>3.3396551724137939</v>
      </c>
      <c r="M14">
        <f t="shared" si="2"/>
        <v>2</v>
      </c>
      <c r="N14">
        <f t="shared" si="0"/>
        <v>6.5536723163841806E-2</v>
      </c>
      <c r="O14">
        <f t="shared" si="3"/>
        <v>0.21639393043034447</v>
      </c>
      <c r="P14" cm="1">
        <f t="array" ref="P14">EstymacjaGaussowska((K14+L14)/2,$C$2:$C$151)</f>
        <v>8.4152221702907065E-2</v>
      </c>
      <c r="Q14">
        <f t="shared" si="7"/>
        <v>53</v>
      </c>
      <c r="R14">
        <f t="shared" si="4"/>
        <v>0.35333333333333333</v>
      </c>
      <c r="S14">
        <f t="shared" si="5"/>
        <v>0.38414711141740687</v>
      </c>
      <c r="U14" cm="1">
        <f t="array" ref="U14">DystrybuantaGaussowska(K14,$C$2:$C$151)</f>
        <v>0.36114150349450325</v>
      </c>
      <c r="X14" cm="1">
        <f t="array" ref="X14">DystrybuantaEpanecznikowa(K14,$C$2:$C$151)</f>
        <v>-8.2880099301068169E-2</v>
      </c>
    </row>
    <row r="15" spans="1:24" x14ac:dyDescent="0.25">
      <c r="A15" s="1">
        <v>4.3</v>
      </c>
      <c r="B15" s="1">
        <v>3</v>
      </c>
      <c r="C15" s="2">
        <v>1.1000000000000001</v>
      </c>
      <c r="D15" s="1">
        <v>0.1</v>
      </c>
      <c r="E15" s="1" t="s">
        <v>5</v>
      </c>
      <c r="J15">
        <v>13</v>
      </c>
      <c r="K15">
        <f t="shared" si="6"/>
        <v>3.3396551724137939</v>
      </c>
      <c r="L15">
        <f t="shared" si="1"/>
        <v>3.543103448275863</v>
      </c>
      <c r="M15">
        <f t="shared" si="2"/>
        <v>2</v>
      </c>
      <c r="N15">
        <f t="shared" si="0"/>
        <v>6.5536723163841806E-2</v>
      </c>
      <c r="O15">
        <f t="shared" si="3"/>
        <v>0.22238551268685328</v>
      </c>
      <c r="P15" cm="1">
        <f t="array" ref="P15">EstymacjaGaussowska((K15+L15)/2,$C$2:$C$151)</f>
        <v>0.10532133933477385</v>
      </c>
      <c r="Q15">
        <f t="shared" si="7"/>
        <v>55</v>
      </c>
      <c r="R15">
        <f t="shared" si="4"/>
        <v>0.36666666666666664</v>
      </c>
      <c r="S15">
        <f t="shared" si="5"/>
        <v>0.42882823066068765</v>
      </c>
      <c r="U15" cm="1">
        <f t="array" ref="U15">DystrybuantaGaussowska(K15,$C$2:$C$151)</f>
        <v>0.3783261425609854</v>
      </c>
      <c r="X15" cm="1">
        <f t="array" ref="X15">DystrybuantaEpanecznikowa(K15,$C$2:$C$151)</f>
        <v>-0.10937915759964054</v>
      </c>
    </row>
    <row r="16" spans="1:24" x14ac:dyDescent="0.25">
      <c r="A16" s="1">
        <v>5.8</v>
      </c>
      <c r="B16" s="1">
        <v>4</v>
      </c>
      <c r="C16" s="2">
        <v>1.2</v>
      </c>
      <c r="D16" s="1">
        <v>0.2</v>
      </c>
      <c r="E16" s="1" t="s">
        <v>5</v>
      </c>
      <c r="J16">
        <v>14</v>
      </c>
      <c r="K16">
        <f t="shared" si="6"/>
        <v>3.543103448275863</v>
      </c>
      <c r="L16">
        <f t="shared" si="1"/>
        <v>3.746551724137932</v>
      </c>
      <c r="M16">
        <f t="shared" si="2"/>
        <v>2</v>
      </c>
      <c r="N16">
        <f t="shared" si="0"/>
        <v>6.5536723163841806E-2</v>
      </c>
      <c r="O16">
        <f t="shared" si="3"/>
        <v>0.22552749578016168</v>
      </c>
      <c r="P16" cm="1">
        <f t="array" ref="P16">EstymacjaGaussowska((K16+L16)/2,$C$2:$C$151)</f>
        <v>0.1315500596885876</v>
      </c>
      <c r="Q16">
        <f t="shared" si="7"/>
        <v>57</v>
      </c>
      <c r="R16">
        <f t="shared" si="4"/>
        <v>0.38</v>
      </c>
      <c r="S16">
        <f t="shared" si="5"/>
        <v>0.47444151272810547</v>
      </c>
      <c r="U16" cm="1">
        <f t="array" ref="U16">DystrybuantaGaussowska(K16,$C$2:$C$151)</f>
        <v>0.3997966502755817</v>
      </c>
      <c r="X16" cm="1">
        <f t="array" ref="X16">DystrybuantaEpanecznikowa(K16,$C$2:$C$151)</f>
        <v>-0.12436995316920994</v>
      </c>
    </row>
    <row r="17" spans="1:24" x14ac:dyDescent="0.25">
      <c r="A17" s="1">
        <v>5.7</v>
      </c>
      <c r="B17" s="1">
        <v>4.4000000000000004</v>
      </c>
      <c r="C17" s="2">
        <v>1.5</v>
      </c>
      <c r="D17" s="1">
        <v>0.4</v>
      </c>
      <c r="E17" s="1" t="s">
        <v>5</v>
      </c>
      <c r="J17">
        <v>15</v>
      </c>
      <c r="K17">
        <f t="shared" si="6"/>
        <v>3.746551724137932</v>
      </c>
      <c r="L17">
        <f t="shared" si="1"/>
        <v>3.9500000000000011</v>
      </c>
      <c r="M17">
        <f t="shared" si="2"/>
        <v>4</v>
      </c>
      <c r="N17">
        <f t="shared" si="0"/>
        <v>0.13107344632768361</v>
      </c>
      <c r="O17">
        <f t="shared" si="3"/>
        <v>0.22569611991396837</v>
      </c>
      <c r="P17" cm="1">
        <f t="array" ref="P17">EstymacjaGaussowska((K17+L17)/2,$C$2:$C$151)</f>
        <v>0.16008626471155066</v>
      </c>
      <c r="Q17">
        <f t="shared" si="7"/>
        <v>61</v>
      </c>
      <c r="R17">
        <f t="shared" si="4"/>
        <v>0.40666666666666668</v>
      </c>
      <c r="S17">
        <f t="shared" si="5"/>
        <v>0.52039268266446048</v>
      </c>
      <c r="U17" cm="1">
        <f t="array" ref="U17">DystrybuantaGaussowska(K17,$C$2:$C$151)</f>
        <v>0.4265799434257237</v>
      </c>
      <c r="X17" cm="1">
        <f t="array" ref="X17">DystrybuantaEpanecznikowa(K17,$C$2:$C$151)</f>
        <v>-0.13035899729632561</v>
      </c>
    </row>
    <row r="18" spans="1:24" x14ac:dyDescent="0.25">
      <c r="A18" s="1">
        <v>5.4</v>
      </c>
      <c r="B18" s="1">
        <v>3.9</v>
      </c>
      <c r="C18" s="2">
        <v>1.3</v>
      </c>
      <c r="D18" s="1">
        <v>0.4</v>
      </c>
      <c r="E18" s="1" t="s">
        <v>5</v>
      </c>
      <c r="J18">
        <v>16</v>
      </c>
      <c r="K18">
        <f t="shared" si="6"/>
        <v>3.9500000000000011</v>
      </c>
      <c r="L18">
        <f t="shared" si="1"/>
        <v>4.1534482758620701</v>
      </c>
      <c r="M18">
        <f t="shared" si="2"/>
        <v>8</v>
      </c>
      <c r="N18">
        <f t="shared" si="0"/>
        <v>0.26214689265536723</v>
      </c>
      <c r="O18">
        <f t="shared" si="3"/>
        <v>0.22288471048004041</v>
      </c>
      <c r="P18" cm="1">
        <f t="array" ref="P18">EstymacjaGaussowska((K18+L18)/2,$C$2:$C$151)</f>
        <v>0.18802500634149871</v>
      </c>
      <c r="Q18">
        <f t="shared" si="7"/>
        <v>69</v>
      </c>
      <c r="R18">
        <f t="shared" si="4"/>
        <v>0.46</v>
      </c>
      <c r="S18">
        <f t="shared" si="5"/>
        <v>0.56607412366260668</v>
      </c>
      <c r="U18" cm="1">
        <f t="array" ref="U18">DystrybuantaGaussowska(K18,$C$2:$C$151)</f>
        <v>0.45914412058488541</v>
      </c>
      <c r="X18" cm="1">
        <f t="array" ref="X18">DystrybuantaEpanecznikowa(K18,$C$2:$C$151)</f>
        <v>-0.11074973824502221</v>
      </c>
    </row>
    <row r="19" spans="1:24" x14ac:dyDescent="0.25">
      <c r="A19" s="1">
        <v>5.0999999999999996</v>
      </c>
      <c r="B19" s="1">
        <v>3.5</v>
      </c>
      <c r="C19" s="2">
        <v>1.4</v>
      </c>
      <c r="D19" s="1">
        <v>0.3</v>
      </c>
      <c r="E19" s="1" t="s">
        <v>5</v>
      </c>
      <c r="J19">
        <v>17</v>
      </c>
      <c r="K19">
        <f t="shared" si="6"/>
        <v>4.1534482758620701</v>
      </c>
      <c r="L19">
        <f t="shared" si="1"/>
        <v>4.3568965517241391</v>
      </c>
      <c r="M19">
        <f t="shared" si="2"/>
        <v>6</v>
      </c>
      <c r="N19">
        <f t="shared" si="0"/>
        <v>0.19661016949152541</v>
      </c>
      <c r="O19">
        <f t="shared" si="3"/>
        <v>0.21720411645392834</v>
      </c>
      <c r="P19" cm="1">
        <f t="array" ref="P19">EstymacjaGaussowska((K19+L19)/2,$C$2:$C$151)</f>
        <v>0.21253052953241247</v>
      </c>
      <c r="Q19">
        <f t="shared" si="7"/>
        <v>75</v>
      </c>
      <c r="R19">
        <f t="shared" si="4"/>
        <v>0.5</v>
      </c>
      <c r="S19">
        <f t="shared" si="5"/>
        <v>0.61088887471457565</v>
      </c>
      <c r="U19" cm="1">
        <f t="array" ref="U19">DystrybuantaGaussowska(K19,$C$2:$C$151)</f>
        <v>0.49736814850914401</v>
      </c>
      <c r="X19" cm="1">
        <f t="array" ref="X19">DystrybuantaEpanecznikowa(K19,$C$2:$C$151)</f>
        <v>-0.10299252724591275</v>
      </c>
    </row>
    <row r="20" spans="1:24" x14ac:dyDescent="0.25">
      <c r="A20" s="1">
        <v>5.7</v>
      </c>
      <c r="B20" s="1">
        <v>3.8</v>
      </c>
      <c r="C20" s="2">
        <v>1.7</v>
      </c>
      <c r="D20" s="1">
        <v>0.3</v>
      </c>
      <c r="E20" s="1" t="s">
        <v>5</v>
      </c>
      <c r="J20">
        <v>18</v>
      </c>
      <c r="K20">
        <f t="shared" si="6"/>
        <v>4.3568965517241391</v>
      </c>
      <c r="L20">
        <f t="shared" si="1"/>
        <v>4.5603448275862082</v>
      </c>
      <c r="M20">
        <f t="shared" si="2"/>
        <v>12</v>
      </c>
      <c r="N20">
        <f t="shared" si="0"/>
        <v>0.39322033898305081</v>
      </c>
      <c r="O20">
        <f t="shared" si="3"/>
        <v>0.20887545804808244</v>
      </c>
      <c r="P20" cm="1">
        <f t="array" ref="P20">EstymacjaGaussowska((K20+L20)/2,$C$2:$C$151)</f>
        <v>0.23115536089253139</v>
      </c>
      <c r="Q20">
        <f t="shared" si="7"/>
        <v>87</v>
      </c>
      <c r="R20">
        <f t="shared" si="4"/>
        <v>0.57999999999999996</v>
      </c>
      <c r="S20">
        <f t="shared" si="5"/>
        <v>0.65427392973700149</v>
      </c>
      <c r="U20" cm="1">
        <f t="array" ref="U20">DystrybuantaGaussowska(K20,$C$2:$C$151)</f>
        <v>0.54055682806195815</v>
      </c>
      <c r="X20" cm="1">
        <f t="array" ref="X20">DystrybuantaEpanecznikowa(K20,$C$2:$C$151)</f>
        <v>-8.078854264194886E-2</v>
      </c>
    </row>
    <row r="21" spans="1:24" x14ac:dyDescent="0.25">
      <c r="A21" s="1">
        <v>5.0999999999999996</v>
      </c>
      <c r="B21" s="1">
        <v>3.8</v>
      </c>
      <c r="C21" s="2">
        <v>1.5</v>
      </c>
      <c r="D21" s="1">
        <v>0.3</v>
      </c>
      <c r="E21" s="1" t="s">
        <v>5</v>
      </c>
      <c r="J21">
        <v>19</v>
      </c>
      <c r="K21">
        <f t="shared" si="6"/>
        <v>4.5603448275862082</v>
      </c>
      <c r="L21">
        <f t="shared" si="1"/>
        <v>4.7637931034482772</v>
      </c>
      <c r="M21">
        <f t="shared" si="2"/>
        <v>8</v>
      </c>
      <c r="N21">
        <f t="shared" si="0"/>
        <v>0.26214689265536723</v>
      </c>
      <c r="O21">
        <f t="shared" si="3"/>
        <v>0.1982158449993866</v>
      </c>
      <c r="P21" cm="1">
        <f t="array" ref="P21">EstymacjaGaussowska((K21+L21)/2,$C$2:$C$151)</f>
        <v>0.24216844212145125</v>
      </c>
      <c r="Q21">
        <f t="shared" si="7"/>
        <v>95</v>
      </c>
      <c r="R21">
        <f t="shared" si="4"/>
        <v>0.6333333333333333</v>
      </c>
      <c r="S21">
        <f t="shared" si="5"/>
        <v>0.6957213292968718</v>
      </c>
      <c r="U21" cm="1">
        <f t="array" ref="U21">DystrybuantaGaussowska(K21,$C$2:$C$151)</f>
        <v>0.5875198877540162</v>
      </c>
      <c r="X21" cm="1">
        <f t="array" ref="X21">DystrybuantaEpanecznikowa(K21,$C$2:$C$151)</f>
        <v>-5.1725867533458217E-2</v>
      </c>
    </row>
    <row r="22" spans="1:24" x14ac:dyDescent="0.25">
      <c r="A22" s="1">
        <v>5.4</v>
      </c>
      <c r="B22" s="1">
        <v>3.4</v>
      </c>
      <c r="C22" s="2">
        <v>1.7</v>
      </c>
      <c r="D22" s="1">
        <v>0.2</v>
      </c>
      <c r="E22" s="1" t="s">
        <v>5</v>
      </c>
      <c r="J22">
        <v>20</v>
      </c>
      <c r="K22">
        <f t="shared" si="6"/>
        <v>4.7637931034482772</v>
      </c>
      <c r="L22">
        <f t="shared" si="1"/>
        <v>4.9672413793103463</v>
      </c>
      <c r="M22">
        <f t="shared" si="2"/>
        <v>9</v>
      </c>
      <c r="N22">
        <f t="shared" si="0"/>
        <v>0.29491525423728809</v>
      </c>
      <c r="O22">
        <f t="shared" si="3"/>
        <v>0.18561835117192865</v>
      </c>
      <c r="P22" cm="1">
        <f t="array" ref="P22">EstymacjaGaussowska((K22+L22)/2,$C$2:$C$151)</f>
        <v>0.24476954585285035</v>
      </c>
      <c r="Q22">
        <f t="shared" si="7"/>
        <v>104</v>
      </c>
      <c r="R22">
        <f t="shared" si="4"/>
        <v>0.69333333333333336</v>
      </c>
      <c r="S22">
        <f t="shared" si="5"/>
        <v>0.73479573608788729</v>
      </c>
      <c r="U22" cm="1">
        <f t="array" ref="U22">DystrybuantaGaussowska(K22,$C$2:$C$151)</f>
        <v>0.63671674441862813</v>
      </c>
      <c r="X22" cm="1">
        <f t="array" ref="X22">DystrybuantaEpanecznikowa(K22,$C$2:$C$151)</f>
        <v>-1.3668182349271255E-2</v>
      </c>
    </row>
    <row r="23" spans="1:24" x14ac:dyDescent="0.25">
      <c r="A23" s="1">
        <v>5.0999999999999996</v>
      </c>
      <c r="B23" s="1">
        <v>3.7</v>
      </c>
      <c r="C23" s="2">
        <v>1.5</v>
      </c>
      <c r="D23" s="1">
        <v>0.4</v>
      </c>
      <c r="E23" s="1" t="s">
        <v>5</v>
      </c>
      <c r="J23">
        <v>21</v>
      </c>
      <c r="K23">
        <f t="shared" si="6"/>
        <v>4.9672413793103463</v>
      </c>
      <c r="L23">
        <f t="shared" si="1"/>
        <v>5.1706896551724153</v>
      </c>
      <c r="M23">
        <f t="shared" si="2"/>
        <v>12</v>
      </c>
      <c r="N23">
        <f t="shared" si="0"/>
        <v>0.39322033898305081</v>
      </c>
      <c r="O23">
        <f t="shared" si="3"/>
        <v>0.17152800730743623</v>
      </c>
      <c r="P23" cm="1">
        <f t="array" ref="P23">EstymacjaGaussowska((K23+L23)/2,$C$2:$C$151)</f>
        <v>0.23911039146258706</v>
      </c>
      <c r="Q23">
        <f t="shared" si="7"/>
        <v>116</v>
      </c>
      <c r="R23">
        <f t="shared" si="4"/>
        <v>0.77333333333333332</v>
      </c>
      <c r="S23">
        <f t="shared" si="5"/>
        <v>0.77114749832753016</v>
      </c>
      <c r="U23" cm="1">
        <f t="array" ref="U23">DystrybuantaGaussowska(K23,$C$2:$C$151)</f>
        <v>0.68644418304067711</v>
      </c>
      <c r="X23" cm="1">
        <f t="array" ref="X23">DystrybuantaEpanecznikowa(K23,$C$2:$C$151)</f>
        <v>2.1804283043317881E-2</v>
      </c>
    </row>
    <row r="24" spans="1:24" x14ac:dyDescent="0.25">
      <c r="A24" s="1">
        <v>4.5999999999999996</v>
      </c>
      <c r="B24" s="1">
        <v>3.6</v>
      </c>
      <c r="C24" s="2">
        <v>1</v>
      </c>
      <c r="D24" s="1">
        <v>0.2</v>
      </c>
      <c r="E24" s="1" t="s">
        <v>5</v>
      </c>
      <c r="J24">
        <v>22</v>
      </c>
      <c r="K24">
        <f t="shared" si="6"/>
        <v>5.1706896551724153</v>
      </c>
      <c r="L24">
        <f t="shared" si="1"/>
        <v>5.3741379310344843</v>
      </c>
      <c r="M24">
        <f t="shared" si="2"/>
        <v>4</v>
      </c>
      <c r="N24">
        <f t="shared" si="0"/>
        <v>0.13107344632768361</v>
      </c>
      <c r="O24">
        <f t="shared" si="3"/>
        <v>0.15641585158523014</v>
      </c>
      <c r="P24" cm="1">
        <f t="array" ref="P24">EstymacjaGaussowska((K24+L24)/2,$C$2:$C$151)</f>
        <v>0.22613065831463147</v>
      </c>
      <c r="Q24">
        <f t="shared" si="7"/>
        <v>120</v>
      </c>
      <c r="R24">
        <f t="shared" si="4"/>
        <v>0.8</v>
      </c>
      <c r="S24">
        <f t="shared" si="5"/>
        <v>0.80452059559664191</v>
      </c>
      <c r="U24" cm="1">
        <f t="array" ref="U24">DystrybuantaGaussowska(K24,$C$2:$C$151)</f>
        <v>0.735028410019957</v>
      </c>
      <c r="X24" cm="1">
        <f t="array" ref="X24">DystrybuantaEpanecznikowa(K24,$C$2:$C$151)</f>
        <v>4.9775043338563689E-2</v>
      </c>
    </row>
    <row r="25" spans="1:24" x14ac:dyDescent="0.25">
      <c r="A25" s="1">
        <v>5.0999999999999996</v>
      </c>
      <c r="B25" s="1">
        <v>3.3</v>
      </c>
      <c r="C25" s="2">
        <v>1.7</v>
      </c>
      <c r="D25" s="1">
        <v>0.5</v>
      </c>
      <c r="E25" s="1" t="s">
        <v>5</v>
      </c>
      <c r="J25">
        <v>23</v>
      </c>
      <c r="K25">
        <f t="shared" si="6"/>
        <v>5.3741379310344843</v>
      </c>
      <c r="L25">
        <f t="shared" si="1"/>
        <v>5.5775862068965534</v>
      </c>
      <c r="M25">
        <f t="shared" si="2"/>
        <v>5</v>
      </c>
      <c r="N25">
        <f t="shared" si="0"/>
        <v>0.16384180790960451</v>
      </c>
      <c r="O25">
        <f t="shared" si="3"/>
        <v>0.14075313414275742</v>
      </c>
      <c r="P25" cm="1">
        <f t="array" ref="P25">EstymacjaGaussowska((K25+L25)/2,$C$2:$C$151)</f>
        <v>0.2072929544348755</v>
      </c>
      <c r="Q25">
        <f t="shared" si="7"/>
        <v>125</v>
      </c>
      <c r="R25">
        <f t="shared" si="4"/>
        <v>0.83333333333333337</v>
      </c>
      <c r="S25">
        <f t="shared" si="5"/>
        <v>0.83475528614539551</v>
      </c>
      <c r="U25" cm="1">
        <f t="array" ref="U25">DystrybuantaGaussowska(K25,$C$2:$C$151)</f>
        <v>0.78098449448850293</v>
      </c>
      <c r="X25" cm="1">
        <f t="array" ref="X25">DystrybuantaEpanecznikowa(K25,$C$2:$C$151)</f>
        <v>8.5537094272655656E-2</v>
      </c>
    </row>
    <row r="26" spans="1:24" x14ac:dyDescent="0.25">
      <c r="A26" s="1">
        <v>4.8</v>
      </c>
      <c r="B26" s="1">
        <v>3.4</v>
      </c>
      <c r="C26" s="2">
        <v>1.9</v>
      </c>
      <c r="D26" s="1">
        <v>0.2</v>
      </c>
      <c r="E26" s="1" t="s">
        <v>5</v>
      </c>
      <c r="J26">
        <v>24</v>
      </c>
      <c r="K26">
        <f t="shared" si="6"/>
        <v>5.5775862068965534</v>
      </c>
      <c r="L26">
        <f t="shared" si="1"/>
        <v>5.7810344827586224</v>
      </c>
      <c r="M26">
        <f t="shared" si="2"/>
        <v>9</v>
      </c>
      <c r="N26">
        <f t="shared" si="0"/>
        <v>0.29491525423728809</v>
      </c>
      <c r="O26">
        <f t="shared" si="3"/>
        <v>0.12498761299718594</v>
      </c>
      <c r="P26" cm="1">
        <f t="array" ref="P26">EstymacjaGaussowska((K26+L26)/2,$C$2:$C$151)</f>
        <v>0.18431896266127104</v>
      </c>
      <c r="Q26">
        <f t="shared" si="7"/>
        <v>134</v>
      </c>
      <c r="R26">
        <f t="shared" si="4"/>
        <v>0.89333333333333331</v>
      </c>
      <c r="S26">
        <f t="shared" si="5"/>
        <v>0.86178568844876935</v>
      </c>
      <c r="U26" cm="1">
        <f t="array" ref="U26">DystrybuantaGaussowska(K26,$C$2:$C$151)</f>
        <v>0.82312279667579058</v>
      </c>
      <c r="X26" cm="1">
        <f t="array" ref="X26">DystrybuantaEpanecznikowa(K26,$C$2:$C$151)</f>
        <v>0.10103483674414949</v>
      </c>
    </row>
    <row r="27" spans="1:24" x14ac:dyDescent="0.25">
      <c r="A27" s="1">
        <v>5</v>
      </c>
      <c r="B27" s="1">
        <v>3</v>
      </c>
      <c r="C27" s="2">
        <v>1.6</v>
      </c>
      <c r="D27" s="1">
        <v>0.2</v>
      </c>
      <c r="E27" s="1" t="s">
        <v>5</v>
      </c>
      <c r="J27">
        <v>25</v>
      </c>
      <c r="K27">
        <f t="shared" si="6"/>
        <v>5.7810344827586224</v>
      </c>
      <c r="L27">
        <f t="shared" si="1"/>
        <v>5.9844827586206915</v>
      </c>
      <c r="M27">
        <f t="shared" si="2"/>
        <v>5</v>
      </c>
      <c r="N27">
        <f t="shared" si="0"/>
        <v>0.16384180790960451</v>
      </c>
      <c r="O27">
        <f t="shared" si="3"/>
        <v>0.10952353769576433</v>
      </c>
      <c r="P27" cm="1">
        <f t="array" ref="P27">EstymacjaGaussowska((K27+L27)/2,$C$2:$C$151)</f>
        <v>0.15898623481919558</v>
      </c>
      <c r="Q27">
        <f t="shared" si="7"/>
        <v>139</v>
      </c>
      <c r="R27">
        <f t="shared" si="4"/>
        <v>0.92666666666666664</v>
      </c>
      <c r="S27">
        <f t="shared" si="5"/>
        <v>0.88563289195684447</v>
      </c>
      <c r="U27" cm="1">
        <f t="array" ref="U27">DystrybuantaGaussowska(K27,$C$2:$C$151)</f>
        <v>0.86060223187787999</v>
      </c>
      <c r="X27" cm="1">
        <f t="array" ref="X27">DystrybuantaEpanecznikowa(K27,$C$2:$C$151)</f>
        <v>0.11546704644267244</v>
      </c>
    </row>
    <row r="28" spans="1:24" x14ac:dyDescent="0.25">
      <c r="A28" s="1">
        <v>5</v>
      </c>
      <c r="B28" s="1">
        <v>3.4</v>
      </c>
      <c r="C28" s="2">
        <v>1.6</v>
      </c>
      <c r="D28" s="1">
        <v>0.4</v>
      </c>
      <c r="E28" s="1" t="s">
        <v>5</v>
      </c>
      <c r="J28">
        <v>26</v>
      </c>
      <c r="K28">
        <f t="shared" si="6"/>
        <v>5.9844827586206915</v>
      </c>
      <c r="L28">
        <f t="shared" si="1"/>
        <v>6.1879310344827605</v>
      </c>
      <c r="M28">
        <f t="shared" si="2"/>
        <v>5</v>
      </c>
      <c r="N28">
        <f t="shared" si="0"/>
        <v>0.16384180790960451</v>
      </c>
      <c r="O28">
        <f t="shared" si="3"/>
        <v>9.4706446615378512E-2</v>
      </c>
      <c r="P28" cm="1">
        <f t="array" ref="P28">EstymacjaGaussowska((K28+L28)/2,$C$2:$C$151)</f>
        <v>0.13298367062360048</v>
      </c>
      <c r="Q28">
        <f t="shared" si="7"/>
        <v>144</v>
      </c>
      <c r="R28">
        <f t="shared" si="4"/>
        <v>0.96</v>
      </c>
      <c r="S28">
        <f t="shared" si="5"/>
        <v>0.90639447056898381</v>
      </c>
      <c r="U28" cm="1">
        <f t="array" ref="U28">DystrybuantaGaussowska(K28,$C$2:$C$151)</f>
        <v>0.89294215296473678</v>
      </c>
      <c r="X28" cm="1">
        <f t="array" ref="X28">DystrybuantaEpanecznikowa(K28,$C$2:$C$151)</f>
        <v>0.12820643703077128</v>
      </c>
    </row>
    <row r="29" spans="1:24" x14ac:dyDescent="0.25">
      <c r="A29" s="1">
        <v>5.2</v>
      </c>
      <c r="B29" s="1">
        <v>3.5</v>
      </c>
      <c r="C29" s="2">
        <v>1.5</v>
      </c>
      <c r="D29" s="1">
        <v>0.2</v>
      </c>
      <c r="E29" s="1" t="s">
        <v>5</v>
      </c>
      <c r="J29">
        <v>27</v>
      </c>
      <c r="K29">
        <f t="shared" si="6"/>
        <v>6.1879310344827605</v>
      </c>
      <c r="L29">
        <f t="shared" si="1"/>
        <v>6.3913793103448295</v>
      </c>
      <c r="M29">
        <f t="shared" si="2"/>
        <v>1</v>
      </c>
      <c r="N29">
        <f t="shared" si="0"/>
        <v>3.2768361581920903E-2</v>
      </c>
      <c r="O29">
        <f t="shared" si="3"/>
        <v>8.0813368646533462E-2</v>
      </c>
      <c r="P29" cm="1">
        <f t="array" ref="P29">EstymacjaGaussowska((K29+L29)/2,$C$2:$C$151)</f>
        <v>0.1077948132689204</v>
      </c>
      <c r="Q29">
        <f t="shared" si="7"/>
        <v>145</v>
      </c>
      <c r="R29">
        <f t="shared" si="4"/>
        <v>0.96666666666666667</v>
      </c>
      <c r="S29">
        <f t="shared" si="5"/>
        <v>0.92423144751398456</v>
      </c>
      <c r="U29" cm="1">
        <f t="array" ref="U29">DystrybuantaGaussowska(K29,$C$2:$C$151)</f>
        <v>0.92000453635614998</v>
      </c>
      <c r="X29" cm="1">
        <f t="array" ref="X29">DystrybuantaEpanecznikowa(K29,$C$2:$C$151)</f>
        <v>0.11889489390546273</v>
      </c>
    </row>
    <row r="30" spans="1:24" x14ac:dyDescent="0.25">
      <c r="A30" s="1">
        <v>5.2</v>
      </c>
      <c r="B30" s="1">
        <v>3.4</v>
      </c>
      <c r="C30" s="2">
        <v>1.4</v>
      </c>
      <c r="D30" s="1">
        <v>0.2</v>
      </c>
      <c r="E30" s="1" t="s">
        <v>5</v>
      </c>
      <c r="J30">
        <v>28</v>
      </c>
      <c r="K30">
        <f t="shared" si="6"/>
        <v>6.3913793103448295</v>
      </c>
      <c r="L30">
        <f t="shared" si="1"/>
        <v>6.5948275862068986</v>
      </c>
      <c r="M30">
        <f t="shared" si="2"/>
        <v>1</v>
      </c>
      <c r="N30">
        <f t="shared" si="0"/>
        <v>3.2768361581920903E-2</v>
      </c>
      <c r="O30">
        <f t="shared" si="3"/>
        <v>6.804848614126438E-2</v>
      </c>
      <c r="P30" cm="1">
        <f t="array" ref="P30">EstymacjaGaussowska((K30+L30)/2,$C$2:$C$151)</f>
        <v>8.4595844978729087E-2</v>
      </c>
      <c r="Q30">
        <f t="shared" si="7"/>
        <v>146</v>
      </c>
      <c r="R30">
        <f t="shared" si="4"/>
        <v>0.97333333333333338</v>
      </c>
      <c r="S30">
        <f t="shared" si="5"/>
        <v>0.93935382564107139</v>
      </c>
      <c r="U30" cm="1">
        <f t="array" ref="U30">DystrybuantaGaussowska(K30,$C$2:$C$151)</f>
        <v>0.9419523039947103</v>
      </c>
      <c r="X30" cm="1">
        <f t="array" ref="X30">DystrybuantaEpanecznikowa(K30,$C$2:$C$151)</f>
        <v>0.11119522758187611</v>
      </c>
    </row>
    <row r="31" spans="1:24" x14ac:dyDescent="0.25">
      <c r="A31" s="1">
        <v>4.7</v>
      </c>
      <c r="B31" s="1">
        <v>3.2</v>
      </c>
      <c r="C31" s="2">
        <v>1.6</v>
      </c>
      <c r="D31" s="1">
        <v>0.2</v>
      </c>
      <c r="E31" s="1" t="s">
        <v>5</v>
      </c>
      <c r="J31">
        <v>29</v>
      </c>
      <c r="K31">
        <f t="shared" si="6"/>
        <v>6.5948275862068986</v>
      </c>
      <c r="L31">
        <f t="shared" si="1"/>
        <v>6.7982758620689676</v>
      </c>
      <c r="M31">
        <f t="shared" si="2"/>
        <v>3</v>
      </c>
      <c r="N31">
        <f t="shared" si="0"/>
        <v>9.8305084745762703E-2</v>
      </c>
      <c r="O31">
        <f t="shared" si="3"/>
        <v>5.6543842095060741E-2</v>
      </c>
      <c r="P31" cm="1">
        <f t="array" ref="P31">EstymacjaGaussowska((K31+L31)/2,$C$2:$C$151)</f>
        <v>6.4187555583544886E-2</v>
      </c>
      <c r="Q31">
        <f t="shared" si="7"/>
        <v>149</v>
      </c>
      <c r="R31">
        <f t="shared" si="4"/>
        <v>0.99333333333333329</v>
      </c>
      <c r="S31">
        <f t="shared" si="5"/>
        <v>0.95200575904675278</v>
      </c>
      <c r="U31" cm="1">
        <f t="array" ref="U31">DystrybuantaGaussowska(K31,$C$2:$C$151)</f>
        <v>0.95918707479425769</v>
      </c>
      <c r="X31" cm="1">
        <f t="array" ref="X31">DystrybuantaEpanecznikowa(K31,$C$2:$C$151)</f>
        <v>9.8736521835558033E-2</v>
      </c>
    </row>
    <row r="32" spans="1:24" x14ac:dyDescent="0.25">
      <c r="A32" s="1">
        <v>4.8</v>
      </c>
      <c r="B32" s="1">
        <v>3.1</v>
      </c>
      <c r="C32" s="2">
        <v>1.6</v>
      </c>
      <c r="D32" s="1">
        <v>0.2</v>
      </c>
      <c r="E32" s="1" t="s">
        <v>5</v>
      </c>
      <c r="J32">
        <v>30</v>
      </c>
      <c r="K32">
        <f t="shared" si="6"/>
        <v>6.7982758620689676</v>
      </c>
      <c r="L32">
        <f t="shared" si="1"/>
        <v>7.0017241379310367</v>
      </c>
      <c r="M32">
        <f t="shared" si="2"/>
        <v>1</v>
      </c>
      <c r="N32">
        <f t="shared" si="0"/>
        <v>3.2768361581920903E-2</v>
      </c>
      <c r="O32">
        <f t="shared" si="3"/>
        <v>4.6364304715173534E-2</v>
      </c>
      <c r="P32" cm="1">
        <f t="array" ref="P32">EstymacjaGaussowska((K32+L32)/2,$C$2:$C$151)</f>
        <v>4.6987187373193975E-2</v>
      </c>
      <c r="Q32">
        <f t="shared" si="7"/>
        <v>150</v>
      </c>
      <c r="R32">
        <f t="shared" si="4"/>
        <v>1</v>
      </c>
      <c r="S32">
        <f t="shared" si="5"/>
        <v>0.96245131745616397</v>
      </c>
      <c r="U32" cm="1">
        <f t="array" ref="U32">DystrybuantaGaussowska(K32,$C$2:$C$151)</f>
        <v>0.97227331742910905</v>
      </c>
      <c r="X32" cm="1">
        <f t="array" ref="X32">DystrybuantaEpanecznikowa(K32,$C$2:$C$151)</f>
        <v>7.8880968208845159E-2</v>
      </c>
    </row>
    <row r="33" spans="1:13" x14ac:dyDescent="0.25">
      <c r="A33" s="1">
        <v>5.4</v>
      </c>
      <c r="B33" s="1">
        <v>3.4</v>
      </c>
      <c r="C33" s="2">
        <v>1.5</v>
      </c>
      <c r="D33" s="1">
        <v>0.4</v>
      </c>
      <c r="E33" s="1" t="s">
        <v>5</v>
      </c>
      <c r="J33" t="s">
        <v>26</v>
      </c>
      <c r="M33">
        <f>SUM(M3:M32)</f>
        <v>150</v>
      </c>
    </row>
    <row r="34" spans="1:13" x14ac:dyDescent="0.25">
      <c r="A34" s="1">
        <v>5.2</v>
      </c>
      <c r="B34" s="1">
        <v>4.0999999999999996</v>
      </c>
      <c r="C34" s="2">
        <v>1.5</v>
      </c>
      <c r="D34" s="1">
        <v>0.1</v>
      </c>
      <c r="E34" s="1" t="s">
        <v>5</v>
      </c>
    </row>
    <row r="35" spans="1:13" x14ac:dyDescent="0.25">
      <c r="A35" s="1">
        <v>5.5</v>
      </c>
      <c r="B35" s="1">
        <v>4.2</v>
      </c>
      <c r="C35" s="2">
        <v>1.4</v>
      </c>
      <c r="D35" s="1">
        <v>0.2</v>
      </c>
      <c r="E35" s="1" t="s">
        <v>5</v>
      </c>
    </row>
    <row r="36" spans="1:13" x14ac:dyDescent="0.25">
      <c r="A36" s="1">
        <v>4.9000000000000004</v>
      </c>
      <c r="B36" s="1">
        <v>3.1</v>
      </c>
      <c r="C36" s="2">
        <v>1.5</v>
      </c>
      <c r="D36" s="1">
        <v>0.2</v>
      </c>
      <c r="E36" s="1" t="s">
        <v>5</v>
      </c>
    </row>
    <row r="37" spans="1:13" x14ac:dyDescent="0.25">
      <c r="A37" s="1">
        <v>5</v>
      </c>
      <c r="B37" s="1">
        <v>3.2</v>
      </c>
      <c r="C37" s="2">
        <v>1.2</v>
      </c>
      <c r="D37" s="1">
        <v>0.2</v>
      </c>
      <c r="E37" s="1" t="s">
        <v>5</v>
      </c>
    </row>
    <row r="38" spans="1:13" x14ac:dyDescent="0.25">
      <c r="A38" s="1">
        <v>5.5</v>
      </c>
      <c r="B38" s="1">
        <v>3.5</v>
      </c>
      <c r="C38" s="2">
        <v>1.3</v>
      </c>
      <c r="D38" s="1">
        <v>0.2</v>
      </c>
      <c r="E38" s="1" t="s">
        <v>5</v>
      </c>
    </row>
    <row r="39" spans="1:13" x14ac:dyDescent="0.25">
      <c r="A39" s="1">
        <v>4.9000000000000004</v>
      </c>
      <c r="B39" s="1">
        <v>3.6</v>
      </c>
      <c r="C39" s="2">
        <v>1.4</v>
      </c>
      <c r="D39" s="1">
        <v>0.1</v>
      </c>
      <c r="E39" s="1" t="s">
        <v>5</v>
      </c>
    </row>
    <row r="40" spans="1:13" x14ac:dyDescent="0.25">
      <c r="A40" s="1">
        <v>4.4000000000000004</v>
      </c>
      <c r="B40" s="1">
        <v>3</v>
      </c>
      <c r="C40" s="2">
        <v>1.3</v>
      </c>
      <c r="D40" s="1">
        <v>0.2</v>
      </c>
      <c r="E40" s="1" t="s">
        <v>5</v>
      </c>
    </row>
    <row r="41" spans="1:13" x14ac:dyDescent="0.25">
      <c r="A41" s="1">
        <v>5.0999999999999996</v>
      </c>
      <c r="B41" s="1">
        <v>3.4</v>
      </c>
      <c r="C41" s="2">
        <v>1.5</v>
      </c>
      <c r="D41" s="1">
        <v>0.2</v>
      </c>
      <c r="E41" s="1" t="s">
        <v>5</v>
      </c>
    </row>
    <row r="42" spans="1:13" x14ac:dyDescent="0.25">
      <c r="A42" s="1">
        <v>5</v>
      </c>
      <c r="B42" s="1">
        <v>3.5</v>
      </c>
      <c r="C42" s="2">
        <v>1.3</v>
      </c>
      <c r="D42" s="1">
        <v>0.3</v>
      </c>
      <c r="E42" s="1" t="s">
        <v>5</v>
      </c>
    </row>
    <row r="43" spans="1:13" x14ac:dyDescent="0.25">
      <c r="A43" s="1">
        <v>4.5</v>
      </c>
      <c r="B43" s="1">
        <v>2.2999999999999998</v>
      </c>
      <c r="C43" s="2">
        <v>1.3</v>
      </c>
      <c r="D43" s="1">
        <v>0.3</v>
      </c>
      <c r="E43" s="1" t="s">
        <v>5</v>
      </c>
    </row>
    <row r="44" spans="1:13" x14ac:dyDescent="0.25">
      <c r="A44" s="1">
        <v>4.4000000000000004</v>
      </c>
      <c r="B44" s="1">
        <v>3.2</v>
      </c>
      <c r="C44" s="2">
        <v>1.3</v>
      </c>
      <c r="D44" s="1">
        <v>0.2</v>
      </c>
      <c r="E44" s="1" t="s">
        <v>5</v>
      </c>
    </row>
    <row r="45" spans="1:13" x14ac:dyDescent="0.25">
      <c r="A45" s="1">
        <v>5</v>
      </c>
      <c r="B45" s="1">
        <v>3.5</v>
      </c>
      <c r="C45" s="2">
        <v>1.6</v>
      </c>
      <c r="D45" s="1">
        <v>0.6</v>
      </c>
      <c r="E45" s="1" t="s">
        <v>5</v>
      </c>
    </row>
    <row r="46" spans="1:13" x14ac:dyDescent="0.25">
      <c r="A46" s="1">
        <v>5.0999999999999996</v>
      </c>
      <c r="B46" s="1">
        <v>3.8</v>
      </c>
      <c r="C46" s="2">
        <v>1.9</v>
      </c>
      <c r="D46" s="1">
        <v>0.4</v>
      </c>
      <c r="E46" s="1" t="s">
        <v>5</v>
      </c>
    </row>
    <row r="47" spans="1:13" x14ac:dyDescent="0.25">
      <c r="A47" s="1">
        <v>4.8</v>
      </c>
      <c r="B47" s="1">
        <v>3</v>
      </c>
      <c r="C47" s="2">
        <v>1.4</v>
      </c>
      <c r="D47" s="1">
        <v>0.3</v>
      </c>
      <c r="E47" s="1" t="s">
        <v>5</v>
      </c>
    </row>
    <row r="48" spans="1:13" x14ac:dyDescent="0.25">
      <c r="A48" s="1">
        <v>5.0999999999999996</v>
      </c>
      <c r="B48" s="1">
        <v>3.8</v>
      </c>
      <c r="C48" s="2">
        <v>1.6</v>
      </c>
      <c r="D48" s="1">
        <v>0.2</v>
      </c>
      <c r="E48" s="1" t="s">
        <v>5</v>
      </c>
    </row>
    <row r="49" spans="1:5" x14ac:dyDescent="0.25">
      <c r="A49" s="1">
        <v>4.5999999999999996</v>
      </c>
      <c r="B49" s="1">
        <v>3.2</v>
      </c>
      <c r="C49" s="2">
        <v>1.4</v>
      </c>
      <c r="D49" s="1">
        <v>0.2</v>
      </c>
      <c r="E49" s="1" t="s">
        <v>5</v>
      </c>
    </row>
    <row r="50" spans="1:5" x14ac:dyDescent="0.25">
      <c r="A50" s="1">
        <v>5.3</v>
      </c>
      <c r="B50" s="1">
        <v>3.7</v>
      </c>
      <c r="C50" s="2">
        <v>1.5</v>
      </c>
      <c r="D50" s="1">
        <v>0.2</v>
      </c>
      <c r="E50" s="1" t="s">
        <v>5</v>
      </c>
    </row>
    <row r="51" spans="1:5" x14ac:dyDescent="0.25">
      <c r="A51" s="1">
        <v>5</v>
      </c>
      <c r="B51" s="1">
        <v>3.3</v>
      </c>
      <c r="C51" s="2">
        <v>1.4</v>
      </c>
      <c r="D51" s="1">
        <v>0.2</v>
      </c>
      <c r="E51" s="1" t="s">
        <v>5</v>
      </c>
    </row>
    <row r="52" spans="1:5" x14ac:dyDescent="0.25">
      <c r="A52" s="1">
        <v>7</v>
      </c>
      <c r="B52" s="1">
        <v>3.2</v>
      </c>
      <c r="C52" s="2">
        <v>4.7</v>
      </c>
      <c r="D52" s="1">
        <v>1.4</v>
      </c>
      <c r="E52" s="1" t="s">
        <v>6</v>
      </c>
    </row>
    <row r="53" spans="1:5" x14ac:dyDescent="0.25">
      <c r="A53" s="1">
        <v>6.4</v>
      </c>
      <c r="B53" s="1">
        <v>3.2</v>
      </c>
      <c r="C53" s="2">
        <v>4.5</v>
      </c>
      <c r="D53" s="1">
        <v>1.5</v>
      </c>
      <c r="E53" s="1" t="s">
        <v>6</v>
      </c>
    </row>
    <row r="54" spans="1:5" x14ac:dyDescent="0.25">
      <c r="A54" s="1">
        <v>6.9</v>
      </c>
      <c r="B54" s="1">
        <v>3.1</v>
      </c>
      <c r="C54" s="2">
        <v>4.9000000000000004</v>
      </c>
      <c r="D54" s="1">
        <v>1.5</v>
      </c>
      <c r="E54" s="1" t="s">
        <v>6</v>
      </c>
    </row>
    <row r="55" spans="1:5" x14ac:dyDescent="0.25">
      <c r="A55" s="1">
        <v>5.5</v>
      </c>
      <c r="B55" s="1">
        <v>2.2999999999999998</v>
      </c>
      <c r="C55" s="2">
        <v>4</v>
      </c>
      <c r="D55" s="1">
        <v>1.3</v>
      </c>
      <c r="E55" s="1" t="s">
        <v>6</v>
      </c>
    </row>
    <row r="56" spans="1:5" x14ac:dyDescent="0.25">
      <c r="A56" s="1">
        <v>6.5</v>
      </c>
      <c r="B56" s="1">
        <v>2.8</v>
      </c>
      <c r="C56" s="2">
        <v>4.5999999999999996</v>
      </c>
      <c r="D56" s="1">
        <v>1.5</v>
      </c>
      <c r="E56" s="1" t="s">
        <v>6</v>
      </c>
    </row>
    <row r="57" spans="1:5" x14ac:dyDescent="0.25">
      <c r="A57" s="1">
        <v>5.7</v>
      </c>
      <c r="B57" s="1">
        <v>2.8</v>
      </c>
      <c r="C57" s="2">
        <v>4.5</v>
      </c>
      <c r="D57" s="1">
        <v>1.3</v>
      </c>
      <c r="E57" s="1" t="s">
        <v>6</v>
      </c>
    </row>
    <row r="58" spans="1:5" x14ac:dyDescent="0.25">
      <c r="A58" s="1">
        <v>6.3</v>
      </c>
      <c r="B58" s="1">
        <v>3.3</v>
      </c>
      <c r="C58" s="2">
        <v>4.7</v>
      </c>
      <c r="D58" s="1">
        <v>1.6</v>
      </c>
      <c r="E58" s="1" t="s">
        <v>6</v>
      </c>
    </row>
    <row r="59" spans="1:5" x14ac:dyDescent="0.25">
      <c r="A59" s="1">
        <v>4.9000000000000004</v>
      </c>
      <c r="B59" s="1">
        <v>2.4</v>
      </c>
      <c r="C59" s="2">
        <v>3.3</v>
      </c>
      <c r="D59" s="1">
        <v>1</v>
      </c>
      <c r="E59" s="1" t="s">
        <v>6</v>
      </c>
    </row>
    <row r="60" spans="1:5" x14ac:dyDescent="0.25">
      <c r="A60" s="1">
        <v>6.6</v>
      </c>
      <c r="B60" s="1">
        <v>2.9</v>
      </c>
      <c r="C60" s="2">
        <v>4.5999999999999996</v>
      </c>
      <c r="D60" s="1">
        <v>1.3</v>
      </c>
      <c r="E60" s="1" t="s">
        <v>6</v>
      </c>
    </row>
    <row r="61" spans="1:5" x14ac:dyDescent="0.25">
      <c r="A61" s="1">
        <v>5.2</v>
      </c>
      <c r="B61" s="1">
        <v>2.7</v>
      </c>
      <c r="C61" s="2">
        <v>3.9</v>
      </c>
      <c r="D61" s="1">
        <v>1.4</v>
      </c>
      <c r="E61" s="1" t="s">
        <v>6</v>
      </c>
    </row>
    <row r="62" spans="1:5" x14ac:dyDescent="0.25">
      <c r="A62" s="1">
        <v>5</v>
      </c>
      <c r="B62" s="1">
        <v>2</v>
      </c>
      <c r="C62" s="2">
        <v>3.5</v>
      </c>
      <c r="D62" s="1">
        <v>1</v>
      </c>
      <c r="E62" s="1" t="s">
        <v>6</v>
      </c>
    </row>
    <row r="63" spans="1:5" x14ac:dyDescent="0.25">
      <c r="A63" s="1">
        <v>5.9</v>
      </c>
      <c r="B63" s="1">
        <v>3</v>
      </c>
      <c r="C63" s="2">
        <v>4.2</v>
      </c>
      <c r="D63" s="1">
        <v>1.5</v>
      </c>
      <c r="E63" s="1" t="s">
        <v>6</v>
      </c>
    </row>
    <row r="64" spans="1:5" x14ac:dyDescent="0.25">
      <c r="A64" s="1">
        <v>6</v>
      </c>
      <c r="B64" s="1">
        <v>2.2000000000000002</v>
      </c>
      <c r="C64" s="2">
        <v>4</v>
      </c>
      <c r="D64" s="1">
        <v>1</v>
      </c>
      <c r="E64" s="1" t="s">
        <v>6</v>
      </c>
    </row>
    <row r="65" spans="1:5" x14ac:dyDescent="0.25">
      <c r="A65" s="1">
        <v>6.1</v>
      </c>
      <c r="B65" s="1">
        <v>2.9</v>
      </c>
      <c r="C65" s="2">
        <v>4.7</v>
      </c>
      <c r="D65" s="1">
        <v>1.4</v>
      </c>
      <c r="E65" s="1" t="s">
        <v>6</v>
      </c>
    </row>
    <row r="66" spans="1:5" x14ac:dyDescent="0.25">
      <c r="A66" s="1">
        <v>5.6</v>
      </c>
      <c r="B66" s="1">
        <v>2.9</v>
      </c>
      <c r="C66" s="2">
        <v>3.6</v>
      </c>
      <c r="D66" s="1">
        <v>1.3</v>
      </c>
      <c r="E66" s="1" t="s">
        <v>6</v>
      </c>
    </row>
    <row r="67" spans="1:5" x14ac:dyDescent="0.25">
      <c r="A67" s="1">
        <v>6.7</v>
      </c>
      <c r="B67" s="1">
        <v>3.1</v>
      </c>
      <c r="C67" s="2">
        <v>4.4000000000000004</v>
      </c>
      <c r="D67" s="1">
        <v>1.4</v>
      </c>
      <c r="E67" s="1" t="s">
        <v>6</v>
      </c>
    </row>
    <row r="68" spans="1:5" x14ac:dyDescent="0.25">
      <c r="A68" s="1">
        <v>5.6</v>
      </c>
      <c r="B68" s="1">
        <v>3</v>
      </c>
      <c r="C68" s="2">
        <v>4.5</v>
      </c>
      <c r="D68" s="1">
        <v>1.5</v>
      </c>
      <c r="E68" s="1" t="s">
        <v>6</v>
      </c>
    </row>
    <row r="69" spans="1:5" x14ac:dyDescent="0.25">
      <c r="A69" s="1">
        <v>5.8</v>
      </c>
      <c r="B69" s="1">
        <v>2.7</v>
      </c>
      <c r="C69" s="2">
        <v>4.0999999999999996</v>
      </c>
      <c r="D69" s="1">
        <v>1</v>
      </c>
      <c r="E69" s="1" t="s">
        <v>6</v>
      </c>
    </row>
    <row r="70" spans="1:5" x14ac:dyDescent="0.25">
      <c r="A70" s="1">
        <v>6.2</v>
      </c>
      <c r="B70" s="1">
        <v>2.2000000000000002</v>
      </c>
      <c r="C70" s="2">
        <v>4.5</v>
      </c>
      <c r="D70" s="1">
        <v>1.5</v>
      </c>
      <c r="E70" s="1" t="s">
        <v>6</v>
      </c>
    </row>
    <row r="71" spans="1:5" x14ac:dyDescent="0.25">
      <c r="A71" s="1">
        <v>5.6</v>
      </c>
      <c r="B71" s="1">
        <v>2.5</v>
      </c>
      <c r="C71" s="2">
        <v>3.9</v>
      </c>
      <c r="D71" s="1">
        <v>1.1000000000000001</v>
      </c>
      <c r="E71" s="1" t="s">
        <v>6</v>
      </c>
    </row>
    <row r="72" spans="1:5" x14ac:dyDescent="0.25">
      <c r="A72" s="1">
        <v>5.9</v>
      </c>
      <c r="B72" s="1">
        <v>3.2</v>
      </c>
      <c r="C72" s="2">
        <v>4.8</v>
      </c>
      <c r="D72" s="1">
        <v>1.8</v>
      </c>
      <c r="E72" s="1" t="s">
        <v>6</v>
      </c>
    </row>
    <row r="73" spans="1:5" x14ac:dyDescent="0.25">
      <c r="A73" s="1">
        <v>6.1</v>
      </c>
      <c r="B73" s="1">
        <v>2.8</v>
      </c>
      <c r="C73" s="2">
        <v>4</v>
      </c>
      <c r="D73" s="1">
        <v>1.3</v>
      </c>
      <c r="E73" s="1" t="s">
        <v>6</v>
      </c>
    </row>
    <row r="74" spans="1:5" x14ac:dyDescent="0.25">
      <c r="A74" s="1">
        <v>6.3</v>
      </c>
      <c r="B74" s="1">
        <v>2.5</v>
      </c>
      <c r="C74" s="2">
        <v>4.9000000000000004</v>
      </c>
      <c r="D74" s="1">
        <v>1.5</v>
      </c>
      <c r="E74" s="1" t="s">
        <v>6</v>
      </c>
    </row>
    <row r="75" spans="1:5" x14ac:dyDescent="0.25">
      <c r="A75" s="1">
        <v>6.1</v>
      </c>
      <c r="B75" s="1">
        <v>2.8</v>
      </c>
      <c r="C75" s="2">
        <v>4.7</v>
      </c>
      <c r="D75" s="1">
        <v>1.2</v>
      </c>
      <c r="E75" s="1" t="s">
        <v>6</v>
      </c>
    </row>
    <row r="76" spans="1:5" x14ac:dyDescent="0.25">
      <c r="A76" s="1">
        <v>6.4</v>
      </c>
      <c r="B76" s="1">
        <v>2.9</v>
      </c>
      <c r="C76" s="2">
        <v>4.3</v>
      </c>
      <c r="D76" s="1">
        <v>1.3</v>
      </c>
      <c r="E76" s="1" t="s">
        <v>6</v>
      </c>
    </row>
    <row r="77" spans="1:5" x14ac:dyDescent="0.25">
      <c r="A77" s="1">
        <v>6.6</v>
      </c>
      <c r="B77" s="1">
        <v>3</v>
      </c>
      <c r="C77" s="2">
        <v>4.4000000000000004</v>
      </c>
      <c r="D77" s="1">
        <v>1.4</v>
      </c>
      <c r="E77" s="1" t="s">
        <v>6</v>
      </c>
    </row>
    <row r="78" spans="1:5" x14ac:dyDescent="0.25">
      <c r="A78" s="1">
        <v>6.8</v>
      </c>
      <c r="B78" s="1">
        <v>2.8</v>
      </c>
      <c r="C78" s="2">
        <v>4.8</v>
      </c>
      <c r="D78" s="1">
        <v>1.4</v>
      </c>
      <c r="E78" s="1" t="s">
        <v>6</v>
      </c>
    </row>
    <row r="79" spans="1:5" x14ac:dyDescent="0.25">
      <c r="A79" s="1">
        <v>6.7</v>
      </c>
      <c r="B79" s="1">
        <v>3</v>
      </c>
      <c r="C79" s="2">
        <v>5</v>
      </c>
      <c r="D79" s="1">
        <v>1.7</v>
      </c>
      <c r="E79" s="1" t="s">
        <v>6</v>
      </c>
    </row>
    <row r="80" spans="1:5" x14ac:dyDescent="0.25">
      <c r="A80" s="1">
        <v>6</v>
      </c>
      <c r="B80" s="1">
        <v>2.9</v>
      </c>
      <c r="C80" s="2">
        <v>4.5</v>
      </c>
      <c r="D80" s="1">
        <v>1.5</v>
      </c>
      <c r="E80" s="1" t="s">
        <v>6</v>
      </c>
    </row>
    <row r="81" spans="1:5" x14ac:dyDescent="0.25">
      <c r="A81" s="1">
        <v>5.7</v>
      </c>
      <c r="B81" s="1">
        <v>2.6</v>
      </c>
      <c r="C81" s="2">
        <v>3.5</v>
      </c>
      <c r="D81" s="1">
        <v>1</v>
      </c>
      <c r="E81" s="1" t="s">
        <v>6</v>
      </c>
    </row>
    <row r="82" spans="1:5" x14ac:dyDescent="0.25">
      <c r="A82" s="1">
        <v>5.5</v>
      </c>
      <c r="B82" s="1">
        <v>2.4</v>
      </c>
      <c r="C82" s="2">
        <v>3.8</v>
      </c>
      <c r="D82" s="1">
        <v>1.1000000000000001</v>
      </c>
      <c r="E82" s="1" t="s">
        <v>6</v>
      </c>
    </row>
    <row r="83" spans="1:5" x14ac:dyDescent="0.25">
      <c r="A83" s="1">
        <v>5.5</v>
      </c>
      <c r="B83" s="1">
        <v>2.4</v>
      </c>
      <c r="C83" s="2">
        <v>3.7</v>
      </c>
      <c r="D83" s="1">
        <v>1</v>
      </c>
      <c r="E83" s="1" t="s">
        <v>6</v>
      </c>
    </row>
    <row r="84" spans="1:5" x14ac:dyDescent="0.25">
      <c r="A84" s="1">
        <v>5.8</v>
      </c>
      <c r="B84" s="1">
        <v>2.7</v>
      </c>
      <c r="C84" s="2">
        <v>3.9</v>
      </c>
      <c r="D84" s="1">
        <v>1.2</v>
      </c>
      <c r="E84" s="1" t="s">
        <v>6</v>
      </c>
    </row>
    <row r="85" spans="1:5" x14ac:dyDescent="0.25">
      <c r="A85" s="1">
        <v>6</v>
      </c>
      <c r="B85" s="1">
        <v>2.7</v>
      </c>
      <c r="C85" s="2">
        <v>5.0999999999999996</v>
      </c>
      <c r="D85" s="1">
        <v>1.6</v>
      </c>
      <c r="E85" s="1" t="s">
        <v>6</v>
      </c>
    </row>
    <row r="86" spans="1:5" x14ac:dyDescent="0.25">
      <c r="A86" s="1">
        <v>5.4</v>
      </c>
      <c r="B86" s="1">
        <v>3</v>
      </c>
      <c r="C86" s="2">
        <v>4.5</v>
      </c>
      <c r="D86" s="1">
        <v>1.5</v>
      </c>
      <c r="E86" s="1" t="s">
        <v>6</v>
      </c>
    </row>
    <row r="87" spans="1:5" x14ac:dyDescent="0.25">
      <c r="A87" s="1">
        <v>6</v>
      </c>
      <c r="B87" s="1">
        <v>3.4</v>
      </c>
      <c r="C87" s="2">
        <v>4.5</v>
      </c>
      <c r="D87" s="1">
        <v>1.6</v>
      </c>
      <c r="E87" s="1" t="s">
        <v>6</v>
      </c>
    </row>
    <row r="88" spans="1:5" x14ac:dyDescent="0.25">
      <c r="A88" s="1">
        <v>6.7</v>
      </c>
      <c r="B88" s="1">
        <v>3.1</v>
      </c>
      <c r="C88" s="2">
        <v>4.7</v>
      </c>
      <c r="D88" s="1">
        <v>1.5</v>
      </c>
      <c r="E88" s="1" t="s">
        <v>6</v>
      </c>
    </row>
    <row r="89" spans="1:5" x14ac:dyDescent="0.25">
      <c r="A89" s="1">
        <v>6.3</v>
      </c>
      <c r="B89" s="1">
        <v>2.2999999999999998</v>
      </c>
      <c r="C89" s="2">
        <v>4.4000000000000004</v>
      </c>
      <c r="D89" s="1">
        <v>1.3</v>
      </c>
      <c r="E89" s="1" t="s">
        <v>6</v>
      </c>
    </row>
    <row r="90" spans="1:5" x14ac:dyDescent="0.25">
      <c r="A90" s="1">
        <v>5.6</v>
      </c>
      <c r="B90" s="1">
        <v>3</v>
      </c>
      <c r="C90" s="2">
        <v>4.0999999999999996</v>
      </c>
      <c r="D90" s="1">
        <v>1.3</v>
      </c>
      <c r="E90" s="1" t="s">
        <v>6</v>
      </c>
    </row>
    <row r="91" spans="1:5" x14ac:dyDescent="0.25">
      <c r="A91" s="1">
        <v>5.5</v>
      </c>
      <c r="B91" s="1">
        <v>2.5</v>
      </c>
      <c r="C91" s="2">
        <v>4</v>
      </c>
      <c r="D91" s="1">
        <v>1.3</v>
      </c>
      <c r="E91" s="1" t="s">
        <v>6</v>
      </c>
    </row>
    <row r="92" spans="1:5" x14ac:dyDescent="0.25">
      <c r="A92" s="1">
        <v>5.5</v>
      </c>
      <c r="B92" s="1">
        <v>2.6</v>
      </c>
      <c r="C92" s="2">
        <v>4.4000000000000004</v>
      </c>
      <c r="D92" s="1">
        <v>1.2</v>
      </c>
      <c r="E92" s="1" t="s">
        <v>6</v>
      </c>
    </row>
    <row r="93" spans="1:5" x14ac:dyDescent="0.25">
      <c r="A93" s="1">
        <v>6.1</v>
      </c>
      <c r="B93" s="1">
        <v>3</v>
      </c>
      <c r="C93" s="2">
        <v>4.5999999999999996</v>
      </c>
      <c r="D93" s="1">
        <v>1.4</v>
      </c>
      <c r="E93" s="1" t="s">
        <v>6</v>
      </c>
    </row>
    <row r="94" spans="1:5" x14ac:dyDescent="0.25">
      <c r="A94" s="1">
        <v>5.8</v>
      </c>
      <c r="B94" s="1">
        <v>2.6</v>
      </c>
      <c r="C94" s="2">
        <v>4</v>
      </c>
      <c r="D94" s="1">
        <v>1.2</v>
      </c>
      <c r="E94" s="1" t="s">
        <v>6</v>
      </c>
    </row>
    <row r="95" spans="1:5" x14ac:dyDescent="0.25">
      <c r="A95" s="1">
        <v>5</v>
      </c>
      <c r="B95" s="1">
        <v>2.2999999999999998</v>
      </c>
      <c r="C95" s="2">
        <v>3.3</v>
      </c>
      <c r="D95" s="1">
        <v>1</v>
      </c>
      <c r="E95" s="1" t="s">
        <v>6</v>
      </c>
    </row>
    <row r="96" spans="1:5" x14ac:dyDescent="0.25">
      <c r="A96" s="1">
        <v>5.6</v>
      </c>
      <c r="B96" s="1">
        <v>2.7</v>
      </c>
      <c r="C96" s="2">
        <v>4.2</v>
      </c>
      <c r="D96" s="1">
        <v>1.3</v>
      </c>
      <c r="E96" s="1" t="s">
        <v>6</v>
      </c>
    </row>
    <row r="97" spans="1:5" x14ac:dyDescent="0.25">
      <c r="A97" s="1">
        <v>5.7</v>
      </c>
      <c r="B97" s="1">
        <v>3</v>
      </c>
      <c r="C97" s="2">
        <v>4.2</v>
      </c>
      <c r="D97" s="1">
        <v>1.2</v>
      </c>
      <c r="E97" s="1" t="s">
        <v>6</v>
      </c>
    </row>
    <row r="98" spans="1:5" x14ac:dyDescent="0.25">
      <c r="A98" s="1">
        <v>5.7</v>
      </c>
      <c r="B98" s="1">
        <v>2.9</v>
      </c>
      <c r="C98" s="2">
        <v>4.2</v>
      </c>
      <c r="D98" s="1">
        <v>1.3</v>
      </c>
      <c r="E98" s="1" t="s">
        <v>6</v>
      </c>
    </row>
    <row r="99" spans="1:5" x14ac:dyDescent="0.25">
      <c r="A99" s="1">
        <v>6.2</v>
      </c>
      <c r="B99" s="1">
        <v>2.9</v>
      </c>
      <c r="C99" s="2">
        <v>4.3</v>
      </c>
      <c r="D99" s="1">
        <v>1.3</v>
      </c>
      <c r="E99" s="1" t="s">
        <v>6</v>
      </c>
    </row>
    <row r="100" spans="1:5" x14ac:dyDescent="0.25">
      <c r="A100" s="1">
        <v>5.0999999999999996</v>
      </c>
      <c r="B100" s="1">
        <v>2.5</v>
      </c>
      <c r="C100" s="2">
        <v>3</v>
      </c>
      <c r="D100" s="1">
        <v>1.1000000000000001</v>
      </c>
      <c r="E100" s="1" t="s">
        <v>6</v>
      </c>
    </row>
    <row r="101" spans="1:5" x14ac:dyDescent="0.25">
      <c r="A101" s="1">
        <v>5.7</v>
      </c>
      <c r="B101" s="1">
        <v>2.8</v>
      </c>
      <c r="C101" s="2">
        <v>4.0999999999999996</v>
      </c>
      <c r="D101" s="1">
        <v>1.3</v>
      </c>
      <c r="E101" s="1" t="s">
        <v>6</v>
      </c>
    </row>
    <row r="102" spans="1:5" x14ac:dyDescent="0.25">
      <c r="A102" s="1">
        <v>6.3</v>
      </c>
      <c r="B102" s="1">
        <v>3.3</v>
      </c>
      <c r="C102" s="2">
        <v>6</v>
      </c>
      <c r="D102" s="1">
        <v>2.5</v>
      </c>
      <c r="E102" s="1" t="s">
        <v>7</v>
      </c>
    </row>
    <row r="103" spans="1:5" x14ac:dyDescent="0.25">
      <c r="A103" s="1">
        <v>5.8</v>
      </c>
      <c r="B103" s="1">
        <v>2.7</v>
      </c>
      <c r="C103" s="2">
        <v>5.0999999999999996</v>
      </c>
      <c r="D103" s="1">
        <v>1.9</v>
      </c>
      <c r="E103" s="1" t="s">
        <v>7</v>
      </c>
    </row>
    <row r="104" spans="1:5" x14ac:dyDescent="0.25">
      <c r="A104" s="1">
        <v>7.1</v>
      </c>
      <c r="B104" s="1">
        <v>3</v>
      </c>
      <c r="C104" s="2">
        <v>5.9</v>
      </c>
      <c r="D104" s="1">
        <v>2.1</v>
      </c>
      <c r="E104" s="1" t="s">
        <v>7</v>
      </c>
    </row>
    <row r="105" spans="1:5" x14ac:dyDescent="0.25">
      <c r="A105" s="1">
        <v>6.3</v>
      </c>
      <c r="B105" s="1">
        <v>2.9</v>
      </c>
      <c r="C105" s="2">
        <v>5.6</v>
      </c>
      <c r="D105" s="1">
        <v>1.8</v>
      </c>
      <c r="E105" s="1" t="s">
        <v>7</v>
      </c>
    </row>
    <row r="106" spans="1:5" x14ac:dyDescent="0.25">
      <c r="A106" s="1">
        <v>6.5</v>
      </c>
      <c r="B106" s="1">
        <v>3</v>
      </c>
      <c r="C106" s="2">
        <v>5.8</v>
      </c>
      <c r="D106" s="1">
        <v>2.2000000000000002</v>
      </c>
      <c r="E106" s="1" t="s">
        <v>7</v>
      </c>
    </row>
    <row r="107" spans="1:5" x14ac:dyDescent="0.25">
      <c r="A107" s="1">
        <v>7.6</v>
      </c>
      <c r="B107" s="1">
        <v>3</v>
      </c>
      <c r="C107" s="2">
        <v>6.6</v>
      </c>
      <c r="D107" s="1">
        <v>2.1</v>
      </c>
      <c r="E107" s="1" t="s">
        <v>7</v>
      </c>
    </row>
    <row r="108" spans="1:5" x14ac:dyDescent="0.25">
      <c r="A108" s="1">
        <v>4.9000000000000004</v>
      </c>
      <c r="B108" s="1">
        <v>2.5</v>
      </c>
      <c r="C108" s="2">
        <v>4.5</v>
      </c>
      <c r="D108" s="1">
        <v>1.7</v>
      </c>
      <c r="E108" s="1" t="s">
        <v>7</v>
      </c>
    </row>
    <row r="109" spans="1:5" x14ac:dyDescent="0.25">
      <c r="A109" s="1">
        <v>7.3</v>
      </c>
      <c r="B109" s="1">
        <v>2.9</v>
      </c>
      <c r="C109" s="2">
        <v>6.3</v>
      </c>
      <c r="D109" s="1">
        <v>1.8</v>
      </c>
      <c r="E109" s="1" t="s">
        <v>7</v>
      </c>
    </row>
    <row r="110" spans="1:5" x14ac:dyDescent="0.25">
      <c r="A110" s="1">
        <v>6.7</v>
      </c>
      <c r="B110" s="1">
        <v>2.5</v>
      </c>
      <c r="C110" s="2">
        <v>5.8</v>
      </c>
      <c r="D110" s="1">
        <v>1.8</v>
      </c>
      <c r="E110" s="1" t="s">
        <v>7</v>
      </c>
    </row>
    <row r="111" spans="1:5" x14ac:dyDescent="0.25">
      <c r="A111" s="1">
        <v>7.2</v>
      </c>
      <c r="B111" s="1">
        <v>3.6</v>
      </c>
      <c r="C111" s="2">
        <v>6.1</v>
      </c>
      <c r="D111" s="1">
        <v>2.5</v>
      </c>
      <c r="E111" s="1" t="s">
        <v>7</v>
      </c>
    </row>
    <row r="112" spans="1:5" x14ac:dyDescent="0.25">
      <c r="A112" s="1">
        <v>6.5</v>
      </c>
      <c r="B112" s="1">
        <v>3.2</v>
      </c>
      <c r="C112" s="2">
        <v>5.0999999999999996</v>
      </c>
      <c r="D112" s="1">
        <v>2</v>
      </c>
      <c r="E112" s="1" t="s">
        <v>7</v>
      </c>
    </row>
    <row r="113" spans="1:5" x14ac:dyDescent="0.25">
      <c r="A113" s="1">
        <v>6.4</v>
      </c>
      <c r="B113" s="1">
        <v>2.7</v>
      </c>
      <c r="C113" s="2">
        <v>5.3</v>
      </c>
      <c r="D113" s="1">
        <v>1.9</v>
      </c>
      <c r="E113" s="1" t="s">
        <v>7</v>
      </c>
    </row>
    <row r="114" spans="1:5" x14ac:dyDescent="0.25">
      <c r="A114" s="1">
        <v>6.8</v>
      </c>
      <c r="B114" s="1">
        <v>3</v>
      </c>
      <c r="C114" s="2">
        <v>5.5</v>
      </c>
      <c r="D114" s="1">
        <v>2.1</v>
      </c>
      <c r="E114" s="1" t="s">
        <v>7</v>
      </c>
    </row>
    <row r="115" spans="1:5" x14ac:dyDescent="0.25">
      <c r="A115" s="1">
        <v>5.7</v>
      </c>
      <c r="B115" s="1">
        <v>2.5</v>
      </c>
      <c r="C115" s="2">
        <v>5</v>
      </c>
      <c r="D115" s="1">
        <v>2</v>
      </c>
      <c r="E115" s="1" t="s">
        <v>7</v>
      </c>
    </row>
    <row r="116" spans="1:5" x14ac:dyDescent="0.25">
      <c r="A116" s="1">
        <v>5.8</v>
      </c>
      <c r="B116" s="1">
        <v>2.8</v>
      </c>
      <c r="C116" s="2">
        <v>5.0999999999999996</v>
      </c>
      <c r="D116" s="1">
        <v>2.4</v>
      </c>
      <c r="E116" s="1" t="s">
        <v>7</v>
      </c>
    </row>
    <row r="117" spans="1:5" x14ac:dyDescent="0.25">
      <c r="A117" s="1">
        <v>6.4</v>
      </c>
      <c r="B117" s="1">
        <v>3.2</v>
      </c>
      <c r="C117" s="2">
        <v>5.3</v>
      </c>
      <c r="D117" s="1">
        <v>2.2999999999999998</v>
      </c>
      <c r="E117" s="1" t="s">
        <v>7</v>
      </c>
    </row>
    <row r="118" spans="1:5" x14ac:dyDescent="0.25">
      <c r="A118" s="1">
        <v>6.5</v>
      </c>
      <c r="B118" s="1">
        <v>3</v>
      </c>
      <c r="C118" s="2">
        <v>5.5</v>
      </c>
      <c r="D118" s="1">
        <v>1.8</v>
      </c>
      <c r="E118" s="1" t="s">
        <v>7</v>
      </c>
    </row>
    <row r="119" spans="1:5" x14ac:dyDescent="0.25">
      <c r="A119" s="1">
        <v>7.7</v>
      </c>
      <c r="B119" s="1">
        <v>3.8</v>
      </c>
      <c r="C119" s="2">
        <v>6.7</v>
      </c>
      <c r="D119" s="1">
        <v>2.2000000000000002</v>
      </c>
      <c r="E119" s="1" t="s">
        <v>7</v>
      </c>
    </row>
    <row r="120" spans="1:5" x14ac:dyDescent="0.25">
      <c r="A120" s="1">
        <v>7.7</v>
      </c>
      <c r="B120" s="1">
        <v>2.6</v>
      </c>
      <c r="C120" s="2">
        <v>6.9</v>
      </c>
      <c r="D120" s="1">
        <v>2.2999999999999998</v>
      </c>
      <c r="E120" s="1" t="s">
        <v>7</v>
      </c>
    </row>
    <row r="121" spans="1:5" x14ac:dyDescent="0.25">
      <c r="A121" s="1">
        <v>6</v>
      </c>
      <c r="B121" s="1">
        <v>2.2000000000000002</v>
      </c>
      <c r="C121" s="2">
        <v>5</v>
      </c>
      <c r="D121" s="1">
        <v>1.5</v>
      </c>
      <c r="E121" s="1" t="s">
        <v>7</v>
      </c>
    </row>
    <row r="122" spans="1:5" x14ac:dyDescent="0.25">
      <c r="A122" s="1">
        <v>6.9</v>
      </c>
      <c r="B122" s="1">
        <v>3.2</v>
      </c>
      <c r="C122" s="2">
        <v>5.7</v>
      </c>
      <c r="D122" s="1">
        <v>2.2999999999999998</v>
      </c>
      <c r="E122" s="1" t="s">
        <v>7</v>
      </c>
    </row>
    <row r="123" spans="1:5" x14ac:dyDescent="0.25">
      <c r="A123" s="1">
        <v>5.6</v>
      </c>
      <c r="B123" s="1">
        <v>2.8</v>
      </c>
      <c r="C123" s="2">
        <v>4.9000000000000004</v>
      </c>
      <c r="D123" s="1">
        <v>2</v>
      </c>
      <c r="E123" s="1" t="s">
        <v>7</v>
      </c>
    </row>
    <row r="124" spans="1:5" x14ac:dyDescent="0.25">
      <c r="A124" s="1">
        <v>7.7</v>
      </c>
      <c r="B124" s="1">
        <v>2.8</v>
      </c>
      <c r="C124" s="2">
        <v>6.7</v>
      </c>
      <c r="D124" s="1">
        <v>2</v>
      </c>
      <c r="E124" s="1" t="s">
        <v>7</v>
      </c>
    </row>
    <row r="125" spans="1:5" x14ac:dyDescent="0.25">
      <c r="A125" s="1">
        <v>6.3</v>
      </c>
      <c r="B125" s="1">
        <v>2.7</v>
      </c>
      <c r="C125" s="2">
        <v>4.9000000000000004</v>
      </c>
      <c r="D125" s="1">
        <v>1.8</v>
      </c>
      <c r="E125" s="1" t="s">
        <v>7</v>
      </c>
    </row>
    <row r="126" spans="1:5" x14ac:dyDescent="0.25">
      <c r="A126" s="1">
        <v>6.7</v>
      </c>
      <c r="B126" s="1">
        <v>3.3</v>
      </c>
      <c r="C126" s="2">
        <v>5.7</v>
      </c>
      <c r="D126" s="1">
        <v>2.1</v>
      </c>
      <c r="E126" s="1" t="s">
        <v>7</v>
      </c>
    </row>
    <row r="127" spans="1:5" x14ac:dyDescent="0.25">
      <c r="A127" s="1">
        <v>7.2</v>
      </c>
      <c r="B127" s="1">
        <v>3.2</v>
      </c>
      <c r="C127" s="2">
        <v>6</v>
      </c>
      <c r="D127" s="1">
        <v>1.8</v>
      </c>
      <c r="E127" s="1" t="s">
        <v>7</v>
      </c>
    </row>
    <row r="128" spans="1:5" x14ac:dyDescent="0.25">
      <c r="A128" s="1">
        <v>6.2</v>
      </c>
      <c r="B128" s="1">
        <v>2.8</v>
      </c>
      <c r="C128" s="2">
        <v>4.8</v>
      </c>
      <c r="D128" s="1">
        <v>1.8</v>
      </c>
      <c r="E128" s="1" t="s">
        <v>7</v>
      </c>
    </row>
    <row r="129" spans="1:5" x14ac:dyDescent="0.25">
      <c r="A129" s="1">
        <v>6.1</v>
      </c>
      <c r="B129" s="1">
        <v>3</v>
      </c>
      <c r="C129" s="2">
        <v>4.9000000000000004</v>
      </c>
      <c r="D129" s="1">
        <v>1.8</v>
      </c>
      <c r="E129" s="1" t="s">
        <v>7</v>
      </c>
    </row>
    <row r="130" spans="1:5" x14ac:dyDescent="0.25">
      <c r="A130" s="1">
        <v>6.4</v>
      </c>
      <c r="B130" s="1">
        <v>2.8</v>
      </c>
      <c r="C130" s="2">
        <v>5.6</v>
      </c>
      <c r="D130" s="1">
        <v>2.1</v>
      </c>
      <c r="E130" s="1" t="s">
        <v>7</v>
      </c>
    </row>
    <row r="131" spans="1:5" x14ac:dyDescent="0.25">
      <c r="A131" s="1">
        <v>7.2</v>
      </c>
      <c r="B131" s="1">
        <v>3</v>
      </c>
      <c r="C131" s="2">
        <v>5.8</v>
      </c>
      <c r="D131" s="1">
        <v>1.6</v>
      </c>
      <c r="E131" s="1" t="s">
        <v>7</v>
      </c>
    </row>
    <row r="132" spans="1:5" x14ac:dyDescent="0.25">
      <c r="A132" s="1">
        <v>7.4</v>
      </c>
      <c r="B132" s="1">
        <v>2.8</v>
      </c>
      <c r="C132" s="2">
        <v>6.1</v>
      </c>
      <c r="D132" s="1">
        <v>1.9</v>
      </c>
      <c r="E132" s="1" t="s">
        <v>7</v>
      </c>
    </row>
    <row r="133" spans="1:5" x14ac:dyDescent="0.25">
      <c r="A133" s="1">
        <v>7.9</v>
      </c>
      <c r="B133" s="1">
        <v>3.8</v>
      </c>
      <c r="C133" s="2">
        <v>6.4</v>
      </c>
      <c r="D133" s="1">
        <v>2</v>
      </c>
      <c r="E133" s="1" t="s">
        <v>7</v>
      </c>
    </row>
    <row r="134" spans="1:5" x14ac:dyDescent="0.25">
      <c r="A134" s="1">
        <v>6.4</v>
      </c>
      <c r="B134" s="1">
        <v>2.8</v>
      </c>
      <c r="C134" s="2">
        <v>5.6</v>
      </c>
      <c r="D134" s="1">
        <v>2.2000000000000002</v>
      </c>
      <c r="E134" s="1" t="s">
        <v>7</v>
      </c>
    </row>
    <row r="135" spans="1:5" x14ac:dyDescent="0.25">
      <c r="A135" s="1">
        <v>6.3</v>
      </c>
      <c r="B135" s="1">
        <v>2.8</v>
      </c>
      <c r="C135" s="2">
        <v>5.0999999999999996</v>
      </c>
      <c r="D135" s="1">
        <v>1.5</v>
      </c>
      <c r="E135" s="1" t="s">
        <v>7</v>
      </c>
    </row>
    <row r="136" spans="1:5" x14ac:dyDescent="0.25">
      <c r="A136" s="1">
        <v>6.1</v>
      </c>
      <c r="B136" s="1">
        <v>2.6</v>
      </c>
      <c r="C136" s="2">
        <v>5.6</v>
      </c>
      <c r="D136" s="1">
        <v>1.4</v>
      </c>
      <c r="E136" s="1" t="s">
        <v>7</v>
      </c>
    </row>
    <row r="137" spans="1:5" x14ac:dyDescent="0.25">
      <c r="A137" s="1">
        <v>7.7</v>
      </c>
      <c r="B137" s="1">
        <v>3</v>
      </c>
      <c r="C137" s="2">
        <v>6.1</v>
      </c>
      <c r="D137" s="1">
        <v>2.2999999999999998</v>
      </c>
      <c r="E137" s="1" t="s">
        <v>7</v>
      </c>
    </row>
    <row r="138" spans="1:5" x14ac:dyDescent="0.25">
      <c r="A138" s="1">
        <v>6.3</v>
      </c>
      <c r="B138" s="1">
        <v>3.4</v>
      </c>
      <c r="C138" s="2">
        <v>5.6</v>
      </c>
      <c r="D138" s="1">
        <v>2.4</v>
      </c>
      <c r="E138" s="1" t="s">
        <v>7</v>
      </c>
    </row>
    <row r="139" spans="1:5" x14ac:dyDescent="0.25">
      <c r="A139" s="1">
        <v>6.4</v>
      </c>
      <c r="B139" s="1">
        <v>3.1</v>
      </c>
      <c r="C139" s="2">
        <v>5.5</v>
      </c>
      <c r="D139" s="1">
        <v>1.8</v>
      </c>
      <c r="E139" s="1" t="s">
        <v>7</v>
      </c>
    </row>
    <row r="140" spans="1:5" x14ac:dyDescent="0.25">
      <c r="A140" s="1">
        <v>6</v>
      </c>
      <c r="B140" s="1">
        <v>3</v>
      </c>
      <c r="C140" s="2">
        <v>4.8</v>
      </c>
      <c r="D140" s="1">
        <v>1.8</v>
      </c>
      <c r="E140" s="1" t="s">
        <v>7</v>
      </c>
    </row>
    <row r="141" spans="1:5" x14ac:dyDescent="0.25">
      <c r="A141" s="1">
        <v>6.9</v>
      </c>
      <c r="B141" s="1">
        <v>3.1</v>
      </c>
      <c r="C141" s="2">
        <v>5.4</v>
      </c>
      <c r="D141" s="1">
        <v>2.1</v>
      </c>
      <c r="E141" s="1" t="s">
        <v>7</v>
      </c>
    </row>
    <row r="142" spans="1:5" x14ac:dyDescent="0.25">
      <c r="A142" s="1">
        <v>6.7</v>
      </c>
      <c r="B142" s="1">
        <v>3.1</v>
      </c>
      <c r="C142" s="2">
        <v>5.6</v>
      </c>
      <c r="D142" s="1">
        <v>2.4</v>
      </c>
      <c r="E142" s="1" t="s">
        <v>7</v>
      </c>
    </row>
    <row r="143" spans="1:5" x14ac:dyDescent="0.25">
      <c r="A143" s="1">
        <v>6.9</v>
      </c>
      <c r="B143" s="1">
        <v>3.1</v>
      </c>
      <c r="C143" s="2">
        <v>5.0999999999999996</v>
      </c>
      <c r="D143" s="1">
        <v>2.2999999999999998</v>
      </c>
      <c r="E143" s="1" t="s">
        <v>7</v>
      </c>
    </row>
    <row r="144" spans="1:5" x14ac:dyDescent="0.25">
      <c r="A144" s="1">
        <v>5.8</v>
      </c>
      <c r="B144" s="1">
        <v>2.7</v>
      </c>
      <c r="C144" s="2">
        <v>5.0999999999999996</v>
      </c>
      <c r="D144" s="1">
        <v>1.9</v>
      </c>
      <c r="E144" s="1" t="s">
        <v>7</v>
      </c>
    </row>
    <row r="145" spans="1:5" x14ac:dyDescent="0.25">
      <c r="A145" s="1">
        <v>6.8</v>
      </c>
      <c r="B145" s="1">
        <v>3.2</v>
      </c>
      <c r="C145" s="2">
        <v>5.9</v>
      </c>
      <c r="D145" s="1">
        <v>2.2999999999999998</v>
      </c>
      <c r="E145" s="1" t="s">
        <v>7</v>
      </c>
    </row>
    <row r="146" spans="1:5" x14ac:dyDescent="0.25">
      <c r="A146" s="1">
        <v>6.7</v>
      </c>
      <c r="B146" s="1">
        <v>3.3</v>
      </c>
      <c r="C146" s="2">
        <v>5.7</v>
      </c>
      <c r="D146" s="1">
        <v>2.5</v>
      </c>
      <c r="E146" s="1" t="s">
        <v>7</v>
      </c>
    </row>
    <row r="147" spans="1:5" x14ac:dyDescent="0.25">
      <c r="A147" s="1">
        <v>6.7</v>
      </c>
      <c r="B147" s="1">
        <v>3</v>
      </c>
      <c r="C147" s="2">
        <v>5.2</v>
      </c>
      <c r="D147" s="1">
        <v>2.2999999999999998</v>
      </c>
      <c r="E147" s="1" t="s">
        <v>7</v>
      </c>
    </row>
    <row r="148" spans="1:5" x14ac:dyDescent="0.25">
      <c r="A148" s="1">
        <v>6.3</v>
      </c>
      <c r="B148" s="1">
        <v>2.5</v>
      </c>
      <c r="C148" s="2">
        <v>5</v>
      </c>
      <c r="D148" s="1">
        <v>1.9</v>
      </c>
      <c r="E148" s="1" t="s">
        <v>7</v>
      </c>
    </row>
    <row r="149" spans="1:5" x14ac:dyDescent="0.25">
      <c r="A149" s="1">
        <v>6.5</v>
      </c>
      <c r="B149" s="1">
        <v>3</v>
      </c>
      <c r="C149" s="2">
        <v>5.2</v>
      </c>
      <c r="D149" s="1">
        <v>2</v>
      </c>
      <c r="E149" s="1" t="s">
        <v>7</v>
      </c>
    </row>
    <row r="150" spans="1:5" x14ac:dyDescent="0.25">
      <c r="A150" s="1">
        <v>6.2</v>
      </c>
      <c r="B150" s="1">
        <v>3.4</v>
      </c>
      <c r="C150" s="2">
        <v>5.4</v>
      </c>
      <c r="D150" s="1">
        <v>2.2999999999999998</v>
      </c>
      <c r="E150" s="1" t="s">
        <v>7</v>
      </c>
    </row>
    <row r="151" spans="1:5" x14ac:dyDescent="0.25">
      <c r="A151" s="1">
        <v>5.9</v>
      </c>
      <c r="B151" s="1">
        <v>3</v>
      </c>
      <c r="C151" s="2">
        <v>5.0999999999999996</v>
      </c>
      <c r="D151" s="1">
        <v>1.8</v>
      </c>
      <c r="E151" s="1" t="s">
        <v>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8BD4A-82E3-4EC7-8EB8-9ABF98E4A004}">
  <sheetPr codeName="Arkusz3"/>
  <dimension ref="A1:L151"/>
  <sheetViews>
    <sheetView topLeftCell="C1" workbookViewId="0">
      <selection activeCell="I13" sqref="I13"/>
    </sheetView>
  </sheetViews>
  <sheetFormatPr defaultRowHeight="15" x14ac:dyDescent="0.25"/>
  <sheetData>
    <row r="1" spans="1:12" x14ac:dyDescent="0.2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G1" s="2" t="s">
        <v>2</v>
      </c>
      <c r="J1" t="s">
        <v>16</v>
      </c>
      <c r="K1" t="s">
        <v>33</v>
      </c>
      <c r="L1" t="s">
        <v>34</v>
      </c>
    </row>
    <row r="2" spans="1:12" x14ac:dyDescent="0.25">
      <c r="A2" s="1">
        <v>5.0999999999999996</v>
      </c>
      <c r="B2" s="1">
        <v>3.5</v>
      </c>
      <c r="C2" s="2">
        <v>1.4</v>
      </c>
      <c r="D2" s="1">
        <v>0.2</v>
      </c>
      <c r="E2" s="1" t="s">
        <v>5</v>
      </c>
      <c r="G2" t="s">
        <v>9</v>
      </c>
      <c r="H2">
        <f>AVERAGE(C2:C151)</f>
        <v>3.7580000000000027</v>
      </c>
      <c r="J2">
        <v>1</v>
      </c>
      <c r="K2">
        <f>SMALL($C$2:$C$151,J2)</f>
        <v>1</v>
      </c>
      <c r="L2">
        <f>_xlfn.NORM.INV((J2-1/2)/$H$5,$H$2,$H$3)</f>
        <v>-1.0313457054621331</v>
      </c>
    </row>
    <row r="3" spans="1:12" x14ac:dyDescent="0.25">
      <c r="A3" s="1">
        <v>4.9000000000000004</v>
      </c>
      <c r="B3" s="1">
        <v>3</v>
      </c>
      <c r="C3" s="2">
        <v>1.4</v>
      </c>
      <c r="D3" s="1">
        <v>0.2</v>
      </c>
      <c r="E3" s="1" t="s">
        <v>5</v>
      </c>
      <c r="G3" t="s">
        <v>10</v>
      </c>
      <c r="H3">
        <f>_xlfn.STDEV.S(C2:C151)</f>
        <v>1.7652982332594624</v>
      </c>
      <c r="J3">
        <v>2</v>
      </c>
      <c r="K3">
        <f>SMALL($C$2:$C$151,J3)</f>
        <v>1.1000000000000001</v>
      </c>
      <c r="L3">
        <f t="shared" ref="L3:L66" si="0">_xlfn.NORM.INV((J3-1/2)/$H$5,$H$2,$H$3)</f>
        <v>-0.34869779199120021</v>
      </c>
    </row>
    <row r="4" spans="1:12" x14ac:dyDescent="0.25">
      <c r="A4" s="1">
        <v>4.7</v>
      </c>
      <c r="B4" s="1">
        <v>3.2</v>
      </c>
      <c r="C4" s="2">
        <v>1.3</v>
      </c>
      <c r="D4" s="1">
        <v>0.2</v>
      </c>
      <c r="E4" s="1" t="s">
        <v>5</v>
      </c>
      <c r="J4">
        <v>3</v>
      </c>
      <c r="K4">
        <f t="shared" ref="K4:K66" si="1">SMALL($C$2:$C$151,J4)</f>
        <v>1.2</v>
      </c>
      <c r="L4">
        <f t="shared" si="0"/>
        <v>1.3655077970313734E-3</v>
      </c>
    </row>
    <row r="5" spans="1:12" x14ac:dyDescent="0.25">
      <c r="A5" s="1">
        <v>4.5999999999999996</v>
      </c>
      <c r="B5" s="1">
        <v>3.1</v>
      </c>
      <c r="C5" s="2">
        <v>1.5</v>
      </c>
      <c r="D5" s="1">
        <v>0.2</v>
      </c>
      <c r="E5" s="1" t="s">
        <v>5</v>
      </c>
      <c r="G5" t="s">
        <v>11</v>
      </c>
      <c r="H5">
        <v>150</v>
      </c>
      <c r="J5">
        <v>4</v>
      </c>
      <c r="K5">
        <f t="shared" si="1"/>
        <v>1.2</v>
      </c>
      <c r="L5">
        <f t="shared" si="0"/>
        <v>0.24626929179357449</v>
      </c>
    </row>
    <row r="6" spans="1:12" x14ac:dyDescent="0.25">
      <c r="A6" s="1">
        <v>5</v>
      </c>
      <c r="B6" s="1">
        <v>3.6</v>
      </c>
      <c r="C6" s="2">
        <v>1.4</v>
      </c>
      <c r="D6" s="1">
        <v>0.2</v>
      </c>
      <c r="E6" s="1" t="s">
        <v>5</v>
      </c>
      <c r="J6">
        <v>5</v>
      </c>
      <c r="K6">
        <f t="shared" si="1"/>
        <v>1.3</v>
      </c>
      <c r="L6">
        <f t="shared" si="0"/>
        <v>0.4378383664049097</v>
      </c>
    </row>
    <row r="7" spans="1:12" x14ac:dyDescent="0.25">
      <c r="A7" s="1">
        <v>5.4</v>
      </c>
      <c r="B7" s="1">
        <v>3.9</v>
      </c>
      <c r="C7" s="2">
        <v>1.7</v>
      </c>
      <c r="D7" s="1">
        <v>0.4</v>
      </c>
      <c r="E7" s="1" t="s">
        <v>5</v>
      </c>
      <c r="J7">
        <v>6</v>
      </c>
      <c r="K7">
        <f t="shared" si="1"/>
        <v>1.3</v>
      </c>
      <c r="L7">
        <f t="shared" si="0"/>
        <v>0.59679121228072152</v>
      </c>
    </row>
    <row r="8" spans="1:12" x14ac:dyDescent="0.25">
      <c r="A8" s="1">
        <v>4.5999999999999996</v>
      </c>
      <c r="B8" s="1">
        <v>3.4</v>
      </c>
      <c r="C8" s="2">
        <v>1.4</v>
      </c>
      <c r="D8" s="1">
        <v>0.3</v>
      </c>
      <c r="E8" s="1" t="s">
        <v>5</v>
      </c>
      <c r="J8">
        <v>7</v>
      </c>
      <c r="K8">
        <f t="shared" si="1"/>
        <v>1.3</v>
      </c>
      <c r="L8">
        <f t="shared" si="0"/>
        <v>0.73360385817313523</v>
      </c>
    </row>
    <row r="9" spans="1:12" x14ac:dyDescent="0.25">
      <c r="A9" s="1">
        <v>5</v>
      </c>
      <c r="B9" s="1">
        <v>3.4</v>
      </c>
      <c r="C9" s="2">
        <v>1.5</v>
      </c>
      <c r="D9" s="1">
        <v>0.2</v>
      </c>
      <c r="E9" s="1" t="s">
        <v>5</v>
      </c>
      <c r="J9">
        <v>8</v>
      </c>
      <c r="K9">
        <f t="shared" si="1"/>
        <v>1.3</v>
      </c>
      <c r="L9">
        <f t="shared" si="0"/>
        <v>0.85434279837214921</v>
      </c>
    </row>
    <row r="10" spans="1:12" x14ac:dyDescent="0.25">
      <c r="A10" s="1">
        <v>4.4000000000000004</v>
      </c>
      <c r="B10" s="1">
        <v>2.9</v>
      </c>
      <c r="C10" s="2">
        <v>1.4</v>
      </c>
      <c r="D10" s="1">
        <v>0.2</v>
      </c>
      <c r="E10" s="1" t="s">
        <v>5</v>
      </c>
      <c r="J10">
        <v>9</v>
      </c>
      <c r="K10">
        <f t="shared" si="1"/>
        <v>1.3</v>
      </c>
      <c r="L10">
        <f t="shared" si="0"/>
        <v>0.9628501072388751</v>
      </c>
    </row>
    <row r="11" spans="1:12" x14ac:dyDescent="0.25">
      <c r="A11" s="1">
        <v>4.9000000000000004</v>
      </c>
      <c r="B11" s="1">
        <v>3.1</v>
      </c>
      <c r="C11" s="2">
        <v>1.5</v>
      </c>
      <c r="D11" s="1">
        <v>0.1</v>
      </c>
      <c r="E11" s="1" t="s">
        <v>5</v>
      </c>
      <c r="J11">
        <v>10</v>
      </c>
      <c r="K11">
        <f t="shared" si="1"/>
        <v>1.3</v>
      </c>
      <c r="L11">
        <f t="shared" si="0"/>
        <v>1.0617196361989234</v>
      </c>
    </row>
    <row r="12" spans="1:12" x14ac:dyDescent="0.25">
      <c r="A12" s="1">
        <v>5.4</v>
      </c>
      <c r="B12" s="1">
        <v>3.7</v>
      </c>
      <c r="C12" s="2">
        <v>1.5</v>
      </c>
      <c r="D12" s="1">
        <v>0.2</v>
      </c>
      <c r="E12" s="1" t="s">
        <v>5</v>
      </c>
      <c r="J12">
        <v>11</v>
      </c>
      <c r="K12">
        <f t="shared" si="1"/>
        <v>1.3</v>
      </c>
      <c r="L12">
        <f t="shared" si="0"/>
        <v>1.1527887052951482</v>
      </c>
    </row>
    <row r="13" spans="1:12" x14ac:dyDescent="0.25">
      <c r="A13" s="1">
        <v>4.8</v>
      </c>
      <c r="B13" s="1">
        <v>3.4</v>
      </c>
      <c r="C13" s="2">
        <v>1.6</v>
      </c>
      <c r="D13" s="1">
        <v>0.2</v>
      </c>
      <c r="E13" s="1" t="s">
        <v>5</v>
      </c>
      <c r="J13">
        <v>12</v>
      </c>
      <c r="K13">
        <f t="shared" si="1"/>
        <v>1.4</v>
      </c>
      <c r="L13">
        <f t="shared" si="0"/>
        <v>1.2374084665879637</v>
      </c>
    </row>
    <row r="14" spans="1:12" x14ac:dyDescent="0.25">
      <c r="A14" s="1">
        <v>4.8</v>
      </c>
      <c r="B14" s="1">
        <v>3</v>
      </c>
      <c r="C14" s="2">
        <v>1.4</v>
      </c>
      <c r="D14" s="1">
        <v>0.1</v>
      </c>
      <c r="E14" s="1" t="s">
        <v>5</v>
      </c>
      <c r="J14">
        <v>13</v>
      </c>
      <c r="K14">
        <f t="shared" si="1"/>
        <v>1.4</v>
      </c>
      <c r="L14">
        <f t="shared" si="0"/>
        <v>1.316602910821032</v>
      </c>
    </row>
    <row r="15" spans="1:12" x14ac:dyDescent="0.25">
      <c r="A15" s="1">
        <v>4.3</v>
      </c>
      <c r="B15" s="1">
        <v>3</v>
      </c>
      <c r="C15" s="2">
        <v>1.1000000000000001</v>
      </c>
      <c r="D15" s="1">
        <v>0.1</v>
      </c>
      <c r="E15" s="1" t="s">
        <v>5</v>
      </c>
      <c r="J15">
        <v>14</v>
      </c>
      <c r="K15">
        <f t="shared" si="1"/>
        <v>1.4</v>
      </c>
      <c r="L15">
        <f t="shared" si="0"/>
        <v>1.3911675077929333</v>
      </c>
    </row>
    <row r="16" spans="1:12" x14ac:dyDescent="0.25">
      <c r="A16" s="1">
        <v>5.8</v>
      </c>
      <c r="B16" s="1">
        <v>4</v>
      </c>
      <c r="C16" s="2">
        <v>1.2</v>
      </c>
      <c r="D16" s="1">
        <v>0.2</v>
      </c>
      <c r="E16" s="1" t="s">
        <v>5</v>
      </c>
      <c r="J16">
        <v>15</v>
      </c>
      <c r="K16">
        <f t="shared" si="1"/>
        <v>1.4</v>
      </c>
      <c r="L16">
        <f t="shared" si="0"/>
        <v>1.4617331143759746</v>
      </c>
    </row>
    <row r="17" spans="1:12" x14ac:dyDescent="0.25">
      <c r="A17" s="1">
        <v>5.7</v>
      </c>
      <c r="B17" s="1">
        <v>4.4000000000000004</v>
      </c>
      <c r="C17" s="2">
        <v>1.5</v>
      </c>
      <c r="D17" s="1">
        <v>0.4</v>
      </c>
      <c r="E17" s="1" t="s">
        <v>5</v>
      </c>
      <c r="J17">
        <v>16</v>
      </c>
      <c r="K17">
        <f t="shared" si="1"/>
        <v>1.4</v>
      </c>
      <c r="L17">
        <f t="shared" si="0"/>
        <v>1.5288089009272441</v>
      </c>
    </row>
    <row r="18" spans="1:12" x14ac:dyDescent="0.25">
      <c r="A18" s="1">
        <v>5.4</v>
      </c>
      <c r="B18" s="1">
        <v>3.9</v>
      </c>
      <c r="C18" s="2">
        <v>1.3</v>
      </c>
      <c r="D18" s="1">
        <v>0.4</v>
      </c>
      <c r="E18" s="1" t="s">
        <v>5</v>
      </c>
      <c r="J18">
        <v>17</v>
      </c>
      <c r="K18">
        <f t="shared" si="1"/>
        <v>1.4</v>
      </c>
      <c r="L18">
        <f t="shared" si="0"/>
        <v>1.5928120766563243</v>
      </c>
    </row>
    <row r="19" spans="1:12" x14ac:dyDescent="0.25">
      <c r="A19" s="1">
        <v>5.0999999999999996</v>
      </c>
      <c r="B19" s="1">
        <v>3.5</v>
      </c>
      <c r="C19" s="2">
        <v>1.4</v>
      </c>
      <c r="D19" s="1">
        <v>0.3</v>
      </c>
      <c r="E19" s="1" t="s">
        <v>5</v>
      </c>
      <c r="J19">
        <v>18</v>
      </c>
      <c r="K19">
        <f t="shared" si="1"/>
        <v>1.4</v>
      </c>
      <c r="L19">
        <f t="shared" si="0"/>
        <v>1.6540890177607808</v>
      </c>
    </row>
    <row r="20" spans="1:12" x14ac:dyDescent="0.25">
      <c r="A20" s="1">
        <v>5.7</v>
      </c>
      <c r="B20" s="1">
        <v>3.8</v>
      </c>
      <c r="C20" s="2">
        <v>1.7</v>
      </c>
      <c r="D20" s="1">
        <v>0.3</v>
      </c>
      <c r="E20" s="1" t="s">
        <v>5</v>
      </c>
      <c r="J20">
        <v>19</v>
      </c>
      <c r="K20">
        <f t="shared" si="1"/>
        <v>1.4</v>
      </c>
      <c r="L20">
        <f t="shared" si="0"/>
        <v>1.712930628121049</v>
      </c>
    </row>
    <row r="21" spans="1:12" x14ac:dyDescent="0.25">
      <c r="A21" s="1">
        <v>5.0999999999999996</v>
      </c>
      <c r="B21" s="1">
        <v>3.8</v>
      </c>
      <c r="C21" s="2">
        <v>1.5</v>
      </c>
      <c r="D21" s="1">
        <v>0.3</v>
      </c>
      <c r="E21" s="1" t="s">
        <v>5</v>
      </c>
      <c r="J21">
        <v>20</v>
      </c>
      <c r="K21">
        <f t="shared" si="1"/>
        <v>1.4</v>
      </c>
      <c r="L21">
        <f t="shared" si="0"/>
        <v>1.7695837299486754</v>
      </c>
    </row>
    <row r="22" spans="1:12" x14ac:dyDescent="0.25">
      <c r="A22" s="1">
        <v>5.4</v>
      </c>
      <c r="B22" s="1">
        <v>3.4</v>
      </c>
      <c r="C22" s="2">
        <v>1.7</v>
      </c>
      <c r="D22" s="1">
        <v>0.2</v>
      </c>
      <c r="E22" s="1" t="s">
        <v>5</v>
      </c>
      <c r="J22">
        <v>21</v>
      </c>
      <c r="K22">
        <f t="shared" si="1"/>
        <v>1.4</v>
      </c>
      <c r="L22">
        <f t="shared" si="0"/>
        <v>1.8242596591596529</v>
      </c>
    </row>
    <row r="23" spans="1:12" x14ac:dyDescent="0.25">
      <c r="A23" s="1">
        <v>5.0999999999999996</v>
      </c>
      <c r="B23" s="1">
        <v>3.7</v>
      </c>
      <c r="C23" s="2">
        <v>1.5</v>
      </c>
      <c r="D23" s="1">
        <v>0.4</v>
      </c>
      <c r="E23" s="1" t="s">
        <v>5</v>
      </c>
      <c r="J23">
        <v>22</v>
      </c>
      <c r="K23">
        <f t="shared" si="1"/>
        <v>1.4</v>
      </c>
      <c r="L23">
        <f t="shared" si="0"/>
        <v>1.8771408528647411</v>
      </c>
    </row>
    <row r="24" spans="1:12" x14ac:dyDescent="0.25">
      <c r="A24" s="1">
        <v>4.5999999999999996</v>
      </c>
      <c r="B24" s="1">
        <v>3.6</v>
      </c>
      <c r="C24" s="2">
        <v>1</v>
      </c>
      <c r="D24" s="1">
        <v>0.2</v>
      </c>
      <c r="E24" s="1" t="s">
        <v>5</v>
      </c>
      <c r="J24">
        <v>23</v>
      </c>
      <c r="K24">
        <f t="shared" si="1"/>
        <v>1.4</v>
      </c>
      <c r="L24">
        <f t="shared" si="0"/>
        <v>1.9283859686354992</v>
      </c>
    </row>
    <row r="25" spans="1:12" x14ac:dyDescent="0.25">
      <c r="A25" s="1">
        <v>5.0999999999999996</v>
      </c>
      <c r="B25" s="1">
        <v>3.3</v>
      </c>
      <c r="C25" s="2">
        <v>1.7</v>
      </c>
      <c r="D25" s="1">
        <v>0.5</v>
      </c>
      <c r="E25" s="1" t="s">
        <v>5</v>
      </c>
      <c r="J25">
        <v>24</v>
      </c>
      <c r="K25">
        <f t="shared" si="1"/>
        <v>1.4</v>
      </c>
      <c r="L25">
        <f t="shared" si="0"/>
        <v>1.9781339128598949</v>
      </c>
    </row>
    <row r="26" spans="1:12" x14ac:dyDescent="0.25">
      <c r="A26" s="1">
        <v>4.8</v>
      </c>
      <c r="B26" s="1">
        <v>3.4</v>
      </c>
      <c r="C26" s="2">
        <v>1.9</v>
      </c>
      <c r="D26" s="1">
        <v>0.2</v>
      </c>
      <c r="E26" s="1" t="s">
        <v>5</v>
      </c>
      <c r="J26">
        <v>25</v>
      </c>
      <c r="K26">
        <f t="shared" si="1"/>
        <v>1.5</v>
      </c>
      <c r="L26">
        <f t="shared" si="0"/>
        <v>2.0265070467625348</v>
      </c>
    </row>
    <row r="27" spans="1:12" x14ac:dyDescent="0.25">
      <c r="A27" s="1">
        <v>5</v>
      </c>
      <c r="B27" s="1">
        <v>3</v>
      </c>
      <c r="C27" s="2">
        <v>1.6</v>
      </c>
      <c r="D27" s="1">
        <v>0.2</v>
      </c>
      <c r="E27" s="1" t="s">
        <v>5</v>
      </c>
      <c r="J27">
        <v>26</v>
      </c>
      <c r="K27">
        <f t="shared" si="1"/>
        <v>1.5</v>
      </c>
      <c r="L27">
        <f t="shared" si="0"/>
        <v>2.073613764383456</v>
      </c>
    </row>
    <row r="28" spans="1:12" x14ac:dyDescent="0.25">
      <c r="A28" s="1">
        <v>5</v>
      </c>
      <c r="B28" s="1">
        <v>3.4</v>
      </c>
      <c r="C28" s="2">
        <v>1.6</v>
      </c>
      <c r="D28" s="1">
        <v>0.4</v>
      </c>
      <c r="E28" s="1" t="s">
        <v>5</v>
      </c>
      <c r="J28">
        <v>27</v>
      </c>
      <c r="K28">
        <f t="shared" si="1"/>
        <v>1.5</v>
      </c>
      <c r="L28">
        <f t="shared" si="0"/>
        <v>2.1195505851550402</v>
      </c>
    </row>
    <row r="29" spans="1:12" x14ac:dyDescent="0.25">
      <c r="A29" s="1">
        <v>5.2</v>
      </c>
      <c r="B29" s="1">
        <v>3.5</v>
      </c>
      <c r="C29" s="2">
        <v>1.5</v>
      </c>
      <c r="D29" s="1">
        <v>0.2</v>
      </c>
      <c r="E29" s="1" t="s">
        <v>5</v>
      </c>
      <c r="J29">
        <v>28</v>
      </c>
      <c r="K29">
        <f t="shared" si="1"/>
        <v>1.5</v>
      </c>
      <c r="L29">
        <f t="shared" si="0"/>
        <v>2.1644038672092414</v>
      </c>
    </row>
    <row r="30" spans="1:12" x14ac:dyDescent="0.25">
      <c r="A30" s="1">
        <v>5.2</v>
      </c>
      <c r="B30" s="1">
        <v>3.4</v>
      </c>
      <c r="C30" s="2">
        <v>1.4</v>
      </c>
      <c r="D30" s="1">
        <v>0.2</v>
      </c>
      <c r="E30" s="1" t="s">
        <v>5</v>
      </c>
      <c r="J30">
        <v>29</v>
      </c>
      <c r="K30">
        <f t="shared" si="1"/>
        <v>1.5</v>
      </c>
      <c r="L30">
        <f t="shared" si="0"/>
        <v>2.2082512213610412</v>
      </c>
    </row>
    <row r="31" spans="1:12" x14ac:dyDescent="0.25">
      <c r="A31" s="1">
        <v>4.7</v>
      </c>
      <c r="B31" s="1">
        <v>3.2</v>
      </c>
      <c r="C31" s="2">
        <v>1.6</v>
      </c>
      <c r="D31" s="1">
        <v>0.2</v>
      </c>
      <c r="E31" s="1" t="s">
        <v>5</v>
      </c>
      <c r="J31">
        <v>30</v>
      </c>
      <c r="K31">
        <f t="shared" si="1"/>
        <v>1.5</v>
      </c>
      <c r="L31">
        <f t="shared" si="0"/>
        <v>2.251162686673271</v>
      </c>
    </row>
    <row r="32" spans="1:12" x14ac:dyDescent="0.25">
      <c r="A32" s="1">
        <v>4.8</v>
      </c>
      <c r="B32" s="1">
        <v>3.1</v>
      </c>
      <c r="C32" s="2">
        <v>1.6</v>
      </c>
      <c r="D32" s="1">
        <v>0.2</v>
      </c>
      <c r="E32" s="1" t="s">
        <v>5</v>
      </c>
      <c r="J32">
        <v>31</v>
      </c>
      <c r="K32">
        <f t="shared" si="1"/>
        <v>1.5</v>
      </c>
      <c r="L32">
        <f t="shared" si="0"/>
        <v>2.2932017144889603</v>
      </c>
    </row>
    <row r="33" spans="1:12" x14ac:dyDescent="0.25">
      <c r="A33" s="1">
        <v>5.4</v>
      </c>
      <c r="B33" s="1">
        <v>3.4</v>
      </c>
      <c r="C33" s="2">
        <v>1.5</v>
      </c>
      <c r="D33" s="1">
        <v>0.4</v>
      </c>
      <c r="E33" s="1" t="s">
        <v>5</v>
      </c>
      <c r="J33">
        <v>32</v>
      </c>
      <c r="K33">
        <f t="shared" si="1"/>
        <v>1.5</v>
      </c>
      <c r="L33">
        <f t="shared" si="0"/>
        <v>2.3344259973758099</v>
      </c>
    </row>
    <row r="34" spans="1:12" x14ac:dyDescent="0.25">
      <c r="A34" s="1">
        <v>5.2</v>
      </c>
      <c r="B34" s="1">
        <v>4.0999999999999996</v>
      </c>
      <c r="C34" s="2">
        <v>1.5</v>
      </c>
      <c r="D34" s="1">
        <v>0.1</v>
      </c>
      <c r="E34" s="1" t="s">
        <v>5</v>
      </c>
      <c r="J34">
        <v>33</v>
      </c>
      <c r="K34">
        <f t="shared" si="1"/>
        <v>1.5</v>
      </c>
      <c r="L34">
        <f t="shared" si="0"/>
        <v>2.3748881715663082</v>
      </c>
    </row>
    <row r="35" spans="1:12" x14ac:dyDescent="0.25">
      <c r="A35" s="1">
        <v>5.5</v>
      </c>
      <c r="B35" s="1">
        <v>4.2</v>
      </c>
      <c r="C35" s="2">
        <v>1.4</v>
      </c>
      <c r="D35" s="1">
        <v>0.2</v>
      </c>
      <c r="E35" s="1" t="s">
        <v>5</v>
      </c>
      <c r="J35">
        <v>34</v>
      </c>
      <c r="K35">
        <f t="shared" si="1"/>
        <v>1.5</v>
      </c>
      <c r="L35">
        <f t="shared" si="0"/>
        <v>2.4146364154996123</v>
      </c>
    </row>
    <row r="36" spans="1:12" x14ac:dyDescent="0.25">
      <c r="A36" s="1">
        <v>4.9000000000000004</v>
      </c>
      <c r="B36" s="1">
        <v>3.1</v>
      </c>
      <c r="C36" s="2">
        <v>1.5</v>
      </c>
      <c r="D36" s="1">
        <v>0.2</v>
      </c>
      <c r="E36" s="1" t="s">
        <v>5</v>
      </c>
      <c r="J36">
        <v>35</v>
      </c>
      <c r="K36">
        <f t="shared" si="1"/>
        <v>1.5</v>
      </c>
      <c r="L36">
        <f t="shared" si="0"/>
        <v>2.4537149624840238</v>
      </c>
    </row>
    <row r="37" spans="1:12" x14ac:dyDescent="0.25">
      <c r="A37" s="1">
        <v>5</v>
      </c>
      <c r="B37" s="1">
        <v>3.2</v>
      </c>
      <c r="C37" s="2">
        <v>1.2</v>
      </c>
      <c r="D37" s="1">
        <v>0.2</v>
      </c>
      <c r="E37" s="1" t="s">
        <v>5</v>
      </c>
      <c r="J37">
        <v>36</v>
      </c>
      <c r="K37">
        <f t="shared" si="1"/>
        <v>1.5</v>
      </c>
      <c r="L37">
        <f t="shared" si="0"/>
        <v>2.4921645419474756</v>
      </c>
    </row>
    <row r="38" spans="1:12" x14ac:dyDescent="0.25">
      <c r="A38" s="1">
        <v>5.5</v>
      </c>
      <c r="B38" s="1">
        <v>3.5</v>
      </c>
      <c r="C38" s="2">
        <v>1.3</v>
      </c>
      <c r="D38" s="1">
        <v>0.2</v>
      </c>
      <c r="E38" s="1" t="s">
        <v>5</v>
      </c>
      <c r="J38">
        <v>37</v>
      </c>
      <c r="K38">
        <f t="shared" si="1"/>
        <v>1.5</v>
      </c>
      <c r="L38">
        <f t="shared" si="0"/>
        <v>2.5300227609718364</v>
      </c>
    </row>
    <row r="39" spans="1:12" x14ac:dyDescent="0.25">
      <c r="A39" s="1">
        <v>4.9000000000000004</v>
      </c>
      <c r="B39" s="1">
        <v>3.6</v>
      </c>
      <c r="C39" s="2">
        <v>1.4</v>
      </c>
      <c r="D39" s="1">
        <v>0.1</v>
      </c>
      <c r="E39" s="1" t="s">
        <v>5</v>
      </c>
      <c r="J39">
        <v>38</v>
      </c>
      <c r="K39">
        <f t="shared" si="1"/>
        <v>1.6</v>
      </c>
      <c r="L39">
        <f t="shared" si="0"/>
        <v>2.5673244356272429</v>
      </c>
    </row>
    <row r="40" spans="1:12" x14ac:dyDescent="0.25">
      <c r="A40" s="1">
        <v>4.4000000000000004</v>
      </c>
      <c r="B40" s="1">
        <v>3</v>
      </c>
      <c r="C40" s="2">
        <v>1.3</v>
      </c>
      <c r="D40" s="1">
        <v>0.2</v>
      </c>
      <c r="E40" s="1" t="s">
        <v>5</v>
      </c>
      <c r="J40">
        <v>39</v>
      </c>
      <c r="K40">
        <f t="shared" si="1"/>
        <v>1.6</v>
      </c>
      <c r="L40">
        <f t="shared" si="0"/>
        <v>2.6041018798961963</v>
      </c>
    </row>
    <row r="41" spans="1:12" x14ac:dyDescent="0.25">
      <c r="A41" s="1">
        <v>5.0999999999999996</v>
      </c>
      <c r="B41" s="1">
        <v>3.4</v>
      </c>
      <c r="C41" s="2">
        <v>1.5</v>
      </c>
      <c r="D41" s="1">
        <v>0.2</v>
      </c>
      <c r="E41" s="1" t="s">
        <v>5</v>
      </c>
      <c r="J41">
        <v>40</v>
      </c>
      <c r="K41">
        <f t="shared" si="1"/>
        <v>1.6</v>
      </c>
      <c r="L41">
        <f t="shared" si="0"/>
        <v>2.6403851586005729</v>
      </c>
    </row>
    <row r="42" spans="1:12" x14ac:dyDescent="0.25">
      <c r="A42" s="1">
        <v>5</v>
      </c>
      <c r="B42" s="1">
        <v>3.5</v>
      </c>
      <c r="C42" s="2">
        <v>1.3</v>
      </c>
      <c r="D42" s="1">
        <v>0.3</v>
      </c>
      <c r="E42" s="1" t="s">
        <v>5</v>
      </c>
      <c r="J42">
        <v>41</v>
      </c>
      <c r="K42">
        <f t="shared" si="1"/>
        <v>1.6</v>
      </c>
      <c r="L42">
        <f t="shared" si="0"/>
        <v>2.6762023096399039</v>
      </c>
    </row>
    <row r="43" spans="1:12" x14ac:dyDescent="0.25">
      <c r="A43" s="1">
        <v>4.5</v>
      </c>
      <c r="B43" s="1">
        <v>2.2999999999999998</v>
      </c>
      <c r="C43" s="2">
        <v>1.3</v>
      </c>
      <c r="D43" s="1">
        <v>0.3</v>
      </c>
      <c r="E43" s="1" t="s">
        <v>5</v>
      </c>
      <c r="J43">
        <v>42</v>
      </c>
      <c r="K43">
        <f t="shared" si="1"/>
        <v>1.6</v>
      </c>
      <c r="L43">
        <f t="shared" si="0"/>
        <v>2.7115795399573859</v>
      </c>
    </row>
    <row r="44" spans="1:12" x14ac:dyDescent="0.25">
      <c r="A44" s="1">
        <v>4.4000000000000004</v>
      </c>
      <c r="B44" s="1">
        <v>3.2</v>
      </c>
      <c r="C44" s="2">
        <v>1.3</v>
      </c>
      <c r="D44" s="1">
        <v>0.2</v>
      </c>
      <c r="E44" s="1" t="s">
        <v>5</v>
      </c>
      <c r="J44">
        <v>43</v>
      </c>
      <c r="K44">
        <f t="shared" si="1"/>
        <v>1.6</v>
      </c>
      <c r="L44">
        <f t="shared" si="0"/>
        <v>2.7465413989259551</v>
      </c>
    </row>
    <row r="45" spans="1:12" x14ac:dyDescent="0.25">
      <c r="A45" s="1">
        <v>5</v>
      </c>
      <c r="B45" s="1">
        <v>3.5</v>
      </c>
      <c r="C45" s="2">
        <v>1.6</v>
      </c>
      <c r="D45" s="1">
        <v>0.6</v>
      </c>
      <c r="E45" s="1" t="s">
        <v>5</v>
      </c>
      <c r="J45">
        <v>44</v>
      </c>
      <c r="K45">
        <f t="shared" si="1"/>
        <v>1.6</v>
      </c>
      <c r="L45">
        <f t="shared" si="0"/>
        <v>2.78111093225559</v>
      </c>
    </row>
    <row r="46" spans="1:12" x14ac:dyDescent="0.25">
      <c r="A46" s="1">
        <v>5.0999999999999996</v>
      </c>
      <c r="B46" s="1">
        <v>3.8</v>
      </c>
      <c r="C46" s="2">
        <v>1.9</v>
      </c>
      <c r="D46" s="1">
        <v>0.4</v>
      </c>
      <c r="E46" s="1" t="s">
        <v>5</v>
      </c>
      <c r="J46">
        <v>45</v>
      </c>
      <c r="K46">
        <f t="shared" si="1"/>
        <v>1.7</v>
      </c>
      <c r="L46">
        <f t="shared" si="0"/>
        <v>2.8153098190380268</v>
      </c>
    </row>
    <row r="47" spans="1:12" x14ac:dyDescent="0.25">
      <c r="A47" s="1">
        <v>4.8</v>
      </c>
      <c r="B47" s="1">
        <v>3</v>
      </c>
      <c r="C47" s="2">
        <v>1.4</v>
      </c>
      <c r="D47" s="1">
        <v>0.3</v>
      </c>
      <c r="E47" s="1" t="s">
        <v>5</v>
      </c>
      <c r="J47">
        <v>46</v>
      </c>
      <c r="K47">
        <f t="shared" si="1"/>
        <v>1.7</v>
      </c>
      <c r="L47">
        <f t="shared" si="0"/>
        <v>2.849158494145192</v>
      </c>
    </row>
    <row r="48" spans="1:12" x14ac:dyDescent="0.25">
      <c r="A48" s="1">
        <v>5.0999999999999996</v>
      </c>
      <c r="B48" s="1">
        <v>3.8</v>
      </c>
      <c r="C48" s="2">
        <v>1.6</v>
      </c>
      <c r="D48" s="1">
        <v>0.2</v>
      </c>
      <c r="E48" s="1" t="s">
        <v>5</v>
      </c>
      <c r="J48">
        <v>47</v>
      </c>
      <c r="K48">
        <f t="shared" si="1"/>
        <v>1.7</v>
      </c>
      <c r="L48">
        <f t="shared" si="0"/>
        <v>2.8826762578664522</v>
      </c>
    </row>
    <row r="49" spans="1:12" x14ac:dyDescent="0.25">
      <c r="A49" s="1">
        <v>4.5999999999999996</v>
      </c>
      <c r="B49" s="1">
        <v>3.2</v>
      </c>
      <c r="C49" s="2">
        <v>1.4</v>
      </c>
      <c r="D49" s="1">
        <v>0.2</v>
      </c>
      <c r="E49" s="1" t="s">
        <v>5</v>
      </c>
      <c r="J49">
        <v>48</v>
      </c>
      <c r="K49">
        <f t="shared" si="1"/>
        <v>1.7</v>
      </c>
      <c r="L49">
        <f t="shared" si="0"/>
        <v>2.9158813743942509</v>
      </c>
    </row>
    <row r="50" spans="1:12" x14ac:dyDescent="0.25">
      <c r="A50" s="1">
        <v>5.3</v>
      </c>
      <c r="B50" s="1">
        <v>3.7</v>
      </c>
      <c r="C50" s="2">
        <v>1.5</v>
      </c>
      <c r="D50" s="1">
        <v>0.2</v>
      </c>
      <c r="E50" s="1" t="s">
        <v>5</v>
      </c>
      <c r="J50">
        <v>49</v>
      </c>
      <c r="K50">
        <f t="shared" si="1"/>
        <v>1.9</v>
      </c>
      <c r="L50">
        <f t="shared" si="0"/>
        <v>2.9487911605375521</v>
      </c>
    </row>
    <row r="51" spans="1:12" x14ac:dyDescent="0.25">
      <c r="A51" s="1">
        <v>5</v>
      </c>
      <c r="B51" s="1">
        <v>3.3</v>
      </c>
      <c r="C51" s="2">
        <v>1.4</v>
      </c>
      <c r="D51" s="1">
        <v>0.2</v>
      </c>
      <c r="E51" s="1" t="s">
        <v>5</v>
      </c>
      <c r="J51">
        <v>50</v>
      </c>
      <c r="K51">
        <f t="shared" si="1"/>
        <v>1.9</v>
      </c>
      <c r="L51">
        <f t="shared" si="0"/>
        <v>2.9814220658494657</v>
      </c>
    </row>
    <row r="52" spans="1:12" x14ac:dyDescent="0.25">
      <c r="A52" s="1">
        <v>7</v>
      </c>
      <c r="B52" s="1">
        <v>3.2</v>
      </c>
      <c r="C52" s="2">
        <v>4.7</v>
      </c>
      <c r="D52" s="1">
        <v>1.4</v>
      </c>
      <c r="E52" s="1" t="s">
        <v>6</v>
      </c>
      <c r="J52">
        <v>51</v>
      </c>
      <c r="K52">
        <f t="shared" si="1"/>
        <v>3</v>
      </c>
      <c r="L52">
        <f t="shared" si="0"/>
        <v>3.0137897451929239</v>
      </c>
    </row>
    <row r="53" spans="1:12" x14ac:dyDescent="0.25">
      <c r="A53" s="1">
        <v>6.4</v>
      </c>
      <c r="B53" s="1">
        <v>3.2</v>
      </c>
      <c r="C53" s="2">
        <v>4.5</v>
      </c>
      <c r="D53" s="1">
        <v>1.5</v>
      </c>
      <c r="E53" s="1" t="s">
        <v>6</v>
      </c>
      <c r="J53">
        <v>52</v>
      </c>
      <c r="K53">
        <f t="shared" si="1"/>
        <v>3.3</v>
      </c>
      <c r="L53">
        <f t="shared" si="0"/>
        <v>3.0459091246309935</v>
      </c>
    </row>
    <row r="54" spans="1:12" x14ac:dyDescent="0.25">
      <c r="A54" s="1">
        <v>6.9</v>
      </c>
      <c r="B54" s="1">
        <v>3.1</v>
      </c>
      <c r="C54" s="2">
        <v>4.9000000000000004</v>
      </c>
      <c r="D54" s="1">
        <v>1.5</v>
      </c>
      <c r="E54" s="1" t="s">
        <v>6</v>
      </c>
      <c r="J54">
        <v>53</v>
      </c>
      <c r="K54">
        <f t="shared" si="1"/>
        <v>3.3</v>
      </c>
      <c r="L54">
        <f t="shared" si="0"/>
        <v>3.0777944614120112</v>
      </c>
    </row>
    <row r="55" spans="1:12" x14ac:dyDescent="0.25">
      <c r="A55" s="1">
        <v>5.5</v>
      </c>
      <c r="B55" s="1">
        <v>2.2999999999999998</v>
      </c>
      <c r="C55" s="2">
        <v>4</v>
      </c>
      <c r="D55" s="1">
        <v>1.3</v>
      </c>
      <c r="E55" s="1" t="s">
        <v>6</v>
      </c>
      <c r="J55">
        <v>54</v>
      </c>
      <c r="K55">
        <f t="shared" si="1"/>
        <v>3.5</v>
      </c>
      <c r="L55">
        <f t="shared" si="0"/>
        <v>3.1094593987207544</v>
      </c>
    </row>
    <row r="56" spans="1:12" x14ac:dyDescent="0.25">
      <c r="A56" s="1">
        <v>6.5</v>
      </c>
      <c r="B56" s="1">
        <v>2.8</v>
      </c>
      <c r="C56" s="2">
        <v>4.5999999999999996</v>
      </c>
      <c r="D56" s="1">
        <v>1.5</v>
      </c>
      <c r="E56" s="1" t="s">
        <v>6</v>
      </c>
      <c r="J56">
        <v>55</v>
      </c>
      <c r="K56">
        <f t="shared" si="1"/>
        <v>3.5</v>
      </c>
      <c r="L56">
        <f t="shared" si="0"/>
        <v>3.1409170157824042</v>
      </c>
    </row>
    <row r="57" spans="1:12" x14ac:dyDescent="0.25">
      <c r="A57" s="1">
        <v>5.7</v>
      </c>
      <c r="B57" s="1">
        <v>2.8</v>
      </c>
      <c r="C57" s="2">
        <v>4.5</v>
      </c>
      <c r="D57" s="1">
        <v>1.3</v>
      </c>
      <c r="E57" s="1" t="s">
        <v>6</v>
      </c>
      <c r="J57">
        <v>56</v>
      </c>
      <c r="K57">
        <f t="shared" si="1"/>
        <v>3.6</v>
      </c>
      <c r="L57">
        <f t="shared" si="0"/>
        <v>3.17217987383385</v>
      </c>
    </row>
    <row r="58" spans="1:12" x14ac:dyDescent="0.25">
      <c r="A58" s="1">
        <v>6.3</v>
      </c>
      <c r="B58" s="1">
        <v>3.3</v>
      </c>
      <c r="C58" s="2">
        <v>4.7</v>
      </c>
      <c r="D58" s="1">
        <v>1.6</v>
      </c>
      <c r="E58" s="1" t="s">
        <v>6</v>
      </c>
      <c r="J58">
        <v>57</v>
      </c>
      <c r="K58">
        <f t="shared" si="1"/>
        <v>3.7</v>
      </c>
      <c r="L58">
        <f t="shared" si="0"/>
        <v>3.2032600584148829</v>
      </c>
    </row>
    <row r="59" spans="1:12" x14ac:dyDescent="0.25">
      <c r="A59" s="1">
        <v>4.9000000000000004</v>
      </c>
      <c r="B59" s="1">
        <v>2.4</v>
      </c>
      <c r="C59" s="2">
        <v>3.3</v>
      </c>
      <c r="D59" s="1">
        <v>1</v>
      </c>
      <c r="E59" s="1" t="s">
        <v>6</v>
      </c>
      <c r="J59">
        <v>58</v>
      </c>
      <c r="K59">
        <f t="shared" si="1"/>
        <v>3.8</v>
      </c>
      <c r="L59">
        <f t="shared" si="0"/>
        <v>3.2341692183785726</v>
      </c>
    </row>
    <row r="60" spans="1:12" x14ac:dyDescent="0.25">
      <c r="A60" s="1">
        <v>6.6</v>
      </c>
      <c r="B60" s="1">
        <v>2.9</v>
      </c>
      <c r="C60" s="2">
        <v>4.5999999999999996</v>
      </c>
      <c r="D60" s="1">
        <v>1.3</v>
      </c>
      <c r="E60" s="1" t="s">
        <v>6</v>
      </c>
      <c r="J60">
        <v>59</v>
      </c>
      <c r="K60">
        <f t="shared" si="1"/>
        <v>3.9</v>
      </c>
      <c r="L60">
        <f t="shared" si="0"/>
        <v>3.2649186019741729</v>
      </c>
    </row>
    <row r="61" spans="1:12" x14ac:dyDescent="0.25">
      <c r="A61" s="1">
        <v>5.2</v>
      </c>
      <c r="B61" s="1">
        <v>2.7</v>
      </c>
      <c r="C61" s="2">
        <v>3.9</v>
      </c>
      <c r="D61" s="1">
        <v>1.4</v>
      </c>
      <c r="E61" s="1" t="s">
        <v>6</v>
      </c>
      <c r="J61">
        <v>60</v>
      </c>
      <c r="K61">
        <f t="shared" si="1"/>
        <v>3.9</v>
      </c>
      <c r="L61">
        <f t="shared" si="0"/>
        <v>3.2955190903162555</v>
      </c>
    </row>
    <row r="62" spans="1:12" x14ac:dyDescent="0.25">
      <c r="A62" s="1">
        <v>5</v>
      </c>
      <c r="B62" s="1">
        <v>2</v>
      </c>
      <c r="C62" s="2">
        <v>3.5</v>
      </c>
      <c r="D62" s="1">
        <v>1</v>
      </c>
      <c r="E62" s="1" t="s">
        <v>6</v>
      </c>
      <c r="J62">
        <v>61</v>
      </c>
      <c r="K62">
        <f t="shared" si="1"/>
        <v>3.9</v>
      </c>
      <c r="L62">
        <f t="shared" si="0"/>
        <v>3.3259812285194332</v>
      </c>
    </row>
    <row r="63" spans="1:12" x14ac:dyDescent="0.25">
      <c r="A63" s="1">
        <v>5.9</v>
      </c>
      <c r="B63" s="1">
        <v>3</v>
      </c>
      <c r="C63" s="2">
        <v>4.2</v>
      </c>
      <c r="D63" s="1">
        <v>1.5</v>
      </c>
      <c r="E63" s="1" t="s">
        <v>6</v>
      </c>
      <c r="J63">
        <v>62</v>
      </c>
      <c r="K63">
        <f t="shared" si="1"/>
        <v>4</v>
      </c>
      <c r="L63">
        <f t="shared" si="0"/>
        <v>3.3563152547483157</v>
      </c>
    </row>
    <row r="64" spans="1:12" x14ac:dyDescent="0.25">
      <c r="A64" s="1">
        <v>6</v>
      </c>
      <c r="B64" s="1">
        <v>2.2000000000000002</v>
      </c>
      <c r="C64" s="2">
        <v>4</v>
      </c>
      <c r="D64" s="1">
        <v>1</v>
      </c>
      <c r="E64" s="1" t="s">
        <v>6</v>
      </c>
      <c r="J64">
        <v>63</v>
      </c>
      <c r="K64">
        <f t="shared" si="1"/>
        <v>4</v>
      </c>
      <c r="L64">
        <f t="shared" si="0"/>
        <v>3.3865311274065157</v>
      </c>
    </row>
    <row r="65" spans="1:12" x14ac:dyDescent="0.25">
      <c r="A65" s="1">
        <v>6.1</v>
      </c>
      <c r="B65" s="1">
        <v>2.9</v>
      </c>
      <c r="C65" s="2">
        <v>4.7</v>
      </c>
      <c r="D65" s="1">
        <v>1.4</v>
      </c>
      <c r="E65" s="1" t="s">
        <v>6</v>
      </c>
      <c r="J65">
        <v>64</v>
      </c>
      <c r="K65">
        <f t="shared" si="1"/>
        <v>4</v>
      </c>
      <c r="L65">
        <f t="shared" si="0"/>
        <v>3.4166385506661405</v>
      </c>
    </row>
    <row r="66" spans="1:12" x14ac:dyDescent="0.25">
      <c r="A66" s="1">
        <v>5.6</v>
      </c>
      <c r="B66" s="1">
        <v>2.9</v>
      </c>
      <c r="C66" s="2">
        <v>3.6</v>
      </c>
      <c r="D66" s="1">
        <v>1.3</v>
      </c>
      <c r="E66" s="1" t="s">
        <v>6</v>
      </c>
      <c r="J66">
        <v>65</v>
      </c>
      <c r="K66">
        <f t="shared" si="1"/>
        <v>4</v>
      </c>
      <c r="L66">
        <f t="shared" si="0"/>
        <v>3.4466469985197348</v>
      </c>
    </row>
    <row r="67" spans="1:12" x14ac:dyDescent="0.25">
      <c r="A67" s="1">
        <v>6.7</v>
      </c>
      <c r="B67" s="1">
        <v>3.1</v>
      </c>
      <c r="C67" s="2">
        <v>4.4000000000000004</v>
      </c>
      <c r="D67" s="1">
        <v>1.4</v>
      </c>
      <c r="E67" s="1" t="s">
        <v>6</v>
      </c>
      <c r="J67">
        <v>66</v>
      </c>
      <c r="K67">
        <f t="shared" ref="K67:K130" si="2">SMALL($C$2:$C$151,J67)</f>
        <v>4</v>
      </c>
      <c r="L67">
        <f t="shared" ref="L67:L130" si="3">_xlfn.NORM.INV((J67-1/2)/$H$5,$H$2,$H$3)</f>
        <v>3.4765657375197243</v>
      </c>
    </row>
    <row r="68" spans="1:12" x14ac:dyDescent="0.25">
      <c r="A68" s="1">
        <v>5.6</v>
      </c>
      <c r="B68" s="1">
        <v>3</v>
      </c>
      <c r="C68" s="2">
        <v>4.5</v>
      </c>
      <c r="D68" s="1">
        <v>1.5</v>
      </c>
      <c r="E68" s="1" t="s">
        <v>6</v>
      </c>
      <c r="J68">
        <v>67</v>
      </c>
      <c r="K68">
        <f t="shared" si="2"/>
        <v>4.0999999999999996</v>
      </c>
      <c r="L68">
        <f t="shared" si="3"/>
        <v>3.5064038483557738</v>
      </c>
    </row>
    <row r="69" spans="1:12" x14ac:dyDescent="0.25">
      <c r="A69" s="1">
        <v>5.8</v>
      </c>
      <c r="B69" s="1">
        <v>2.7</v>
      </c>
      <c r="C69" s="2">
        <v>4.0999999999999996</v>
      </c>
      <c r="D69" s="1">
        <v>1</v>
      </c>
      <c r="E69" s="1" t="s">
        <v>6</v>
      </c>
      <c r="J69">
        <v>68</v>
      </c>
      <c r="K69">
        <f t="shared" si="2"/>
        <v>4.0999999999999996</v>
      </c>
      <c r="L69">
        <f t="shared" si="3"/>
        <v>3.5361702464077358</v>
      </c>
    </row>
    <row r="70" spans="1:12" x14ac:dyDescent="0.25">
      <c r="A70" s="1">
        <v>6.2</v>
      </c>
      <c r="B70" s="1">
        <v>2.2000000000000002</v>
      </c>
      <c r="C70" s="2">
        <v>4.5</v>
      </c>
      <c r="D70" s="1">
        <v>1.5</v>
      </c>
      <c r="E70" s="1" t="s">
        <v>6</v>
      </c>
      <c r="J70">
        <v>69</v>
      </c>
      <c r="K70">
        <f t="shared" si="2"/>
        <v>4.0999999999999996</v>
      </c>
      <c r="L70">
        <f t="shared" si="3"/>
        <v>3.565873701400923</v>
      </c>
    </row>
    <row r="71" spans="1:12" x14ac:dyDescent="0.25">
      <c r="A71" s="1">
        <v>5.6</v>
      </c>
      <c r="B71" s="1">
        <v>2.5</v>
      </c>
      <c r="C71" s="2">
        <v>3.9</v>
      </c>
      <c r="D71" s="1">
        <v>1.1000000000000001</v>
      </c>
      <c r="E71" s="1" t="s">
        <v>6</v>
      </c>
      <c r="J71">
        <v>70</v>
      </c>
      <c r="K71">
        <f t="shared" si="2"/>
        <v>4.2</v>
      </c>
      <c r="L71">
        <f t="shared" si="3"/>
        <v>3.5955228562809665</v>
      </c>
    </row>
    <row r="72" spans="1:12" x14ac:dyDescent="0.25">
      <c r="A72" s="1">
        <v>5.9</v>
      </c>
      <c r="B72" s="1">
        <v>3.2</v>
      </c>
      <c r="C72" s="2">
        <v>4.8</v>
      </c>
      <c r="D72" s="1">
        <v>1.8</v>
      </c>
      <c r="E72" s="1" t="s">
        <v>6</v>
      </c>
      <c r="J72">
        <v>71</v>
      </c>
      <c r="K72">
        <f t="shared" si="2"/>
        <v>4.2</v>
      </c>
      <c r="L72">
        <f t="shared" si="3"/>
        <v>3.6251262454174897</v>
      </c>
    </row>
    <row r="73" spans="1:12" x14ac:dyDescent="0.25">
      <c r="A73" s="1">
        <v>6.1</v>
      </c>
      <c r="B73" s="1">
        <v>2.8</v>
      </c>
      <c r="C73" s="2">
        <v>4</v>
      </c>
      <c r="D73" s="1">
        <v>1.3</v>
      </c>
      <c r="E73" s="1" t="s">
        <v>6</v>
      </c>
      <c r="J73">
        <v>72</v>
      </c>
      <c r="K73">
        <f t="shared" si="2"/>
        <v>4.2</v>
      </c>
      <c r="L73">
        <f t="shared" si="3"/>
        <v>3.654692312238971</v>
      </c>
    </row>
    <row r="74" spans="1:12" x14ac:dyDescent="0.25">
      <c r="A74" s="1">
        <v>6.3</v>
      </c>
      <c r="B74" s="1">
        <v>2.5</v>
      </c>
      <c r="C74" s="2">
        <v>4.9000000000000004</v>
      </c>
      <c r="D74" s="1">
        <v>1.5</v>
      </c>
      <c r="E74" s="1" t="s">
        <v>6</v>
      </c>
      <c r="J74">
        <v>73</v>
      </c>
      <c r="K74">
        <f t="shared" si="2"/>
        <v>4.2</v>
      </c>
      <c r="L74">
        <f t="shared" si="3"/>
        <v>3.6842294263954631</v>
      </c>
    </row>
    <row r="75" spans="1:12" x14ac:dyDescent="0.25">
      <c r="A75" s="1">
        <v>6.1</v>
      </c>
      <c r="B75" s="1">
        <v>2.8</v>
      </c>
      <c r="C75" s="2">
        <v>4.7</v>
      </c>
      <c r="D75" s="1">
        <v>1.2</v>
      </c>
      <c r="E75" s="1" t="s">
        <v>6</v>
      </c>
      <c r="J75">
        <v>74</v>
      </c>
      <c r="K75">
        <f t="shared" si="2"/>
        <v>4.3</v>
      </c>
      <c r="L75">
        <f t="shared" si="3"/>
        <v>3.7137459005411566</v>
      </c>
    </row>
    <row r="76" spans="1:12" x14ac:dyDescent="0.25">
      <c r="A76" s="1">
        <v>6.4</v>
      </c>
      <c r="B76" s="1">
        <v>2.9</v>
      </c>
      <c r="C76" s="2">
        <v>4.3</v>
      </c>
      <c r="D76" s="1">
        <v>1.3</v>
      </c>
      <c r="E76" s="1" t="s">
        <v>6</v>
      </c>
      <c r="J76">
        <v>75</v>
      </c>
      <c r="K76">
        <f t="shared" si="2"/>
        <v>4.3</v>
      </c>
      <c r="L76">
        <f t="shared" si="3"/>
        <v>3.7432500068250278</v>
      </c>
    </row>
    <row r="77" spans="1:12" x14ac:dyDescent="0.25">
      <c r="A77" s="1">
        <v>6.6</v>
      </c>
      <c r="B77" s="1">
        <v>3</v>
      </c>
      <c r="C77" s="2">
        <v>4.4000000000000004</v>
      </c>
      <c r="D77" s="1">
        <v>1.4</v>
      </c>
      <c r="E77" s="1" t="s">
        <v>6</v>
      </c>
      <c r="J77">
        <v>76</v>
      </c>
      <c r="K77">
        <f t="shared" si="2"/>
        <v>4.4000000000000004</v>
      </c>
      <c r="L77">
        <f t="shared" si="3"/>
        <v>3.7727499931749775</v>
      </c>
    </row>
    <row r="78" spans="1:12" x14ac:dyDescent="0.25">
      <c r="A78" s="1">
        <v>6.8</v>
      </c>
      <c r="B78" s="1">
        <v>2.8</v>
      </c>
      <c r="C78" s="2">
        <v>4.8</v>
      </c>
      <c r="D78" s="1">
        <v>1.4</v>
      </c>
      <c r="E78" s="1" t="s">
        <v>6</v>
      </c>
      <c r="J78">
        <v>77</v>
      </c>
      <c r="K78">
        <f t="shared" si="2"/>
        <v>4.4000000000000004</v>
      </c>
      <c r="L78">
        <f t="shared" si="3"/>
        <v>3.8022540994588487</v>
      </c>
    </row>
    <row r="79" spans="1:12" x14ac:dyDescent="0.25">
      <c r="A79" s="1">
        <v>6.7</v>
      </c>
      <c r="B79" s="1">
        <v>3</v>
      </c>
      <c r="C79" s="2">
        <v>5</v>
      </c>
      <c r="D79" s="1">
        <v>1.7</v>
      </c>
      <c r="E79" s="1" t="s">
        <v>6</v>
      </c>
      <c r="J79">
        <v>78</v>
      </c>
      <c r="K79">
        <f t="shared" si="2"/>
        <v>4.4000000000000004</v>
      </c>
      <c r="L79">
        <f t="shared" si="3"/>
        <v>3.8317705736045422</v>
      </c>
    </row>
    <row r="80" spans="1:12" x14ac:dyDescent="0.25">
      <c r="A80" s="1">
        <v>6</v>
      </c>
      <c r="B80" s="1">
        <v>2.9</v>
      </c>
      <c r="C80" s="2">
        <v>4.5</v>
      </c>
      <c r="D80" s="1">
        <v>1.5</v>
      </c>
      <c r="E80" s="1" t="s">
        <v>6</v>
      </c>
      <c r="J80">
        <v>79</v>
      </c>
      <c r="K80">
        <f t="shared" si="2"/>
        <v>4.4000000000000004</v>
      </c>
      <c r="L80">
        <f t="shared" si="3"/>
        <v>3.8613076877610344</v>
      </c>
    </row>
    <row r="81" spans="1:12" x14ac:dyDescent="0.25">
      <c r="A81" s="1">
        <v>5.7</v>
      </c>
      <c r="B81" s="1">
        <v>2.6</v>
      </c>
      <c r="C81" s="2">
        <v>3.5</v>
      </c>
      <c r="D81" s="1">
        <v>1</v>
      </c>
      <c r="E81" s="1" t="s">
        <v>6</v>
      </c>
      <c r="J81">
        <v>80</v>
      </c>
      <c r="K81">
        <f t="shared" si="2"/>
        <v>4.5</v>
      </c>
      <c r="L81">
        <f t="shared" si="3"/>
        <v>3.8908737545825156</v>
      </c>
    </row>
    <row r="82" spans="1:12" x14ac:dyDescent="0.25">
      <c r="A82" s="1">
        <v>5.5</v>
      </c>
      <c r="B82" s="1">
        <v>2.4</v>
      </c>
      <c r="C82" s="2">
        <v>3.8</v>
      </c>
      <c r="D82" s="1">
        <v>1.1000000000000001</v>
      </c>
      <c r="E82" s="1" t="s">
        <v>6</v>
      </c>
      <c r="J82">
        <v>81</v>
      </c>
      <c r="K82">
        <f t="shared" si="2"/>
        <v>4.5</v>
      </c>
      <c r="L82">
        <f t="shared" si="3"/>
        <v>3.9204771437190389</v>
      </c>
    </row>
    <row r="83" spans="1:12" x14ac:dyDescent="0.25">
      <c r="A83" s="1">
        <v>5.5</v>
      </c>
      <c r="B83" s="1">
        <v>2.4</v>
      </c>
      <c r="C83" s="2">
        <v>3.7</v>
      </c>
      <c r="D83" s="1">
        <v>1</v>
      </c>
      <c r="E83" s="1" t="s">
        <v>6</v>
      </c>
      <c r="J83">
        <v>82</v>
      </c>
      <c r="K83">
        <f t="shared" si="2"/>
        <v>4.5</v>
      </c>
      <c r="L83">
        <f t="shared" si="3"/>
        <v>3.9501262985990824</v>
      </c>
    </row>
    <row r="84" spans="1:12" x14ac:dyDescent="0.25">
      <c r="A84" s="1">
        <v>5.8</v>
      </c>
      <c r="B84" s="1">
        <v>2.7</v>
      </c>
      <c r="C84" s="2">
        <v>3.9</v>
      </c>
      <c r="D84" s="1">
        <v>1.2</v>
      </c>
      <c r="E84" s="1" t="s">
        <v>6</v>
      </c>
      <c r="J84">
        <v>83</v>
      </c>
      <c r="K84">
        <f t="shared" si="2"/>
        <v>4.5</v>
      </c>
      <c r="L84">
        <f t="shared" si="3"/>
        <v>3.9798297535922695</v>
      </c>
    </row>
    <row r="85" spans="1:12" x14ac:dyDescent="0.25">
      <c r="A85" s="1">
        <v>6</v>
      </c>
      <c r="B85" s="1">
        <v>2.7</v>
      </c>
      <c r="C85" s="2">
        <v>5.0999999999999996</v>
      </c>
      <c r="D85" s="1">
        <v>1.6</v>
      </c>
      <c r="E85" s="1" t="s">
        <v>6</v>
      </c>
      <c r="J85">
        <v>84</v>
      </c>
      <c r="K85">
        <f t="shared" si="2"/>
        <v>4.5</v>
      </c>
      <c r="L85">
        <f t="shared" si="3"/>
        <v>4.0095961516442316</v>
      </c>
    </row>
    <row r="86" spans="1:12" x14ac:dyDescent="0.25">
      <c r="A86" s="1">
        <v>5.4</v>
      </c>
      <c r="B86" s="1">
        <v>3</v>
      </c>
      <c r="C86" s="2">
        <v>4.5</v>
      </c>
      <c r="D86" s="1">
        <v>1.5</v>
      </c>
      <c r="E86" s="1" t="s">
        <v>6</v>
      </c>
      <c r="J86">
        <v>85</v>
      </c>
      <c r="K86">
        <f t="shared" si="2"/>
        <v>4.5</v>
      </c>
      <c r="L86">
        <f t="shared" si="3"/>
        <v>4.039434262480281</v>
      </c>
    </row>
    <row r="87" spans="1:12" x14ac:dyDescent="0.25">
      <c r="A87" s="1">
        <v>6</v>
      </c>
      <c r="B87" s="1">
        <v>3.4</v>
      </c>
      <c r="C87" s="2">
        <v>4.5</v>
      </c>
      <c r="D87" s="1">
        <v>1.6</v>
      </c>
      <c r="E87" s="1" t="s">
        <v>6</v>
      </c>
      <c r="J87">
        <v>86</v>
      </c>
      <c r="K87">
        <f t="shared" si="2"/>
        <v>4.5</v>
      </c>
      <c r="L87">
        <f t="shared" si="3"/>
        <v>4.0693530014802706</v>
      </c>
    </row>
    <row r="88" spans="1:12" x14ac:dyDescent="0.25">
      <c r="A88" s="1">
        <v>6.7</v>
      </c>
      <c r="B88" s="1">
        <v>3.1</v>
      </c>
      <c r="C88" s="2">
        <v>4.7</v>
      </c>
      <c r="D88" s="1">
        <v>1.5</v>
      </c>
      <c r="E88" s="1" t="s">
        <v>6</v>
      </c>
      <c r="J88">
        <v>87</v>
      </c>
      <c r="K88">
        <f t="shared" si="2"/>
        <v>4.5</v>
      </c>
      <c r="L88">
        <f t="shared" si="3"/>
        <v>4.0993614493338644</v>
      </c>
    </row>
    <row r="89" spans="1:12" x14ac:dyDescent="0.25">
      <c r="A89" s="1">
        <v>6.3</v>
      </c>
      <c r="B89" s="1">
        <v>2.2999999999999998</v>
      </c>
      <c r="C89" s="2">
        <v>4.4000000000000004</v>
      </c>
      <c r="D89" s="1">
        <v>1.3</v>
      </c>
      <c r="E89" s="1" t="s">
        <v>6</v>
      </c>
      <c r="J89">
        <v>88</v>
      </c>
      <c r="K89">
        <f t="shared" si="2"/>
        <v>4.5999999999999996</v>
      </c>
      <c r="L89">
        <f t="shared" si="3"/>
        <v>4.12946887259349</v>
      </c>
    </row>
    <row r="90" spans="1:12" x14ac:dyDescent="0.25">
      <c r="A90" s="1">
        <v>5.6</v>
      </c>
      <c r="B90" s="1">
        <v>3</v>
      </c>
      <c r="C90" s="2">
        <v>4.0999999999999996</v>
      </c>
      <c r="D90" s="1">
        <v>1.3</v>
      </c>
      <c r="E90" s="1" t="s">
        <v>6</v>
      </c>
      <c r="J90">
        <v>89</v>
      </c>
      <c r="K90">
        <f t="shared" si="2"/>
        <v>4.5999999999999996</v>
      </c>
      <c r="L90">
        <f t="shared" si="3"/>
        <v>4.1596847452516892</v>
      </c>
    </row>
    <row r="91" spans="1:12" x14ac:dyDescent="0.25">
      <c r="A91" s="1">
        <v>5.5</v>
      </c>
      <c r="B91" s="1">
        <v>2.5</v>
      </c>
      <c r="C91" s="2">
        <v>4</v>
      </c>
      <c r="D91" s="1">
        <v>1.3</v>
      </c>
      <c r="E91" s="1" t="s">
        <v>6</v>
      </c>
      <c r="J91">
        <v>90</v>
      </c>
      <c r="K91">
        <f t="shared" si="2"/>
        <v>4.5999999999999996</v>
      </c>
      <c r="L91">
        <f t="shared" si="3"/>
        <v>4.1900187714805721</v>
      </c>
    </row>
    <row r="92" spans="1:12" x14ac:dyDescent="0.25">
      <c r="A92" s="1">
        <v>5.5</v>
      </c>
      <c r="B92" s="1">
        <v>2.6</v>
      </c>
      <c r="C92" s="2">
        <v>4.4000000000000004</v>
      </c>
      <c r="D92" s="1">
        <v>1.2</v>
      </c>
      <c r="E92" s="1" t="s">
        <v>6</v>
      </c>
      <c r="J92">
        <v>91</v>
      </c>
      <c r="K92">
        <f t="shared" si="2"/>
        <v>4.7</v>
      </c>
      <c r="L92">
        <f t="shared" si="3"/>
        <v>4.2204809096837499</v>
      </c>
    </row>
    <row r="93" spans="1:12" x14ac:dyDescent="0.25">
      <c r="A93" s="1">
        <v>6.1</v>
      </c>
      <c r="B93" s="1">
        <v>3</v>
      </c>
      <c r="C93" s="2">
        <v>4.5999999999999996</v>
      </c>
      <c r="D93" s="1">
        <v>1.4</v>
      </c>
      <c r="E93" s="1" t="s">
        <v>6</v>
      </c>
      <c r="J93">
        <v>92</v>
      </c>
      <c r="K93">
        <f t="shared" si="2"/>
        <v>4.7</v>
      </c>
      <c r="L93">
        <f t="shared" si="3"/>
        <v>4.251081398025832</v>
      </c>
    </row>
    <row r="94" spans="1:12" x14ac:dyDescent="0.25">
      <c r="A94" s="1">
        <v>5.8</v>
      </c>
      <c r="B94" s="1">
        <v>2.6</v>
      </c>
      <c r="C94" s="2">
        <v>4</v>
      </c>
      <c r="D94" s="1">
        <v>1.2</v>
      </c>
      <c r="E94" s="1" t="s">
        <v>6</v>
      </c>
      <c r="J94">
        <v>93</v>
      </c>
      <c r="K94">
        <f t="shared" si="2"/>
        <v>4.7</v>
      </c>
      <c r="L94">
        <f t="shared" si="3"/>
        <v>4.2818307816214327</v>
      </c>
    </row>
    <row r="95" spans="1:12" x14ac:dyDescent="0.25">
      <c r="A95" s="1">
        <v>5</v>
      </c>
      <c r="B95" s="1">
        <v>2.2999999999999998</v>
      </c>
      <c r="C95" s="2">
        <v>3.3</v>
      </c>
      <c r="D95" s="1">
        <v>1</v>
      </c>
      <c r="E95" s="1" t="s">
        <v>6</v>
      </c>
      <c r="J95">
        <v>94</v>
      </c>
      <c r="K95">
        <f t="shared" si="2"/>
        <v>4.7</v>
      </c>
      <c r="L95">
        <f t="shared" si="3"/>
        <v>4.3127399415851224</v>
      </c>
    </row>
    <row r="96" spans="1:12" x14ac:dyDescent="0.25">
      <c r="A96" s="1">
        <v>5.6</v>
      </c>
      <c r="B96" s="1">
        <v>2.7</v>
      </c>
      <c r="C96" s="2">
        <v>4.2</v>
      </c>
      <c r="D96" s="1">
        <v>1.3</v>
      </c>
      <c r="E96" s="1" t="s">
        <v>6</v>
      </c>
      <c r="J96">
        <v>95</v>
      </c>
      <c r="K96">
        <f t="shared" si="2"/>
        <v>4.7</v>
      </c>
      <c r="L96">
        <f t="shared" si="3"/>
        <v>4.3438201261661558</v>
      </c>
    </row>
    <row r="97" spans="1:12" x14ac:dyDescent="0.25">
      <c r="A97" s="1">
        <v>5.7</v>
      </c>
      <c r="B97" s="1">
        <v>3</v>
      </c>
      <c r="C97" s="2">
        <v>4.2</v>
      </c>
      <c r="D97" s="1">
        <v>1.2</v>
      </c>
      <c r="E97" s="1" t="s">
        <v>6</v>
      </c>
      <c r="J97">
        <v>96</v>
      </c>
      <c r="K97">
        <f t="shared" si="2"/>
        <v>4.8</v>
      </c>
      <c r="L97">
        <f t="shared" si="3"/>
        <v>4.3750829842176016</v>
      </c>
    </row>
    <row r="98" spans="1:12" x14ac:dyDescent="0.25">
      <c r="A98" s="1">
        <v>5.7</v>
      </c>
      <c r="B98" s="1">
        <v>2.9</v>
      </c>
      <c r="C98" s="2">
        <v>4.2</v>
      </c>
      <c r="D98" s="1">
        <v>1.3</v>
      </c>
      <c r="E98" s="1" t="s">
        <v>6</v>
      </c>
      <c r="J98">
        <v>97</v>
      </c>
      <c r="K98">
        <f t="shared" si="2"/>
        <v>4.8</v>
      </c>
      <c r="L98">
        <f t="shared" si="3"/>
        <v>4.406540601279251</v>
      </c>
    </row>
    <row r="99" spans="1:12" x14ac:dyDescent="0.25">
      <c r="A99" s="1">
        <v>6.2</v>
      </c>
      <c r="B99" s="1">
        <v>2.9</v>
      </c>
      <c r="C99" s="2">
        <v>4.3</v>
      </c>
      <c r="D99" s="1">
        <v>1.3</v>
      </c>
      <c r="E99" s="1" t="s">
        <v>6</v>
      </c>
      <c r="J99">
        <v>98</v>
      </c>
      <c r="K99">
        <f t="shared" si="2"/>
        <v>4.8</v>
      </c>
      <c r="L99">
        <f t="shared" si="3"/>
        <v>4.4382055385879946</v>
      </c>
    </row>
    <row r="100" spans="1:12" x14ac:dyDescent="0.25">
      <c r="A100" s="1">
        <v>5.0999999999999996</v>
      </c>
      <c r="B100" s="1">
        <v>2.5</v>
      </c>
      <c r="C100" s="2">
        <v>3</v>
      </c>
      <c r="D100" s="1">
        <v>1.1000000000000001</v>
      </c>
      <c r="E100" s="1" t="s">
        <v>6</v>
      </c>
      <c r="J100">
        <v>99</v>
      </c>
      <c r="K100">
        <f t="shared" si="2"/>
        <v>4.8</v>
      </c>
      <c r="L100">
        <f t="shared" si="3"/>
        <v>4.4700908753690118</v>
      </c>
    </row>
    <row r="101" spans="1:12" x14ac:dyDescent="0.25">
      <c r="A101" s="1">
        <v>5.7</v>
      </c>
      <c r="B101" s="1">
        <v>2.8</v>
      </c>
      <c r="C101" s="2">
        <v>4.0999999999999996</v>
      </c>
      <c r="D101" s="1">
        <v>1.3</v>
      </c>
      <c r="E101" s="1" t="s">
        <v>6</v>
      </c>
      <c r="J101">
        <v>100</v>
      </c>
      <c r="K101">
        <f t="shared" si="2"/>
        <v>4.9000000000000004</v>
      </c>
      <c r="L101">
        <f t="shared" si="3"/>
        <v>4.5022102548070819</v>
      </c>
    </row>
    <row r="102" spans="1:12" x14ac:dyDescent="0.25">
      <c r="A102" s="1">
        <v>6.3</v>
      </c>
      <c r="B102" s="1">
        <v>3.3</v>
      </c>
      <c r="C102" s="2">
        <v>6</v>
      </c>
      <c r="D102" s="1">
        <v>2.5</v>
      </c>
      <c r="E102" s="1" t="s">
        <v>7</v>
      </c>
      <c r="J102">
        <v>101</v>
      </c>
      <c r="K102">
        <f t="shared" si="2"/>
        <v>4.9000000000000004</v>
      </c>
      <c r="L102">
        <f t="shared" si="3"/>
        <v>4.5345779341505397</v>
      </c>
    </row>
    <row r="103" spans="1:12" x14ac:dyDescent="0.25">
      <c r="A103" s="1">
        <v>5.8</v>
      </c>
      <c r="B103" s="1">
        <v>2.7</v>
      </c>
      <c r="C103" s="2">
        <v>5.0999999999999996</v>
      </c>
      <c r="D103" s="1">
        <v>1.9</v>
      </c>
      <c r="E103" s="1" t="s">
        <v>7</v>
      </c>
      <c r="J103">
        <v>102</v>
      </c>
      <c r="K103">
        <f t="shared" si="2"/>
        <v>4.9000000000000004</v>
      </c>
      <c r="L103">
        <f t="shared" si="3"/>
        <v>4.5672088394624524</v>
      </c>
    </row>
    <row r="104" spans="1:12" x14ac:dyDescent="0.25">
      <c r="A104" s="1">
        <v>7.1</v>
      </c>
      <c r="B104" s="1">
        <v>3</v>
      </c>
      <c r="C104" s="2">
        <v>5.9</v>
      </c>
      <c r="D104" s="1">
        <v>2.1</v>
      </c>
      <c r="E104" s="1" t="s">
        <v>7</v>
      </c>
      <c r="J104">
        <v>103</v>
      </c>
      <c r="K104">
        <f t="shared" si="2"/>
        <v>4.9000000000000004</v>
      </c>
      <c r="L104">
        <f t="shared" si="3"/>
        <v>4.600118625605754</v>
      </c>
    </row>
    <row r="105" spans="1:12" x14ac:dyDescent="0.25">
      <c r="A105" s="1">
        <v>6.3</v>
      </c>
      <c r="B105" s="1">
        <v>2.9</v>
      </c>
      <c r="C105" s="2">
        <v>5.6</v>
      </c>
      <c r="D105" s="1">
        <v>1.8</v>
      </c>
      <c r="E105" s="1" t="s">
        <v>7</v>
      </c>
      <c r="J105">
        <v>104</v>
      </c>
      <c r="K105">
        <f t="shared" si="2"/>
        <v>4.9000000000000004</v>
      </c>
      <c r="L105">
        <f t="shared" si="3"/>
        <v>4.6333237421335527</v>
      </c>
    </row>
    <row r="106" spans="1:12" x14ac:dyDescent="0.25">
      <c r="A106" s="1">
        <v>6.5</v>
      </c>
      <c r="B106" s="1">
        <v>3</v>
      </c>
      <c r="C106" s="2">
        <v>5.8</v>
      </c>
      <c r="D106" s="1">
        <v>2.2000000000000002</v>
      </c>
      <c r="E106" s="1" t="s">
        <v>7</v>
      </c>
      <c r="J106">
        <v>105</v>
      </c>
      <c r="K106">
        <f t="shared" si="2"/>
        <v>5</v>
      </c>
      <c r="L106">
        <f t="shared" si="3"/>
        <v>4.6668415058548129</v>
      </c>
    </row>
    <row r="107" spans="1:12" x14ac:dyDescent="0.25">
      <c r="A107" s="1">
        <v>7.6</v>
      </c>
      <c r="B107" s="1">
        <v>3</v>
      </c>
      <c r="C107" s="2">
        <v>6.6</v>
      </c>
      <c r="D107" s="1">
        <v>2.1</v>
      </c>
      <c r="E107" s="1" t="s">
        <v>7</v>
      </c>
      <c r="J107">
        <v>106</v>
      </c>
      <c r="K107">
        <f t="shared" si="2"/>
        <v>5</v>
      </c>
      <c r="L107">
        <f t="shared" si="3"/>
        <v>4.7006901809619794</v>
      </c>
    </row>
    <row r="108" spans="1:12" x14ac:dyDescent="0.25">
      <c r="A108" s="1">
        <v>4.9000000000000004</v>
      </c>
      <c r="B108" s="1">
        <v>2.5</v>
      </c>
      <c r="C108" s="2">
        <v>4.5</v>
      </c>
      <c r="D108" s="1">
        <v>1.7</v>
      </c>
      <c r="E108" s="1" t="s">
        <v>7</v>
      </c>
      <c r="J108">
        <v>107</v>
      </c>
      <c r="K108">
        <f t="shared" si="2"/>
        <v>5</v>
      </c>
      <c r="L108">
        <f t="shared" si="3"/>
        <v>4.7348890677444144</v>
      </c>
    </row>
    <row r="109" spans="1:12" x14ac:dyDescent="0.25">
      <c r="A109" s="1">
        <v>7.3</v>
      </c>
      <c r="B109" s="1">
        <v>2.9</v>
      </c>
      <c r="C109" s="2">
        <v>6.3</v>
      </c>
      <c r="D109" s="1">
        <v>1.8</v>
      </c>
      <c r="E109" s="1" t="s">
        <v>7</v>
      </c>
      <c r="J109">
        <v>108</v>
      </c>
      <c r="K109">
        <f t="shared" si="2"/>
        <v>5</v>
      </c>
      <c r="L109">
        <f t="shared" si="3"/>
        <v>4.7694586010740503</v>
      </c>
    </row>
    <row r="110" spans="1:12" x14ac:dyDescent="0.25">
      <c r="A110" s="1">
        <v>6.7</v>
      </c>
      <c r="B110" s="1">
        <v>2.5</v>
      </c>
      <c r="C110" s="2">
        <v>5.8</v>
      </c>
      <c r="D110" s="1">
        <v>1.8</v>
      </c>
      <c r="E110" s="1" t="s">
        <v>7</v>
      </c>
      <c r="J110">
        <v>109</v>
      </c>
      <c r="K110">
        <f t="shared" si="2"/>
        <v>5.0999999999999996</v>
      </c>
      <c r="L110">
        <f t="shared" si="3"/>
        <v>4.8044204600426195</v>
      </c>
    </row>
    <row r="111" spans="1:12" x14ac:dyDescent="0.25">
      <c r="A111" s="1">
        <v>7.2</v>
      </c>
      <c r="B111" s="1">
        <v>3.6</v>
      </c>
      <c r="C111" s="2">
        <v>6.1</v>
      </c>
      <c r="D111" s="1">
        <v>2.5</v>
      </c>
      <c r="E111" s="1" t="s">
        <v>7</v>
      </c>
      <c r="J111">
        <v>110</v>
      </c>
      <c r="K111">
        <f t="shared" si="2"/>
        <v>5.0999999999999996</v>
      </c>
      <c r="L111">
        <f t="shared" si="3"/>
        <v>4.8397976903601014</v>
      </c>
    </row>
    <row r="112" spans="1:12" x14ac:dyDescent="0.25">
      <c r="A112" s="1">
        <v>6.5</v>
      </c>
      <c r="B112" s="1">
        <v>3.2</v>
      </c>
      <c r="C112" s="2">
        <v>5.0999999999999996</v>
      </c>
      <c r="D112" s="1">
        <v>2</v>
      </c>
      <c r="E112" s="1" t="s">
        <v>7</v>
      </c>
      <c r="J112">
        <v>111</v>
      </c>
      <c r="K112">
        <f t="shared" si="2"/>
        <v>5.0999999999999996</v>
      </c>
      <c r="L112">
        <f t="shared" si="3"/>
        <v>4.8756148413994325</v>
      </c>
    </row>
    <row r="113" spans="1:12" x14ac:dyDescent="0.25">
      <c r="A113" s="1">
        <v>6.4</v>
      </c>
      <c r="B113" s="1">
        <v>2.7</v>
      </c>
      <c r="C113" s="2">
        <v>5.3</v>
      </c>
      <c r="D113" s="1">
        <v>1.9</v>
      </c>
      <c r="E113" s="1" t="s">
        <v>7</v>
      </c>
      <c r="J113">
        <v>112</v>
      </c>
      <c r="K113">
        <f t="shared" si="2"/>
        <v>5.0999999999999996</v>
      </c>
      <c r="L113">
        <f t="shared" si="3"/>
        <v>4.9118981201038086</v>
      </c>
    </row>
    <row r="114" spans="1:12" x14ac:dyDescent="0.25">
      <c r="A114" s="1">
        <v>6.8</v>
      </c>
      <c r="B114" s="1">
        <v>3</v>
      </c>
      <c r="C114" s="2">
        <v>5.5</v>
      </c>
      <c r="D114" s="1">
        <v>2.1</v>
      </c>
      <c r="E114" s="1" t="s">
        <v>7</v>
      </c>
      <c r="J114">
        <v>113</v>
      </c>
      <c r="K114">
        <f t="shared" si="2"/>
        <v>5.0999999999999996</v>
      </c>
      <c r="L114">
        <f t="shared" si="3"/>
        <v>4.9486755643727625</v>
      </c>
    </row>
    <row r="115" spans="1:12" x14ac:dyDescent="0.25">
      <c r="A115" s="1">
        <v>5.7</v>
      </c>
      <c r="B115" s="1">
        <v>2.5</v>
      </c>
      <c r="C115" s="2">
        <v>5</v>
      </c>
      <c r="D115" s="1">
        <v>2</v>
      </c>
      <c r="E115" s="1" t="s">
        <v>7</v>
      </c>
      <c r="J115">
        <v>114</v>
      </c>
      <c r="K115">
        <f t="shared" si="2"/>
        <v>5.0999999999999996</v>
      </c>
      <c r="L115">
        <f t="shared" si="3"/>
        <v>4.9859772390281689</v>
      </c>
    </row>
    <row r="116" spans="1:12" x14ac:dyDescent="0.25">
      <c r="A116" s="1">
        <v>5.8</v>
      </c>
      <c r="B116" s="1">
        <v>2.8</v>
      </c>
      <c r="C116" s="2">
        <v>5.0999999999999996</v>
      </c>
      <c r="D116" s="1">
        <v>2.4</v>
      </c>
      <c r="E116" s="1" t="s">
        <v>7</v>
      </c>
      <c r="J116">
        <v>115</v>
      </c>
      <c r="K116">
        <f t="shared" si="2"/>
        <v>5.0999999999999996</v>
      </c>
      <c r="L116">
        <f t="shared" si="3"/>
        <v>5.0238354580525293</v>
      </c>
    </row>
    <row r="117" spans="1:12" x14ac:dyDescent="0.25">
      <c r="A117" s="1">
        <v>6.4</v>
      </c>
      <c r="B117" s="1">
        <v>3.2</v>
      </c>
      <c r="C117" s="2">
        <v>5.3</v>
      </c>
      <c r="D117" s="1">
        <v>2.2999999999999998</v>
      </c>
      <c r="E117" s="1" t="s">
        <v>7</v>
      </c>
      <c r="J117">
        <v>116</v>
      </c>
      <c r="K117">
        <f t="shared" si="2"/>
        <v>5.0999999999999996</v>
      </c>
      <c r="L117">
        <f t="shared" si="3"/>
        <v>5.0622850375159816</v>
      </c>
    </row>
    <row r="118" spans="1:12" x14ac:dyDescent="0.25">
      <c r="A118" s="1">
        <v>6.5</v>
      </c>
      <c r="B118" s="1">
        <v>3</v>
      </c>
      <c r="C118" s="2">
        <v>5.5</v>
      </c>
      <c r="D118" s="1">
        <v>1.8</v>
      </c>
      <c r="E118" s="1" t="s">
        <v>7</v>
      </c>
      <c r="J118">
        <v>117</v>
      </c>
      <c r="K118">
        <f t="shared" si="2"/>
        <v>5.2</v>
      </c>
      <c r="L118">
        <f t="shared" si="3"/>
        <v>5.1013635845003931</v>
      </c>
    </row>
    <row r="119" spans="1:12" x14ac:dyDescent="0.25">
      <c r="A119" s="1">
        <v>7.7</v>
      </c>
      <c r="B119" s="1">
        <v>3.8</v>
      </c>
      <c r="C119" s="2">
        <v>6.7</v>
      </c>
      <c r="D119" s="1">
        <v>2.2000000000000002</v>
      </c>
      <c r="E119" s="1" t="s">
        <v>7</v>
      </c>
      <c r="J119">
        <v>118</v>
      </c>
      <c r="K119">
        <f t="shared" si="2"/>
        <v>5.2</v>
      </c>
      <c r="L119">
        <f t="shared" si="3"/>
        <v>5.1411118284336972</v>
      </c>
    </row>
    <row r="120" spans="1:12" x14ac:dyDescent="0.25">
      <c r="A120" s="1">
        <v>7.7</v>
      </c>
      <c r="B120" s="1">
        <v>2.6</v>
      </c>
      <c r="C120" s="2">
        <v>6.9</v>
      </c>
      <c r="D120" s="1">
        <v>2.2999999999999998</v>
      </c>
      <c r="E120" s="1" t="s">
        <v>7</v>
      </c>
      <c r="J120">
        <v>119</v>
      </c>
      <c r="K120">
        <f t="shared" si="2"/>
        <v>5.3</v>
      </c>
      <c r="L120">
        <f t="shared" si="3"/>
        <v>5.1815740026241954</v>
      </c>
    </row>
    <row r="121" spans="1:12" x14ac:dyDescent="0.25">
      <c r="A121" s="1">
        <v>6</v>
      </c>
      <c r="B121" s="1">
        <v>2.2000000000000002</v>
      </c>
      <c r="C121" s="2">
        <v>5</v>
      </c>
      <c r="D121" s="1">
        <v>1.5</v>
      </c>
      <c r="E121" s="1" t="s">
        <v>7</v>
      </c>
      <c r="J121">
        <v>120</v>
      </c>
      <c r="K121">
        <f t="shared" si="2"/>
        <v>5.3</v>
      </c>
      <c r="L121">
        <f t="shared" si="3"/>
        <v>5.2227982855110451</v>
      </c>
    </row>
    <row r="122" spans="1:12" x14ac:dyDescent="0.25">
      <c r="A122" s="1">
        <v>6.9</v>
      </c>
      <c r="B122" s="1">
        <v>3.2</v>
      </c>
      <c r="C122" s="2">
        <v>5.7</v>
      </c>
      <c r="D122" s="1">
        <v>2.2999999999999998</v>
      </c>
      <c r="E122" s="1" t="s">
        <v>7</v>
      </c>
      <c r="J122">
        <v>121</v>
      </c>
      <c r="K122">
        <f t="shared" si="2"/>
        <v>5.4</v>
      </c>
      <c r="L122">
        <f t="shared" si="3"/>
        <v>5.2648373133267343</v>
      </c>
    </row>
    <row r="123" spans="1:12" x14ac:dyDescent="0.25">
      <c r="A123" s="1">
        <v>5.6</v>
      </c>
      <c r="B123" s="1">
        <v>2.8</v>
      </c>
      <c r="C123" s="2">
        <v>4.9000000000000004</v>
      </c>
      <c r="D123" s="1">
        <v>2</v>
      </c>
      <c r="E123" s="1" t="s">
        <v>7</v>
      </c>
      <c r="J123">
        <v>122</v>
      </c>
      <c r="K123">
        <f t="shared" si="2"/>
        <v>5.4</v>
      </c>
      <c r="L123">
        <f t="shared" si="3"/>
        <v>5.3077487786389641</v>
      </c>
    </row>
    <row r="124" spans="1:12" x14ac:dyDescent="0.25">
      <c r="A124" s="1">
        <v>7.7</v>
      </c>
      <c r="B124" s="1">
        <v>2.8</v>
      </c>
      <c r="C124" s="2">
        <v>6.7</v>
      </c>
      <c r="D124" s="1">
        <v>2</v>
      </c>
      <c r="E124" s="1" t="s">
        <v>7</v>
      </c>
      <c r="J124">
        <v>123</v>
      </c>
      <c r="K124">
        <f t="shared" si="2"/>
        <v>5.5</v>
      </c>
      <c r="L124">
        <f t="shared" si="3"/>
        <v>5.351596132790764</v>
      </c>
    </row>
    <row r="125" spans="1:12" x14ac:dyDescent="0.25">
      <c r="A125" s="1">
        <v>6.3</v>
      </c>
      <c r="B125" s="1">
        <v>2.7</v>
      </c>
      <c r="C125" s="2">
        <v>4.9000000000000004</v>
      </c>
      <c r="D125" s="1">
        <v>1.8</v>
      </c>
      <c r="E125" s="1" t="s">
        <v>7</v>
      </c>
      <c r="J125">
        <v>124</v>
      </c>
      <c r="K125">
        <f t="shared" si="2"/>
        <v>5.5</v>
      </c>
      <c r="L125">
        <f t="shared" si="3"/>
        <v>5.3964494148449651</v>
      </c>
    </row>
    <row r="126" spans="1:12" x14ac:dyDescent="0.25">
      <c r="A126" s="1">
        <v>6.7</v>
      </c>
      <c r="B126" s="1">
        <v>3.3</v>
      </c>
      <c r="C126" s="2">
        <v>5.7</v>
      </c>
      <c r="D126" s="1">
        <v>2.1</v>
      </c>
      <c r="E126" s="1" t="s">
        <v>7</v>
      </c>
      <c r="J126">
        <v>125</v>
      </c>
      <c r="K126">
        <f t="shared" si="2"/>
        <v>5.5</v>
      </c>
      <c r="L126">
        <f t="shared" si="3"/>
        <v>5.4423862356165493</v>
      </c>
    </row>
    <row r="127" spans="1:12" x14ac:dyDescent="0.25">
      <c r="A127" s="1">
        <v>7.2</v>
      </c>
      <c r="B127" s="1">
        <v>3.2</v>
      </c>
      <c r="C127" s="2">
        <v>6</v>
      </c>
      <c r="D127" s="1">
        <v>1.8</v>
      </c>
      <c r="E127" s="1" t="s">
        <v>7</v>
      </c>
      <c r="J127">
        <v>126</v>
      </c>
      <c r="K127">
        <f t="shared" si="2"/>
        <v>5.6</v>
      </c>
      <c r="L127">
        <f t="shared" si="3"/>
        <v>5.4894929532374706</v>
      </c>
    </row>
    <row r="128" spans="1:12" x14ac:dyDescent="0.25">
      <c r="A128" s="1">
        <v>6.2</v>
      </c>
      <c r="B128" s="1">
        <v>2.8</v>
      </c>
      <c r="C128" s="2">
        <v>4.8</v>
      </c>
      <c r="D128" s="1">
        <v>1.8</v>
      </c>
      <c r="E128" s="1" t="s">
        <v>7</v>
      </c>
      <c r="J128">
        <v>127</v>
      </c>
      <c r="K128">
        <f t="shared" si="2"/>
        <v>5.6</v>
      </c>
      <c r="L128">
        <f t="shared" si="3"/>
        <v>5.5378660871401086</v>
      </c>
    </row>
    <row r="129" spans="1:12" x14ac:dyDescent="0.25">
      <c r="A129" s="1">
        <v>6.1</v>
      </c>
      <c r="B129" s="1">
        <v>3</v>
      </c>
      <c r="C129" s="2">
        <v>4.9000000000000004</v>
      </c>
      <c r="D129" s="1">
        <v>1.8</v>
      </c>
      <c r="E129" s="1" t="s">
        <v>7</v>
      </c>
      <c r="J129">
        <v>128</v>
      </c>
      <c r="K129">
        <f t="shared" si="2"/>
        <v>5.6</v>
      </c>
      <c r="L129">
        <f t="shared" si="3"/>
        <v>5.587614031364506</v>
      </c>
    </row>
    <row r="130" spans="1:12" x14ac:dyDescent="0.25">
      <c r="A130" s="1">
        <v>6.4</v>
      </c>
      <c r="B130" s="1">
        <v>2.8</v>
      </c>
      <c r="C130" s="2">
        <v>5.6</v>
      </c>
      <c r="D130" s="1">
        <v>2.1</v>
      </c>
      <c r="E130" s="1" t="s">
        <v>7</v>
      </c>
      <c r="J130">
        <v>129</v>
      </c>
      <c r="K130">
        <f t="shared" si="2"/>
        <v>5.6</v>
      </c>
      <c r="L130">
        <f t="shared" si="3"/>
        <v>5.638859147135264</v>
      </c>
    </row>
    <row r="131" spans="1:12" x14ac:dyDescent="0.25">
      <c r="A131" s="1">
        <v>7.2</v>
      </c>
      <c r="B131" s="1">
        <v>3</v>
      </c>
      <c r="C131" s="2">
        <v>5.8</v>
      </c>
      <c r="D131" s="1">
        <v>1.6</v>
      </c>
      <c r="E131" s="1" t="s">
        <v>7</v>
      </c>
      <c r="J131">
        <v>130</v>
      </c>
      <c r="K131">
        <f t="shared" ref="K131:K151" si="4">SMALL($C$2:$C$151,J131)</f>
        <v>5.6</v>
      </c>
      <c r="L131">
        <f t="shared" ref="L131:L151" si="5">_xlfn.NORM.INV((J131-1/2)/$H$5,$H$2,$H$3)</f>
        <v>5.6917403408403526</v>
      </c>
    </row>
    <row r="132" spans="1:12" x14ac:dyDescent="0.25">
      <c r="A132" s="1">
        <v>7.4</v>
      </c>
      <c r="B132" s="1">
        <v>2.8</v>
      </c>
      <c r="C132" s="2">
        <v>6.1</v>
      </c>
      <c r="D132" s="1">
        <v>1.9</v>
      </c>
      <c r="E132" s="1" t="s">
        <v>7</v>
      </c>
      <c r="J132">
        <v>131</v>
      </c>
      <c r="K132">
        <f t="shared" si="4"/>
        <v>5.6</v>
      </c>
      <c r="L132">
        <f t="shared" si="5"/>
        <v>5.7464162700513297</v>
      </c>
    </row>
    <row r="133" spans="1:12" x14ac:dyDescent="0.25">
      <c r="A133" s="1">
        <v>7.9</v>
      </c>
      <c r="B133" s="1">
        <v>3.8</v>
      </c>
      <c r="C133" s="2">
        <v>6.4</v>
      </c>
      <c r="D133" s="1">
        <v>2</v>
      </c>
      <c r="E133" s="1" t="s">
        <v>7</v>
      </c>
      <c r="J133">
        <v>132</v>
      </c>
      <c r="K133">
        <f t="shared" si="4"/>
        <v>5.7</v>
      </c>
      <c r="L133">
        <f t="shared" si="5"/>
        <v>5.8030693718789568</v>
      </c>
    </row>
    <row r="134" spans="1:12" x14ac:dyDescent="0.25">
      <c r="A134" s="1">
        <v>6.4</v>
      </c>
      <c r="B134" s="1">
        <v>2.8</v>
      </c>
      <c r="C134" s="2">
        <v>5.6</v>
      </c>
      <c r="D134" s="1">
        <v>2.2000000000000002</v>
      </c>
      <c r="E134" s="1" t="s">
        <v>7</v>
      </c>
      <c r="J134">
        <v>133</v>
      </c>
      <c r="K134">
        <f t="shared" si="4"/>
        <v>5.7</v>
      </c>
      <c r="L134">
        <f t="shared" si="5"/>
        <v>5.861910982239225</v>
      </c>
    </row>
    <row r="135" spans="1:12" x14ac:dyDescent="0.25">
      <c r="A135" s="1">
        <v>6.3</v>
      </c>
      <c r="B135" s="1">
        <v>2.8</v>
      </c>
      <c r="C135" s="2">
        <v>5.0999999999999996</v>
      </c>
      <c r="D135" s="1">
        <v>1.5</v>
      </c>
      <c r="E135" s="1" t="s">
        <v>7</v>
      </c>
      <c r="J135">
        <v>134</v>
      </c>
      <c r="K135">
        <f t="shared" si="4"/>
        <v>5.7</v>
      </c>
      <c r="L135">
        <f t="shared" si="5"/>
        <v>5.923187923343681</v>
      </c>
    </row>
    <row r="136" spans="1:12" x14ac:dyDescent="0.25">
      <c r="A136" s="1">
        <v>6.1</v>
      </c>
      <c r="B136" s="1">
        <v>2.6</v>
      </c>
      <c r="C136" s="2">
        <v>5.6</v>
      </c>
      <c r="D136" s="1">
        <v>1.4</v>
      </c>
      <c r="E136" s="1" t="s">
        <v>7</v>
      </c>
      <c r="J136">
        <v>135</v>
      </c>
      <c r="K136">
        <f t="shared" si="4"/>
        <v>5.8</v>
      </c>
      <c r="L136">
        <f t="shared" si="5"/>
        <v>5.987191099072759</v>
      </c>
    </row>
    <row r="137" spans="1:12" x14ac:dyDescent="0.25">
      <c r="A137" s="1">
        <v>7.7</v>
      </c>
      <c r="B137" s="1">
        <v>3</v>
      </c>
      <c r="C137" s="2">
        <v>6.1</v>
      </c>
      <c r="D137" s="1">
        <v>2.2999999999999998</v>
      </c>
      <c r="E137" s="1" t="s">
        <v>7</v>
      </c>
      <c r="J137">
        <v>136</v>
      </c>
      <c r="K137">
        <f t="shared" si="4"/>
        <v>5.8</v>
      </c>
      <c r="L137">
        <f t="shared" si="5"/>
        <v>6.0542668856240311</v>
      </c>
    </row>
    <row r="138" spans="1:12" x14ac:dyDescent="0.25">
      <c r="A138" s="1">
        <v>6.3</v>
      </c>
      <c r="B138" s="1">
        <v>3.4</v>
      </c>
      <c r="C138" s="2">
        <v>5.6</v>
      </c>
      <c r="D138" s="1">
        <v>2.4</v>
      </c>
      <c r="E138" s="1" t="s">
        <v>7</v>
      </c>
      <c r="J138">
        <v>137</v>
      </c>
      <c r="K138">
        <f t="shared" si="4"/>
        <v>5.8</v>
      </c>
      <c r="L138">
        <f t="shared" si="5"/>
        <v>6.124832492207072</v>
      </c>
    </row>
    <row r="139" spans="1:12" x14ac:dyDescent="0.25">
      <c r="A139" s="1">
        <v>6.4</v>
      </c>
      <c r="B139" s="1">
        <v>3.1</v>
      </c>
      <c r="C139" s="2">
        <v>5.5</v>
      </c>
      <c r="D139" s="1">
        <v>1.8</v>
      </c>
      <c r="E139" s="1" t="s">
        <v>7</v>
      </c>
      <c r="J139">
        <v>138</v>
      </c>
      <c r="K139">
        <f t="shared" si="4"/>
        <v>5.9</v>
      </c>
      <c r="L139">
        <f t="shared" si="5"/>
        <v>6.1993970891789694</v>
      </c>
    </row>
    <row r="140" spans="1:12" x14ac:dyDescent="0.25">
      <c r="A140" s="1">
        <v>6</v>
      </c>
      <c r="B140" s="1">
        <v>3</v>
      </c>
      <c r="C140" s="2">
        <v>4.8</v>
      </c>
      <c r="D140" s="1">
        <v>1.8</v>
      </c>
      <c r="E140" s="1" t="s">
        <v>7</v>
      </c>
      <c r="J140">
        <v>139</v>
      </c>
      <c r="K140">
        <f t="shared" si="4"/>
        <v>5.9</v>
      </c>
      <c r="L140">
        <f t="shared" si="5"/>
        <v>6.2785915334120421</v>
      </c>
    </row>
    <row r="141" spans="1:12" x14ac:dyDescent="0.25">
      <c r="A141" s="1">
        <v>6.9</v>
      </c>
      <c r="B141" s="1">
        <v>3.1</v>
      </c>
      <c r="C141" s="2">
        <v>5.4</v>
      </c>
      <c r="D141" s="1">
        <v>2.1</v>
      </c>
      <c r="E141" s="1" t="s">
        <v>7</v>
      </c>
      <c r="J141">
        <v>140</v>
      </c>
      <c r="K141">
        <f t="shared" si="4"/>
        <v>6</v>
      </c>
      <c r="L141">
        <f t="shared" si="5"/>
        <v>6.3632112947048594</v>
      </c>
    </row>
    <row r="142" spans="1:12" x14ac:dyDescent="0.25">
      <c r="A142" s="1">
        <v>6.7</v>
      </c>
      <c r="B142" s="1">
        <v>3.1</v>
      </c>
      <c r="C142" s="2">
        <v>5.6</v>
      </c>
      <c r="D142" s="1">
        <v>2.4</v>
      </c>
      <c r="E142" s="1" t="s">
        <v>7</v>
      </c>
      <c r="J142">
        <v>141</v>
      </c>
      <c r="K142">
        <f t="shared" si="4"/>
        <v>6</v>
      </c>
      <c r="L142">
        <f t="shared" si="5"/>
        <v>6.4542803638010824</v>
      </c>
    </row>
    <row r="143" spans="1:12" x14ac:dyDescent="0.25">
      <c r="A143" s="1">
        <v>6.9</v>
      </c>
      <c r="B143" s="1">
        <v>3.1</v>
      </c>
      <c r="C143" s="2">
        <v>5.0999999999999996</v>
      </c>
      <c r="D143" s="1">
        <v>2.2999999999999998</v>
      </c>
      <c r="E143" s="1" t="s">
        <v>7</v>
      </c>
      <c r="J143">
        <v>142</v>
      </c>
      <c r="K143">
        <f t="shared" si="4"/>
        <v>6.1</v>
      </c>
      <c r="L143">
        <f t="shared" si="5"/>
        <v>6.5531498927611302</v>
      </c>
    </row>
    <row r="144" spans="1:12" x14ac:dyDescent="0.25">
      <c r="A144" s="1">
        <v>5.8</v>
      </c>
      <c r="B144" s="1">
        <v>2.7</v>
      </c>
      <c r="C144" s="2">
        <v>5.0999999999999996</v>
      </c>
      <c r="D144" s="1">
        <v>1.9</v>
      </c>
      <c r="E144" s="1" t="s">
        <v>7</v>
      </c>
      <c r="J144">
        <v>143</v>
      </c>
      <c r="K144">
        <f t="shared" si="4"/>
        <v>6.1</v>
      </c>
      <c r="L144">
        <f t="shared" si="5"/>
        <v>6.6616572016278539</v>
      </c>
    </row>
    <row r="145" spans="1:12" x14ac:dyDescent="0.25">
      <c r="A145" s="1">
        <v>6.8</v>
      </c>
      <c r="B145" s="1">
        <v>3.2</v>
      </c>
      <c r="C145" s="2">
        <v>5.9</v>
      </c>
      <c r="D145" s="1">
        <v>2.2999999999999998</v>
      </c>
      <c r="E145" s="1" t="s">
        <v>7</v>
      </c>
      <c r="J145">
        <v>144</v>
      </c>
      <c r="K145">
        <f t="shared" si="4"/>
        <v>6.1</v>
      </c>
      <c r="L145">
        <f t="shared" si="5"/>
        <v>6.7823961418268706</v>
      </c>
    </row>
    <row r="146" spans="1:12" x14ac:dyDescent="0.25">
      <c r="A146" s="1">
        <v>6.7</v>
      </c>
      <c r="B146" s="1">
        <v>3.3</v>
      </c>
      <c r="C146" s="2">
        <v>5.7</v>
      </c>
      <c r="D146" s="1">
        <v>2.5</v>
      </c>
      <c r="E146" s="1" t="s">
        <v>7</v>
      </c>
      <c r="J146">
        <v>145</v>
      </c>
      <c r="K146">
        <f t="shared" si="4"/>
        <v>6.3</v>
      </c>
      <c r="L146">
        <f t="shared" si="5"/>
        <v>6.9192087877192847</v>
      </c>
    </row>
    <row r="147" spans="1:12" x14ac:dyDescent="0.25">
      <c r="A147" s="1">
        <v>6.7</v>
      </c>
      <c r="B147" s="1">
        <v>3</v>
      </c>
      <c r="C147" s="2">
        <v>5.2</v>
      </c>
      <c r="D147" s="1">
        <v>2.2999999999999998</v>
      </c>
      <c r="E147" s="1" t="s">
        <v>7</v>
      </c>
      <c r="J147">
        <v>146</v>
      </c>
      <c r="K147">
        <f t="shared" si="4"/>
        <v>6.4</v>
      </c>
      <c r="L147">
        <f t="shared" si="5"/>
        <v>7.0781616335950943</v>
      </c>
    </row>
    <row r="148" spans="1:12" x14ac:dyDescent="0.25">
      <c r="A148" s="1">
        <v>6.3</v>
      </c>
      <c r="B148" s="1">
        <v>2.5</v>
      </c>
      <c r="C148" s="2">
        <v>5</v>
      </c>
      <c r="D148" s="1">
        <v>1.9</v>
      </c>
      <c r="E148" s="1" t="s">
        <v>7</v>
      </c>
      <c r="J148">
        <v>147</v>
      </c>
      <c r="K148">
        <f t="shared" si="4"/>
        <v>6.6</v>
      </c>
      <c r="L148">
        <f t="shared" si="5"/>
        <v>7.2697307082064313</v>
      </c>
    </row>
    <row r="149" spans="1:12" x14ac:dyDescent="0.25">
      <c r="A149" s="1">
        <v>6.5</v>
      </c>
      <c r="B149" s="1">
        <v>3</v>
      </c>
      <c r="C149" s="2">
        <v>5.2</v>
      </c>
      <c r="D149" s="1">
        <v>2</v>
      </c>
      <c r="E149" s="1" t="s">
        <v>7</v>
      </c>
      <c r="J149">
        <v>148</v>
      </c>
      <c r="K149">
        <f t="shared" si="4"/>
        <v>6.7</v>
      </c>
      <c r="L149">
        <f t="shared" si="5"/>
        <v>7.5146344922029744</v>
      </c>
    </row>
    <row r="150" spans="1:12" x14ac:dyDescent="0.25">
      <c r="A150" s="1">
        <v>6.2</v>
      </c>
      <c r="B150" s="1">
        <v>3.4</v>
      </c>
      <c r="C150" s="2">
        <v>5.4</v>
      </c>
      <c r="D150" s="1">
        <v>2.2999999999999998</v>
      </c>
      <c r="E150" s="1" t="s">
        <v>7</v>
      </c>
      <c r="J150">
        <v>149</v>
      </c>
      <c r="K150">
        <f t="shared" si="4"/>
        <v>6.7</v>
      </c>
      <c r="L150">
        <f t="shared" si="5"/>
        <v>7.8646977919912056</v>
      </c>
    </row>
    <row r="151" spans="1:12" x14ac:dyDescent="0.25">
      <c r="A151" s="1">
        <v>5.9</v>
      </c>
      <c r="B151" s="1">
        <v>3</v>
      </c>
      <c r="C151" s="2">
        <v>5.0999999999999996</v>
      </c>
      <c r="D151" s="1">
        <v>1.8</v>
      </c>
      <c r="E151" s="1" t="s">
        <v>7</v>
      </c>
      <c r="J151">
        <v>150</v>
      </c>
      <c r="K151">
        <f t="shared" si="4"/>
        <v>6.9</v>
      </c>
      <c r="L151">
        <f t="shared" si="5"/>
        <v>8.5473457054621438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0B0D9-DA34-4C3A-B01F-CB32E0C1DB36}">
  <sheetPr codeName="Arkusz1"/>
  <dimension ref="A1:T302"/>
  <sheetViews>
    <sheetView zoomScale="70" zoomScaleNormal="70" workbookViewId="0">
      <selection activeCell="AH15" sqref="AH15"/>
    </sheetView>
  </sheetViews>
  <sheetFormatPr defaultRowHeight="15" x14ac:dyDescent="0.25"/>
  <cols>
    <col min="12" max="12" width="9" customWidth="1"/>
    <col min="13" max="13" width="9.85546875" bestFit="1" customWidth="1"/>
    <col min="15" max="15" width="10" bestFit="1" customWidth="1"/>
    <col min="18" max="18" width="9.140625" customWidth="1"/>
    <col min="25" max="25" width="12" bestFit="1" customWidth="1"/>
    <col min="26" max="26" width="11" bestFit="1" customWidth="1"/>
    <col min="27" max="27" width="9.42578125" customWidth="1"/>
    <col min="28" max="28" width="8.7109375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G1" s="1" t="s">
        <v>8</v>
      </c>
      <c r="M1" t="s">
        <v>19</v>
      </c>
      <c r="R1" t="s">
        <v>20</v>
      </c>
    </row>
    <row r="2" spans="1:20" x14ac:dyDescent="0.25">
      <c r="A2" s="1">
        <v>5.0999999999999996</v>
      </c>
      <c r="B2" s="1">
        <v>3.5</v>
      </c>
      <c r="C2" s="2">
        <v>1.4</v>
      </c>
      <c r="D2" s="1">
        <v>0.2</v>
      </c>
      <c r="E2" s="1" t="s">
        <v>5</v>
      </c>
      <c r="G2" t="s">
        <v>9</v>
      </c>
      <c r="H2">
        <f>AVERAGE(C2:C151)</f>
        <v>3.7580000000000027</v>
      </c>
      <c r="J2" t="s">
        <v>16</v>
      </c>
      <c r="K2" t="s">
        <v>17</v>
      </c>
      <c r="L2" t="s">
        <v>18</v>
      </c>
      <c r="M2">
        <f>1.06*H3/H5^(1/5)</f>
        <v>0.68691927046920787</v>
      </c>
      <c r="N2">
        <v>0.1</v>
      </c>
      <c r="O2">
        <v>1.5</v>
      </c>
      <c r="P2">
        <v>12</v>
      </c>
      <c r="R2">
        <f>1.06*H3/H5^(1/5)</f>
        <v>0.68691927046920787</v>
      </c>
      <c r="S2">
        <v>0.1</v>
      </c>
      <c r="T2">
        <v>1.5</v>
      </c>
    </row>
    <row r="3" spans="1:20" x14ac:dyDescent="0.25">
      <c r="A3" s="1">
        <v>4.9000000000000004</v>
      </c>
      <c r="B3" s="1">
        <v>3</v>
      </c>
      <c r="C3" s="2">
        <v>1.4</v>
      </c>
      <c r="D3" s="1">
        <v>0.2</v>
      </c>
      <c r="E3" s="1" t="s">
        <v>5</v>
      </c>
      <c r="G3" t="s">
        <v>10</v>
      </c>
      <c r="H3">
        <f>_xlfn.STDEV.S(C2:C151)</f>
        <v>1.7652982332594624</v>
      </c>
      <c r="J3">
        <v>1</v>
      </c>
      <c r="K3">
        <f>$H$7</f>
        <v>1</v>
      </c>
      <c r="L3">
        <f>_xlfn.NORM.DIST(K3,$H$2,$H$3,FALSE)</f>
        <v>6.6689029091961977E-2</v>
      </c>
      <c r="M3" cm="1">
        <f t="array" ref="M3">EstymacjaGaussowska($K3,$C$2:$C$151)</f>
        <v>0.15197430392932543</v>
      </c>
      <c r="N3" cm="1">
        <f t="array" ref="N3">EstymacjaGaussowska($K3,$C$2:$C$151,$N$2)</f>
        <v>5.2111802645791412E-2</v>
      </c>
      <c r="O3" cm="1">
        <f t="array" ref="O3">EstymacjaGaussowska($K3,$C$2:$C$151,$O$2)</f>
        <v>9.52974706548846E-2</v>
      </c>
      <c r="P3" cm="1">
        <f t="array" ref="P3">EstymacjaGaussowska($K3,$C$2:$C$151,$P$2)</f>
        <v>3.2048557772357773E-2</v>
      </c>
      <c r="R3" cm="1">
        <f t="array" ref="R3">EstymacjaEpanecznikowa($K3,$C$2:$C$151,R$2)</f>
        <v>0.14599674330774182</v>
      </c>
      <c r="S3" cm="1">
        <f t="array" ref="S3">EstymacjaEpanecznikowa($K3,$C$2:$C$151,S$2)</f>
        <v>4.9193495504995369E-2</v>
      </c>
      <c r="T3" cm="1">
        <f t="array" ref="T3">EstymacjaEpanecznikowa($K3,$C$2:$C$151,T$2)</f>
        <v>8.2264775257552269E-2</v>
      </c>
    </row>
    <row r="4" spans="1:20" x14ac:dyDescent="0.25">
      <c r="A4" s="1">
        <v>4.7</v>
      </c>
      <c r="B4" s="1">
        <v>3.2</v>
      </c>
      <c r="C4" s="2">
        <v>1.3</v>
      </c>
      <c r="D4" s="1">
        <v>0.2</v>
      </c>
      <c r="E4" s="1" t="s">
        <v>5</v>
      </c>
      <c r="J4">
        <v>2</v>
      </c>
      <c r="K4">
        <f>K3+$H$11</f>
        <v>1.0197324414715718</v>
      </c>
      <c r="L4">
        <f t="shared" ref="L4:L67" si="0">_xlfn.NORM.DIST(K4,$H$2,$H$3,FALSE)</f>
        <v>6.7859662856187955E-2</v>
      </c>
      <c r="M4" cm="1">
        <f t="array" ref="M4">EstymacjaGaussowska($K4,$C$2:$C$151)</f>
        <v>0.15471246117398849</v>
      </c>
      <c r="N4" cm="1">
        <f t="array" ref="N4">EstymacjaGaussowska($K4,$C$2:$C$151,$N$2)</f>
        <v>5.9751008830328509E-2</v>
      </c>
      <c r="O4" cm="1">
        <f t="array" ref="O4">EstymacjaGaussowska($K4,$C$2:$C$151,$O$2)</f>
        <v>9.593419208124819E-2</v>
      </c>
      <c r="P4" cm="1">
        <f t="array" ref="P4">EstymacjaGaussowska($K4,$C$2:$C$151,$P$2)</f>
        <v>3.2060392489361593E-2</v>
      </c>
      <c r="R4" cm="1">
        <f t="array" ref="R4">EstymacjaEpanecznikowa($K4,$C$2:$C$151,R$2)</f>
        <v>0.14722770822556439</v>
      </c>
      <c r="S4" cm="1">
        <f t="array" ref="S4">EstymacjaEpanecznikowa($K4,$C$2:$C$151,S$2)</f>
        <v>5.7321586720798984E-2</v>
      </c>
      <c r="T4" cm="1">
        <f t="array" ref="T4">EstymacjaEpanecznikowa($K4,$C$2:$C$151,T$2)</f>
        <v>8.275874475787906E-2</v>
      </c>
    </row>
    <row r="5" spans="1:20" x14ac:dyDescent="0.25">
      <c r="A5" s="1">
        <v>4.5999999999999996</v>
      </c>
      <c r="B5" s="1">
        <v>3.1</v>
      </c>
      <c r="C5" s="2">
        <v>1.5</v>
      </c>
      <c r="D5" s="1">
        <v>0.2</v>
      </c>
      <c r="E5" s="1" t="s">
        <v>5</v>
      </c>
      <c r="G5" t="s">
        <v>11</v>
      </c>
      <c r="H5">
        <v>150</v>
      </c>
      <c r="J5">
        <v>3</v>
      </c>
      <c r="K5">
        <f>K4+$H$11</f>
        <v>1.0394648829431437</v>
      </c>
      <c r="L5">
        <f t="shared" si="0"/>
        <v>6.904221832886101E-2</v>
      </c>
      <c r="M5" cm="1">
        <f t="array" ref="M5">EstymacjaGaussowska($K5,$C$2:$C$151)</f>
        <v>0.15737811095297358</v>
      </c>
      <c r="N5" cm="1">
        <f t="array" ref="N5">EstymacjaGaussowska($K5,$C$2:$C$151,$N$2)</f>
        <v>6.8190034593182611E-2</v>
      </c>
      <c r="O5" cm="1">
        <f t="array" ref="O5">EstymacjaGaussowska($K5,$C$2:$C$151,$O$2)</f>
        <v>9.656443138176736E-2</v>
      </c>
      <c r="P5" cm="1">
        <f t="array" ref="P5">EstymacjaGaussowska($K5,$C$2:$C$151,$P$2)</f>
        <v>3.2072146722935693E-2</v>
      </c>
      <c r="R5" cm="1">
        <f t="array" ref="R5">EstymacjaEpanecznikowa($K5,$C$2:$C$151,R$2)</f>
        <v>0.14840495023147809</v>
      </c>
      <c r="S5" cm="1">
        <f t="array" ref="S5">EstymacjaEpanecznikowa($K5,$C$2:$C$151,S$2)</f>
        <v>6.4056628171221583E-2</v>
      </c>
      <c r="T5" cm="1">
        <f t="array" ref="T5">EstymacjaEpanecznikowa($K5,$C$2:$C$151,T$2)</f>
        <v>8.3244975092842538E-2</v>
      </c>
    </row>
    <row r="6" spans="1:20" x14ac:dyDescent="0.25">
      <c r="A6" s="1">
        <v>5</v>
      </c>
      <c r="B6" s="1">
        <v>3.6</v>
      </c>
      <c r="C6" s="2">
        <v>1.4</v>
      </c>
      <c r="D6" s="1">
        <v>0.2</v>
      </c>
      <c r="E6" s="1" t="s">
        <v>5</v>
      </c>
      <c r="J6">
        <v>4</v>
      </c>
      <c r="K6">
        <f t="shared" ref="K6:K68" si="1">K5+$H$11</f>
        <v>1.0591973244147155</v>
      </c>
      <c r="L6">
        <f t="shared" si="0"/>
        <v>7.0236605193938123E-2</v>
      </c>
      <c r="M6" cm="1">
        <f t="array" ref="M6">EstymacjaGaussowska($K6,$C$2:$C$151)</f>
        <v>0.15996589496650446</v>
      </c>
      <c r="N6" cm="1">
        <f t="array" ref="N6">EstymacjaGaussowska($K6,$C$2:$C$151,$N$2)</f>
        <v>7.7844435482014265E-2</v>
      </c>
      <c r="O6" cm="1">
        <f t="array" ref="O6">EstymacjaGaussowska($K6,$C$2:$C$151,$O$2)</f>
        <v>9.7188122665965715E-2</v>
      </c>
      <c r="P6" cm="1">
        <f t="array" ref="P6">EstymacjaGaussowska($K6,$C$2:$C$151,$P$2)</f>
        <v>3.2083820381260626E-2</v>
      </c>
      <c r="R6" cm="1">
        <f t="array" ref="R6">EstymacjaEpanecznikowa($K6,$C$2:$C$151,R$2)</f>
        <v>0.1495284693254828</v>
      </c>
      <c r="S6" cm="1">
        <f t="array" ref="S6">EstymacjaEpanecznikowa($K6,$C$2:$C$151,S$2)</f>
        <v>6.9398619856263194E-2</v>
      </c>
      <c r="T6" cm="1">
        <f t="array" ref="T6">EstymacjaEpanecznikowa($K6,$C$2:$C$151,T$2)</f>
        <v>8.3770658882079282E-2</v>
      </c>
    </row>
    <row r="7" spans="1:20" x14ac:dyDescent="0.25">
      <c r="A7" s="1">
        <v>5.4</v>
      </c>
      <c r="B7" s="1">
        <v>3.9</v>
      </c>
      <c r="C7" s="2">
        <v>1.7</v>
      </c>
      <c r="D7" s="1">
        <v>0.4</v>
      </c>
      <c r="E7" s="1" t="s">
        <v>5</v>
      </c>
      <c r="G7" t="s">
        <v>12</v>
      </c>
      <c r="H7">
        <f>MIN(C2:C151)</f>
        <v>1</v>
      </c>
      <c r="J7">
        <v>5</v>
      </c>
      <c r="K7">
        <f>K6+$H$11</f>
        <v>1.0789297658862873</v>
      </c>
      <c r="L7">
        <f t="shared" si="0"/>
        <v>7.1442727094323963E-2</v>
      </c>
      <c r="M7" cm="1">
        <f t="array" ref="M7">EstymacjaGaussowska($K7,$C$2:$C$151)</f>
        <v>0.16247055403533858</v>
      </c>
      <c r="N7" cm="1">
        <f t="array" ref="N7">EstymacjaGaussowska($K7,$C$2:$C$151,$N$2)</f>
        <v>8.9263872232943714E-2</v>
      </c>
      <c r="O7" cm="1">
        <f t="array" ref="O7">EstymacjaGaussowska($K7,$C$2:$C$151,$O$2)</f>
        <v>9.7805205909608561E-2</v>
      </c>
      <c r="P7" cm="1">
        <f t="array" ref="P7">EstymacjaGaussowska($K7,$C$2:$C$151,$P$2)</f>
        <v>3.2095413373122827E-2</v>
      </c>
      <c r="R7" cm="1">
        <f t="array" ref="R7">EstymacjaEpanecznikowa($K7,$C$2:$C$151,R$2)</f>
        <v>0.15059826550757849</v>
      </c>
      <c r="S7" cm="1">
        <f t="array" ref="S7">EstymacjaEpanecznikowa($K7,$C$2:$C$151,S$2)</f>
        <v>7.6878608775302615E-2</v>
      </c>
      <c r="T7" cm="1">
        <f t="array" ref="T7">EstymacjaEpanecznikowa($K7,$C$2:$C$151,T$2)</f>
        <v>8.4311086111116387E-2</v>
      </c>
    </row>
    <row r="8" spans="1:20" x14ac:dyDescent="0.25">
      <c r="A8" s="1">
        <v>4.5999999999999996</v>
      </c>
      <c r="B8" s="1">
        <v>3.4</v>
      </c>
      <c r="C8" s="2">
        <v>1.4</v>
      </c>
      <c r="D8" s="1">
        <v>0.3</v>
      </c>
      <c r="E8" s="1" t="s">
        <v>5</v>
      </c>
      <c r="G8" t="s">
        <v>13</v>
      </c>
      <c r="H8">
        <f>MAX(C2:C151)</f>
        <v>6.9</v>
      </c>
      <c r="J8">
        <v>6</v>
      </c>
      <c r="K8">
        <f t="shared" si="1"/>
        <v>1.0986622073578591</v>
      </c>
      <c r="L8">
        <f t="shared" si="0"/>
        <v>7.2660481575937852E-2</v>
      </c>
      <c r="M8" cm="1">
        <f t="array" ref="M8">EstymacjaGaussowska($K8,$C$2:$C$151)</f>
        <v>0.1648869466219462</v>
      </c>
      <c r="N8" cm="1">
        <f t="array" ref="N8">EstymacjaGaussowska($K8,$C$2:$C$151,$N$2)</f>
        <v>0.10310060816253883</v>
      </c>
      <c r="O8" cm="1">
        <f t="array" ref="O8">EstymacjaGaussowska($K8,$C$2:$C$151,$O$2)</f>
        <v>9.8415627019381502E-2</v>
      </c>
      <c r="P8" cm="1">
        <f t="array" ref="P8">EstymacjaGaussowska($K8,$C$2:$C$151,$P$2)</f>
        <v>3.2106925607915761E-2</v>
      </c>
      <c r="R8" cm="1">
        <f t="array" ref="R8">EstymacjaEpanecznikowa($K8,$C$2:$C$151,R$2)</f>
        <v>0.15161433877776517</v>
      </c>
      <c r="S8" cm="1">
        <f t="array" ref="S8">EstymacjaEpanecznikowa($K8,$C$2:$C$151,S$2)</f>
        <v>0.10552762164088209</v>
      </c>
      <c r="T8" cm="1">
        <f t="array" ref="T8">EstymacjaEpanecznikowa($K8,$C$2:$C$151,T$2)</f>
        <v>8.484336141930432E-2</v>
      </c>
    </row>
    <row r="9" spans="1:20" x14ac:dyDescent="0.25">
      <c r="A9" s="1">
        <v>5</v>
      </c>
      <c r="B9" s="1">
        <v>3.4</v>
      </c>
      <c r="C9" s="2">
        <v>1.5</v>
      </c>
      <c r="D9" s="1">
        <v>0.2</v>
      </c>
      <c r="E9" s="1" t="s">
        <v>5</v>
      </c>
      <c r="J9">
        <v>7</v>
      </c>
      <c r="K9">
        <f>K8+$H$11</f>
        <v>1.118394648829431</v>
      </c>
      <c r="L9">
        <f t="shared" si="0"/>
        <v>7.3889760034657886E-2</v>
      </c>
      <c r="M9" cm="1">
        <f t="array" ref="M9">EstymacjaGaussowska($K9,$C$2:$C$151)</f>
        <v>0.16721006720631976</v>
      </c>
      <c r="N9" cm="1">
        <f t="array" ref="N9">EstymacjaGaussowska($K9,$C$2:$C$151,$N$2)</f>
        <v>0.12006036675042273</v>
      </c>
      <c r="O9" cm="1">
        <f t="array" ref="O9">EstymacjaGaussowska($K9,$C$2:$C$151,$O$2)</f>
        <v>9.9019337891269543E-2</v>
      </c>
      <c r="P9" cm="1">
        <f t="array" ref="P9">EstymacjaGaussowska($K9,$C$2:$C$151,$P$2)</f>
        <v>3.2118356995641077E-2</v>
      </c>
      <c r="R9" cm="1">
        <f t="array" ref="R9">EstymacjaEpanecznikowa($K9,$C$2:$C$151,R$2)</f>
        <v>0.15257668913604291</v>
      </c>
      <c r="S9" cm="1">
        <f t="array" ref="S9">EstymacjaEpanecznikowa($K9,$C$2:$C$151,S$2)</f>
        <v>0.13034574765166376</v>
      </c>
      <c r="T9" cm="1">
        <f t="array" ref="T9">EstymacjaEpanecznikowa($K9,$C$2:$C$151,T$2)</f>
        <v>8.5367484806642954E-2</v>
      </c>
    </row>
    <row r="10" spans="1:20" x14ac:dyDescent="0.25">
      <c r="A10" s="1">
        <v>4.4000000000000004</v>
      </c>
      <c r="B10" s="1">
        <v>2.9</v>
      </c>
      <c r="C10" s="2">
        <v>1.4</v>
      </c>
      <c r="D10" s="1">
        <v>0.2</v>
      </c>
      <c r="E10" s="1" t="s">
        <v>5</v>
      </c>
      <c r="G10" t="s">
        <v>14</v>
      </c>
      <c r="H10">
        <v>300</v>
      </c>
      <c r="J10">
        <v>8</v>
      </c>
      <c r="K10">
        <f t="shared" si="1"/>
        <v>1.1381270903010028</v>
      </c>
      <c r="L10">
        <f t="shared" si="0"/>
        <v>7.5130447666231712E-2</v>
      </c>
      <c r="M10" cm="1">
        <f t="array" ref="M10">EstymacjaGaussowska($K10,$C$2:$C$151)</f>
        <v>0.16943506442829293</v>
      </c>
      <c r="N10" cm="1">
        <f t="array" ref="N10">EstymacjaGaussowska($K10,$C$2:$C$151,$N$2)</f>
        <v>0.14083914520863863</v>
      </c>
      <c r="O10" cm="1">
        <f t="array" ref="O10">EstymacjaGaussowska($K10,$C$2:$C$151,$O$2)</f>
        <v>9.9616296462517129E-2</v>
      </c>
      <c r="P10" cm="1">
        <f t="array" ref="P10">EstymacjaGaussowska($K10,$C$2:$C$151,$P$2)</f>
        <v>3.2129707446909808E-2</v>
      </c>
      <c r="R10" cm="1">
        <f t="array" ref="R10">EstymacjaEpanecznikowa($K10,$C$2:$C$151,R$2)</f>
        <v>0.15348531658241157</v>
      </c>
      <c r="S10" cm="1">
        <f t="array" ref="S10">EstymacjaEpanecznikowa($K10,$C$2:$C$151,S$2)</f>
        <v>0.15133298680764776</v>
      </c>
      <c r="T10" cm="1">
        <f t="array" ref="T10">EstymacjaEpanecznikowa($K10,$C$2:$C$151,T$2)</f>
        <v>8.5883456273132333E-2</v>
      </c>
    </row>
    <row r="11" spans="1:20" x14ac:dyDescent="0.25">
      <c r="A11" s="1">
        <v>4.9000000000000004</v>
      </c>
      <c r="B11" s="1">
        <v>3.1</v>
      </c>
      <c r="C11" s="2">
        <v>1.5</v>
      </c>
      <c r="D11" s="1">
        <v>0.1</v>
      </c>
      <c r="E11" s="1" t="s">
        <v>5</v>
      </c>
      <c r="G11" t="s">
        <v>15</v>
      </c>
      <c r="H11">
        <f>(H8-H7)/(H10-1)</f>
        <v>1.9732441471571906E-2</v>
      </c>
      <c r="J11">
        <v>9</v>
      </c>
      <c r="K11">
        <f t="shared" si="1"/>
        <v>1.1578595317725746</v>
      </c>
      <c r="L11">
        <f t="shared" si="0"/>
        <v>7.6382423419242923E-2</v>
      </c>
      <c r="M11" cm="1">
        <f t="array" ref="M11">EstymacjaGaussowska($K11,$C$2:$C$151)</f>
        <v>0.17155725890820728</v>
      </c>
      <c r="N11" cm="1">
        <f t="array" ref="N11">EstymacjaGaussowska($K11,$C$2:$C$151,$N$2)</f>
        <v>0.16605086147545847</v>
      </c>
      <c r="O11" cm="1">
        <f t="array" ref="O11">EstymacjaGaussowska($K11,$C$2:$C$151,$O$2)</f>
        <v>0.1002064667570562</v>
      </c>
      <c r="P11" cm="1">
        <f t="array" ref="P11">EstymacjaGaussowska($K11,$C$2:$C$151,$P$2)</f>
        <v>3.2140976872943552E-2</v>
      </c>
      <c r="R11" cm="1">
        <f t="array" ref="R11">EstymacjaEpanecznikowa($K11,$C$2:$C$151,R$2)</f>
        <v>0.15434022111687132</v>
      </c>
      <c r="S11" cm="1">
        <f t="array" ref="S11">EstymacjaEpanecznikowa($K11,$C$2:$C$151,S$2)</f>
        <v>0.16848933910883393</v>
      </c>
      <c r="T11" cm="1">
        <f t="array" ref="T11">EstymacjaEpanecznikowa($K11,$C$2:$C$151,T$2)</f>
        <v>8.6476183689332756E-2</v>
      </c>
    </row>
    <row r="12" spans="1:20" x14ac:dyDescent="0.25">
      <c r="A12" s="1">
        <v>5.4</v>
      </c>
      <c r="B12" s="1">
        <v>3.7</v>
      </c>
      <c r="C12" s="2">
        <v>1.5</v>
      </c>
      <c r="D12" s="1">
        <v>0.2</v>
      </c>
      <c r="E12" s="1" t="s">
        <v>5</v>
      </c>
      <c r="J12">
        <v>10</v>
      </c>
      <c r="K12">
        <f t="shared" si="1"/>
        <v>1.1775919732441464</v>
      </c>
      <c r="L12">
        <f t="shared" si="0"/>
        <v>7.7645559951219675E-2</v>
      </c>
      <c r="M12" cm="1">
        <f t="array" ref="M12">EstymacjaGaussowska($K12,$C$2:$C$151)</f>
        <v>0.17357216065825859</v>
      </c>
      <c r="N12" cm="1">
        <f t="array" ref="N12">EstymacjaGaussowska($K12,$C$2:$C$151,$N$2)</f>
        <v>0.19615186035230703</v>
      </c>
      <c r="O12" cm="1">
        <f t="array" ref="O12">EstymacjaGaussowska($K12,$C$2:$C$151,$O$2)</f>
        <v>0.10078981892429283</v>
      </c>
      <c r="P12" cm="1">
        <f t="array" ref="P12">EstymacjaGaussowska($K12,$C$2:$C$151,$P$2)</f>
        <v>3.2152165185575572E-2</v>
      </c>
      <c r="R12" cm="1">
        <f t="array" ref="R12">EstymacjaEpanecznikowa($K12,$C$2:$C$151,R$2)</f>
        <v>0.1551414027394219</v>
      </c>
      <c r="S12" cm="1">
        <f t="array" ref="S12">EstymacjaEpanecznikowa($K12,$C$2:$C$151,S$2)</f>
        <v>0.18492325444105723</v>
      </c>
      <c r="T12" cm="1">
        <f t="array" ref="T12">EstymacjaEpanecznikowa($K12,$C$2:$C$151,T$2)</f>
        <v>8.7115257730569162E-2</v>
      </c>
    </row>
    <row r="13" spans="1:20" x14ac:dyDescent="0.25">
      <c r="A13" s="1">
        <v>4.8</v>
      </c>
      <c r="B13" s="1">
        <v>3.4</v>
      </c>
      <c r="C13" s="2">
        <v>1.6</v>
      </c>
      <c r="D13" s="1">
        <v>0.2</v>
      </c>
      <c r="E13" s="1" t="s">
        <v>5</v>
      </c>
      <c r="J13">
        <v>11</v>
      </c>
      <c r="K13">
        <f t="shared" si="1"/>
        <v>1.1973244147157183</v>
      </c>
      <c r="L13">
        <f t="shared" si="0"/>
        <v>7.8919723587971752E-2</v>
      </c>
      <c r="M13" cm="1">
        <f t="array" ref="M13">EstymacjaGaussowska($K13,$C$2:$C$151)</f>
        <v>0.1754754859979176</v>
      </c>
      <c r="N13" cm="1">
        <f t="array" ref="N13">EstymacjaGaussowska($K13,$C$2:$C$151,$N$2)</f>
        <v>0.23136921498357818</v>
      </c>
      <c r="O13" cm="1">
        <f t="array" ref="O13">EstymacjaGaussowska($K13,$C$2:$C$151,$O$2)</f>
        <v>0.10136632927115789</v>
      </c>
      <c r="P13" cm="1">
        <f t="array" ref="P13">EstymacjaGaussowska($K13,$C$2:$C$151,$P$2)</f>
        <v>3.2163272297252035E-2</v>
      </c>
      <c r="R13" cm="1">
        <f t="array" ref="R13">EstymacjaEpanecznikowa($K13,$C$2:$C$151,R$2)</f>
        <v>0.15588886145006361</v>
      </c>
      <c r="S13" cm="1">
        <f t="array" ref="S13">EstymacjaEpanecznikowa($K13,$C$2:$C$151,S$2)</f>
        <v>0.24318342895084813</v>
      </c>
      <c r="T13" cm="1">
        <f t="array" ref="T13">EstymacjaEpanecznikowa($K13,$C$2:$C$151,T$2)</f>
        <v>8.7745354339984358E-2</v>
      </c>
    </row>
    <row r="14" spans="1:20" x14ac:dyDescent="0.25">
      <c r="A14" s="1">
        <v>4.8</v>
      </c>
      <c r="B14" s="1">
        <v>3</v>
      </c>
      <c r="C14" s="2">
        <v>1.4</v>
      </c>
      <c r="D14" s="1">
        <v>0.1</v>
      </c>
      <c r="E14" s="1" t="s">
        <v>5</v>
      </c>
      <c r="J14">
        <v>12</v>
      </c>
      <c r="K14">
        <f t="shared" si="1"/>
        <v>1.2170568561872901</v>
      </c>
      <c r="L14">
        <f t="shared" si="0"/>
        <v>8.0204774286240427E-2</v>
      </c>
      <c r="M14" cm="1">
        <f t="array" ref="M14">EstymacjaGaussowska($K14,$C$2:$C$151)</f>
        <v>0.17726317388842733</v>
      </c>
      <c r="N14" cm="1">
        <f t="array" ref="N14">EstymacjaGaussowska($K14,$C$2:$C$151,$N$2)</f>
        <v>0.27164008409697193</v>
      </c>
      <c r="O14" cm="1">
        <f t="array" ref="O14">EstymacjaGaussowska($K14,$C$2:$C$151,$O$2)</f>
        <v>0.10193598028732913</v>
      </c>
      <c r="P14" cm="1">
        <f t="array" ref="P14">EstymacjaGaussowska($K14,$C$2:$C$151,$P$2)</f>
        <v>3.2174298121033056E-2</v>
      </c>
      <c r="R14" cm="1">
        <f t="array" ref="R14">EstymacjaEpanecznikowa($K14,$C$2:$C$151,R$2)</f>
        <v>0.15658259724879645</v>
      </c>
      <c r="S14" cm="1">
        <f t="array" ref="S14">EstymacjaEpanecznikowa($K14,$C$2:$C$151,S$2)</f>
        <v>0.29308530486835305</v>
      </c>
      <c r="T14" cm="1">
        <f t="array" ref="T14">EstymacjaEpanecznikowa($K14,$C$2:$C$151,T$2)</f>
        <v>8.8366473517578148E-2</v>
      </c>
    </row>
    <row r="15" spans="1:20" x14ac:dyDescent="0.25">
      <c r="A15" s="1">
        <v>4.3</v>
      </c>
      <c r="B15" s="1">
        <v>3</v>
      </c>
      <c r="C15" s="2">
        <v>1.1000000000000001</v>
      </c>
      <c r="D15" s="1">
        <v>0.1</v>
      </c>
      <c r="E15" s="1" t="s">
        <v>5</v>
      </c>
      <c r="J15">
        <v>13</v>
      </c>
      <c r="K15">
        <f t="shared" si="1"/>
        <v>1.2367892976588619</v>
      </c>
      <c r="L15">
        <f t="shared" si="0"/>
        <v>8.1500565599744501E-2</v>
      </c>
      <c r="M15" cm="1">
        <f t="array" ref="M15">EstymacjaGaussowska($K15,$C$2:$C$151)</f>
        <v>0.17893140160354795</v>
      </c>
      <c r="N15" cm="1">
        <f t="array" ref="N15">EstymacjaGaussowska($K15,$C$2:$C$151,$N$2)</f>
        <v>0.31656880206948473</v>
      </c>
      <c r="O15" cm="1">
        <f t="array" ref="O15">EstymacjaGaussowska($K15,$C$2:$C$151,$O$2)</f>
        <v>0.10249876066354124</v>
      </c>
      <c r="P15" cm="1">
        <f t="array" ref="P15">EstymacjaGaussowska($K15,$C$2:$C$151,$P$2)</f>
        <v>3.2185242570593874E-2</v>
      </c>
      <c r="R15" cm="1">
        <f t="array" ref="R15">EstymacjaEpanecznikowa($K15,$C$2:$C$151,R$2)</f>
        <v>0.15722261013562008</v>
      </c>
      <c r="S15" cm="1">
        <f t="array" ref="S15">EstymacjaEpanecznikowa($K15,$C$2:$C$151,S$2)</f>
        <v>0.33734309819543207</v>
      </c>
      <c r="T15" cm="1">
        <f t="array" ref="T15">EstymacjaEpanecznikowa($K15,$C$2:$C$151,T$2)</f>
        <v>8.8978615263350713E-2</v>
      </c>
    </row>
    <row r="16" spans="1:20" x14ac:dyDescent="0.25">
      <c r="A16" s="1">
        <v>5.8</v>
      </c>
      <c r="B16" s="1">
        <v>4</v>
      </c>
      <c r="C16" s="2">
        <v>1.2</v>
      </c>
      <c r="D16" s="1">
        <v>0.2</v>
      </c>
      <c r="E16" s="1" t="s">
        <v>5</v>
      </c>
      <c r="J16">
        <v>14</v>
      </c>
      <c r="K16">
        <f t="shared" si="1"/>
        <v>1.2565217391304337</v>
      </c>
      <c r="L16">
        <f t="shared" si="0"/>
        <v>8.2806944648703737E-2</v>
      </c>
      <c r="M16" cm="1">
        <f t="array" ref="M16">EstymacjaGaussowska($K16,$C$2:$C$151)</f>
        <v>0.18047659965643009</v>
      </c>
      <c r="N16" cm="1">
        <f t="array" ref="N16">EstymacjaGaussowska($K16,$C$2:$C$151,$N$2)</f>
        <v>0.36540688801921989</v>
      </c>
      <c r="O16" cm="1">
        <f t="array" ref="O16">EstymacjaGaussowska($K16,$C$2:$C$151,$O$2)</f>
        <v>0.10305466530291445</v>
      </c>
      <c r="P16" cm="1">
        <f t="array" ref="P16">EstymacjaGaussowska($K16,$C$2:$C$151,$P$2)</f>
        <v>3.2196105560226007E-2</v>
      </c>
      <c r="R16" cm="1">
        <f t="array" ref="R16">EstymacjaEpanecznikowa($K16,$C$2:$C$151,R$2)</f>
        <v>0.15780890011053469</v>
      </c>
      <c r="S16" cm="1">
        <f t="array" ref="S16">EstymacjaEpanecznikowa($K16,$C$2:$C$151,S$2)</f>
        <v>0.37488165744518037</v>
      </c>
      <c r="T16" cm="1">
        <f t="array" ref="T16">EstymacjaEpanecznikowa($K16,$C$2:$C$151,T$2)</f>
        <v>8.9610064592608826E-2</v>
      </c>
    </row>
    <row r="17" spans="1:20" x14ac:dyDescent="0.25">
      <c r="A17" s="1">
        <v>5.7</v>
      </c>
      <c r="B17" s="1">
        <v>4.4000000000000004</v>
      </c>
      <c r="C17" s="2">
        <v>1.5</v>
      </c>
      <c r="D17" s="1">
        <v>0.4</v>
      </c>
      <c r="E17" s="1" t="s">
        <v>5</v>
      </c>
      <c r="J17">
        <v>15</v>
      </c>
      <c r="K17">
        <f t="shared" si="1"/>
        <v>1.2762541806020056</v>
      </c>
      <c r="L17">
        <f t="shared" si="0"/>
        <v>8.4123752092918891E-2</v>
      </c>
      <c r="M17" cm="1">
        <f t="array" ref="M17">EstymacjaGaussowska($K17,$C$2:$C$151)</f>
        <v>0.18189546590572059</v>
      </c>
      <c r="N17" cm="1">
        <f t="array" ref="N17">EstymacjaGaussowska($K17,$C$2:$C$151,$N$2)</f>
        <v>0.41705914501800678</v>
      </c>
      <c r="O17" cm="1">
        <f t="array" ref="O17">EstymacjaGaussowska($K17,$C$2:$C$151,$O$2)</f>
        <v>0.10360369532523191</v>
      </c>
      <c r="P17" cm="1">
        <f t="array" ref="P17">EstymacjaGaussowska($K17,$C$2:$C$151,$P$2)</f>
        <v>3.2206887004838293E-2</v>
      </c>
      <c r="R17" cm="1">
        <f t="array" ref="R17">EstymacjaEpanecznikowa($K17,$C$2:$C$151,R$2)</f>
        <v>0.15834146717354047</v>
      </c>
      <c r="S17" cm="1">
        <f t="array" ref="S17">EstymacjaEpanecznikowa($K17,$C$2:$C$151,S$2)</f>
        <v>0.40441018054398814</v>
      </c>
      <c r="T17" cm="1">
        <f t="array" ref="T17">EstymacjaEpanecznikowa($K17,$C$2:$C$151,T$2)</f>
        <v>9.0256549868472813E-2</v>
      </c>
    </row>
    <row r="18" spans="1:20" x14ac:dyDescent="0.25">
      <c r="A18" s="1">
        <v>5.4</v>
      </c>
      <c r="B18" s="1">
        <v>3.9</v>
      </c>
      <c r="C18" s="2">
        <v>1.3</v>
      </c>
      <c r="D18" s="1">
        <v>0.4</v>
      </c>
      <c r="E18" s="1" t="s">
        <v>5</v>
      </c>
      <c r="J18">
        <v>16</v>
      </c>
      <c r="K18">
        <f t="shared" si="1"/>
        <v>1.2959866220735774</v>
      </c>
      <c r="L18">
        <f t="shared" si="0"/>
        <v>8.5450822108486826E-2</v>
      </c>
      <c r="M18" cm="1">
        <f t="array" ref="M18">EstymacjaGaussowska($K18,$C$2:$C$151)</f>
        <v>0.18318497876777112</v>
      </c>
      <c r="N18" cm="1">
        <f t="array" ref="N18">EstymacjaGaussowska($K18,$C$2:$C$151,$N$2)</f>
        <v>0.47011699590210443</v>
      </c>
      <c r="O18" cm="1">
        <f t="array" ref="O18">EstymacjaGaussowska($K18,$C$2:$C$151,$O$2)</f>
        <v>0.10414585806411281</v>
      </c>
      <c r="P18" cm="1">
        <f t="array" ref="P18">EstymacjaGaussowska($K18,$C$2:$C$151,$P$2)</f>
        <v>3.2217586819958198E-2</v>
      </c>
      <c r="R18" cm="1">
        <f t="array" ref="R18">EstymacjaEpanecznikowa($K18,$C$2:$C$151,R$2)</f>
        <v>0.15882031132463723</v>
      </c>
      <c r="S18" cm="1">
        <f t="array" ref="S18">EstymacjaEpanecznikowa($K18,$C$2:$C$151,S$2)</f>
        <v>0.47463963793088715</v>
      </c>
      <c r="T18" cm="1">
        <f t="array" ref="T18">EstymacjaEpanecznikowa($K18,$C$2:$C$151,T$2)</f>
        <v>9.0893748145900996E-2</v>
      </c>
    </row>
    <row r="19" spans="1:20" x14ac:dyDescent="0.25">
      <c r="A19" s="1">
        <v>5.0999999999999996</v>
      </c>
      <c r="B19" s="1">
        <v>3.5</v>
      </c>
      <c r="C19" s="2">
        <v>1.4</v>
      </c>
      <c r="D19" s="1">
        <v>0.3</v>
      </c>
      <c r="E19" s="1" t="s">
        <v>5</v>
      </c>
      <c r="J19">
        <v>17</v>
      </c>
      <c r="K19">
        <f t="shared" si="1"/>
        <v>1.3157190635451492</v>
      </c>
      <c r="L19">
        <f t="shared" si="0"/>
        <v>8.6787982368226144E-2</v>
      </c>
      <c r="M19" cm="1">
        <f t="array" ref="M19">EstymacjaGaussowska($K19,$C$2:$C$151)</f>
        <v>0.18434240946605079</v>
      </c>
      <c r="N19" cm="1">
        <f t="array" ref="N19">EstymacjaGaussowska($K19,$C$2:$C$151,$N$2)</f>
        <v>0.52291843594154352</v>
      </c>
      <c r="O19" cm="1">
        <f t="array" ref="O19">EstymacjaGaussowska($K19,$C$2:$C$151,$O$2)</f>
        <v>0.1046811670570323</v>
      </c>
      <c r="P19" cm="1">
        <f t="array" ref="P19">EstymacjaGaussowska($K19,$C$2:$C$151,$P$2)</f>
        <v>3.2228204921732555E-2</v>
      </c>
      <c r="R19" cm="1">
        <f t="array" ref="R19">EstymacjaEpanecznikowa($K19,$C$2:$C$151,R$2)</f>
        <v>0.15924543256382478</v>
      </c>
      <c r="S19" cm="1">
        <f t="array" ref="S19">EstymacjaEpanecznikowa($K19,$C$2:$C$151,S$2)</f>
        <v>0.53269321607716835</v>
      </c>
      <c r="T19" cm="1">
        <f t="array" ref="T19">EstymacjaEpanecznikowa($K19,$C$2:$C$151,T$2)</f>
        <v>9.1521659424893209E-2</v>
      </c>
    </row>
    <row r="20" spans="1:20" x14ac:dyDescent="0.25">
      <c r="A20" s="1">
        <v>5.7</v>
      </c>
      <c r="B20" s="1">
        <v>3.8</v>
      </c>
      <c r="C20" s="2">
        <v>1.7</v>
      </c>
      <c r="D20" s="1">
        <v>0.3</v>
      </c>
      <c r="E20" s="1" t="s">
        <v>5</v>
      </c>
      <c r="J20">
        <v>18</v>
      </c>
      <c r="K20">
        <f t="shared" si="1"/>
        <v>1.3354515050167211</v>
      </c>
      <c r="L20">
        <f t="shared" si="0"/>
        <v>8.8135054025887463E-2</v>
      </c>
      <c r="M20" cm="1">
        <f t="array" ref="M20">EstymacjaGaussowska($K20,$C$2:$C$151)</f>
        <v>0.18536533325355734</v>
      </c>
      <c r="N20" cm="1">
        <f t="array" ref="N20">EstymacjaGaussowska($K20,$C$2:$C$151,$N$2)</f>
        <v>0.5736323169048716</v>
      </c>
      <c r="O20" cm="1">
        <f t="array" ref="O20">EstymacjaGaussowska($K20,$C$2:$C$151,$O$2)</f>
        <v>0.10520964202815153</v>
      </c>
      <c r="P20" cm="1">
        <f t="array" ref="P20">EstymacjaGaussowska($K20,$C$2:$C$151,$P$2)</f>
        <v>3.2238741226929005E-2</v>
      </c>
      <c r="R20" cm="1">
        <f t="array" ref="R20">EstymacjaEpanecznikowa($K20,$C$2:$C$151,R$2)</f>
        <v>0.15961683089110351</v>
      </c>
      <c r="S20" cm="1">
        <f t="array" ref="S20">EstymacjaEpanecznikowa($K20,$C$2:$C$151,S$2)</f>
        <v>0.58064103055453153</v>
      </c>
      <c r="T20" cm="1">
        <f t="array" ref="T20">EstymacjaEpanecznikowa($K20,$C$2:$C$151,T$2)</f>
        <v>9.2140283705449633E-2</v>
      </c>
    </row>
    <row r="21" spans="1:20" x14ac:dyDescent="0.25">
      <c r="A21" s="1">
        <v>5.0999999999999996</v>
      </c>
      <c r="B21" s="1">
        <v>3.8</v>
      </c>
      <c r="C21" s="2">
        <v>1.5</v>
      </c>
      <c r="D21" s="1">
        <v>0.3</v>
      </c>
      <c r="E21" s="1" t="s">
        <v>5</v>
      </c>
      <c r="J21">
        <v>19</v>
      </c>
      <c r="K21">
        <f t="shared" si="1"/>
        <v>1.3551839464882929</v>
      </c>
      <c r="L21">
        <f t="shared" si="0"/>
        <v>8.9491851704219416E-2</v>
      </c>
      <c r="M21" cm="1">
        <f t="array" ref="M21">EstymacjaGaussowska($K21,$C$2:$C$151)</f>
        <v>0.18625163954917784</v>
      </c>
      <c r="N21" cm="1">
        <f t="array" ref="N21">EstymacjaGaussowska($K21,$C$2:$C$151,$N$2)</f>
        <v>0.62036273533584507</v>
      </c>
      <c r="O21" cm="1">
        <f t="array" ref="O21">EstymacjaGaussowska($K21,$C$2:$C$151,$O$2)</f>
        <v>0.10573130886392594</v>
      </c>
      <c r="P21" cm="1">
        <f t="array" ref="P21">EstymacjaGaussowska($K21,$C$2:$C$151,$P$2)</f>
        <v>3.2249195652936997E-2</v>
      </c>
      <c r="R21" cm="1">
        <f t="array" ref="R21">EstymacjaEpanecznikowa($K21,$C$2:$C$151,R$2)</f>
        <v>0.15993450630647321</v>
      </c>
      <c r="S21" cm="1">
        <f t="array" ref="S21">EstymacjaEpanecznikowa($K21,$C$2:$C$151,S$2)</f>
        <v>0.61794938242779796</v>
      </c>
      <c r="T21" cm="1">
        <f t="array" ref="T21">EstymacjaEpanecznikowa($K21,$C$2:$C$151,T$2)</f>
        <v>9.2790834581350304E-2</v>
      </c>
    </row>
    <row r="22" spans="1:20" x14ac:dyDescent="0.25">
      <c r="A22" s="1">
        <v>5.4</v>
      </c>
      <c r="B22" s="1">
        <v>3.4</v>
      </c>
      <c r="C22" s="2">
        <v>1.7</v>
      </c>
      <c r="D22" s="1">
        <v>0.2</v>
      </c>
      <c r="E22" s="1" t="s">
        <v>5</v>
      </c>
      <c r="J22">
        <v>20</v>
      </c>
      <c r="K22">
        <f t="shared" si="1"/>
        <v>1.3749163879598647</v>
      </c>
      <c r="L22">
        <f t="shared" si="0"/>
        <v>9.0858183486960217E-2</v>
      </c>
      <c r="M22" cm="1">
        <f t="array" ref="M22">EstymacjaGaussowska($K22,$C$2:$C$151)</f>
        <v>0.1869995409344837</v>
      </c>
      <c r="N22" cm="1">
        <f t="array" ref="N22">EstymacjaGaussowska($K22,$C$2:$C$151,$N$2)</f>
        <v>0.66126693265261627</v>
      </c>
      <c r="O22" cm="1">
        <f t="array" ref="O22">EstymacjaGaussowska($K22,$C$2:$C$151,$O$2)</f>
        <v>0.10624619958147502</v>
      </c>
      <c r="P22" cm="1">
        <f t="array" ref="P22">EstymacjaGaussowska($K22,$C$2:$C$151,$P$2)</f>
        <v>3.2259568117768686E-2</v>
      </c>
      <c r="R22" cm="1">
        <f t="array" ref="R22">EstymacjaEpanecznikowa($K22,$C$2:$C$151,R$2)</f>
        <v>0.16019845880993389</v>
      </c>
      <c r="S22" cm="1">
        <f t="array" ref="S22">EstymacjaEpanecznikowa($K22,$C$2:$C$151,S$2)</f>
        <v>0.64306854885398057</v>
      </c>
      <c r="T22" cm="1">
        <f t="array" ref="T22">EstymacjaEpanecznikowa($K22,$C$2:$C$151,T$2)</f>
        <v>9.3478083833870448E-2</v>
      </c>
    </row>
    <row r="23" spans="1:20" x14ac:dyDescent="0.25">
      <c r="A23" s="1">
        <v>5.0999999999999996</v>
      </c>
      <c r="B23" s="1">
        <v>3.7</v>
      </c>
      <c r="C23" s="2">
        <v>1.5</v>
      </c>
      <c r="D23" s="1">
        <v>0.4</v>
      </c>
      <c r="E23" s="1" t="s">
        <v>5</v>
      </c>
      <c r="J23">
        <v>21</v>
      </c>
      <c r="K23">
        <f t="shared" si="1"/>
        <v>1.3946488294314365</v>
      </c>
      <c r="L23">
        <f t="shared" si="0"/>
        <v>9.2233850914821544E-2</v>
      </c>
      <c r="M23" cm="1">
        <f t="array" ref="M23">EstymacjaGaussowska($K23,$C$2:$C$151)</f>
        <v>0.1876075809633386</v>
      </c>
      <c r="N23" cm="1">
        <f t="array" ref="N23">EstymacjaGaussowska($K23,$C$2:$C$151,$N$2)</f>
        <v>0.69467770531899686</v>
      </c>
      <c r="O23" cm="1">
        <f t="array" ref="O23">EstymacjaGaussowska($K23,$C$2:$C$151,$O$2)</f>
        <v>0.10675435228970109</v>
      </c>
      <c r="P23" cm="1">
        <f t="array" ref="P23">EstymacjaGaussowska($K23,$C$2:$C$151,$P$2)</f>
        <v>3.2269858540060183E-2</v>
      </c>
      <c r="R23" cm="1">
        <f t="array" ref="R23">EstymacjaEpanecznikowa($K23,$C$2:$C$151,R$2)</f>
        <v>0.16040868840148559</v>
      </c>
      <c r="S23" cm="1">
        <f t="array" ref="S23">EstymacjaEpanecznikowa($K23,$C$2:$C$151,S$2)</f>
        <v>0.68051311426183048</v>
      </c>
      <c r="T23" cm="1">
        <f t="array" ref="T23">EstymacjaEpanecznikowa($K23,$C$2:$C$151,T$2)</f>
        <v>9.4155530143596941E-2</v>
      </c>
    </row>
    <row r="24" spans="1:20" x14ac:dyDescent="0.25">
      <c r="A24" s="1">
        <v>4.5999999999999996</v>
      </c>
      <c r="B24" s="1">
        <v>3.6</v>
      </c>
      <c r="C24" s="2">
        <v>1</v>
      </c>
      <c r="D24" s="1">
        <v>0.2</v>
      </c>
      <c r="E24" s="1" t="s">
        <v>5</v>
      </c>
      <c r="J24">
        <v>22</v>
      </c>
      <c r="K24">
        <f t="shared" si="1"/>
        <v>1.4143812709030084</v>
      </c>
      <c r="L24">
        <f t="shared" si="0"/>
        <v>9.3618648985529546E-2</v>
      </c>
      <c r="M24" cm="1">
        <f t="array" ref="M24">EstymacjaGaussowska($K24,$C$2:$C$151)</f>
        <v>0.18807464074295036</v>
      </c>
      <c r="N24" cm="1">
        <f t="array" ref="N24">EstymacjaGaussowska($K24,$C$2:$C$151,$N$2)</f>
        <v>0.71921962546963836</v>
      </c>
      <c r="O24" cm="1">
        <f t="array" ref="O24">EstymacjaGaussowska($K24,$C$2:$C$151,$O$2)</f>
        <v>0.10725581114315715</v>
      </c>
      <c r="P24" cm="1">
        <f t="array" ref="P24">EstymacjaGaussowska($K24,$C$2:$C$151,$P$2)</f>
        <v>3.2280066839072773E-2</v>
      </c>
      <c r="R24" cm="1">
        <f t="array" ref="R24">EstymacjaEpanecznikowa($K24,$C$2:$C$151,R$2)</f>
        <v>0.16056519508112835</v>
      </c>
      <c r="S24" cm="1">
        <f t="array" ref="S24">EstymacjaEpanecznikowa($K24,$C$2:$C$151,S$2)</f>
        <v>0.70540502468815269</v>
      </c>
      <c r="T24" cm="1">
        <f t="array" ref="T24">EstymacjaEpanecznikowa($K24,$C$2:$C$151,T$2)</f>
        <v>9.4823173510530337E-2</v>
      </c>
    </row>
    <row r="25" spans="1:20" x14ac:dyDescent="0.25">
      <c r="A25" s="1">
        <v>5.0999999999999996</v>
      </c>
      <c r="B25" s="1">
        <v>3.3</v>
      </c>
      <c r="C25" s="2">
        <v>1.7</v>
      </c>
      <c r="D25" s="1">
        <v>0.5</v>
      </c>
      <c r="E25" s="1" t="s">
        <v>5</v>
      </c>
      <c r="J25">
        <v>23</v>
      </c>
      <c r="K25">
        <f t="shared" si="1"/>
        <v>1.4341137123745802</v>
      </c>
      <c r="L25">
        <f t="shared" si="0"/>
        <v>9.5012366157984307E-2</v>
      </c>
      <c r="M25" cm="1">
        <f t="array" ref="M25">EstymacjaGaussowska($K25,$C$2:$C$151)</f>
        <v>0.18839994425149281</v>
      </c>
      <c r="N25" cm="1">
        <f t="array" ref="N25">EstymacjaGaussowska($K25,$C$2:$C$151,$N$2)</f>
        <v>0.73390800970603032</v>
      </c>
      <c r="O25" cm="1">
        <f t="array" ref="O25">EstymacjaGaussowska($K25,$C$2:$C$151,$O$2)</f>
        <v>0.10775062628867092</v>
      </c>
      <c r="P25" cm="1">
        <f t="array" ref="P25">EstymacjaGaussowska($K25,$C$2:$C$151,$P$2)</f>
        <v>3.2290192934693471E-2</v>
      </c>
      <c r="R25" cm="1">
        <f t="array" ref="R25">EstymacjaEpanecznikowa($K25,$C$2:$C$151,R$2)</f>
        <v>0.16066797884886205</v>
      </c>
      <c r="S25" cm="1">
        <f t="array" ref="S25">EstymacjaEpanecznikowa($K25,$C$2:$C$151,S$2)</f>
        <v>0.71997141894558003</v>
      </c>
      <c r="T25" cm="1">
        <f t="array" ref="T25">EstymacjaEpanecznikowa($K25,$C$2:$C$151,T$2)</f>
        <v>9.5481013934670178E-2</v>
      </c>
    </row>
    <row r="26" spans="1:20" x14ac:dyDescent="0.25">
      <c r="A26" s="1">
        <v>4.8</v>
      </c>
      <c r="B26" s="1">
        <v>3.4</v>
      </c>
      <c r="C26" s="2">
        <v>1.9</v>
      </c>
      <c r="D26" s="1">
        <v>0.2</v>
      </c>
      <c r="E26" s="1" t="s">
        <v>5</v>
      </c>
      <c r="J26">
        <v>24</v>
      </c>
      <c r="K26">
        <f t="shared" si="1"/>
        <v>1.453846153846152</v>
      </c>
      <c r="L26">
        <f t="shared" si="0"/>
        <v>9.6414784360597264E-2</v>
      </c>
      <c r="M26" cm="1">
        <f t="array" ref="M26">EstymacjaGaussowska($K26,$C$2:$C$151)</f>
        <v>0.18858306236419484</v>
      </c>
      <c r="N26" cm="1">
        <f t="array" ref="N26">EstymacjaGaussowska($K26,$C$2:$C$151,$N$2)</f>
        <v>0.73822061370185355</v>
      </c>
      <c r="O26" cm="1">
        <f t="array" ref="O26">EstymacjaGaussowska($K26,$C$2:$C$151,$O$2)</f>
        <v>0.10823885380474503</v>
      </c>
      <c r="P26" cm="1">
        <f t="array" ref="P26">EstymacjaGaussowska($K26,$C$2:$C$151,$P$2)</f>
        <v>3.2300236747436595E-2</v>
      </c>
      <c r="R26" cm="1">
        <f t="array" ref="R26">EstymacjaEpanecznikowa($K26,$C$2:$C$151,R$2)</f>
        <v>0.16071703970468673</v>
      </c>
      <c r="S26" cm="1">
        <f t="array" ref="S26">EstymacjaEpanecznikowa($K26,$C$2:$C$151,S$2)</f>
        <v>0.72422140128064205</v>
      </c>
      <c r="T26" cm="1">
        <f t="array" ref="T26">EstymacjaEpanecznikowa($K26,$C$2:$C$151,T$2)</f>
        <v>9.6157277915141046E-2</v>
      </c>
    </row>
    <row r="27" spans="1:20" x14ac:dyDescent="0.25">
      <c r="A27" s="1">
        <v>5</v>
      </c>
      <c r="B27" s="1">
        <v>3</v>
      </c>
      <c r="C27" s="2">
        <v>1.6</v>
      </c>
      <c r="D27" s="1">
        <v>0.2</v>
      </c>
      <c r="E27" s="1" t="s">
        <v>5</v>
      </c>
      <c r="J27">
        <v>25</v>
      </c>
      <c r="K27">
        <f t="shared" si="1"/>
        <v>1.4735785953177238</v>
      </c>
      <c r="L27">
        <f t="shared" si="0"/>
        <v>9.7825679003863381E-2</v>
      </c>
      <c r="M27" cm="1">
        <f t="array" ref="M27">EstymacjaGaussowska($K27,$C$2:$C$151)</f>
        <v>0.1886239155667179</v>
      </c>
      <c r="N27" cm="1">
        <f t="array" ref="N27">EstymacjaGaussowska($K27,$C$2:$C$151,$N$2)</f>
        <v>0.73213404951220751</v>
      </c>
      <c r="O27" cm="1">
        <f t="array" ref="O27">EstymacjaGaussowska($K27,$C$2:$C$151,$O$2)</f>
        <v>0.10872055563375965</v>
      </c>
      <c r="P27" cm="1">
        <f t="array" ref="P27">EstymacjaGaussowska($K27,$C$2:$C$151,$P$2)</f>
        <v>3.2310198198444433E-2</v>
      </c>
      <c r="R27" cm="1">
        <f t="array" ref="R27">EstymacjaEpanecznikowa($K27,$C$2:$C$151,R$2)</f>
        <v>0.16075284288330682</v>
      </c>
      <c r="S27" cm="1">
        <f t="array" ref="S27">EstymacjaEpanecznikowa($K27,$C$2:$C$151,S$2)</f>
        <v>0.71454088596189425</v>
      </c>
      <c r="T27" cm="1">
        <f t="array" ref="T27">EstymacjaEpanecznikowa($K27,$C$2:$C$151,T$2)</f>
        <v>9.6865299612185138E-2</v>
      </c>
    </row>
    <row r="28" spans="1:20" x14ac:dyDescent="0.25">
      <c r="A28" s="1">
        <v>5</v>
      </c>
      <c r="B28" s="1">
        <v>3.4</v>
      </c>
      <c r="C28" s="2">
        <v>1.6</v>
      </c>
      <c r="D28" s="1">
        <v>0.4</v>
      </c>
      <c r="E28" s="1" t="s">
        <v>5</v>
      </c>
      <c r="J28">
        <v>26</v>
      </c>
      <c r="K28">
        <f t="shared" si="1"/>
        <v>1.4933110367892957</v>
      </c>
      <c r="L28">
        <f t="shared" si="0"/>
        <v>9.9244818997221124E-2</v>
      </c>
      <c r="M28" cm="1">
        <f t="array" ref="M28">EstymacjaGaussowska($K28,$C$2:$C$151)</f>
        <v>0.18852277534175568</v>
      </c>
      <c r="N28" cm="1">
        <f t="array" ref="N28">EstymacjaGaussowska($K28,$C$2:$C$151,$N$2)</f>
        <v>0.716119530479702</v>
      </c>
      <c r="O28" cm="1">
        <f t="array" ref="O28">EstymacjaGaussowska($K28,$C$2:$C$151,$O$2)</f>
        <v>0.10919579950701402</v>
      </c>
      <c r="P28" cm="1">
        <f t="array" ref="P28">EstymacjaGaussowska($K28,$C$2:$C$151,$P$2)</f>
        <v>3.232007720948854E-2</v>
      </c>
      <c r="R28" cm="1">
        <f t="array" ref="R28">EstymacjaEpanecznikowa($K28,$C$2:$C$151,R$2)</f>
        <v>0.16077703640482238</v>
      </c>
      <c r="S28" cm="1">
        <f t="array" ref="S28">EstymacjaEpanecznikowa($K28,$C$2:$C$151,S$2)</f>
        <v>0.70395214701702202</v>
      </c>
      <c r="T28" cm="1">
        <f t="array" ref="T28">EstymacjaEpanecznikowa($K28,$C$2:$C$151,T$2)</f>
        <v>9.756310561095001E-2</v>
      </c>
    </row>
    <row r="29" spans="1:20" x14ac:dyDescent="0.25">
      <c r="A29" s="1">
        <v>5.2</v>
      </c>
      <c r="B29" s="1">
        <v>3.5</v>
      </c>
      <c r="C29" s="2">
        <v>1.5</v>
      </c>
      <c r="D29" s="1">
        <v>0.2</v>
      </c>
      <c r="E29" s="1" t="s">
        <v>5</v>
      </c>
      <c r="J29">
        <v>27</v>
      </c>
      <c r="K29">
        <f t="shared" si="1"/>
        <v>1.5130434782608675</v>
      </c>
      <c r="L29">
        <f t="shared" si="0"/>
        <v>0.1006719667702507</v>
      </c>
      <c r="M29" cm="1">
        <f t="array" ref="M29">EstymacjaGaussowska($K29,$C$2:$C$151)</f>
        <v>0.1882802642219491</v>
      </c>
      <c r="N29" cm="1">
        <f t="array" ref="N29">EstymacjaGaussowska($K29,$C$2:$C$151,$N$2)</f>
        <v>0.69109587135292616</v>
      </c>
      <c r="O29" cm="1">
        <f t="array" ref="O29">EstymacjaGaussowska($K29,$C$2:$C$151,$O$2)</f>
        <v>0.10966465886265596</v>
      </c>
      <c r="P29" cm="1">
        <f t="array" ref="P29">EstymacjaGaussowska($K29,$C$2:$C$151,$P$2)</f>
        <v>3.2329873702970663E-2</v>
      </c>
      <c r="R29" cm="1">
        <f t="array" ref="R29">EstymacjaEpanecznikowa($K29,$C$2:$C$151,R$2)</f>
        <v>0.16074643255619081</v>
      </c>
      <c r="S29" cm="1">
        <f t="array" ref="S29">EstymacjaEpanecznikowa($K29,$C$2:$C$151,S$2)</f>
        <v>0.68030571752500546</v>
      </c>
      <c r="T29" cm="1">
        <f t="array" ref="T29">EstymacjaEpanecznikowa($K29,$C$2:$C$151,T$2)</f>
        <v>9.825069591143519E-2</v>
      </c>
    </row>
    <row r="30" spans="1:20" x14ac:dyDescent="0.25">
      <c r="A30" s="1">
        <v>5.2</v>
      </c>
      <c r="B30" s="1">
        <v>3.4</v>
      </c>
      <c r="C30" s="2">
        <v>1.4</v>
      </c>
      <c r="D30" s="1">
        <v>0.2</v>
      </c>
      <c r="E30" s="1" t="s">
        <v>5</v>
      </c>
      <c r="J30">
        <v>28</v>
      </c>
      <c r="K30">
        <f t="shared" si="1"/>
        <v>1.5327759197324393</v>
      </c>
      <c r="L30">
        <f t="shared" si="0"/>
        <v>0.10210687829825871</v>
      </c>
      <c r="M30" cm="1">
        <f t="array" ref="M30">EstymacjaGaussowska($K30,$C$2:$C$151)</f>
        <v>0.18789735450945227</v>
      </c>
      <c r="N30" cm="1">
        <f t="array" ref="N30">EstymacjaGaussowska($K30,$C$2:$C$151,$N$2)</f>
        <v>0.65834225820131953</v>
      </c>
      <c r="O30" cm="1">
        <f t="array" ref="O30">EstymacjaGaussowska($K30,$C$2:$C$151,$O$2)</f>
        <v>0.11012721275655445</v>
      </c>
      <c r="P30" cm="1">
        <f t="array" ref="P30">EstymacjaGaussowska($K30,$C$2:$C$151,$P$2)</f>
        <v>3.2339587601923576E-2</v>
      </c>
      <c r="R30" cm="1">
        <f t="array" ref="R30">EstymacjaEpanecznikowa($K30,$C$2:$C$151,R$2)</f>
        <v>0.16066103133741216</v>
      </c>
      <c r="S30" cm="1">
        <f t="array" ref="S30">EstymacjaEpanecznikowa($K30,$C$2:$C$151,S$2)</f>
        <v>0.65443570087696157</v>
      </c>
      <c r="T30" cm="1">
        <f t="array" ref="T30">EstymacjaEpanecznikowa($K30,$C$2:$C$151,T$2)</f>
        <v>9.8928070513641164E-2</v>
      </c>
    </row>
    <row r="31" spans="1:20" x14ac:dyDescent="0.25">
      <c r="A31" s="1">
        <v>4.7</v>
      </c>
      <c r="B31" s="1">
        <v>3.2</v>
      </c>
      <c r="C31" s="2">
        <v>1.6</v>
      </c>
      <c r="D31" s="1">
        <v>0.2</v>
      </c>
      <c r="E31" s="1" t="s">
        <v>5</v>
      </c>
      <c r="J31">
        <v>29</v>
      </c>
      <c r="K31">
        <f t="shared" si="1"/>
        <v>1.5525083612040111</v>
      </c>
      <c r="L31">
        <f t="shared" si="0"/>
        <v>0.1035493031322927</v>
      </c>
      <c r="M31" cm="1">
        <f t="array" ref="M31">EstymacjaGaussowska($K31,$C$2:$C$151)</f>
        <v>0.18737536566968926</v>
      </c>
      <c r="N31" cm="1">
        <f t="array" ref="N31">EstymacjaGaussowska($K31,$C$2:$C$151,$N$2)</f>
        <v>0.61937939575892853</v>
      </c>
      <c r="O31" cm="1">
        <f t="array" ref="O31">EstymacjaGaussowska($K31,$C$2:$C$151,$O$2)</f>
        <v>0.11058354576618017</v>
      </c>
      <c r="P31" cm="1">
        <f t="array" ref="P31">EstymacjaGaussowska($K31,$C$2:$C$151,$P$2)</f>
        <v>3.234921883001244E-2</v>
      </c>
      <c r="R31" cm="1">
        <f t="array" ref="R31">EstymacjaEpanecznikowa($K31,$C$2:$C$151,R$2)</f>
        <v>0.1605208327484863</v>
      </c>
      <c r="S31" cm="1">
        <f t="array" ref="S31">EstymacjaEpanecznikowa($K31,$C$2:$C$151,S$2)</f>
        <v>0.63011930889184808</v>
      </c>
      <c r="T31" cm="1">
        <f t="array" ref="T31">EstymacjaEpanecznikowa($K31,$C$2:$C$151,T$2)</f>
        <v>9.9624579700121285E-2</v>
      </c>
    </row>
    <row r="32" spans="1:20" x14ac:dyDescent="0.25">
      <c r="A32" s="1">
        <v>4.8</v>
      </c>
      <c r="B32" s="1">
        <v>3.1</v>
      </c>
      <c r="C32" s="2">
        <v>1.6</v>
      </c>
      <c r="D32" s="1">
        <v>0.2</v>
      </c>
      <c r="E32" s="1" t="s">
        <v>5</v>
      </c>
      <c r="J32">
        <v>30</v>
      </c>
      <c r="K32">
        <f t="shared" si="1"/>
        <v>1.572240802675583</v>
      </c>
      <c r="L32">
        <f t="shared" si="0"/>
        <v>0.10499898443362743</v>
      </c>
      <c r="M32" cm="1">
        <f t="array" ref="M32">EstymacjaGaussowska($K32,$C$2:$C$151)</f>
        <v>0.18671596041401134</v>
      </c>
      <c r="N32" cm="1">
        <f t="array" ref="N32">EstymacjaGaussowska($K32,$C$2:$C$151,$N$2)</f>
        <v>0.57583434993684712</v>
      </c>
      <c r="O32" cm="1">
        <f t="array" ref="O32">EstymacjaGaussowska($K32,$C$2:$C$151,$O$2)</f>
        <v>0.11103374788757253</v>
      </c>
      <c r="P32" cm="1">
        <f t="array" ref="P32">EstymacjaGaussowska($K32,$C$2:$C$151,$P$2)</f>
        <v>3.2358767311535613E-2</v>
      </c>
      <c r="R32" cm="1">
        <f t="array" ref="R32">EstymacjaEpanecznikowa($K32,$C$2:$C$151,R$2)</f>
        <v>0.16032583678941315</v>
      </c>
      <c r="S32" cm="1">
        <f t="array" ref="S32">EstymacjaEpanecznikowa($K32,$C$2:$C$151,S$2)</f>
        <v>0.59291720657696068</v>
      </c>
      <c r="T32" cm="1">
        <f t="array" ref="T32">EstymacjaEpanecznikowa($K32,$C$2:$C$151,T$2)</f>
        <v>0.10036879183316079</v>
      </c>
    </row>
    <row r="33" spans="1:20" x14ac:dyDescent="0.25">
      <c r="A33" s="1">
        <v>5.4</v>
      </c>
      <c r="B33" s="1">
        <v>3.4</v>
      </c>
      <c r="C33" s="2">
        <v>1.5</v>
      </c>
      <c r="D33" s="1">
        <v>0.4</v>
      </c>
      <c r="E33" s="1" t="s">
        <v>5</v>
      </c>
      <c r="J33">
        <v>31</v>
      </c>
      <c r="K33">
        <f t="shared" si="1"/>
        <v>1.5919732441471548</v>
      </c>
      <c r="L33">
        <f t="shared" si="0"/>
        <v>0.10645565901275997</v>
      </c>
      <c r="M33" cm="1">
        <f t="array" ref="M33">EstymacjaGaussowska($K33,$C$2:$C$151)</f>
        <v>0.18592113949300748</v>
      </c>
      <c r="N33" cm="1">
        <f t="array" ref="N33">EstymacjaGaussowska($K33,$C$2:$C$151,$N$2)</f>
        <v>0.52930954275740105</v>
      </c>
      <c r="O33" cm="1">
        <f t="array" ref="O33">EstymacjaGaussowska($K33,$C$2:$C$151,$O$2)</f>
        <v>0.11147791442547526</v>
      </c>
      <c r="P33" cm="1">
        <f t="array" ref="P33">EstymacjaGaussowska($K33,$C$2:$C$151,$P$2)</f>
        <v>3.2368232971425423E-2</v>
      </c>
      <c r="R33" cm="1">
        <f t="array" ref="R33">EstymacjaEpanecznikowa($K33,$C$2:$C$151,R$2)</f>
        <v>0.16007604346019297</v>
      </c>
      <c r="S33" cm="1">
        <f t="array" ref="S33">EstymacjaEpanecznikowa($K33,$C$2:$C$151,S$2)</f>
        <v>0.5428293939322989</v>
      </c>
      <c r="T33" cm="1">
        <f t="array" ref="T33">EstymacjaEpanecznikowa($K33,$C$2:$C$151,T$2)</f>
        <v>0.10110227232356318</v>
      </c>
    </row>
    <row r="34" spans="1:20" x14ac:dyDescent="0.25">
      <c r="A34" s="1">
        <v>5.2</v>
      </c>
      <c r="B34" s="1">
        <v>4.0999999999999996</v>
      </c>
      <c r="C34" s="2">
        <v>1.5</v>
      </c>
      <c r="D34" s="1">
        <v>0.1</v>
      </c>
      <c r="E34" s="1" t="s">
        <v>5</v>
      </c>
      <c r="J34">
        <v>32</v>
      </c>
      <c r="K34">
        <f t="shared" si="1"/>
        <v>1.6117056856187266</v>
      </c>
      <c r="L34">
        <f t="shared" si="0"/>
        <v>0.10791905737294794</v>
      </c>
      <c r="M34" cm="1">
        <f t="array" ref="M34">EstymacjaGaussowska($K34,$C$2:$C$151)</f>
        <v>0.18499323522912384</v>
      </c>
      <c r="N34" cm="1">
        <f t="array" ref="N34">EstymacjaGaussowska($K34,$C$2:$C$151,$N$2)</f>
        <v>0.48127726215777256</v>
      </c>
      <c r="O34" cm="1">
        <f t="array" ref="O34">EstymacjaGaussowska($K34,$C$2:$C$151,$O$2)</f>
        <v>0.11191614587673553</v>
      </c>
      <c r="P34" cm="1">
        <f t="array" ref="P34">EstymacjaGaussowska($K34,$C$2:$C$151,$P$2)</f>
        <v>3.2377615735249519E-2</v>
      </c>
      <c r="R34" cm="1">
        <f t="array" ref="R34">EstymacjaEpanecznikowa($K34,$C$2:$C$151,R$2)</f>
        <v>0.15977145276082538</v>
      </c>
      <c r="S34" cm="1">
        <f t="array" ref="S34">EstymacjaEpanecznikowa($K34,$C$2:$C$151,S$2)</f>
        <v>0.47985587095786264</v>
      </c>
      <c r="T34" cm="1">
        <f t="array" ref="T34">EstymacjaEpanecznikowa($K34,$C$2:$C$151,T$2)</f>
        <v>0.10182502117132863</v>
      </c>
    </row>
    <row r="35" spans="1:20" x14ac:dyDescent="0.25">
      <c r="A35" s="1">
        <v>5.5</v>
      </c>
      <c r="B35" s="1">
        <v>4.2</v>
      </c>
      <c r="C35" s="2">
        <v>1.4</v>
      </c>
      <c r="D35" s="1">
        <v>0.2</v>
      </c>
      <c r="E35" s="1" t="s">
        <v>5</v>
      </c>
      <c r="J35">
        <v>33</v>
      </c>
      <c r="K35">
        <f t="shared" si="1"/>
        <v>1.6314381270902985</v>
      </c>
      <c r="L35">
        <f t="shared" si="0"/>
        <v>0.10938890375832212</v>
      </c>
      <c r="M35" cm="1">
        <f t="array" ref="M35">EstymacjaGaussowska($K35,$C$2:$C$151)</f>
        <v>0.18393490382391167</v>
      </c>
      <c r="N35" cm="1">
        <f t="array" ref="N35">EstymacjaGaussowska($K35,$C$2:$C$151,$N$2)</f>
        <v>0.43301601323955285</v>
      </c>
      <c r="O35" cm="1">
        <f t="array" ref="O35">EstymacjaGaussowska($K35,$C$2:$C$151,$O$2)</f>
        <v>0.11234854780707297</v>
      </c>
      <c r="P35" cm="1">
        <f t="array" ref="P35">EstymacjaGaussowska($K35,$C$2:$C$151,$P$2)</f>
        <v>3.2386915529211892E-2</v>
      </c>
      <c r="R35" cm="1">
        <f t="array" ref="R35">EstymacjaEpanecznikowa($K35,$C$2:$C$151,R$2)</f>
        <v>0.15941206469131095</v>
      </c>
      <c r="S35" cm="1">
        <f t="array" ref="S35">EstymacjaEpanecznikowa($K35,$C$2:$C$151,S$2)</f>
        <v>0.42471465123374302</v>
      </c>
      <c r="T35" cm="1">
        <f t="array" ref="T35">EstymacjaEpanecznikowa($K35,$C$2:$C$151,T$2)</f>
        <v>0.10253703837645685</v>
      </c>
    </row>
    <row r="36" spans="1:20" x14ac:dyDescent="0.25">
      <c r="A36" s="1">
        <v>4.9000000000000004</v>
      </c>
      <c r="B36" s="1">
        <v>3.1</v>
      </c>
      <c r="C36" s="2">
        <v>1.5</v>
      </c>
      <c r="D36" s="1">
        <v>0.2</v>
      </c>
      <c r="E36" s="1" t="s">
        <v>5</v>
      </c>
      <c r="J36">
        <v>34</v>
      </c>
      <c r="K36">
        <f t="shared" si="1"/>
        <v>1.6511705685618703</v>
      </c>
      <c r="L36">
        <f t="shared" si="0"/>
        <v>0.11086491620660013</v>
      </c>
      <c r="M36" cm="1">
        <f t="array" ref="M36">EstymacjaGaussowska($K36,$C$2:$C$151)</f>
        <v>0.18274911648170025</v>
      </c>
      <c r="N36" cm="1">
        <f t="array" ref="N36">EstymacjaGaussowska($K36,$C$2:$C$151,$N$2)</f>
        <v>0.38559451031246517</v>
      </c>
      <c r="O36" cm="1">
        <f t="array" ref="O36">EstymacjaGaussowska($K36,$C$2:$C$151,$O$2)</f>
        <v>0.11277523072132821</v>
      </c>
      <c r="P36" cm="1">
        <f t="array" ref="P36">EstymacjaGaussowska($K36,$C$2:$C$151,$P$2)</f>
        <v>3.2396132280153284E-2</v>
      </c>
      <c r="R36" cm="1">
        <f t="array" ref="R36">EstymacjaEpanecznikowa($K36,$C$2:$C$151,R$2)</f>
        <v>0.15899787925164899</v>
      </c>
      <c r="S36" cm="1">
        <f t="array" ref="S36">EstymacjaEpanecznikowa($K36,$C$2:$C$151,S$2)</f>
        <v>0.39133458164378832</v>
      </c>
      <c r="T36" cm="1">
        <f t="array" ref="T36">EstymacjaEpanecznikowa($K36,$C$2:$C$151,T$2)</f>
        <v>0.10325705599472916</v>
      </c>
    </row>
    <row r="37" spans="1:20" x14ac:dyDescent="0.25">
      <c r="A37" s="1">
        <v>5</v>
      </c>
      <c r="B37" s="1">
        <v>3.2</v>
      </c>
      <c r="C37" s="2">
        <v>1.2</v>
      </c>
      <c r="D37" s="1">
        <v>0.2</v>
      </c>
      <c r="E37" s="1" t="s">
        <v>5</v>
      </c>
      <c r="J37">
        <v>35</v>
      </c>
      <c r="K37">
        <f t="shared" si="1"/>
        <v>1.6709030100334421</v>
      </c>
      <c r="L37">
        <f t="shared" si="0"/>
        <v>0.11234680660642457</v>
      </c>
      <c r="M37" cm="1">
        <f t="array" ref="M37">EstymacjaGaussowska($K37,$C$2:$C$151)</f>
        <v>0.18143914939758532</v>
      </c>
      <c r="N37" cm="1">
        <f t="array" ref="N37">EstymacjaGaussowska($K37,$C$2:$C$151,$N$2)</f>
        <v>0.33989593134177387</v>
      </c>
      <c r="O37" cm="1">
        <f t="array" ref="O37">EstymacjaGaussowska($K37,$C$2:$C$151,$O$2)</f>
        <v>0.11319630992731421</v>
      </c>
      <c r="P37" cm="1">
        <f t="array" ref="P37">EstymacjaGaussowska($K37,$C$2:$C$151,$P$2)</f>
        <v>3.2405265915552726E-2</v>
      </c>
      <c r="R37" cm="1">
        <f t="array" ref="R37">EstymacjaEpanecznikowa($K37,$C$2:$C$151,R$2)</f>
        <v>0.15852889644184009</v>
      </c>
      <c r="S37" cm="1">
        <f t="array" ref="S37">EstymacjaEpanecznikowa($K37,$C$2:$C$151,S$2)</f>
        <v>0.34959621346154723</v>
      </c>
      <c r="T37" cm="1">
        <f t="array" ref="T37">EstymacjaEpanecznikowa($K37,$C$2:$C$151,T$2)</f>
        <v>0.10401745303992038</v>
      </c>
    </row>
    <row r="38" spans="1:20" x14ac:dyDescent="0.25">
      <c r="A38" s="1">
        <v>5.5</v>
      </c>
      <c r="B38" s="1">
        <v>3.5</v>
      </c>
      <c r="C38" s="2">
        <v>1.3</v>
      </c>
      <c r="D38" s="1">
        <v>0.2</v>
      </c>
      <c r="E38" s="1" t="s">
        <v>5</v>
      </c>
      <c r="J38">
        <v>36</v>
      </c>
      <c r="K38">
        <f t="shared" si="1"/>
        <v>1.6906354515050139</v>
      </c>
      <c r="L38">
        <f t="shared" si="0"/>
        <v>0.11383428075934557</v>
      </c>
      <c r="M38" cm="1">
        <f t="array" ref="M38">EstymacjaGaussowska($K38,$C$2:$C$151)</f>
        <v>0.18000857266345455</v>
      </c>
      <c r="N38" cm="1">
        <f t="array" ref="N38">EstymacjaGaussowska($K38,$C$2:$C$151,$N$2)</f>
        <v>0.29666355693723639</v>
      </c>
      <c r="O38" cm="1">
        <f t="array" ref="O38">EstymacjaGaussowska($K38,$C$2:$C$151,$O$2)</f>
        <v>0.11361190539340221</v>
      </c>
      <c r="P38" cm="1">
        <f t="array" ref="P38">EstymacjaGaussowska($K38,$C$2:$C$151,$P$2)</f>
        <v>3.2414316363528241E-2</v>
      </c>
      <c r="R38" cm="1">
        <f t="array" ref="R38">EstymacjaEpanecznikowa($K38,$C$2:$C$151,R$2)</f>
        <v>0.1580051162618839</v>
      </c>
      <c r="S38" cm="1">
        <f t="array" ref="S38">EstymacjaEpanecznikowa($K38,$C$2:$C$151,S$2)</f>
        <v>0.30501501928941016</v>
      </c>
      <c r="T38" cm="1">
        <f t="array" ref="T38">EstymacjaEpanecznikowa($K38,$C$2:$C$151,T$2)</f>
        <v>0.10476670568698825</v>
      </c>
    </row>
    <row r="39" spans="1:20" x14ac:dyDescent="0.25">
      <c r="A39" s="1">
        <v>4.9000000000000004</v>
      </c>
      <c r="B39" s="1">
        <v>3.6</v>
      </c>
      <c r="C39" s="2">
        <v>1.4</v>
      </c>
      <c r="D39" s="1">
        <v>0.1</v>
      </c>
      <c r="E39" s="1" t="s">
        <v>5</v>
      </c>
      <c r="J39">
        <v>37</v>
      </c>
      <c r="K39">
        <f t="shared" si="1"/>
        <v>1.7103678929765858</v>
      </c>
      <c r="L39">
        <f t="shared" si="0"/>
        <v>0.11532703844646371</v>
      </c>
      <c r="M39" cm="1">
        <f t="array" ref="M39">EstymacjaGaussowska($K39,$C$2:$C$151)</f>
        <v>0.17846123815119785</v>
      </c>
      <c r="N39" cm="1">
        <f t="array" ref="N39">EstymacjaGaussowska($K39,$C$2:$C$151,$N$2)</f>
        <v>0.25654328597120274</v>
      </c>
      <c r="O39" cm="1">
        <f t="array" ref="O39">EstymacjaGaussowska($K39,$C$2:$C$151,$O$2)</f>
        <v>0.11402214159998246</v>
      </c>
      <c r="P39" cm="1">
        <f t="array" ref="P39">EstymacjaGaussowska($K39,$C$2:$C$151,$P$2)</f>
        <v>3.242328355283778E-2</v>
      </c>
      <c r="R39" cm="1">
        <f t="array" ref="R39">EstymacjaEpanecznikowa($K39,$C$2:$C$151,R$2)</f>
        <v>0.15742653871178064</v>
      </c>
      <c r="S39" cm="1">
        <f t="array" ref="S39">EstymacjaEpanecznikowa($K39,$C$2:$C$151,S$2)</f>
        <v>0.25360203854166308</v>
      </c>
      <c r="T39" cm="1">
        <f t="array" ref="T39">EstymacjaEpanecznikowa($K39,$C$2:$C$151,T$2)</f>
        <v>0.10550481393593353</v>
      </c>
    </row>
    <row r="40" spans="1:20" x14ac:dyDescent="0.25">
      <c r="A40" s="1">
        <v>4.4000000000000004</v>
      </c>
      <c r="B40" s="1">
        <v>3</v>
      </c>
      <c r="C40" s="2">
        <v>1.3</v>
      </c>
      <c r="D40" s="1">
        <v>0.2</v>
      </c>
      <c r="E40" s="1" t="s">
        <v>5</v>
      </c>
      <c r="J40">
        <v>38</v>
      </c>
      <c r="K40">
        <f t="shared" si="1"/>
        <v>1.7301003344481576</v>
      </c>
      <c r="L40">
        <f t="shared" si="0"/>
        <v>0.11682477349974517</v>
      </c>
      <c r="M40" cm="1">
        <f t="array" ref="M40">EstymacjaGaussowska($K40,$C$2:$C$151)</f>
        <v>0.17680126643725103</v>
      </c>
      <c r="N40" cm="1">
        <f t="array" ref="N40">EstymacjaGaussowska($K40,$C$2:$C$151,$N$2)</f>
        <v>0.22010116548286432</v>
      </c>
      <c r="O40" cm="1">
        <f t="array" ref="O40">EstymacjaGaussowska($K40,$C$2:$C$151,$O$2)</f>
        <v>0.11442714738494665</v>
      </c>
      <c r="P40" cm="1">
        <f t="array" ref="P40">EstymacjaGaussowska($K40,$C$2:$C$151,$P$2)</f>
        <v>3.2432167412880318E-2</v>
      </c>
      <c r="R40" cm="1">
        <f t="array" ref="R40">EstymacjaEpanecznikowa($K40,$C$2:$C$151,R$2)</f>
        <v>0.15679316379152999</v>
      </c>
      <c r="S40" cm="1">
        <f t="array" ref="S40">EstymacjaEpanecznikowa($K40,$C$2:$C$151,S$2)</f>
        <v>0.21026257355387923</v>
      </c>
      <c r="T40" cm="1">
        <f t="array" ref="T40">EstymacjaEpanecznikowa($K40,$C$2:$C$151,T$2)</f>
        <v>0.10623177778675526</v>
      </c>
    </row>
    <row r="41" spans="1:20" x14ac:dyDescent="0.25">
      <c r="A41" s="1">
        <v>5.0999999999999996</v>
      </c>
      <c r="B41" s="1">
        <v>3.4</v>
      </c>
      <c r="C41" s="2">
        <v>1.5</v>
      </c>
      <c r="D41" s="1">
        <v>0.2</v>
      </c>
      <c r="E41" s="1" t="s">
        <v>5</v>
      </c>
      <c r="J41">
        <v>39</v>
      </c>
      <c r="K41">
        <f t="shared" si="1"/>
        <v>1.7498327759197294</v>
      </c>
      <c r="L41">
        <f t="shared" si="0"/>
        <v>0.11832717387801696</v>
      </c>
      <c r="M41" cm="1">
        <f t="array" ref="M41">EstymacjaGaussowska($K41,$C$2:$C$151)</f>
        <v>0.17503303283720223</v>
      </c>
      <c r="N41" cm="1">
        <f t="array" ref="N41">EstymacjaGaussowska($K41,$C$2:$C$151,$N$2)</f>
        <v>0.18780457966400427</v>
      </c>
      <c r="O41" cm="1">
        <f t="array" ref="O41">EstymacjaGaussowska($K41,$C$2:$C$151,$O$2)</f>
        <v>0.11482705578334952</v>
      </c>
      <c r="P41" cm="1">
        <f t="array" ref="P41">EstymacjaGaussowska($K41,$C$2:$C$151,$P$2)</f>
        <v>3.2440967873696477E-2</v>
      </c>
      <c r="R41" cm="1">
        <f t="array" ref="R41">EstymacjaEpanecznikowa($K41,$C$2:$C$151,R$2)</f>
        <v>0.15610499150113238</v>
      </c>
      <c r="S41" cm="1">
        <f t="array" ref="S41">EstymacjaEpanecznikowa($K41,$C$2:$C$151,S$2)</f>
        <v>0.1957978767315656</v>
      </c>
      <c r="T41" cm="1">
        <f t="array" ref="T41">EstymacjaEpanecznikowa($K41,$C$2:$C$151,T$2)</f>
        <v>0.10697556121612907</v>
      </c>
    </row>
    <row r="42" spans="1:20" x14ac:dyDescent="0.25">
      <c r="A42" s="1">
        <v>5</v>
      </c>
      <c r="B42" s="1">
        <v>3.5</v>
      </c>
      <c r="C42" s="2">
        <v>1.3</v>
      </c>
      <c r="D42" s="1">
        <v>0.3</v>
      </c>
      <c r="E42" s="1" t="s">
        <v>5</v>
      </c>
      <c r="J42">
        <v>40</v>
      </c>
      <c r="K42">
        <f t="shared" si="1"/>
        <v>1.7695652173913012</v>
      </c>
      <c r="L42">
        <f t="shared" si="0"/>
        <v>0.11983392174764658</v>
      </c>
      <c r="M42" cm="1">
        <f t="array" ref="M42">EstymacjaGaussowska($K42,$C$2:$C$151)</f>
        <v>0.17316115262330042</v>
      </c>
      <c r="N42" cm="1">
        <f t="array" ref="N42">EstymacjaGaussowska($K42,$C$2:$C$151,$N$2)</f>
        <v>0.15997082318298345</v>
      </c>
      <c r="O42" cm="1">
        <f t="array" ref="O42">EstymacjaGaussowska($K42,$C$2:$C$151,$O$2)</f>
        <v>0.11522200386141949</v>
      </c>
      <c r="P42" cm="1">
        <f t="array" ref="P42">EstymacjaGaussowska($K42,$C$2:$C$151,$P$2)</f>
        <v>3.2449684865969851E-2</v>
      </c>
      <c r="R42" cm="1">
        <f t="array" ref="R42">EstymacjaEpanecznikowa($K42,$C$2:$C$151,R$2)</f>
        <v>0.15540909807857883</v>
      </c>
      <c r="S42" cm="1">
        <f t="array" ref="S42">EstymacjaEpanecznikowa($K42,$C$2:$C$151,S$2)</f>
        <v>0.17680576817176374</v>
      </c>
      <c r="T42" cm="1">
        <f t="array" ref="T42">EstymacjaEpanecznikowa($K42,$C$2:$C$151,T$2)</f>
        <v>0.10781997848822411</v>
      </c>
    </row>
    <row r="43" spans="1:20" x14ac:dyDescent="0.25">
      <c r="A43" s="1">
        <v>4.5</v>
      </c>
      <c r="B43" s="1">
        <v>2.2999999999999998</v>
      </c>
      <c r="C43" s="2">
        <v>1.3</v>
      </c>
      <c r="D43" s="1">
        <v>0.3</v>
      </c>
      <c r="E43" s="1" t="s">
        <v>5</v>
      </c>
      <c r="J43">
        <v>41</v>
      </c>
      <c r="K43">
        <f t="shared" si="1"/>
        <v>1.7892976588628731</v>
      </c>
      <c r="L43">
        <f t="shared" si="0"/>
        <v>0.12134469356790603</v>
      </c>
      <c r="M43" cm="1">
        <f t="array" ref="M43">EstymacjaGaussowska($K43,$C$2:$C$151)</f>
        <v>0.17119046550130107</v>
      </c>
      <c r="N43" cm="1">
        <f t="array" ref="N43">EstymacjaGaussowska($K43,$C$2:$C$151,$N$2)</f>
        <v>0.13670125813633019</v>
      </c>
      <c r="O43" cm="1">
        <f t="array" ref="O43">EstymacjaGaussowska($K43,$C$2:$C$151,$O$2)</f>
        <v>0.1156121325450828</v>
      </c>
      <c r="P43" cm="1">
        <f t="array" ref="P43">EstymacjaGaussowska($K43,$C$2:$C$151,$P$2)</f>
        <v>3.2458318321027468E-2</v>
      </c>
      <c r="R43" cm="1">
        <f t="array" ref="R43">EstymacjaEpanecznikowa($K43,$C$2:$C$151,R$2)</f>
        <v>0.15477692509466259</v>
      </c>
      <c r="S43" cm="1">
        <f t="array" ref="S43">EstymacjaEpanecznikowa($K43,$C$2:$C$151,S$2)</f>
        <v>0.15328624787447362</v>
      </c>
      <c r="T43" cm="1">
        <f t="array" ref="T43">EstymacjaEpanecznikowa($K43,$C$2:$C$151,T$2)</f>
        <v>0.10865242585122371</v>
      </c>
    </row>
    <row r="44" spans="1:20" x14ac:dyDescent="0.25">
      <c r="A44" s="1">
        <v>4.4000000000000004</v>
      </c>
      <c r="B44" s="1">
        <v>3.2</v>
      </c>
      <c r="C44" s="2">
        <v>1.3</v>
      </c>
      <c r="D44" s="1">
        <v>0.2</v>
      </c>
      <c r="E44" s="1" t="s">
        <v>5</v>
      </c>
      <c r="J44">
        <v>42</v>
      </c>
      <c r="K44">
        <f t="shared" si="1"/>
        <v>1.8090301003344449</v>
      </c>
      <c r="L44">
        <f t="shared" si="0"/>
        <v>0.12285916018101586</v>
      </c>
      <c r="M44" cm="1">
        <f t="array" ref="M44">EstymacjaGaussowska($K44,$C$2:$C$151)</f>
        <v>0.16912601942616362</v>
      </c>
      <c r="N44" cm="1">
        <f t="array" ref="N44">EstymacjaGaussowska($K44,$C$2:$C$151,$N$2)</f>
        <v>0.11782780842747924</v>
      </c>
      <c r="O44" cm="1">
        <f t="array" ref="O44">EstymacjaGaussowska($K44,$C$2:$C$151,$O$2)</f>
        <v>0.11599758644319423</v>
      </c>
      <c r="P44" cm="1">
        <f t="array" ref="P44">EstymacjaGaussowska($K44,$C$2:$C$151,$P$2)</f>
        <v>3.2466868170840969E-2</v>
      </c>
      <c r="R44" cm="1">
        <f t="array" ref="R44">EstymacjaEpanecznikowa($K44,$C$2:$C$151,R$2)</f>
        <v>0.15408780582412276</v>
      </c>
      <c r="S44" cm="1">
        <f t="array" ref="S44">EstymacjaEpanecznikowa($K44,$C$2:$C$151,S$2)</f>
        <v>0.12523931583969525</v>
      </c>
      <c r="T44" cm="1">
        <f t="array" ref="T44">EstymacjaEpanecznikowa($K44,$C$2:$C$151,T$2)</f>
        <v>0.10947290330512843</v>
      </c>
    </row>
    <row r="45" spans="1:20" x14ac:dyDescent="0.25">
      <c r="A45" s="1">
        <v>5</v>
      </c>
      <c r="B45" s="1">
        <v>3.5</v>
      </c>
      <c r="C45" s="2">
        <v>1.6</v>
      </c>
      <c r="D45" s="1">
        <v>0.6</v>
      </c>
      <c r="E45" s="1" t="s">
        <v>5</v>
      </c>
      <c r="J45">
        <v>43</v>
      </c>
      <c r="K45">
        <f t="shared" si="1"/>
        <v>1.8287625418060167</v>
      </c>
      <c r="L45">
        <f t="shared" si="0"/>
        <v>0.12437698690686111</v>
      </c>
      <c r="M45" cm="1">
        <f t="array" ref="M45">EstymacjaGaussowska($K45,$C$2:$C$151)</f>
        <v>0.16697305383870623</v>
      </c>
      <c r="N45" cm="1">
        <f t="array" ref="N45">EstymacjaGaussowska($K45,$C$2:$C$151,$N$2)</f>
        <v>0.10289770836306268</v>
      </c>
      <c r="O45" cm="1">
        <f t="array" ref="O45">EstymacjaGaussowska($K45,$C$2:$C$151,$O$2)</f>
        <v>0.11637851366565295</v>
      </c>
      <c r="P45" cm="1">
        <f t="array" ref="P45">EstymacjaGaussowska($K45,$C$2:$C$151,$P$2)</f>
        <v>3.2475334348027574E-2</v>
      </c>
      <c r="R45" cm="1">
        <f t="array" ref="R45">EstymacjaEpanecznikowa($K45,$C$2:$C$151,R$2)</f>
        <v>0.15334174026695935</v>
      </c>
      <c r="S45" cm="1">
        <f t="array" ref="S45">EstymacjaEpanecznikowa($K45,$C$2:$C$151,S$2)</f>
        <v>9.9966227619194617E-2</v>
      </c>
      <c r="T45" cm="1">
        <f t="array" ref="T45">EstymacjaEpanecznikowa($K45,$C$2:$C$151,T$2)</f>
        <v>0.11028141084993802</v>
      </c>
    </row>
    <row r="46" spans="1:20" x14ac:dyDescent="0.25">
      <c r="A46" s="1">
        <v>5.0999999999999996</v>
      </c>
      <c r="B46" s="1">
        <v>3.8</v>
      </c>
      <c r="C46" s="2">
        <v>1.9</v>
      </c>
      <c r="D46" s="1">
        <v>0.4</v>
      </c>
      <c r="E46" s="1" t="s">
        <v>5</v>
      </c>
      <c r="J46">
        <v>44</v>
      </c>
      <c r="K46">
        <f t="shared" si="1"/>
        <v>1.8484949832775885</v>
      </c>
      <c r="L46">
        <f t="shared" si="0"/>
        <v>0.12589783364236617</v>
      </c>
      <c r="M46" cm="1">
        <f t="array" ref="M46">EstymacjaGaussowska($K46,$C$2:$C$151)</f>
        <v>0.16473698240730239</v>
      </c>
      <c r="N46" cm="1">
        <f t="array" ref="N46">EstymacjaGaussowska($K46,$C$2:$C$151,$N$2)</f>
        <v>9.1212012312201607E-2</v>
      </c>
      <c r="O46" cm="1">
        <f t="array" ref="O46">EstymacjaGaussowska($K46,$C$2:$C$151,$O$2)</f>
        <v>0.1167550656366098</v>
      </c>
      <c r="P46" cm="1">
        <f t="array" ref="P46">EstymacjaGaussowska($K46,$C$2:$C$151,$P$2)</f>
        <v>3.2483716785850707E-2</v>
      </c>
      <c r="R46" cm="1">
        <f t="array" ref="R46">EstymacjaEpanecznikowa($K46,$C$2:$C$151,R$2)</f>
        <v>0.15253872842317248</v>
      </c>
      <c r="S46" cm="1">
        <f t="array" ref="S46">EstymacjaEpanecznikowa($K46,$C$2:$C$151,S$2)</f>
        <v>9.2345773182301388E-2</v>
      </c>
      <c r="T46" cm="1">
        <f t="array" ref="T46">EstymacjaEpanecznikowa($K46,$C$2:$C$151,T$2)</f>
        <v>0.11108256349750883</v>
      </c>
    </row>
    <row r="47" spans="1:20" x14ac:dyDescent="0.25">
      <c r="A47" s="1">
        <v>4.8</v>
      </c>
      <c r="B47" s="1">
        <v>3</v>
      </c>
      <c r="C47" s="2">
        <v>1.4</v>
      </c>
      <c r="D47" s="1">
        <v>0.3</v>
      </c>
      <c r="E47" s="1" t="s">
        <v>5</v>
      </c>
      <c r="J47">
        <v>45</v>
      </c>
      <c r="K47">
        <f t="shared" si="1"/>
        <v>1.8682274247491604</v>
      </c>
      <c r="L47">
        <f t="shared" si="0"/>
        <v>0.12742135496551252</v>
      </c>
      <c r="M47" cm="1">
        <f t="array" ref="M47">EstymacjaGaussowska($K47,$C$2:$C$151)</f>
        <v>0.16242337536018706</v>
      </c>
      <c r="N47" cm="1">
        <f t="array" ref="N47">EstymacjaGaussowska($K47,$C$2:$C$151,$N$2)</f>
        <v>8.1916768065013204E-2</v>
      </c>
      <c r="O47" cm="1">
        <f t="array" ref="O47">EstymacjaGaussowska($K47,$C$2:$C$151,$O$2)</f>
        <v>0.11712739690296102</v>
      </c>
      <c r="P47" cm="1">
        <f t="array" ref="P47">EstymacjaGaussowska($K47,$C$2:$C$151,$P$2)</f>
        <v>3.2492015418221082E-2</v>
      </c>
      <c r="R47" cm="1">
        <f t="array" ref="R47">EstymacjaEpanecznikowa($K47,$C$2:$C$151,R$2)</f>
        <v>0.15167877029276203</v>
      </c>
      <c r="S47" cm="1">
        <f t="array" ref="S47">EstymacjaEpanecznikowa($K47,$C$2:$C$151,S$2)</f>
        <v>8.2635744097336664E-2</v>
      </c>
      <c r="T47" cm="1">
        <f t="array" ref="T47">EstymacjaEpanecznikowa($K47,$C$2:$C$151,T$2)</f>
        <v>0.11190208077021918</v>
      </c>
    </row>
    <row r="48" spans="1:20" x14ac:dyDescent="0.25">
      <c r="A48" s="1">
        <v>5.0999999999999996</v>
      </c>
      <c r="B48" s="1">
        <v>3.8</v>
      </c>
      <c r="C48" s="2">
        <v>1.6</v>
      </c>
      <c r="D48" s="1">
        <v>0.2</v>
      </c>
      <c r="E48" s="1" t="s">
        <v>5</v>
      </c>
      <c r="J48">
        <v>46</v>
      </c>
      <c r="K48">
        <f t="shared" si="1"/>
        <v>1.8879598662207322</v>
      </c>
      <c r="L48">
        <f t="shared" si="0"/>
        <v>0.12894720024397746</v>
      </c>
      <c r="M48" cm="1">
        <f t="array" ref="M48">EstymacjaGaussowska($K48,$C$2:$C$151)</f>
        <v>0.16003794149485157</v>
      </c>
      <c r="N48" cm="1">
        <f t="array" ref="N48">EstymacjaGaussowska($K48,$C$2:$C$151,$N$2)</f>
        <v>7.4128750860316672E-2</v>
      </c>
      <c r="O48" cm="1">
        <f t="array" ref="O48">EstymacjaGaussowska($K48,$C$2:$C$151,$O$2)</f>
        <v>0.11749566493834827</v>
      </c>
      <c r="P48" cm="1">
        <f t="array" ref="P48">EstymacjaGaussowska($K48,$C$2:$C$151,$P$2)</f>
        <v>3.2500230179697422E-2</v>
      </c>
      <c r="R48" cm="1">
        <f t="array" ref="R48">EstymacjaEpanecznikowa($K48,$C$2:$C$151,R$2)</f>
        <v>0.15076186587572804</v>
      </c>
      <c r="S48" cm="1">
        <f t="array" ref="S48">EstymacjaEpanecznikowa($K48,$C$2:$C$151,S$2)</f>
        <v>7.0836140364300401E-2</v>
      </c>
      <c r="T48" cm="1">
        <f t="array" ref="T48">EstymacjaEpanecznikowa($K48,$C$2:$C$151,T$2)</f>
        <v>0.11270942175609149</v>
      </c>
    </row>
    <row r="49" spans="1:20" x14ac:dyDescent="0.25">
      <c r="A49" s="1">
        <v>4.5999999999999996</v>
      </c>
      <c r="B49" s="1">
        <v>3.2</v>
      </c>
      <c r="C49" s="2">
        <v>1.4</v>
      </c>
      <c r="D49" s="1">
        <v>0.2</v>
      </c>
      <c r="E49" s="1" t="s">
        <v>5</v>
      </c>
      <c r="J49">
        <v>47</v>
      </c>
      <c r="K49">
        <f t="shared" si="1"/>
        <v>1.907692307692304</v>
      </c>
      <c r="L49">
        <f t="shared" si="0"/>
        <v>0.13047501374836898</v>
      </c>
      <c r="M49" cm="1">
        <f t="array" ref="M49">EstymacjaGaussowska($K49,$C$2:$C$151)</f>
        <v>0.15758650995134427</v>
      </c>
      <c r="N49" cm="1">
        <f t="array" ref="N49">EstymacjaGaussowska($K49,$C$2:$C$151,$N$2)</f>
        <v>6.7066273074470217E-2</v>
      </c>
      <c r="O49" cm="1">
        <f t="array" ref="O49">EstymacjaGaussowska($K49,$C$2:$C$151,$O$2)</f>
        <v>0.11786002994287535</v>
      </c>
      <c r="P49" cm="1">
        <f t="array" ref="P49">EstymacjaGaussowska($K49,$C$2:$C$151,$P$2)</f>
        <v>3.2508361005487436E-2</v>
      </c>
      <c r="R49" cm="1">
        <f t="array" ref="R49">EstymacjaEpanecznikowa($K49,$C$2:$C$151,R$2)</f>
        <v>0.14978801517207055</v>
      </c>
      <c r="S49" cm="1">
        <f t="array" ref="S49">EstymacjaEpanecznikowa($K49,$C$2:$C$151,S$2)</f>
        <v>5.6946961983192664E-2</v>
      </c>
      <c r="T49" cm="1">
        <f t="array" ref="T49">EstymacjaEpanecznikowa($K49,$C$2:$C$151,T$2)</f>
        <v>0.11350458645512579</v>
      </c>
    </row>
    <row r="50" spans="1:20" x14ac:dyDescent="0.25">
      <c r="A50" s="1">
        <v>5.3</v>
      </c>
      <c r="B50" s="1">
        <v>3.7</v>
      </c>
      <c r="C50" s="2">
        <v>1.5</v>
      </c>
      <c r="D50" s="1">
        <v>0.2</v>
      </c>
      <c r="E50" s="1" t="s">
        <v>5</v>
      </c>
      <c r="J50">
        <v>48</v>
      </c>
      <c r="K50">
        <f t="shared" si="1"/>
        <v>1.9274247491638759</v>
      </c>
      <c r="L50">
        <f t="shared" si="0"/>
        <v>0.13200443477002655</v>
      </c>
      <c r="M50" cm="1">
        <f t="array" ref="M50">EstymacjaGaussowska($K50,$C$2:$C$151)</f>
        <v>0.15507501183613376</v>
      </c>
      <c r="N50" cm="1">
        <f t="array" ref="N50">EstymacjaGaussowska($K50,$C$2:$C$151,$N$2)</f>
        <v>6.0153753685518119E-2</v>
      </c>
      <c r="O50" cm="1">
        <f t="array" ref="O50">EstymacjaGaussowska($K50,$C$2:$C$151,$O$2)</f>
        <v>0.11822065463877045</v>
      </c>
      <c r="P50" cm="1">
        <f t="array" ref="P50">EstymacjaGaussowska($K50,$C$2:$C$151,$P$2)</f>
        <v>3.2516407831448706E-2</v>
      </c>
      <c r="R50" cm="1">
        <f t="array" ref="R50">EstymacjaEpanecznikowa($K50,$C$2:$C$151,R$2)</f>
        <v>0.14875721818178947</v>
      </c>
      <c r="S50" cm="1">
        <f t="array" ref="S50">EstymacjaEpanecznikowa($K50,$C$2:$C$151,S$2)</f>
        <v>4.4048645773608293E-2</v>
      </c>
      <c r="T50" cm="1">
        <f t="array" ref="T50">EstymacjaEpanecznikowa($K50,$C$2:$C$151,T$2)</f>
        <v>0.11428757486732181</v>
      </c>
    </row>
    <row r="51" spans="1:20" x14ac:dyDescent="0.25">
      <c r="A51" s="1">
        <v>5</v>
      </c>
      <c r="B51" s="1">
        <v>3.3</v>
      </c>
      <c r="C51" s="2">
        <v>1.4</v>
      </c>
      <c r="D51" s="1">
        <v>0.2</v>
      </c>
      <c r="E51" s="1" t="s">
        <v>5</v>
      </c>
      <c r="J51">
        <v>49</v>
      </c>
      <c r="K51">
        <f t="shared" si="1"/>
        <v>1.9471571906354477</v>
      </c>
      <c r="L51">
        <f t="shared" si="0"/>
        <v>0.13353509774335393</v>
      </c>
      <c r="M51" cm="1">
        <f t="array" ref="M51">EstymacjaGaussowska($K51,$C$2:$C$151)</f>
        <v>0.15250946178243824</v>
      </c>
      <c r="N51" cm="1">
        <f t="array" ref="N51">EstymacjaGaussowska($K51,$C$2:$C$151,$N$2)</f>
        <v>5.3076802908257309E-2</v>
      </c>
      <c r="O51" cm="1">
        <f t="array" ref="O51">EstymacjaGaussowska($K51,$C$2:$C$151,$O$2)</f>
        <v>0.11857770406222211</v>
      </c>
      <c r="P51" cm="1">
        <f t="array" ref="P51">EstymacjaGaussowska($K51,$C$2:$C$151,$P$2)</f>
        <v>3.2524370594089309E-2</v>
      </c>
      <c r="R51" cm="1">
        <f t="array" ref="R51">EstymacjaEpanecznikowa($K51,$C$2:$C$151,R$2)</f>
        <v>0.14766947490488486</v>
      </c>
      <c r="S51" cm="1">
        <f t="array" ref="S51">EstymacjaEpanecznikowa($K51,$C$2:$C$151,S$2)</f>
        <v>4.2732331800388233E-2</v>
      </c>
      <c r="T51" cm="1">
        <f t="array" ref="T51">EstymacjaEpanecznikowa($K51,$C$2:$C$151,T$2)</f>
        <v>0.11506062507363313</v>
      </c>
    </row>
    <row r="52" spans="1:20" x14ac:dyDescent="0.25">
      <c r="A52" s="1">
        <v>7</v>
      </c>
      <c r="B52" s="1">
        <v>3.2</v>
      </c>
      <c r="C52" s="2">
        <v>4.7</v>
      </c>
      <c r="D52" s="1">
        <v>1.4</v>
      </c>
      <c r="E52" s="1" t="s">
        <v>6</v>
      </c>
      <c r="J52">
        <v>50</v>
      </c>
      <c r="K52">
        <f t="shared" si="1"/>
        <v>1.9668896321070195</v>
      </c>
      <c r="L52">
        <f t="shared" si="0"/>
        <v>0.13506663237264566</v>
      </c>
      <c r="M52" cm="1">
        <f t="array" ref="M52">EstymacjaGaussowska($K52,$C$2:$C$151)</f>
        <v>0.1498959395316867</v>
      </c>
      <c r="N52" cm="1">
        <f t="array" ref="N52">EstymacjaGaussowska($K52,$C$2:$C$151,$N$2)</f>
        <v>4.5779327554826311E-2</v>
      </c>
      <c r="O52" cm="1">
        <f t="array" ref="O52">EstymacjaGaussowska($K52,$C$2:$C$151,$O$2)</f>
        <v>0.11893134535162668</v>
      </c>
      <c r="P52" cm="1">
        <f t="array" ref="P52">EstymacjaGaussowska($K52,$C$2:$C$151,$P$2)</f>
        <v>3.2532249230568779E-2</v>
      </c>
      <c r="R52" cm="1">
        <f t="array" ref="R52">EstymacjaEpanecznikowa($K52,$C$2:$C$151,R$2)</f>
        <v>0.14654924270554925</v>
      </c>
      <c r="S52" cm="1">
        <f t="array" ref="S52">EstymacjaEpanecznikowa($K52,$C$2:$C$151,S$2)</f>
        <v>4.0719492944477666E-2</v>
      </c>
      <c r="T52" cm="1">
        <f t="array" ref="T52">EstymacjaEpanecznikowa($K52,$C$2:$C$151,T$2)</f>
        <v>0.11585422444995541</v>
      </c>
    </row>
    <row r="53" spans="1:20" x14ac:dyDescent="0.25">
      <c r="A53" s="1">
        <v>6.4</v>
      </c>
      <c r="B53" s="1">
        <v>3.2</v>
      </c>
      <c r="C53" s="2">
        <v>4.5</v>
      </c>
      <c r="D53" s="1">
        <v>1.5</v>
      </c>
      <c r="E53" s="1" t="s">
        <v>6</v>
      </c>
      <c r="J53">
        <v>51</v>
      </c>
      <c r="K53">
        <f t="shared" si="1"/>
        <v>1.9866220735785913</v>
      </c>
      <c r="L53">
        <f t="shared" si="0"/>
        <v>0.13659866376336349</v>
      </c>
      <c r="M53" cm="1">
        <f t="array" ref="M53">EstymacjaGaussowska($K53,$C$2:$C$151)</f>
        <v>0.14724057161902501</v>
      </c>
      <c r="N53" cm="1">
        <f t="array" ref="N53">EstymacjaGaussowska($K53,$C$2:$C$151,$N$2)</f>
        <v>3.8410230159074098E-2</v>
      </c>
      <c r="O53" cm="1">
        <f t="array" ref="O53">EstymacjaGaussowska($K53,$C$2:$C$151,$O$2)</f>
        <v>0.11928174753248759</v>
      </c>
      <c r="P53" cm="1">
        <f t="array" ref="P53">EstymacjaGaussowska($K53,$C$2:$C$151,$P$2)</f>
        <v>3.2540043678699074E-2</v>
      </c>
      <c r="R53" cm="1">
        <f t="array" ref="R53">EstymacjaEpanecznikowa($K53,$C$2:$C$151,R$2)</f>
        <v>0.14551349228067861</v>
      </c>
      <c r="S53" cm="1">
        <f t="array" ref="S53">EstymacjaEpanecznikowa($K53,$C$2:$C$151,S$2)</f>
        <v>3.8010129205876597E-2</v>
      </c>
      <c r="T53" cm="1">
        <f t="array" ref="T53">EstymacjaEpanecznikowa($K53,$C$2:$C$151,T$2)</f>
        <v>0.11663544116169643</v>
      </c>
    </row>
    <row r="54" spans="1:20" x14ac:dyDescent="0.25">
      <c r="A54" s="1">
        <v>6.9</v>
      </c>
      <c r="B54" s="1">
        <v>3.1</v>
      </c>
      <c r="C54" s="2">
        <v>4.9000000000000004</v>
      </c>
      <c r="D54" s="1">
        <v>1.5</v>
      </c>
      <c r="E54" s="1" t="s">
        <v>6</v>
      </c>
      <c r="J54">
        <v>52</v>
      </c>
      <c r="K54">
        <f t="shared" si="1"/>
        <v>2.0063545150501634</v>
      </c>
      <c r="L54">
        <f t="shared" si="0"/>
        <v>0.13813081255781662</v>
      </c>
      <c r="M54" cm="1">
        <f t="array" ref="M54">EstymacjaGaussowska($K54,$C$2:$C$151)</f>
        <v>0.14454951324353002</v>
      </c>
      <c r="N54" cm="1">
        <f t="array" ref="N54">EstymacjaGaussowska($K54,$C$2:$C$151,$N$2)</f>
        <v>3.1239344503162396E-2</v>
      </c>
      <c r="O54" cm="1">
        <f t="array" ref="O54">EstymacjaGaussowska($K54,$C$2:$C$151,$O$2)</f>
        <v>0.11962908129921389</v>
      </c>
      <c r="P54" cm="1">
        <f t="array" ref="P54">EstymacjaGaussowska($K54,$C$2:$C$151,$P$2)</f>
        <v>3.254775387694523E-2</v>
      </c>
      <c r="R54" cm="1">
        <f t="array" ref="R54">EstymacjaEpanecznikowa($K54,$C$2:$C$151,R$2)</f>
        <v>0.14441864665270809</v>
      </c>
      <c r="S54" cm="1">
        <f t="array" ref="S54">EstymacjaEpanecznikowa($K54,$C$2:$C$151,S$2)</f>
        <v>3.4604240584584986E-2</v>
      </c>
      <c r="T54" cm="1">
        <f t="array" ref="T54">EstymacjaEpanecznikowa($K54,$C$2:$C$151,T$2)</f>
        <v>0.11740427520885639</v>
      </c>
    </row>
    <row r="55" spans="1:20" x14ac:dyDescent="0.25">
      <c r="A55" s="1">
        <v>5.5</v>
      </c>
      <c r="B55" s="1">
        <v>2.2999999999999998</v>
      </c>
      <c r="C55" s="2">
        <v>4</v>
      </c>
      <c r="D55" s="1">
        <v>1.3</v>
      </c>
      <c r="E55" s="1" t="s">
        <v>6</v>
      </c>
      <c r="J55">
        <v>53</v>
      </c>
      <c r="K55">
        <f t="shared" si="1"/>
        <v>2.0260869565217354</v>
      </c>
      <c r="L55">
        <f t="shared" si="0"/>
        <v>0.13966269507519247</v>
      </c>
      <c r="M55" cm="1">
        <f t="array" ref="M55">EstymacjaGaussowska($K55,$C$2:$C$151)</f>
        <v>0.14182893040110225</v>
      </c>
      <c r="N55" cm="1">
        <f t="array" ref="N55">EstymacjaGaussowska($K55,$C$2:$C$151,$N$2)</f>
        <v>2.4567013108479543E-2</v>
      </c>
      <c r="O55" cm="1">
        <f t="array" ref="O55">EstymacjaGaussowska($K55,$C$2:$C$151,$O$2)</f>
        <v>0.11997351879406788</v>
      </c>
      <c r="P55" cm="1">
        <f t="array" ref="P55">EstymacjaGaussowska($K55,$C$2:$C$151,$P$2)</f>
        <v>3.2555379764426177E-2</v>
      </c>
      <c r="R55" cm="1">
        <f t="array" ref="R55">EstymacjaEpanecznikowa($K55,$C$2:$C$151,R$2)</f>
        <v>0.14326470582163781</v>
      </c>
      <c r="S55" cm="1">
        <f t="array" ref="S55">EstymacjaEpanecznikowa($K55,$C$2:$C$151,S$2)</f>
        <v>3.050182708060286E-2</v>
      </c>
      <c r="T55" cm="1">
        <f t="array" ref="T55">EstymacjaEpanecznikowa($K55,$C$2:$C$151,T$2)</f>
        <v>0.1181607265914353</v>
      </c>
    </row>
    <row r="56" spans="1:20" x14ac:dyDescent="0.25">
      <c r="A56" s="1">
        <v>6.5</v>
      </c>
      <c r="B56" s="1">
        <v>2.8</v>
      </c>
      <c r="C56" s="2">
        <v>4.5999999999999996</v>
      </c>
      <c r="D56" s="1">
        <v>1.5</v>
      </c>
      <c r="E56" s="1" t="s">
        <v>6</v>
      </c>
      <c r="J56">
        <v>54</v>
      </c>
      <c r="K56">
        <f t="shared" si="1"/>
        <v>2.0458193979933075</v>
      </c>
      <c r="L56">
        <f t="shared" si="0"/>
        <v>0.14119392345588336</v>
      </c>
      <c r="M56" cm="1">
        <f t="array" ref="M56">EstymacjaGaussowska($K56,$C$2:$C$151)</f>
        <v>0.13908498235487532</v>
      </c>
      <c r="N56" cm="1">
        <f t="array" ref="N56">EstymacjaGaussowska($K56,$C$2:$C$151,$N$2)</f>
        <v>1.864881216760652E-2</v>
      </c>
      <c r="O56" cm="1">
        <f t="array" ref="O56">EstymacjaGaussowska($K56,$C$2:$C$151,$O$2)</f>
        <v>0.12031523338352627</v>
      </c>
      <c r="P56" cm="1">
        <f t="array" ref="P56">EstymacjaGaussowska($K56,$C$2:$C$151,$P$2)</f>
        <v>3.2562921280915508E-2</v>
      </c>
      <c r="R56" cm="1">
        <f t="array" ref="R56">EstymacjaEpanecznikowa($K56,$C$2:$C$151,R$2)</f>
        <v>0.14205166978746736</v>
      </c>
      <c r="S56" cm="1">
        <f t="array" ref="S56">EstymacjaEpanecznikowa($K56,$C$2:$C$151,S$2)</f>
        <v>2.5702888693930209E-2</v>
      </c>
      <c r="T56" cm="1">
        <f t="array" ref="T56">EstymacjaEpanecznikowa($K56,$C$2:$C$151,T$2)</f>
        <v>0.11890479530943283</v>
      </c>
    </row>
    <row r="57" spans="1:20" x14ac:dyDescent="0.25">
      <c r="A57" s="1">
        <v>5.7</v>
      </c>
      <c r="B57" s="1">
        <v>2.8</v>
      </c>
      <c r="C57" s="2">
        <v>4.5</v>
      </c>
      <c r="D57" s="1">
        <v>1.3</v>
      </c>
      <c r="E57" s="1" t="s">
        <v>6</v>
      </c>
      <c r="J57">
        <v>55</v>
      </c>
      <c r="K57">
        <f t="shared" si="1"/>
        <v>2.0655518394648795</v>
      </c>
      <c r="L57">
        <f t="shared" si="0"/>
        <v>0.14272410581004683</v>
      </c>
      <c r="M57" cm="1">
        <f t="array" ref="M57">EstymacjaGaussowska($K57,$C$2:$C$151)</f>
        <v>0.13632380451444123</v>
      </c>
      <c r="N57" cm="1">
        <f t="array" ref="N57">EstymacjaGaussowska($K57,$C$2:$C$151,$N$2)</f>
        <v>1.3648633665768179E-2</v>
      </c>
      <c r="O57" cm="1">
        <f t="array" ref="O57">EstymacjaGaussowska($K57,$C$2:$C$151,$O$2)</f>
        <v>0.12065439943230254</v>
      </c>
      <c r="P57" cm="1">
        <f t="array" ref="P57">EstymacjaGaussowska($K57,$C$2:$C$151,$P$2)</f>
        <v>3.2570378366842526E-2</v>
      </c>
      <c r="R57" cm="1">
        <f t="array" ref="R57">EstymacjaEpanecznikowa($K57,$C$2:$C$151,R$2)</f>
        <v>0.14078610510591555</v>
      </c>
      <c r="S57" cm="1">
        <f t="array" ref="S57">EstymacjaEpanecznikowa($K57,$C$2:$C$151,S$2)</f>
        <v>2.0207425424567042E-2</v>
      </c>
      <c r="T57" cm="1">
        <f t="array" ref="T57">EstymacjaEpanecznikowa($K57,$C$2:$C$151,T$2)</f>
        <v>0.11967131909382313</v>
      </c>
    </row>
    <row r="58" spans="1:20" x14ac:dyDescent="0.25">
      <c r="A58" s="1">
        <v>6.3</v>
      </c>
      <c r="B58" s="1">
        <v>3.3</v>
      </c>
      <c r="C58" s="2">
        <v>4.7</v>
      </c>
      <c r="D58" s="1">
        <v>1.6</v>
      </c>
      <c r="E58" s="1" t="s">
        <v>6</v>
      </c>
      <c r="J58">
        <v>56</v>
      </c>
      <c r="K58">
        <f t="shared" si="1"/>
        <v>2.0852842809364516</v>
      </c>
      <c r="L58">
        <f t="shared" si="0"/>
        <v>0.14425284637033628</v>
      </c>
      <c r="M58" cm="1">
        <f t="array" ref="M58">EstymacjaGaussowska($K58,$C$2:$C$151)</f>
        <v>0.1335514917912928</v>
      </c>
      <c r="N58" cm="1">
        <f t="array" ref="N58">EstymacjaGaussowska($K58,$C$2:$C$151,$N$2)</f>
        <v>9.623255472401001E-3</v>
      </c>
      <c r="O58" cm="1">
        <f t="array" ref="O58">EstymacjaGaussowska($K58,$C$2:$C$151,$O$2)</f>
        <v>0.12099119207530688</v>
      </c>
      <c r="P58" cm="1">
        <f t="array" ref="P58">EstymacjaGaussowska($K58,$C$2:$C$151,$P$2)</f>
        <v>3.2577750963292594E-2</v>
      </c>
      <c r="R58" cm="1">
        <f t="array" ref="R58">EstymacjaEpanecznikowa($K58,$C$2:$C$151,R$2)</f>
        <v>0.13953789422281215</v>
      </c>
      <c r="S58" cm="1">
        <f t="array" ref="S58">EstymacjaEpanecznikowa($K58,$C$2:$C$151,S$2)</f>
        <v>1.4015437272513356E-2</v>
      </c>
      <c r="T58" cm="1">
        <f t="array" ref="T58">EstymacjaEpanecznikowa($K58,$C$2:$C$151,T$2)</f>
        <v>0.12042539363442935</v>
      </c>
    </row>
    <row r="59" spans="1:20" x14ac:dyDescent="0.25">
      <c r="A59" s="1">
        <v>4.9000000000000004</v>
      </c>
      <c r="B59" s="1">
        <v>2.4</v>
      </c>
      <c r="C59" s="2">
        <v>3.3</v>
      </c>
      <c r="D59" s="1">
        <v>1</v>
      </c>
      <c r="E59" s="1" t="s">
        <v>6</v>
      </c>
      <c r="J59">
        <v>57</v>
      </c>
      <c r="K59">
        <f t="shared" si="1"/>
        <v>2.1050167224080236</v>
      </c>
      <c r="L59">
        <f t="shared" si="0"/>
        <v>0.1457797456487312</v>
      </c>
      <c r="M59" cm="1">
        <f t="array" ref="M59">EstymacjaGaussowska($K59,$C$2:$C$151)</f>
        <v>0.13077408249365013</v>
      </c>
      <c r="N59" cm="1">
        <f t="array" ref="N59">EstymacjaGaussowska($K59,$C$2:$C$151,$N$2)</f>
        <v>6.5330783419929872E-3</v>
      </c>
      <c r="O59" cm="1">
        <f t="array" ref="O59">EstymacjaGaussowska($K59,$C$2:$C$151,$O$2)</f>
        <v>0.12132578698780344</v>
      </c>
      <c r="P59" cm="1">
        <f t="array" ref="P59">EstymacjaGaussowska($K59,$C$2:$C$151,$P$2)</f>
        <v>3.2585039012008384E-2</v>
      </c>
      <c r="R59" cm="1">
        <f t="array" ref="R59">EstymacjaEpanecznikowa($K59,$C$2:$C$151,R$2)</f>
        <v>0.13822951367837089</v>
      </c>
      <c r="S59" cm="1">
        <f t="array" ref="S59">EstymacjaEpanecznikowa($K59,$C$2:$C$151,S$2)</f>
        <v>7.1269242377691522E-3</v>
      </c>
      <c r="T59" cm="1">
        <f t="array" ref="T59">EstymacjaEpanecznikowa($K59,$C$2:$C$151,T$2)</f>
        <v>0.1211668791327115</v>
      </c>
    </row>
    <row r="60" spans="1:20" x14ac:dyDescent="0.25">
      <c r="A60" s="1">
        <v>6.6</v>
      </c>
      <c r="B60" s="1">
        <v>2.9</v>
      </c>
      <c r="C60" s="2">
        <v>4.5999999999999996</v>
      </c>
      <c r="D60" s="1">
        <v>1.3</v>
      </c>
      <c r="E60" s="1" t="s">
        <v>6</v>
      </c>
      <c r="J60">
        <v>58</v>
      </c>
      <c r="K60">
        <f t="shared" si="1"/>
        <v>2.1247491638795957</v>
      </c>
      <c r="L60">
        <f t="shared" si="0"/>
        <v>0.1473044005973935</v>
      </c>
      <c r="M60" cm="1">
        <f t="array" ref="M60">EstymacjaGaussowska($K60,$C$2:$C$151)</f>
        <v>0.12799754281930226</v>
      </c>
      <c r="N60" cm="1">
        <f t="array" ref="N60">EstymacjaGaussowska($K60,$C$2:$C$151,$N$2)</f>
        <v>4.2689497524322972E-3</v>
      </c>
      <c r="O60" cm="1">
        <f t="array" ref="O60">EstymacjaGaussowska($K60,$C$2:$C$151,$O$2)</f>
        <v>0.12165836015404291</v>
      </c>
      <c r="P60" cm="1">
        <f t="array" ref="P60">EstymacjaGaussowska($K60,$C$2:$C$151,$P$2)</f>
        <v>3.2592242455390212E-2</v>
      </c>
      <c r="R60" cm="1">
        <f t="array" ref="R60">EstymacjaEpanecznikowa($K60,$C$2:$C$151,R$2)</f>
        <v>0.13686096347259138</v>
      </c>
      <c r="S60" cm="1">
        <f t="array" ref="S60">EstymacjaEpanecznikowa($K60,$C$2:$C$151,S$2)</f>
        <v>0</v>
      </c>
      <c r="T60" cm="1">
        <f t="array" ref="T60">EstymacjaEpanecznikowa($K60,$C$2:$C$151,T$2)</f>
        <v>0.12189577558866947</v>
      </c>
    </row>
    <row r="61" spans="1:20" x14ac:dyDescent="0.25">
      <c r="A61" s="1">
        <v>5.2</v>
      </c>
      <c r="B61" s="1">
        <v>2.7</v>
      </c>
      <c r="C61" s="2">
        <v>3.9</v>
      </c>
      <c r="D61" s="1">
        <v>1.4</v>
      </c>
      <c r="E61" s="1" t="s">
        <v>6</v>
      </c>
      <c r="J61">
        <v>59</v>
      </c>
      <c r="K61">
        <f t="shared" si="1"/>
        <v>2.1444816053511677</v>
      </c>
      <c r="L61">
        <f t="shared" si="0"/>
        <v>0.14882640477347284</v>
      </c>
      <c r="M61" cm="1">
        <f t="array" ref="M61">EstymacjaGaussowska($K61,$C$2:$C$151)</f>
        <v>0.12522775200030398</v>
      </c>
      <c r="N61" cm="1">
        <f t="array" ref="N61">EstymacjaGaussowska($K61,$C$2:$C$151,$N$2)</f>
        <v>2.6842756397674459E-3</v>
      </c>
      <c r="O61" cm="1">
        <f t="array" ref="O61">EstymacjaGaussowska($K61,$C$2:$C$151,$O$2)</f>
        <v>0.12198908763463905</v>
      </c>
      <c r="P61" cm="1">
        <f t="array" ref="P61">EstymacjaGaussowska($K61,$C$2:$C$151,$P$2)</f>
        <v>3.2599361236497142E-2</v>
      </c>
      <c r="R61" cm="1">
        <f t="array" ref="R61">EstymacjaEpanecznikowa($K61,$C$2:$C$151,R$2)</f>
        <v>0.13543224360547382</v>
      </c>
      <c r="S61" cm="1">
        <f t="array" ref="S61">EstymacjaEpanecznikowa($K61,$C$2:$C$151,S$2)</f>
        <v>0</v>
      </c>
      <c r="T61" cm="1">
        <f t="array" ref="T61">EstymacjaEpanecznikowa($K61,$C$2:$C$151,T$2)</f>
        <v>0.1226120830023031</v>
      </c>
    </row>
    <row r="62" spans="1:20" x14ac:dyDescent="0.25">
      <c r="A62" s="1">
        <v>5</v>
      </c>
      <c r="B62" s="1">
        <v>2</v>
      </c>
      <c r="C62" s="2">
        <v>3.5</v>
      </c>
      <c r="D62" s="1">
        <v>1</v>
      </c>
      <c r="E62" s="1" t="s">
        <v>6</v>
      </c>
      <c r="J62">
        <v>60</v>
      </c>
      <c r="K62">
        <f t="shared" si="1"/>
        <v>2.1642140468227398</v>
      </c>
      <c r="L62">
        <f t="shared" si="0"/>
        <v>0.15034534850777684</v>
      </c>
      <c r="M62" cm="1">
        <f t="array" ref="M62">EstymacjaGaussowska($K62,$C$2:$C$151)</f>
        <v>0.12247048814836778</v>
      </c>
      <c r="N62" cm="1">
        <f t="array" ref="N62">EstymacjaGaussowska($K62,$C$2:$C$151,$N$2)</f>
        <v>1.6239252562635672E-3</v>
      </c>
      <c r="O62" cm="1">
        <f t="array" ref="O62">EstymacjaGaussowska($K62,$C$2:$C$151,$O$2)</f>
        <v>0.12231814533296638</v>
      </c>
      <c r="P62" cm="1">
        <f t="array" ref="P62">EstymacjaGaussowska($K62,$C$2:$C$151,$P$2)</f>
        <v>3.2606395299047526E-2</v>
      </c>
      <c r="R62" cm="1">
        <f t="array" ref="R62">EstymacjaEpanecznikowa($K62,$C$2:$C$151,R$2)</f>
        <v>0.13394425356774015</v>
      </c>
      <c r="S62" cm="1">
        <f t="array" ref="S62">EstymacjaEpanecznikowa($K62,$C$2:$C$151,S$2)</f>
        <v>0</v>
      </c>
      <c r="T62" cm="1">
        <f t="array" ref="T62">EstymacjaEpanecznikowa($K62,$C$2:$C$151,T$2)</f>
        <v>0.12336451071551417</v>
      </c>
    </row>
    <row r="63" spans="1:20" x14ac:dyDescent="0.25">
      <c r="A63" s="1">
        <v>5.9</v>
      </c>
      <c r="B63" s="1">
        <v>3</v>
      </c>
      <c r="C63" s="2">
        <v>4.2</v>
      </c>
      <c r="D63" s="1">
        <v>1.5</v>
      </c>
      <c r="E63" s="1" t="s">
        <v>6</v>
      </c>
      <c r="J63">
        <v>61</v>
      </c>
      <c r="K63">
        <f t="shared" si="1"/>
        <v>2.1839464882943118</v>
      </c>
      <c r="L63">
        <f t="shared" si="0"/>
        <v>0.15186081907722129</v>
      </c>
      <c r="M63" cm="1">
        <f t="array" ref="M63">EstymacjaGaussowska($K63,$C$2:$C$151)</f>
        <v>0.11973141484459411</v>
      </c>
      <c r="N63" cm="1">
        <f t="array" ref="N63">EstymacjaGaussowska($K63,$C$2:$C$151,$N$2)</f>
        <v>9.4512849365199476E-4</v>
      </c>
      <c r="O63" cm="1">
        <f t="array" ref="O63">EstymacjaGaussowska($K63,$C$2:$C$151,$O$2)</f>
        <v>0.12264570876086271</v>
      </c>
      <c r="P63" cm="1">
        <f t="array" ref="P63">EstymacjaGaussowska($K63,$C$2:$C$151,$P$2)</f>
        <v>3.2613344587419761E-2</v>
      </c>
      <c r="R63" cm="1">
        <f t="array" ref="R63">EstymacjaEpanecznikowa($K63,$C$2:$C$151,R$2)</f>
        <v>0.13247828277983947</v>
      </c>
      <c r="S63" cm="1">
        <f t="array" ref="S63">EstymacjaEpanecznikowa($K63,$C$2:$C$151,S$2)</f>
        <v>0</v>
      </c>
      <c r="T63" cm="1">
        <f t="array" ref="T63">EstymacjaEpanecznikowa($K63,$C$2:$C$151,T$2)</f>
        <v>0.12410781775972272</v>
      </c>
    </row>
    <row r="64" spans="1:20" x14ac:dyDescent="0.25">
      <c r="A64" s="1">
        <v>6</v>
      </c>
      <c r="B64" s="1">
        <v>2.2000000000000002</v>
      </c>
      <c r="C64" s="2">
        <v>4</v>
      </c>
      <c r="D64" s="1">
        <v>1</v>
      </c>
      <c r="E64" s="1" t="s">
        <v>6</v>
      </c>
      <c r="J64">
        <v>62</v>
      </c>
      <c r="K64">
        <f t="shared" si="1"/>
        <v>2.2036789297658839</v>
      </c>
      <c r="L64">
        <f t="shared" si="0"/>
        <v>0.15337240088096793</v>
      </c>
      <c r="M64" cm="1">
        <f t="array" ref="M64">EstymacjaGaussowska($K64,$C$2:$C$151)</f>
        <v>0.11701606851186992</v>
      </c>
      <c r="N64" cm="1">
        <f t="array" ref="N64">EstymacjaGaussowska($K64,$C$2:$C$151,$N$2)</f>
        <v>5.2913935521841445E-4</v>
      </c>
      <c r="O64" cm="1">
        <f t="array" ref="O64">EstymacjaGaussowska($K64,$C$2:$C$151,$O$2)</f>
        <v>0.12297195280390592</v>
      </c>
      <c r="P64" cm="1">
        <f t="array" ref="P64">EstymacjaGaussowska($K64,$C$2:$C$151,$P$2)</f>
        <v>3.2620209046653234E-2</v>
      </c>
      <c r="R64" cm="1">
        <f t="array" ref="R64">EstymacjaEpanecznikowa($K64,$C$2:$C$151,R$2)</f>
        <v>0.13095106787236277</v>
      </c>
      <c r="S64" cm="1">
        <f t="array" ref="S64">EstymacjaEpanecznikowa($K64,$C$2:$C$151,S$2)</f>
        <v>0</v>
      </c>
      <c r="T64" cm="1">
        <f t="array" ref="T64">EstymacjaEpanecznikowa($K64,$C$2:$C$151,T$2)</f>
        <v>0.1248382261949928</v>
      </c>
    </row>
    <row r="65" spans="1:20" x14ac:dyDescent="0.25">
      <c r="A65" s="1">
        <v>6.1</v>
      </c>
      <c r="B65" s="1">
        <v>2.9</v>
      </c>
      <c r="C65" s="2">
        <v>4.7</v>
      </c>
      <c r="D65" s="1">
        <v>1.4</v>
      </c>
      <c r="E65" s="1" t="s">
        <v>6</v>
      </c>
      <c r="J65">
        <v>63</v>
      </c>
      <c r="K65">
        <f t="shared" si="1"/>
        <v>2.2234113712374559</v>
      </c>
      <c r="L65">
        <f t="shared" si="0"/>
        <v>0.15487967562015595</v>
      </c>
      <c r="M65" cm="1">
        <f t="array" ref="M65">EstymacjaGaussowska($K65,$C$2:$C$151)</f>
        <v>0.11432984660283303</v>
      </c>
      <c r="N65" cm="1">
        <f t="array" ref="N65">EstymacjaGaussowska($K65,$C$2:$C$151,$N$2)</f>
        <v>2.8495908796554283E-4</v>
      </c>
      <c r="O65" cm="1">
        <f t="array" ref="O65">EstymacjaGaussowska($K65,$C$2:$C$151,$O$2)</f>
        <v>0.12329705148656096</v>
      </c>
      <c r="P65" cm="1">
        <f t="array" ref="P65">EstymacjaGaussowska($K65,$C$2:$C$151,$P$2)</f>
        <v>3.2626988622448672E-2</v>
      </c>
      <c r="R65" cm="1">
        <f t="array" ref="R65">EstymacjaEpanecznikowa($K65,$C$2:$C$151,R$2)</f>
        <v>0.12936260884530956</v>
      </c>
      <c r="S65" cm="1">
        <f t="array" ref="S65">EstymacjaEpanecznikowa($K65,$C$2:$C$151,S$2)</f>
        <v>0</v>
      </c>
      <c r="T65" cm="1">
        <f t="array" ref="T65">EstymacjaEpanecznikowa($K65,$C$2:$C$151,T$2)</f>
        <v>0.12555573602132433</v>
      </c>
    </row>
    <row r="66" spans="1:20" x14ac:dyDescent="0.25">
      <c r="A66" s="1">
        <v>5.6</v>
      </c>
      <c r="B66" s="1">
        <v>2.9</v>
      </c>
      <c r="C66" s="2">
        <v>3.6</v>
      </c>
      <c r="D66" s="1">
        <v>1.3</v>
      </c>
      <c r="E66" s="1" t="s">
        <v>6</v>
      </c>
      <c r="J66">
        <v>64</v>
      </c>
      <c r="K66">
        <f t="shared" si="1"/>
        <v>2.243143812709028</v>
      </c>
      <c r="L66">
        <f t="shared" si="0"/>
        <v>0.15638222248112726</v>
      </c>
      <c r="M66" cm="1">
        <f t="array" ref="M66">EstymacjaGaussowska($K66,$C$2:$C$151)</f>
        <v>0.11167799663084271</v>
      </c>
      <c r="N66" cm="1">
        <f t="array" ref="N66">EstymacjaGaussowska($K66,$C$2:$C$151,$N$2)</f>
        <v>1.4760939561551397E-4</v>
      </c>
      <c r="O66" cm="1">
        <f t="array" ref="O66">EstymacjaGaussowska($K66,$C$2:$C$151,$O$2)</f>
        <v>0.12362117773746285</v>
      </c>
      <c r="P66" cm="1">
        <f t="array" ref="P66">EstymacjaGaussowska($K66,$C$2:$C$151,$P$2)</f>
        <v>3.2633683261169256E-2</v>
      </c>
      <c r="R66" cm="1">
        <f t="array" ref="R66">EstymacjaEpanecznikowa($K66,$C$2:$C$151,R$2)</f>
        <v>0.1277129056986803</v>
      </c>
      <c r="S66" cm="1">
        <f t="array" ref="S66">EstymacjaEpanecznikowa($K66,$C$2:$C$151,S$2)</f>
        <v>0</v>
      </c>
      <c r="T66" cm="1">
        <f t="array" ref="T66">EstymacjaEpanecznikowa($K66,$C$2:$C$151,T$2)</f>
        <v>0.1262603472387169</v>
      </c>
    </row>
    <row r="67" spans="1:20" x14ac:dyDescent="0.25">
      <c r="A67" s="1">
        <v>6.7</v>
      </c>
      <c r="B67" s="1">
        <v>3.1</v>
      </c>
      <c r="C67" s="2">
        <v>4.4000000000000004</v>
      </c>
      <c r="D67" s="1">
        <v>1.4</v>
      </c>
      <c r="E67" s="1" t="s">
        <v>6</v>
      </c>
      <c r="J67">
        <v>65</v>
      </c>
      <c r="K67">
        <f t="shared" si="1"/>
        <v>2.2628762541806</v>
      </c>
      <c r="L67">
        <f t="shared" si="0"/>
        <v>0.15787961832204256</v>
      </c>
      <c r="M67" cm="1">
        <f t="array" ref="M67">EstymacjaGaussowska($K67,$C$2:$C$151)</f>
        <v>0.10906560606588311</v>
      </c>
      <c r="N67" cm="1">
        <f t="array" ref="N67">EstymacjaGaussowska($K67,$C$2:$C$151,$N$2)</f>
        <v>7.3545311919018976E-5</v>
      </c>
      <c r="O67" cm="1">
        <f t="array" ref="O67">EstymacjaGaussowska($K67,$C$2:$C$151,$O$2)</f>
        <v>0.12394450315513493</v>
      </c>
      <c r="P67" cm="1">
        <f t="array" ref="P67">EstymacjaGaussowska($K67,$C$2:$C$151,$P$2)</f>
        <v>3.2640292909841037E-2</v>
      </c>
      <c r="R67" cm="1">
        <f t="array" ref="R67">EstymacjaEpanecznikowa($K67,$C$2:$C$151,R$2)</f>
        <v>0.12600195843247475</v>
      </c>
      <c r="S67" cm="1">
        <f t="array" ref="S67">EstymacjaEpanecznikowa($K67,$C$2:$C$151,S$2)</f>
        <v>0</v>
      </c>
      <c r="T67" cm="1">
        <f t="array" ref="T67">EstymacjaEpanecznikowa($K67,$C$2:$C$151,T$2)</f>
        <v>0.12704238117608402</v>
      </c>
    </row>
    <row r="68" spans="1:20" x14ac:dyDescent="0.25">
      <c r="A68" s="1">
        <v>5.6</v>
      </c>
      <c r="B68" s="1">
        <v>3</v>
      </c>
      <c r="C68" s="2">
        <v>4.5</v>
      </c>
      <c r="D68" s="1">
        <v>1.5</v>
      </c>
      <c r="E68" s="1" t="s">
        <v>6</v>
      </c>
      <c r="J68">
        <v>66</v>
      </c>
      <c r="K68">
        <f t="shared" si="1"/>
        <v>2.2826086956521721</v>
      </c>
      <c r="L68">
        <f t="shared" ref="L68:L131" si="2">_xlfn.NORM.DIST(K68,$H$2,$H$3,FALSE)</f>
        <v>0.1593714378627811</v>
      </c>
      <c r="M68" cm="1">
        <f t="array" ref="M68">EstymacjaGaussowska($K68,$C$2:$C$151)</f>
        <v>0.10649759311187938</v>
      </c>
      <c r="N68" cm="1">
        <f t="array" ref="N68">EstymacjaGaussowska($K68,$C$2:$C$151,$N$2)</f>
        <v>3.5245126904378965E-5</v>
      </c>
      <c r="O68" cm="1">
        <f t="array" ref="O68">EstymacjaGaussowska($K68,$C$2:$C$151,$O$2)</f>
        <v>0.12426719777441127</v>
      </c>
      <c r="P68" cm="1">
        <f t="array" ref="P68">EstymacjaGaussowska($K68,$C$2:$C$151,$P$2)</f>
        <v>3.264681751615376E-2</v>
      </c>
      <c r="R68" cm="1">
        <f t="array" ref="R68">EstymacjaEpanecznikowa($K68,$C$2:$C$151,R$2)</f>
        <v>0.1243081557803189</v>
      </c>
      <c r="S68" cm="1">
        <f t="array" ref="S68">EstymacjaEpanecznikowa($K68,$C$2:$C$151,S$2)</f>
        <v>0</v>
      </c>
      <c r="T68" cm="1">
        <f t="array" ref="T68">EstymacjaEpanecznikowa($K68,$C$2:$C$151,T$2)</f>
        <v>0.12782559258118059</v>
      </c>
    </row>
    <row r="69" spans="1:20" x14ac:dyDescent="0.25">
      <c r="A69" s="1">
        <v>5.8</v>
      </c>
      <c r="B69" s="1">
        <v>2.7</v>
      </c>
      <c r="C69" s="2">
        <v>4.0999999999999996</v>
      </c>
      <c r="D69" s="1">
        <v>1</v>
      </c>
      <c r="E69" s="1" t="s">
        <v>6</v>
      </c>
      <c r="J69">
        <v>67</v>
      </c>
      <c r="K69">
        <f t="shared" ref="K69:K132" si="3">K68+$H$11</f>
        <v>2.3023411371237441</v>
      </c>
      <c r="L69">
        <f t="shared" si="2"/>
        <v>0.16085725387801245</v>
      </c>
      <c r="M69" cm="1">
        <f t="array" ref="M69">EstymacjaGaussowska($K69,$C$2:$C$151)</f>
        <v>0.10397869837647965</v>
      </c>
      <c r="N69" cm="1">
        <f t="array" ref="N69">EstymacjaGaussowska($K69,$C$2:$C$151,$N$2)</f>
        <v>1.6245831986984218E-5</v>
      </c>
      <c r="O69" cm="1">
        <f t="array" ref="O69">EstymacjaGaussowska($K69,$C$2:$C$151,$O$2)</f>
        <v>0.12458942983385453</v>
      </c>
      <c r="P69" cm="1">
        <f t="array" ref="P69">EstymacjaGaussowska($K69,$C$2:$C$151,$P$2)</f>
        <v>3.2653257028461537E-2</v>
      </c>
      <c r="R69" cm="1">
        <f t="array" ref="R69">EstymacjaEpanecznikowa($K69,$C$2:$C$151,R$2)</f>
        <v>0.1225568070632421</v>
      </c>
      <c r="S69" cm="1">
        <f t="array" ref="S69">EstymacjaEpanecznikowa($K69,$C$2:$C$151,S$2)</f>
        <v>0</v>
      </c>
      <c r="T69" cm="1">
        <f t="array" ref="T69">EstymacjaEpanecznikowa($K69,$C$2:$C$151,T$2)</f>
        <v>0.12859528624410907</v>
      </c>
    </row>
    <row r="70" spans="1:20" x14ac:dyDescent="0.25">
      <c r="A70" s="1">
        <v>6.2</v>
      </c>
      <c r="B70" s="1">
        <v>2.2000000000000002</v>
      </c>
      <c r="C70" s="2">
        <v>4.5</v>
      </c>
      <c r="D70" s="1">
        <v>1.5</v>
      </c>
      <c r="E70" s="1" t="s">
        <v>6</v>
      </c>
      <c r="J70">
        <v>68</v>
      </c>
      <c r="K70">
        <f t="shared" si="3"/>
        <v>2.3220735785953162</v>
      </c>
      <c r="L70">
        <f t="shared" si="2"/>
        <v>0.16233663739332596</v>
      </c>
      <c r="M70" cm="1">
        <f t="array" ref="M70">EstymacjaGaussowska($K70,$C$2:$C$151)</f>
        <v>0.10151347743906043</v>
      </c>
      <c r="N70" cm="1">
        <f t="array" ref="N70">EstymacjaGaussowska($K70,$C$2:$C$151,$N$2)</f>
        <v>7.2024598803051684E-6</v>
      </c>
      <c r="O70" cm="1">
        <f t="array" ref="O70">EstymacjaGaussowska($K70,$C$2:$C$151,$O$2)</f>
        <v>0.12491136554444941</v>
      </c>
      <c r="P70" cm="1">
        <f t="array" ref="P70">EstymacjaGaussowska($K70,$C$2:$C$151,$P$2)</f>
        <v>3.2659611395783501E-2</v>
      </c>
      <c r="R70" cm="1">
        <f t="array" ref="R70">EstymacjaEpanecznikowa($K70,$C$2:$C$151,R$2)</f>
        <v>0.12074313976835091</v>
      </c>
      <c r="S70" cm="1">
        <f t="array" ref="S70">EstymacjaEpanecznikowa($K70,$C$2:$C$151,S$2)</f>
        <v>0</v>
      </c>
      <c r="T70" cm="1">
        <f t="array" ref="T70">EstymacjaEpanecznikowa($K70,$C$2:$C$151,T$2)</f>
        <v>0.12935146216486976</v>
      </c>
    </row>
    <row r="71" spans="1:20" x14ac:dyDescent="0.25">
      <c r="A71" s="1">
        <v>5.6</v>
      </c>
      <c r="B71" s="1">
        <v>2.5</v>
      </c>
      <c r="C71" s="2">
        <v>3.9</v>
      </c>
      <c r="D71" s="1">
        <v>1.1000000000000001</v>
      </c>
      <c r="E71" s="1" t="s">
        <v>6</v>
      </c>
      <c r="J71">
        <v>69</v>
      </c>
      <c r="K71">
        <f t="shared" si="3"/>
        <v>2.3418060200668882</v>
      </c>
      <c r="L71">
        <f t="shared" si="2"/>
        <v>0.16380915788429851</v>
      </c>
      <c r="M71" cm="1">
        <f t="array" ref="M71">EstymacjaGaussowska($K71,$C$2:$C$151)</f>
        <v>9.9106294317518315E-2</v>
      </c>
      <c r="N71" cm="1">
        <f t="array" ref="N71">EstymacjaGaussowska($K71,$C$2:$C$151,$N$2)</f>
        <v>3.0712475447730823E-6</v>
      </c>
      <c r="O71" cm="1">
        <f t="array" ref="O71">EstymacjaGaussowska($K71,$C$2:$C$151,$O$2)</f>
        <v>0.125233168859849</v>
      </c>
      <c r="P71" cm="1">
        <f t="array" ref="P71">EstymacjaGaussowska($K71,$C$2:$C$151,$P$2)</f>
        <v>3.2665880567804569E-2</v>
      </c>
      <c r="R71" cm="1">
        <f t="array" ref="R71">EstymacjaEpanecznikowa($K71,$C$2:$C$151,R$2)</f>
        <v>0.11886715389564514</v>
      </c>
      <c r="S71" cm="1">
        <f t="array" ref="S71">EstymacjaEpanecznikowa($K71,$C$2:$C$151,S$2)</f>
        <v>0</v>
      </c>
      <c r="T71" cm="1">
        <f t="array" ref="T71">EstymacjaEpanecznikowa($K71,$C$2:$C$151,T$2)</f>
        <v>0.13009412034346288</v>
      </c>
    </row>
    <row r="72" spans="1:20" x14ac:dyDescent="0.25">
      <c r="A72" s="1">
        <v>5.9</v>
      </c>
      <c r="B72" s="1">
        <v>3.2</v>
      </c>
      <c r="C72" s="2">
        <v>4.8</v>
      </c>
      <c r="D72" s="1">
        <v>1.8</v>
      </c>
      <c r="E72" s="1" t="s">
        <v>6</v>
      </c>
      <c r="J72">
        <v>70</v>
      </c>
      <c r="K72">
        <f t="shared" si="3"/>
        <v>2.3615384615384603</v>
      </c>
      <c r="L72">
        <f t="shared" si="2"/>
        <v>0.16527438347837803</v>
      </c>
      <c r="M72" cm="1">
        <f t="array" ref="M72">EstymacjaGaussowska($K72,$C$2:$C$151)</f>
        <v>9.6761315829412886E-2</v>
      </c>
      <c r="N72" cm="1">
        <f t="array" ref="N72">EstymacjaGaussowska($K72,$C$2:$C$151,$N$2)</f>
        <v>1.2596547801286459E-6</v>
      </c>
      <c r="O72" cm="1">
        <f t="array" ref="O72">EstymacjaGaussowska($K72,$C$2:$C$151,$O$2)</f>
        <v>0.12555500124846189</v>
      </c>
      <c r="P72" cm="1">
        <f t="array" ref="P72">EstymacjaGaussowska($K72,$C$2:$C$151,$P$2)</f>
        <v>3.2672064494875953E-2</v>
      </c>
      <c r="R72" cm="1">
        <f t="array" ref="R72">EstymacjaEpanecznikowa($K72,$C$2:$C$151,R$2)</f>
        <v>0.11692884944512494</v>
      </c>
      <c r="S72" cm="1">
        <f t="array" ref="S72">EstymacjaEpanecznikowa($K72,$C$2:$C$151,S$2)</f>
        <v>0</v>
      </c>
      <c r="T72" cm="1">
        <f t="array" ref="T72">EstymacjaEpanecznikowa($K72,$C$2:$C$151,T$2)</f>
        <v>0.13086487134401367</v>
      </c>
    </row>
    <row r="73" spans="1:20" x14ac:dyDescent="0.25">
      <c r="A73" s="1">
        <v>6.1</v>
      </c>
      <c r="B73" s="1">
        <v>2.8</v>
      </c>
      <c r="C73" s="2">
        <v>4</v>
      </c>
      <c r="D73" s="1">
        <v>1.3</v>
      </c>
      <c r="E73" s="1" t="s">
        <v>6</v>
      </c>
      <c r="J73">
        <v>71</v>
      </c>
      <c r="K73">
        <f t="shared" si="3"/>
        <v>2.3812709030100323</v>
      </c>
      <c r="L73">
        <f t="shared" si="2"/>
        <v>0.16673188115945753</v>
      </c>
      <c r="M73" cm="1">
        <f t="array" ref="M73">EstymacjaGaussowska($K73,$C$2:$C$151)</f>
        <v>9.448250683818013E-2</v>
      </c>
      <c r="N73" cm="1">
        <f t="array" ref="N73">EstymacjaGaussowska($K73,$C$2:$C$151,$N$2)</f>
        <v>4.9701411127368747E-7</v>
      </c>
      <c r="O73" cm="1">
        <f t="array" ref="O73">EstymacjaGaussowska($K73,$C$2:$C$151,$O$2)</f>
        <v>0.12587702146764537</v>
      </c>
      <c r="P73" cm="1">
        <f t="array" ref="P73">EstymacjaGaussowska($K73,$C$2:$C$151,$P$2)</f>
        <v>3.267816312801599E-2</v>
      </c>
      <c r="R73" cm="1">
        <f t="array" ref="R73">EstymacjaEpanecznikowa($K73,$C$2:$C$151,R$2)</f>
        <v>0.11514658032484557</v>
      </c>
      <c r="S73" cm="1">
        <f t="array" ref="S73">EstymacjaEpanecznikowa($K73,$C$2:$C$151,S$2)</f>
        <v>0</v>
      </c>
      <c r="T73" cm="1">
        <f t="array" ref="T73">EstymacjaEpanecznikowa($K73,$C$2:$C$151,T$2)</f>
        <v>0.13163271372862875</v>
      </c>
    </row>
    <row r="74" spans="1:20" x14ac:dyDescent="0.25">
      <c r="A74" s="1">
        <v>6.3</v>
      </c>
      <c r="B74" s="1">
        <v>2.5</v>
      </c>
      <c r="C74" s="2">
        <v>4.9000000000000004</v>
      </c>
      <c r="D74" s="1">
        <v>1.5</v>
      </c>
      <c r="E74" s="1" t="s">
        <v>6</v>
      </c>
      <c r="J74">
        <v>72</v>
      </c>
      <c r="K74">
        <f t="shared" si="3"/>
        <v>2.4010033444816044</v>
      </c>
      <c r="L74">
        <f t="shared" si="2"/>
        <v>0.16818121697500837</v>
      </c>
      <c r="M74" cm="1">
        <f t="array" ref="M74">EstymacjaGaussowska($K74,$C$2:$C$151)</f>
        <v>9.2273626370559358E-2</v>
      </c>
      <c r="N74" cm="1">
        <f t="array" ref="N74">EstymacjaGaussowska($K74,$C$2:$C$151,$N$2)</f>
        <v>1.8895293804520572E-7</v>
      </c>
      <c r="O74" cm="1">
        <f t="array" ref="O74">EstymacjaGaussowska($K74,$C$2:$C$151,$O$2)</f>
        <v>0.12619938534029482</v>
      </c>
      <c r="P74" cm="1">
        <f t="array" ref="P74">EstymacjaGaussowska($K74,$C$2:$C$151,$P$2)</f>
        <v>3.2684176418910561E-2</v>
      </c>
      <c r="R74" cm="1">
        <f t="array" ref="R74">EstymacjaEpanecznikowa($K74,$C$2:$C$151,R$2)</f>
        <v>0.11333011761741946</v>
      </c>
      <c r="S74" cm="1">
        <f t="array" ref="S74">EstymacjaEpanecznikowa($K74,$C$2:$C$151,S$2)</f>
        <v>0</v>
      </c>
      <c r="T74" cm="1">
        <f t="array" ref="T74">EstymacjaEpanecznikowa($K74,$C$2:$C$151,T$2)</f>
        <v>0.13238672880446162</v>
      </c>
    </row>
    <row r="75" spans="1:20" x14ac:dyDescent="0.25">
      <c r="A75" s="1">
        <v>6.1</v>
      </c>
      <c r="B75" s="1">
        <v>2.8</v>
      </c>
      <c r="C75" s="2">
        <v>4.7</v>
      </c>
      <c r="D75" s="1">
        <v>1.2</v>
      </c>
      <c r="E75" s="1" t="s">
        <v>6</v>
      </c>
      <c r="J75">
        <v>73</v>
      </c>
      <c r="K75">
        <f t="shared" si="3"/>
        <v>2.4207357859531764</v>
      </c>
      <c r="L75">
        <f t="shared" si="2"/>
        <v>0.16962195624564144</v>
      </c>
      <c r="M75" cm="1">
        <f t="array" ref="M75">EstymacjaGaussowska($K75,$C$2:$C$151)</f>
        <v>9.0138224587000618E-2</v>
      </c>
      <c r="N75" cm="1">
        <f t="array" ref="N75">EstymacjaGaussowska($K75,$C$2:$C$151,$N$2)</f>
        <v>7.0171570852565359E-8</v>
      </c>
      <c r="O75" cm="1">
        <f t="array" ref="O75">EstymacjaGaussowska($K75,$C$2:$C$151,$O$2)</f>
        <v>0.12652224553409114</v>
      </c>
      <c r="P75" cm="1">
        <f t="array" ref="P75">EstymacjaGaussowska($K75,$C$2:$C$151,$P$2)</f>
        <v>3.2690104319914072E-2</v>
      </c>
      <c r="R75" cm="1">
        <f t="array" ref="R75">EstymacjaEpanecznikowa($K75,$C$2:$C$151,R$2)</f>
        <v>0.11144811295746429</v>
      </c>
      <c r="S75" cm="1">
        <f t="array" ref="S75">EstymacjaEpanecznikowa($K75,$C$2:$C$151,S$2)</f>
        <v>0</v>
      </c>
      <c r="T75" cm="1">
        <f t="array" ref="T75">EstymacjaEpanecznikowa($K75,$C$2:$C$151,T$2)</f>
        <v>0.13312691657151215</v>
      </c>
    </row>
    <row r="76" spans="1:20" x14ac:dyDescent="0.25">
      <c r="A76" s="1">
        <v>6.4</v>
      </c>
      <c r="B76" s="1">
        <v>2.9</v>
      </c>
      <c r="C76" s="2">
        <v>4.3</v>
      </c>
      <c r="D76" s="1">
        <v>1.3</v>
      </c>
      <c r="E76" s="1" t="s">
        <v>6</v>
      </c>
      <c r="J76">
        <v>74</v>
      </c>
      <c r="K76">
        <f t="shared" si="3"/>
        <v>2.4404682274247484</v>
      </c>
      <c r="L76">
        <f t="shared" si="2"/>
        <v>0.17105366377695891</v>
      </c>
      <c r="M76" cm="1">
        <f t="array" ref="M76">EstymacjaGaussowska($K76,$C$2:$C$151)</f>
        <v>8.8079640582753138E-2</v>
      </c>
      <c r="N76" cm="1">
        <f t="array" ref="N76">EstymacjaGaussowska($K76,$C$2:$C$151,$N$2)</f>
        <v>2.837758623905359E-8</v>
      </c>
      <c r="O76" cm="1">
        <f t="array" ref="O76">EstymacjaGaussowska($K76,$C$2:$C$151,$O$2)</f>
        <v>0.12684575134368081</v>
      </c>
      <c r="P76" cm="1">
        <f t="array" ref="P76">EstymacjaGaussowska($K76,$C$2:$C$151,$P$2)</f>
        <v>3.2695946784049676E-2</v>
      </c>
      <c r="R76" cm="1">
        <f t="array" ref="R76">EstymacjaEpanecznikowa($K76,$C$2:$C$151,R$2)</f>
        <v>0.10950056634498018</v>
      </c>
      <c r="S76" cm="1">
        <f t="array" ref="S76">EstymacjaEpanecznikowa($K76,$C$2:$C$151,S$2)</f>
        <v>0</v>
      </c>
      <c r="T76" cm="1">
        <f t="array" ref="T76">EstymacjaEpanecznikowa($K76,$C$2:$C$151,T$2)</f>
        <v>0.13385327702978017</v>
      </c>
    </row>
    <row r="77" spans="1:20" x14ac:dyDescent="0.25">
      <c r="A77" s="1">
        <v>6.6</v>
      </c>
      <c r="B77" s="1">
        <v>3</v>
      </c>
      <c r="C77" s="2">
        <v>4.4000000000000004</v>
      </c>
      <c r="D77" s="1">
        <v>1.4</v>
      </c>
      <c r="E77" s="1" t="s">
        <v>6</v>
      </c>
      <c r="J77">
        <v>75</v>
      </c>
      <c r="K77">
        <f t="shared" si="3"/>
        <v>2.4602006688963205</v>
      </c>
      <c r="L77">
        <f t="shared" si="2"/>
        <v>0.17247590407355692</v>
      </c>
      <c r="M77" cm="1">
        <f t="array" ref="M77">EstymacjaGaussowska($K77,$C$2:$C$151)</f>
        <v>8.6101000993522567E-2</v>
      </c>
      <c r="N77" cm="1">
        <f t="array" ref="N77">EstymacjaGaussowska($K77,$C$2:$C$151,$N$2)</f>
        <v>2.0668684330628802E-8</v>
      </c>
      <c r="O77" cm="1">
        <f t="array" ref="O77">EstymacjaGaussowska($K77,$C$2:$C$151,$O$2)</f>
        <v>0.12717004847605604</v>
      </c>
      <c r="P77" cm="1">
        <f t="array" ref="P77">EstymacjaGaussowska($K77,$C$2:$C$151,$P$2)</f>
        <v>3.2701703765010227E-2</v>
      </c>
      <c r="R77" cm="1">
        <f t="array" ref="R77">EstymacjaEpanecznikowa($K77,$C$2:$C$151,R$2)</f>
        <v>0.10748747777996701</v>
      </c>
      <c r="S77" cm="1">
        <f t="array" ref="S77">EstymacjaEpanecznikowa($K77,$C$2:$C$151,S$2)</f>
        <v>0</v>
      </c>
      <c r="T77" cm="1">
        <f t="array" ref="T77">EstymacjaEpanecznikowa($K77,$C$2:$C$151,T$2)</f>
        <v>0.13460386922017498</v>
      </c>
    </row>
    <row r="78" spans="1:20" x14ac:dyDescent="0.25">
      <c r="A78" s="1">
        <v>6.8</v>
      </c>
      <c r="B78" s="1">
        <v>2.8</v>
      </c>
      <c r="C78" s="2">
        <v>4.8</v>
      </c>
      <c r="D78" s="1">
        <v>1.4</v>
      </c>
      <c r="E78" s="1" t="s">
        <v>6</v>
      </c>
      <c r="J78">
        <v>76</v>
      </c>
      <c r="K78">
        <f t="shared" si="3"/>
        <v>2.4799331103678925</v>
      </c>
      <c r="L78">
        <f t="shared" si="2"/>
        <v>0.17388824155503707</v>
      </c>
      <c r="M78" cm="1">
        <f t="array" ref="M78">EstymacjaGaussowska($K78,$C$2:$C$151)</f>
        <v>8.4205219376108809E-2</v>
      </c>
      <c r="N78" cm="1">
        <f t="array" ref="N78">EstymacjaGaussowska($K78,$C$2:$C$151,$N$2)</f>
        <v>3.8262810196111542E-8</v>
      </c>
      <c r="O78" cm="1">
        <f t="array" ref="O78">EstymacjaGaussowska($K78,$C$2:$C$151,$O$2)</f>
        <v>0.12749527883939821</v>
      </c>
      <c r="P78" cm="1">
        <f t="array" ref="P78">EstymacjaGaussowska($K78,$C$2:$C$151,$P$2)</f>
        <v>3.2707375217158698E-2</v>
      </c>
      <c r="R78" cm="1">
        <f t="array" ref="R78">EstymacjaEpanecznikowa($K78,$C$2:$C$151,R$2)</f>
        <v>0.10574472526138487</v>
      </c>
      <c r="S78" cm="1">
        <f t="array" ref="S78">EstymacjaEpanecznikowa($K78,$C$2:$C$151,S$2)</f>
        <v>0</v>
      </c>
      <c r="T78" cm="1">
        <f t="array" ref="T78">EstymacjaEpanecznikowa($K78,$C$2:$C$151,T$2)</f>
        <v>0.13535481573880351</v>
      </c>
    </row>
    <row r="79" spans="1:20" x14ac:dyDescent="0.25">
      <c r="A79" s="1">
        <v>6.7</v>
      </c>
      <c r="B79" s="1">
        <v>3</v>
      </c>
      <c r="C79" s="2">
        <v>5</v>
      </c>
      <c r="D79" s="1">
        <v>1.7</v>
      </c>
      <c r="E79" s="1" t="s">
        <v>6</v>
      </c>
      <c r="J79">
        <v>77</v>
      </c>
      <c r="K79">
        <f t="shared" si="3"/>
        <v>2.4996655518394646</v>
      </c>
      <c r="L79">
        <f t="shared" si="2"/>
        <v>0.17529024077388078</v>
      </c>
      <c r="M79" cm="1">
        <f t="array" ref="M79">EstymacjaGaussowska($K79,$C$2:$C$151)</f>
        <v>8.2394996331256395E-2</v>
      </c>
      <c r="N79" cm="1">
        <f t="array" ref="N79">EstymacjaGaussowska($K79,$C$2:$C$151,$N$2)</f>
        <v>9.8296970936067062E-8</v>
      </c>
      <c r="O79" cm="1">
        <f t="array" ref="O79">EstymacjaGaussowska($K79,$C$2:$C$151,$O$2)</f>
        <v>0.12782158033564023</v>
      </c>
      <c r="P79" cm="1">
        <f t="array" ref="P79">EstymacjaGaussowska($K79,$C$2:$C$151,$P$2)</f>
        <v>3.2712961095528854E-2</v>
      </c>
      <c r="R79" cm="1">
        <f t="array" ref="R79">EstymacjaEpanecznikowa($K79,$C$2:$C$151,R$2)</f>
        <v>0.10401171517898343</v>
      </c>
      <c r="S79" cm="1">
        <f t="array" ref="S79">EstymacjaEpanecznikowa($K79,$C$2:$C$151,S$2)</f>
        <v>0</v>
      </c>
      <c r="T79" cm="1">
        <f t="array" ref="T79">EstymacjaEpanecznikowa($K79,$C$2:$C$151,T$2)</f>
        <v>0.13609162538203493</v>
      </c>
    </row>
    <row r="80" spans="1:20" x14ac:dyDescent="0.25">
      <c r="A80" s="1">
        <v>6</v>
      </c>
      <c r="B80" s="1">
        <v>2.9</v>
      </c>
      <c r="C80" s="2">
        <v>4.5</v>
      </c>
      <c r="D80" s="1">
        <v>1.5</v>
      </c>
      <c r="E80" s="1" t="s">
        <v>6</v>
      </c>
      <c r="J80">
        <v>78</v>
      </c>
      <c r="K80">
        <f t="shared" si="3"/>
        <v>2.5193979933110366</v>
      </c>
      <c r="L80">
        <f t="shared" si="2"/>
        <v>0.17668146663503767</v>
      </c>
      <c r="M80" cm="1">
        <f t="array" ref="M80">EstymacjaGaussowska($K80,$C$2:$C$151)</f>
        <v>8.0672820333116194E-2</v>
      </c>
      <c r="N80" cm="1">
        <f t="array" ref="N80">EstymacjaGaussowska($K80,$C$2:$C$151,$N$2)</f>
        <v>2.568082927905632E-7</v>
      </c>
      <c r="O80" cm="1">
        <f t="array" ref="O80">EstymacjaGaussowska($K80,$C$2:$C$151,$O$2)</f>
        <v>0.12814908665700955</v>
      </c>
      <c r="P80" cm="1">
        <f t="array" ref="P80">EstymacjaGaussowska($K80,$C$2:$C$151,$P$2)</f>
        <v>3.2718461355825817E-2</v>
      </c>
      <c r="R80" cm="1">
        <f t="array" ref="R80">EstymacjaEpanecznikowa($K80,$C$2:$C$151,R$2)</f>
        <v>0.10220779085286212</v>
      </c>
      <c r="S80" cm="1">
        <f t="array" ref="S80">EstymacjaEpanecznikowa($K80,$C$2:$C$151,S$2)</f>
        <v>0</v>
      </c>
      <c r="T80" cm="1">
        <f t="array" ref="T80">EstymacjaEpanecznikowa($K80,$C$2:$C$151,T$2)</f>
        <v>0.13681429814986948</v>
      </c>
    </row>
    <row r="81" spans="1:20" x14ac:dyDescent="0.25">
      <c r="A81" s="1">
        <v>5.7</v>
      </c>
      <c r="B81" s="1">
        <v>2.6</v>
      </c>
      <c r="C81" s="2">
        <v>3.5</v>
      </c>
      <c r="D81" s="1">
        <v>1</v>
      </c>
      <c r="E81" s="1" t="s">
        <v>6</v>
      </c>
      <c r="J81">
        <v>79</v>
      </c>
      <c r="K81">
        <f t="shared" si="3"/>
        <v>2.5391304347826087</v>
      </c>
      <c r="L81">
        <f t="shared" si="2"/>
        <v>0.17806148461707771</v>
      </c>
      <c r="M81" cm="1">
        <f t="array" ref="M81">EstymacjaGaussowska($K81,$C$2:$C$151)</f>
        <v>7.9040969227211641E-2</v>
      </c>
      <c r="N81" cm="1">
        <f t="array" ref="N81">EstymacjaGaussowska($K81,$C$2:$C$151,$N$2)</f>
        <v>6.4959541685182968E-7</v>
      </c>
      <c r="O81" cm="1">
        <f t="array" ref="O81">EstymacjaGaussowska($K81,$C$2:$C$151,$O$2)</f>
        <v>0.12847792708679404</v>
      </c>
      <c r="P81" cm="1">
        <f t="array" ref="P81">EstymacjaGaussowska($K81,$C$2:$C$151,$P$2)</f>
        <v>3.2723875954426773E-2</v>
      </c>
      <c r="R81" cm="1">
        <f t="array" ref="R81">EstymacjaEpanecznikowa($K81,$C$2:$C$151,R$2)</f>
        <v>0.10034624206124722</v>
      </c>
      <c r="S81" cm="1">
        <f t="array" ref="S81">EstymacjaEpanecznikowa($K81,$C$2:$C$151,S$2)</f>
        <v>0</v>
      </c>
      <c r="T81" cm="1">
        <f t="array" ref="T81">EstymacjaEpanecznikowa($K81,$C$2:$C$151,T$2)</f>
        <v>0.13752283404230747</v>
      </c>
    </row>
    <row r="82" spans="1:20" x14ac:dyDescent="0.25">
      <c r="A82" s="1">
        <v>5.5</v>
      </c>
      <c r="B82" s="1">
        <v>2.4</v>
      </c>
      <c r="C82" s="2">
        <v>3.8</v>
      </c>
      <c r="D82" s="1">
        <v>1.1000000000000001</v>
      </c>
      <c r="E82" s="1" t="s">
        <v>6</v>
      </c>
      <c r="J82">
        <v>80</v>
      </c>
      <c r="K82">
        <f t="shared" si="3"/>
        <v>2.5588628762541807</v>
      </c>
      <c r="L82">
        <f t="shared" si="2"/>
        <v>0.17942986099475203</v>
      </c>
      <c r="M82" cm="1">
        <f t="array" ref="M82">EstymacjaGaussowska($K82,$C$2:$C$151)</f>
        <v>7.7501512356650676E-2</v>
      </c>
      <c r="N82" cm="1">
        <f t="array" ref="N82">EstymacjaGaussowska($K82,$C$2:$C$151,$N$2)</f>
        <v>1.5815990093996485E-6</v>
      </c>
      <c r="O82" cm="1">
        <f t="array" ref="O82">EstymacjaGaussowska($K82,$C$2:$C$151,$O$2)</f>
        <v>0.12880822630458375</v>
      </c>
      <c r="P82" cm="1">
        <f t="array" ref="P82">EstymacjaGaussowska($K82,$C$2:$C$151,$P$2)</f>
        <v>3.2729204848381349E-2</v>
      </c>
      <c r="R82" cm="1">
        <f t="array" ref="R82">EstymacjaEpanecznikowa($K82,$C$2:$C$151,R$2)</f>
        <v>9.8484834219383352E-2</v>
      </c>
      <c r="S82" cm="1">
        <f t="array" ref="S82">EstymacjaEpanecznikowa($K82,$C$2:$C$151,S$2)</f>
        <v>0</v>
      </c>
      <c r="T82" cm="1">
        <f t="array" ref="T82">EstymacjaEpanecznikowa($K82,$C$2:$C$151,T$2)</f>
        <v>0.13824023712255243</v>
      </c>
    </row>
    <row r="83" spans="1:20" x14ac:dyDescent="0.25">
      <c r="A83" s="1">
        <v>5.5</v>
      </c>
      <c r="B83" s="1">
        <v>2.4</v>
      </c>
      <c r="C83" s="2">
        <v>3.7</v>
      </c>
      <c r="D83" s="1">
        <v>1</v>
      </c>
      <c r="E83" s="1" t="s">
        <v>6</v>
      </c>
      <c r="J83">
        <v>81</v>
      </c>
      <c r="K83">
        <f t="shared" si="3"/>
        <v>2.5785953177257528</v>
      </c>
      <c r="L83">
        <f t="shared" si="2"/>
        <v>0.18078616306280695</v>
      </c>
      <c r="M83" cm="1">
        <f t="array" ref="M83">EstymacjaGaussowska($K83,$C$2:$C$151)</f>
        <v>7.6056313274516354E-2</v>
      </c>
      <c r="N83" cm="1">
        <f t="array" ref="N83">EstymacjaGaussowska($K83,$C$2:$C$151,$N$2)</f>
        <v>3.7040544656907076E-6</v>
      </c>
      <c r="O83" cm="1">
        <f t="array" ref="O83">EstymacjaGaussowska($K83,$C$2:$C$151,$O$2)</f>
        <v>0.12914010419622329</v>
      </c>
      <c r="P83" cm="1">
        <f t="array" ref="P83">EstymacjaGaussowska($K83,$C$2:$C$151,$P$2)</f>
        <v>3.2734447995412232E-2</v>
      </c>
      <c r="R83" cm="1">
        <f t="array" ref="R83">EstymacjaEpanecznikowa($K83,$C$2:$C$151,R$2)</f>
        <v>9.6738271466878092E-2</v>
      </c>
      <c r="S83" cm="1">
        <f t="array" ref="S83">EstymacjaEpanecznikowa($K83,$C$2:$C$151,S$2)</f>
        <v>0</v>
      </c>
      <c r="T83" cm="1">
        <f t="array" ref="T83">EstymacjaEpanecznikowa($K83,$C$2:$C$151,T$2)</f>
        <v>0.13895534037452462</v>
      </c>
    </row>
    <row r="84" spans="1:20" x14ac:dyDescent="0.25">
      <c r="A84" s="1">
        <v>5.8</v>
      </c>
      <c r="B84" s="1">
        <v>2.7</v>
      </c>
      <c r="C84" s="2">
        <v>3.9</v>
      </c>
      <c r="D84" s="1">
        <v>1.2</v>
      </c>
      <c r="E84" s="1" t="s">
        <v>6</v>
      </c>
      <c r="J84">
        <v>82</v>
      </c>
      <c r="K84">
        <f t="shared" si="3"/>
        <v>2.5983277591973248</v>
      </c>
      <c r="L84">
        <f t="shared" si="2"/>
        <v>0.18212995936089266</v>
      </c>
      <c r="M84" cm="1">
        <f t="array" ref="M84">EstymacjaGaussowska($K84,$C$2:$C$151)</f>
        <v>7.4707032998900996E-2</v>
      </c>
      <c r="N84" cm="1">
        <f t="array" ref="N84">EstymacjaGaussowska($K84,$C$2:$C$151,$N$2)</f>
        <v>8.343582379068972E-6</v>
      </c>
      <c r="O84" cm="1">
        <f t="array" ref="O84">EstymacjaGaussowska($K84,$C$2:$C$151,$O$2)</f>
        <v>0.12947367566870815</v>
      </c>
      <c r="P84" cm="1">
        <f t="array" ref="P84">EstymacjaGaussowska($K84,$C$2:$C$151,$P$2)</f>
        <v>3.2739605353915978E-2</v>
      </c>
      <c r="R84" cm="1">
        <f t="array" ref="R84">EstymacjaEpanecznikowa($K84,$C$2:$C$151,R$2)</f>
        <v>9.4984100020531453E-2</v>
      </c>
      <c r="S84" cm="1">
        <f t="array" ref="S84">EstymacjaEpanecznikowa($K84,$C$2:$C$151,S$2)</f>
        <v>0</v>
      </c>
      <c r="T84" cm="1">
        <f t="array" ref="T84">EstymacjaEpanecznikowa($K84,$C$2:$C$151,T$2)</f>
        <v>0.13965610037335668</v>
      </c>
    </row>
    <row r="85" spans="1:20" x14ac:dyDescent="0.25">
      <c r="A85" s="1">
        <v>6</v>
      </c>
      <c r="B85" s="1">
        <v>2.7</v>
      </c>
      <c r="C85" s="2">
        <v>5.0999999999999996</v>
      </c>
      <c r="D85" s="1">
        <v>1.6</v>
      </c>
      <c r="E85" s="1" t="s">
        <v>6</v>
      </c>
      <c r="J85">
        <v>83</v>
      </c>
      <c r="K85">
        <f t="shared" si="3"/>
        <v>2.6180602006688969</v>
      </c>
      <c r="L85">
        <f t="shared" si="2"/>
        <v>0.18346081989940494</v>
      </c>
      <c r="M85" cm="1">
        <f t="array" ref="M85">EstymacjaGaussowska($K85,$C$2:$C$151)</f>
        <v>7.3455133765939776E-2</v>
      </c>
      <c r="N85" cm="1">
        <f t="array" ref="N85">EstymacjaGaussowska($K85,$C$2:$C$151,$N$2)</f>
        <v>1.8076659241156535E-5</v>
      </c>
      <c r="O85" cm="1">
        <f t="array" ref="O85">EstymacjaGaussowska($K85,$C$2:$C$151,$O$2)</f>
        <v>0.12980905047026034</v>
      </c>
      <c r="P85" cm="1">
        <f t="array" ref="P85">EstymacjaGaussowska($K85,$C$2:$C$151,$P$2)</f>
        <v>3.2744676882963099E-2</v>
      </c>
      <c r="R85" cm="1">
        <f t="array" ref="R85">EstymacjaEpanecznikowa($K85,$C$2:$C$151,R$2)</f>
        <v>9.3156865413988627E-2</v>
      </c>
      <c r="S85" cm="1">
        <f t="array" ref="S85">EstymacjaEpanecznikowa($K85,$C$2:$C$151,S$2)</f>
        <v>0</v>
      </c>
      <c r="T85" cm="1">
        <f t="array" ref="T85">EstymacjaEpanecznikowa($K85,$C$2:$C$151,T$2)</f>
        <v>0.14034251711904933</v>
      </c>
    </row>
    <row r="86" spans="1:20" x14ac:dyDescent="0.25">
      <c r="A86" s="1">
        <v>5.4</v>
      </c>
      <c r="B86" s="1">
        <v>3</v>
      </c>
      <c r="C86" s="2">
        <v>4.5</v>
      </c>
      <c r="D86" s="1">
        <v>1.5</v>
      </c>
      <c r="E86" s="1" t="s">
        <v>6</v>
      </c>
      <c r="J86">
        <v>84</v>
      </c>
      <c r="K86">
        <f t="shared" si="3"/>
        <v>2.6377926421404689</v>
      </c>
      <c r="L86">
        <f t="shared" si="2"/>
        <v>0.18477831638609798</v>
      </c>
      <c r="M86" cm="1">
        <f t="array" ref="M86">EstymacjaGaussowska($K86,$C$2:$C$151)</f>
        <v>7.2301883235410758E-2</v>
      </c>
      <c r="N86" cm="1">
        <f t="array" ref="N86">EstymacjaGaussowska($K86,$C$2:$C$151,$N$2)</f>
        <v>3.7668106147129605E-5</v>
      </c>
      <c r="O86" cm="1">
        <f t="array" ref="O86">EstymacjaGaussowska($K86,$C$2:$C$151,$O$2)</f>
        <v>0.13014633301579628</v>
      </c>
      <c r="P86" cm="1">
        <f t="array" ref="P86">EstymacjaGaussowska($K86,$C$2:$C$151,$P$2)</f>
        <v>3.2749662542299107E-2</v>
      </c>
      <c r="R86" cm="1">
        <f t="array" ref="R86">EstymacjaEpanecznikowa($K86,$C$2:$C$151,R$2)</f>
        <v>9.1264178013932509E-2</v>
      </c>
      <c r="S86" cm="1">
        <f t="array" ref="S86">EstymacjaEpanecznikowa($K86,$C$2:$C$151,S$2)</f>
        <v>0</v>
      </c>
      <c r="T86" cm="1">
        <f t="array" ref="T86">EstymacjaEpanecznikowa($K86,$C$2:$C$151,T$2)</f>
        <v>0.14101459061160176</v>
      </c>
    </row>
    <row r="87" spans="1:20" x14ac:dyDescent="0.25">
      <c r="A87" s="1">
        <v>6</v>
      </c>
      <c r="B87" s="1">
        <v>3.4</v>
      </c>
      <c r="C87" s="2">
        <v>4.5</v>
      </c>
      <c r="D87" s="1">
        <v>1.6</v>
      </c>
      <c r="E87" s="1" t="s">
        <v>6</v>
      </c>
      <c r="J87">
        <v>85</v>
      </c>
      <c r="K87">
        <f t="shared" si="3"/>
        <v>2.657525083612041</v>
      </c>
      <c r="L87">
        <f t="shared" si="2"/>
        <v>0.1860820224533028</v>
      </c>
      <c r="M87" cm="1">
        <f t="array" ref="M87">EstymacjaGaussowska($K87,$C$2:$C$151)</f>
        <v>7.1248359103026793E-2</v>
      </c>
      <c r="N87" cm="1">
        <f t="array" ref="N87">EstymacjaGaussowska($K87,$C$2:$C$151,$N$2)</f>
        <v>7.5495207159424632E-5</v>
      </c>
      <c r="O87" cm="1">
        <f t="array" ref="O87">EstymacjaGaussowska($K87,$C$2:$C$151,$O$2)</f>
        <v>0.13048562221800725</v>
      </c>
      <c r="P87" cm="1">
        <f t="array" ref="P87">EstymacjaGaussowska($K87,$C$2:$C$151,$P$2)</f>
        <v>3.2754562292344601E-2</v>
      </c>
      <c r="R87" cm="1">
        <f t="array" ref="R87">EstymacjaEpanecznikowa($K87,$C$2:$C$151,R$2)</f>
        <v>8.9375089214067949E-2</v>
      </c>
      <c r="S87" cm="1">
        <f t="array" ref="S87">EstymacjaEpanecznikowa($K87,$C$2:$C$151,S$2)</f>
        <v>0</v>
      </c>
      <c r="T87" cm="1">
        <f t="array" ref="T87">EstymacjaEpanecznikowa($K87,$C$2:$C$151,T$2)</f>
        <v>0.14169295533489265</v>
      </c>
    </row>
    <row r="88" spans="1:20" x14ac:dyDescent="0.25">
      <c r="A88" s="1">
        <v>6.7</v>
      </c>
      <c r="B88" s="1">
        <v>3.1</v>
      </c>
      <c r="C88" s="2">
        <v>4.7</v>
      </c>
      <c r="D88" s="1">
        <v>1.5</v>
      </c>
      <c r="E88" s="1" t="s">
        <v>6</v>
      </c>
      <c r="J88">
        <v>86</v>
      </c>
      <c r="K88">
        <f t="shared" si="3"/>
        <v>2.677257525083613</v>
      </c>
      <c r="L88">
        <f t="shared" si="2"/>
        <v>0.18737151388558512</v>
      </c>
      <c r="M88" cm="1">
        <f t="array" ref="M88">EstymacjaGaussowska($K88,$C$2:$C$151)</f>
        <v>7.0295454073415031E-2</v>
      </c>
      <c r="N88" cm="1">
        <f t="array" ref="N88">EstymacjaGaussowska($K88,$C$2:$C$151,$N$2)</f>
        <v>1.4553082995250272E-4</v>
      </c>
      <c r="O88" cm="1">
        <f t="array" ref="O88">EstymacjaGaussowska($K88,$C$2:$C$151,$O$2)</f>
        <v>0.1308270113242628</v>
      </c>
      <c r="P88" cm="1">
        <f t="array" ref="P88">EstymacjaGaussowska($K88,$C$2:$C$151,$P$2)</f>
        <v>3.2759376094196165E-2</v>
      </c>
      <c r="R88" cm="1">
        <f t="array" ref="R88">EstymacjaEpanecznikowa($K88,$C$2:$C$151,R$2)</f>
        <v>8.7637782558177141E-2</v>
      </c>
      <c r="S88" cm="1">
        <f t="array" ref="S88">EstymacjaEpanecznikowa($K88,$C$2:$C$151,S$2)</f>
        <v>0</v>
      </c>
      <c r="T88" cm="1">
        <f t="array" ref="T88">EstymacjaEpanecznikowa($K88,$C$2:$C$151,T$2)</f>
        <v>0.14237119742320462</v>
      </c>
    </row>
    <row r="89" spans="1:20" x14ac:dyDescent="0.25">
      <c r="A89" s="1">
        <v>6.3</v>
      </c>
      <c r="B89" s="1">
        <v>2.2999999999999998</v>
      </c>
      <c r="C89" s="2">
        <v>4.4000000000000004</v>
      </c>
      <c r="D89" s="1">
        <v>1.3</v>
      </c>
      <c r="E89" s="1" t="s">
        <v>6</v>
      </c>
      <c r="J89">
        <v>87</v>
      </c>
      <c r="K89">
        <f t="shared" si="3"/>
        <v>2.6969899665551851</v>
      </c>
      <c r="L89">
        <f t="shared" si="2"/>
        <v>0.18864636884767472</v>
      </c>
      <c r="M89" cm="1">
        <f t="array" ref="M89">EstymacjaGaussowska($K89,$C$2:$C$151)</f>
        <v>6.9443881147960282E-2</v>
      </c>
      <c r="N89" cm="1">
        <f t="array" ref="N89">EstymacjaGaussowska($K89,$C$2:$C$151,$N$2)</f>
        <v>2.6982411219813408E-4</v>
      </c>
      <c r="O89" cm="1">
        <f t="array" ref="O89">EstymacjaGaussowska($K89,$C$2:$C$151,$O$2)</f>
        <v>0.1311705877595308</v>
      </c>
      <c r="P89" cm="1">
        <f t="array" ref="P89">EstymacjaGaussowska($K89,$C$2:$C$151,$P$2)</f>
        <v>3.2764103909626557E-2</v>
      </c>
      <c r="R89" cm="1">
        <f t="array" ref="R89">EstymacjaEpanecznikowa($K89,$C$2:$C$151,R$2)</f>
        <v>8.5934229021542699E-2</v>
      </c>
      <c r="S89" cm="1">
        <f t="array" ref="S89">EstymacjaEpanecznikowa($K89,$C$2:$C$151,S$2)</f>
        <v>0</v>
      </c>
      <c r="T89" cm="1">
        <f t="array" ref="T89">EstymacjaEpanecznikowa($K89,$C$2:$C$151,T$2)</f>
        <v>0.14303488988063393</v>
      </c>
    </row>
    <row r="90" spans="1:20" x14ac:dyDescent="0.25">
      <c r="A90" s="1">
        <v>5.6</v>
      </c>
      <c r="B90" s="1">
        <v>3</v>
      </c>
      <c r="C90" s="2">
        <v>4.0999999999999996</v>
      </c>
      <c r="D90" s="1">
        <v>1.3</v>
      </c>
      <c r="E90" s="1" t="s">
        <v>6</v>
      </c>
      <c r="J90">
        <v>88</v>
      </c>
      <c r="K90">
        <f t="shared" si="3"/>
        <v>2.7167224080267571</v>
      </c>
      <c r="L90">
        <f t="shared" si="2"/>
        <v>0.18990616811249619</v>
      </c>
      <c r="M90" cm="1">
        <f t="array" ref="M90">EstymacjaGaussowska($K90,$C$2:$C$151)</f>
        <v>6.8694179182167858E-2</v>
      </c>
      <c r="N90" cm="1">
        <f t="array" ref="N90">EstymacjaGaussowska($K90,$C$2:$C$151,$N$2)</f>
        <v>4.811680792464187E-4</v>
      </c>
      <c r="O90" cm="1">
        <f t="array" ref="O90">EstymacjaGaussowska($K90,$C$2:$C$151,$O$2)</f>
        <v>0.13151643297551713</v>
      </c>
      <c r="P90" cm="1">
        <f t="array" ref="P90">EstymacjaGaussowska($K90,$C$2:$C$151,$P$2)</f>
        <v>3.2768745701085525E-2</v>
      </c>
      <c r="R90" cm="1">
        <f t="array" ref="R90">EstymacjaEpanecznikowa($K90,$C$2:$C$151,R$2)</f>
        <v>8.4154388949997508E-2</v>
      </c>
      <c r="S90" cm="1">
        <f t="array" ref="S90">EstymacjaEpanecznikowa($K90,$C$2:$C$151,S$2)</f>
        <v>0</v>
      </c>
      <c r="T90" cm="1">
        <f t="array" ref="T90">EstymacjaEpanecznikowa($K90,$C$2:$C$151,T$2)</f>
        <v>0.14368403270718025</v>
      </c>
    </row>
    <row r="91" spans="1:20" x14ac:dyDescent="0.25">
      <c r="A91" s="1">
        <v>5.5</v>
      </c>
      <c r="B91" s="1">
        <v>2.5</v>
      </c>
      <c r="C91" s="2">
        <v>4</v>
      </c>
      <c r="D91" s="1">
        <v>1.3</v>
      </c>
      <c r="E91" s="1" t="s">
        <v>6</v>
      </c>
      <c r="J91">
        <v>89</v>
      </c>
      <c r="K91">
        <f t="shared" si="3"/>
        <v>2.7364548494983292</v>
      </c>
      <c r="L91">
        <f t="shared" si="2"/>
        <v>0.19115049528913103</v>
      </c>
      <c r="M91" cm="1">
        <f t="array" ref="M91">EstymacjaGaussowska($K91,$C$2:$C$151)</f>
        <v>6.8046718667960499E-2</v>
      </c>
      <c r="N91" cm="1">
        <f t="array" ref="N91">EstymacjaGaussowska($K91,$C$2:$C$151,$N$2)</f>
        <v>8.2528410024695735E-4</v>
      </c>
      <c r="O91" cm="1">
        <f t="array" ref="O91">EstymacjaGaussowska($K91,$C$2:$C$151,$O$2)</f>
        <v>0.1318646223062053</v>
      </c>
      <c r="P91" cm="1">
        <f t="array" ref="P91">EstymacjaGaussowska($K91,$C$2:$C$151,$P$2)</f>
        <v>3.2773301431699965E-2</v>
      </c>
      <c r="R91" cm="1">
        <f t="array" ref="R91">EstymacjaEpanecznikowa($K91,$C$2:$C$151,R$2)</f>
        <v>8.2302134131058288E-2</v>
      </c>
      <c r="S91" cm="1">
        <f t="array" ref="S91">EstymacjaEpanecznikowa($K91,$C$2:$C$151,S$2)</f>
        <v>0</v>
      </c>
      <c r="T91" cm="1">
        <f t="array" ref="T91">EstymacjaEpanecznikowa($K91,$C$2:$C$151,T$2)</f>
        <v>0.14431862590284369</v>
      </c>
    </row>
    <row r="92" spans="1:20" x14ac:dyDescent="0.25">
      <c r="A92" s="1">
        <v>5.5</v>
      </c>
      <c r="B92" s="1">
        <v>2.6</v>
      </c>
      <c r="C92" s="2">
        <v>4.4000000000000004</v>
      </c>
      <c r="D92" s="1">
        <v>1.2</v>
      </c>
      <c r="E92" s="1" t="s">
        <v>6</v>
      </c>
      <c r="J92">
        <v>90</v>
      </c>
      <c r="K92">
        <f t="shared" si="3"/>
        <v>2.7561872909699012</v>
      </c>
      <c r="L92">
        <f t="shared" si="2"/>
        <v>0.19237893705053832</v>
      </c>
      <c r="M92" cm="1">
        <f t="array" ref="M92">EstymacjaGaussowska($K92,$C$2:$C$151)</f>
        <v>6.7501707697342844E-2</v>
      </c>
      <c r="N92" cm="1">
        <f t="array" ref="N92">EstymacjaGaussowska($K92,$C$2:$C$151,$N$2)</f>
        <v>1.3614488794293125E-3</v>
      </c>
      <c r="O92" cm="1">
        <f t="array" ref="O92">EstymacjaGaussowska($K92,$C$2:$C$151,$O$2)</f>
        <v>0.13221522482997572</v>
      </c>
      <c r="P92" cm="1">
        <f t="array" ref="P92">EstymacjaGaussowska($K92,$C$2:$C$151,$P$2)</f>
        <v>3.2777771065274804E-2</v>
      </c>
      <c r="R92" cm="1">
        <f t="array" ref="R92">EstymacjaEpanecznikowa($K92,$C$2:$C$151,R$2)</f>
        <v>8.0538119554580498E-2</v>
      </c>
      <c r="S92" cm="1">
        <f t="array" ref="S92">EstymacjaEpanecznikowa($K92,$C$2:$C$151,S$2)</f>
        <v>0</v>
      </c>
      <c r="T92" cm="1">
        <f t="array" ref="T92">EstymacjaEpanecznikowa($K92,$C$2:$C$151,T$2)</f>
        <v>0.1449660654015672</v>
      </c>
    </row>
    <row r="93" spans="1:20" x14ac:dyDescent="0.25">
      <c r="A93" s="1">
        <v>6.1</v>
      </c>
      <c r="B93" s="1">
        <v>3</v>
      </c>
      <c r="C93" s="2">
        <v>4.5999999999999996</v>
      </c>
      <c r="D93" s="1">
        <v>1.4</v>
      </c>
      <c r="E93" s="1" t="s">
        <v>6</v>
      </c>
      <c r="J93">
        <v>91</v>
      </c>
      <c r="K93">
        <f t="shared" si="3"/>
        <v>2.7759197324414733</v>
      </c>
      <c r="L93">
        <f t="shared" si="2"/>
        <v>0.19359108336086178</v>
      </c>
      <c r="M93" cm="1">
        <f t="array" ref="M93">EstymacjaGaussowska($K93,$C$2:$C$151)</f>
        <v>6.7059198065133871E-2</v>
      </c>
      <c r="N93" cm="1">
        <f t="array" ref="N93">EstymacjaGaussowska($K93,$C$2:$C$151,$N$2)</f>
        <v>2.1601873873756759E-3</v>
      </c>
      <c r="O93" cm="1">
        <f t="array" ref="O93">EstymacjaGaussowska($K93,$C$2:$C$151,$O$2)</f>
        <v>0.13256830323847504</v>
      </c>
      <c r="P93" cm="1">
        <f t="array" ref="P93">EstymacjaGaussowska($K93,$C$2:$C$151,$P$2)</f>
        <v>3.2782154566293069E-2</v>
      </c>
      <c r="R93" cm="1">
        <f t="array" ref="R93">EstymacjaEpanecznikowa($K93,$C$2:$C$151,R$2)</f>
        <v>7.8800605078468977E-2</v>
      </c>
      <c r="S93" cm="1">
        <f t="array" ref="S93">EstymacjaEpanecznikowa($K93,$C$2:$C$151,S$2)</f>
        <v>0</v>
      </c>
      <c r="T93" cm="1">
        <f t="array" ref="T93">EstymacjaEpanecznikowa($K93,$C$2:$C$151,T$2)</f>
        <v>0.14562386297609112</v>
      </c>
    </row>
    <row r="94" spans="1:20" x14ac:dyDescent="0.25">
      <c r="A94" s="1">
        <v>5.8</v>
      </c>
      <c r="B94" s="1">
        <v>2.6</v>
      </c>
      <c r="C94" s="2">
        <v>4</v>
      </c>
      <c r="D94" s="1">
        <v>1.2</v>
      </c>
      <c r="E94" s="1" t="s">
        <v>6</v>
      </c>
      <c r="J94">
        <v>92</v>
      </c>
      <c r="K94">
        <f t="shared" si="3"/>
        <v>2.7956521739130453</v>
      </c>
      <c r="L94">
        <f t="shared" si="2"/>
        <v>0.19478652770214927</v>
      </c>
      <c r="M94" cm="1">
        <f t="array" ref="M94">EstymacjaGaussowska($K94,$C$2:$C$151)</f>
        <v>6.6719091469962341E-2</v>
      </c>
      <c r="N94" cm="1">
        <f t="array" ref="N94">EstymacjaGaussowska($K94,$C$2:$C$151,$N$2)</f>
        <v>3.296671030563217E-3</v>
      </c>
      <c r="O94" cm="1">
        <f t="array" ref="O94">EstymacjaGaussowska($K94,$C$2:$C$151,$O$2)</f>
        <v>0.13292391371240106</v>
      </c>
      <c r="P94" cm="1">
        <f t="array" ref="P94">EstymacjaGaussowska($K94,$C$2:$C$151,$P$2)</f>
        <v>3.2786451899916712E-2</v>
      </c>
      <c r="R94" cm="1">
        <f t="array" ref="R94">EstymacjaEpanecznikowa($K94,$C$2:$C$151,R$2)</f>
        <v>7.7053217287948159E-2</v>
      </c>
      <c r="S94" cm="1">
        <f t="array" ref="S94">EstymacjaEpanecznikowa($K94,$C$2:$C$151,S$2)</f>
        <v>3.6859192370132226E-3</v>
      </c>
      <c r="T94" cm="1">
        <f t="array" ref="T94">EstymacjaEpanecznikowa($K94,$C$2:$C$151,T$2)</f>
        <v>0.14626680135311751</v>
      </c>
    </row>
    <row r="95" spans="1:20" x14ac:dyDescent="0.25">
      <c r="A95" s="1">
        <v>5</v>
      </c>
      <c r="B95" s="1">
        <v>2.2999999999999998</v>
      </c>
      <c r="C95" s="2">
        <v>3.3</v>
      </c>
      <c r="D95" s="1">
        <v>1</v>
      </c>
      <c r="E95" s="1" t="s">
        <v>6</v>
      </c>
      <c r="J95">
        <v>93</v>
      </c>
      <c r="K95">
        <f t="shared" si="3"/>
        <v>2.8153846153846174</v>
      </c>
      <c r="L95">
        <f t="shared" si="2"/>
        <v>0.19596486730031054</v>
      </c>
      <c r="M95" cm="1">
        <f t="array" ref="M95">EstymacjaGaussowska($K95,$C$2:$C$151)</f>
        <v>6.6481145774416203E-2</v>
      </c>
      <c r="N95" cm="1">
        <f t="array" ref="N95">EstymacjaGaussowska($K95,$C$2:$C$151,$N$2)</f>
        <v>4.8390184647274124E-3</v>
      </c>
      <c r="O95" cm="1">
        <f t="array" ref="O95">EstymacjaGaussowska($K95,$C$2:$C$151,$O$2)</f>
        <v>0.13328210580434766</v>
      </c>
      <c r="P95" cm="1">
        <f t="array" ref="P95">EstymacjaGaussowska($K95,$C$2:$C$151,$P$2)</f>
        <v>3.2790663031986765E-2</v>
      </c>
      <c r="R95" cm="1">
        <f t="array" ref="R95">EstymacjaEpanecznikowa($K95,$C$2:$C$151,R$2)</f>
        <v>7.5229542962516494E-2</v>
      </c>
      <c r="S95" cm="1">
        <f t="array" ref="S95">EstymacjaEpanecznikowa($K95,$C$2:$C$151,S$2)</f>
        <v>7.1183702478990656E-3</v>
      </c>
      <c r="T95" cm="1">
        <f t="array" ref="T95">EstymacjaEpanecznikowa($K95,$C$2:$C$151,T$2)</f>
        <v>0.14689488053264629</v>
      </c>
    </row>
    <row r="96" spans="1:20" x14ac:dyDescent="0.25">
      <c r="A96" s="1">
        <v>5.6</v>
      </c>
      <c r="B96" s="1">
        <v>2.7</v>
      </c>
      <c r="C96" s="2">
        <v>4.2</v>
      </c>
      <c r="D96" s="1">
        <v>1.3</v>
      </c>
      <c r="E96" s="1" t="s">
        <v>6</v>
      </c>
      <c r="J96">
        <v>94</v>
      </c>
      <c r="K96">
        <f t="shared" si="3"/>
        <v>2.8351170568561894</v>
      </c>
      <c r="L96">
        <f t="shared" si="2"/>
        <v>0.19712570335013824</v>
      </c>
      <c r="M96" cm="1">
        <f t="array" ref="M96">EstymacjaGaussowska($K96,$C$2:$C$151)</f>
        <v>6.6344981287122642E-2</v>
      </c>
      <c r="N96" cm="1">
        <f t="array" ref="N96">EstymacjaGaussowska($K96,$C$2:$C$151,$N$2)</f>
        <v>6.8319164004775109E-3</v>
      </c>
      <c r="O96" cm="1">
        <f t="array" ref="O96">EstymacjaGaussowska($K96,$C$2:$C$151,$O$2)</f>
        <v>0.13364292232886427</v>
      </c>
      <c r="P96" cm="1">
        <f t="array" ref="P96">EstymacjaGaussowska($K96,$C$2:$C$151,$P$2)</f>
        <v>3.2794787929024176E-2</v>
      </c>
      <c r="R96" cm="1">
        <f t="array" ref="R96">EstymacjaEpanecznikowa($K96,$C$2:$C$151,R$2)</f>
        <v>7.3329582102174079E-2</v>
      </c>
      <c r="S96" cm="1">
        <f t="array" ref="S96">EstymacjaEpanecznikowa($K96,$C$2:$C$151,S$2)</f>
        <v>1.0202558817439651E-2</v>
      </c>
      <c r="T96" cm="1">
        <f t="array" ref="T96">EstymacjaEpanecznikowa($K96,$C$2:$C$151,T$2)</f>
        <v>0.14750810051467797</v>
      </c>
    </row>
    <row r="97" spans="1:20" x14ac:dyDescent="0.25">
      <c r="A97" s="1">
        <v>5.7</v>
      </c>
      <c r="B97" s="1">
        <v>3</v>
      </c>
      <c r="C97" s="2">
        <v>4.2</v>
      </c>
      <c r="D97" s="1">
        <v>1.2</v>
      </c>
      <c r="E97" s="1" t="s">
        <v>6</v>
      </c>
      <c r="J97">
        <v>95</v>
      </c>
      <c r="K97">
        <f t="shared" si="3"/>
        <v>2.8548494983277615</v>
      </c>
      <c r="L97">
        <f t="shared" si="2"/>
        <v>0.19826864123921784</v>
      </c>
      <c r="M97" cm="1">
        <f t="array" ref="M97">EstymacjaGaussowska($K97,$C$2:$C$151)</f>
        <v>6.6310087031581852E-2</v>
      </c>
      <c r="N97" cm="1">
        <f t="array" ref="N97">EstymacjaGaussowska($K97,$C$2:$C$151,$N$2)</f>
        <v>9.2777454867545191E-3</v>
      </c>
      <c r="O97" cm="1">
        <f t="array" ref="O97">EstymacjaGaussowska($K97,$C$2:$C$151,$O$2)</f>
        <v>0.13400639925986055</v>
      </c>
      <c r="P97" cm="1">
        <f t="array" ref="P97">EstymacjaGaussowska($K97,$C$2:$C$151,$P$2)</f>
        <v>3.2798826558229653E-2</v>
      </c>
      <c r="R97" cm="1">
        <f t="array" ref="R97">EstymacjaEpanecznikowa($K97,$C$2:$C$151,R$2)</f>
        <v>7.1916084287815332E-2</v>
      </c>
      <c r="S97" cm="1">
        <f t="array" ref="S97">EstymacjaEpanecznikowa($K97,$C$2:$C$151,S$2)</f>
        <v>1.2938484945634975E-2</v>
      </c>
      <c r="T97" cm="1">
        <f t="array" ref="T97">EstymacjaEpanecznikowa($K97,$C$2:$C$151,T$2)</f>
        <v>0.14810646129921215</v>
      </c>
    </row>
    <row r="98" spans="1:20" x14ac:dyDescent="0.25">
      <c r="A98" s="1">
        <v>5.7</v>
      </c>
      <c r="B98" s="1">
        <v>2.9</v>
      </c>
      <c r="C98" s="2">
        <v>4.2</v>
      </c>
      <c r="D98" s="1">
        <v>1.3</v>
      </c>
      <c r="E98" s="1" t="s">
        <v>6</v>
      </c>
      <c r="J98">
        <v>96</v>
      </c>
      <c r="K98">
        <f t="shared" si="3"/>
        <v>2.8745819397993335</v>
      </c>
      <c r="L98">
        <f t="shared" si="2"/>
        <v>0.19939329077055065</v>
      </c>
      <c r="M98" cm="1">
        <f t="array" ref="M98">EstymacjaGaussowska($K98,$C$2:$C$151)</f>
        <v>6.6375826968769105E-2</v>
      </c>
      <c r="N98" cm="1">
        <f t="array" ref="N98">EstymacjaGaussowska($K98,$C$2:$C$151,$N$2)</f>
        <v>1.211928443870533E-2</v>
      </c>
      <c r="O98" cm="1">
        <f t="array" ref="O98">EstymacjaGaussowska($K98,$C$2:$C$151,$O$2)</f>
        <v>0.13437256563548225</v>
      </c>
      <c r="P98" cm="1">
        <f t="array" ref="P98">EstymacjaGaussowska($K98,$C$2:$C$151,$P$2)</f>
        <v>3.2802778887484896E-2</v>
      </c>
      <c r="R98" cm="1">
        <f t="array" ref="R98">EstymacjaEpanecznikowa($K98,$C$2:$C$151,R$2)</f>
        <v>7.0638716904841692E-2</v>
      </c>
      <c r="S98" cm="1">
        <f t="array" ref="S98">EstymacjaEpanecznikowa($K98,$C$2:$C$151,S$2)</f>
        <v>1.5326148632485041E-2</v>
      </c>
      <c r="T98" cm="1">
        <f t="array" ref="T98">EstymacjaEpanecznikowa($K98,$C$2:$C$151,T$2)</f>
        <v>0.14868996288624883</v>
      </c>
    </row>
    <row r="99" spans="1:20" x14ac:dyDescent="0.25">
      <c r="A99" s="1">
        <v>6.2</v>
      </c>
      <c r="B99" s="1">
        <v>2.9</v>
      </c>
      <c r="C99" s="2">
        <v>4.3</v>
      </c>
      <c r="D99" s="1">
        <v>1.3</v>
      </c>
      <c r="E99" s="1" t="s">
        <v>6</v>
      </c>
      <c r="J99">
        <v>97</v>
      </c>
      <c r="K99">
        <f t="shared" si="3"/>
        <v>2.8943143812709056</v>
      </c>
      <c r="L99">
        <f t="shared" si="2"/>
        <v>0.20049926638371562</v>
      </c>
      <c r="M99" cm="1">
        <f t="array" ref="M99">EstymacjaGaussowska($K99,$C$2:$C$151)</f>
        <v>6.6541446142828531E-2</v>
      </c>
      <c r="N99" cm="1">
        <f t="array" ref="N99">EstymacjaGaussowska($K99,$C$2:$C$151,$N$2)</f>
        <v>1.5229378411540508E-2</v>
      </c>
      <c r="O99" cm="1">
        <f t="array" ref="O99">EstymacjaGaussowska($K99,$C$2:$C$151,$O$2)</f>
        <v>0.1347414434705784</v>
      </c>
      <c r="P99" cm="1">
        <f t="array" ref="P99">EstymacjaGaussowska($K99,$C$2:$C$151,$P$2)</f>
        <v>3.2806644885352239E-2</v>
      </c>
      <c r="R99" cm="1">
        <f t="array" ref="R99">EstymacjaEpanecznikowa($K99,$C$2:$C$151,R$2)</f>
        <v>6.9443919343985541E-2</v>
      </c>
      <c r="S99" cm="1">
        <f t="array" ref="S99">EstymacjaEpanecznikowa($K99,$C$2:$C$151,S$2)</f>
        <v>1.7365549877989848E-2</v>
      </c>
      <c r="T99" cm="1">
        <f t="array" ref="T99">EstymacjaEpanecznikowa($K99,$C$2:$C$151,T$2)</f>
        <v>0.14925860527578816</v>
      </c>
    </row>
    <row r="100" spans="1:20" x14ac:dyDescent="0.25">
      <c r="A100" s="1">
        <v>5.0999999999999996</v>
      </c>
      <c r="B100" s="1">
        <v>2.5</v>
      </c>
      <c r="C100" s="2">
        <v>3</v>
      </c>
      <c r="D100" s="1">
        <v>1.1000000000000001</v>
      </c>
      <c r="E100" s="1" t="s">
        <v>6</v>
      </c>
      <c r="J100">
        <v>98</v>
      </c>
      <c r="K100">
        <f t="shared" si="3"/>
        <v>2.9140468227424776</v>
      </c>
      <c r="L100">
        <f t="shared" si="2"/>
        <v>0.20158618737439463</v>
      </c>
      <c r="M100" cm="1">
        <f t="array" ref="M100">EstymacjaGaussowska($K100,$C$2:$C$151)</f>
        <v>6.6806076721595303E-2</v>
      </c>
      <c r="N100" cm="1">
        <f t="array" ref="N100">EstymacjaGaussowska($K100,$C$2:$C$151,$N$2)</f>
        <v>1.8412940494657738E-2</v>
      </c>
      <c r="O100" cm="1">
        <f t="array" ref="O100">EstymacjaGaussowska($K100,$C$2:$C$151,$O$2)</f>
        <v>0.13511304767686688</v>
      </c>
      <c r="P100" cm="1">
        <f t="array" ref="P100">EstymacjaGaussowska($K100,$C$2:$C$151,$P$2)</f>
        <v>3.2810424521075576E-2</v>
      </c>
      <c r="R100" cm="1">
        <f t="array" ref="R100">EstymacjaEpanecznikowa($K100,$C$2:$C$151,R$2)</f>
        <v>6.8176058622933106E-2</v>
      </c>
      <c r="S100" cm="1">
        <f t="array" ref="S100">EstymacjaEpanecznikowa($K100,$C$2:$C$151,S$2)</f>
        <v>1.9056688682149395E-2</v>
      </c>
      <c r="T100" cm="1">
        <f t="array" ref="T100">EstymacjaEpanecznikowa($K100,$C$2:$C$151,T$2)</f>
        <v>0.14981238846783015</v>
      </c>
    </row>
    <row r="101" spans="1:20" x14ac:dyDescent="0.25">
      <c r="A101" s="1">
        <v>5.7</v>
      </c>
      <c r="B101" s="1">
        <v>2.8</v>
      </c>
      <c r="C101" s="2">
        <v>4.0999999999999996</v>
      </c>
      <c r="D101" s="1">
        <v>1.3</v>
      </c>
      <c r="E101" s="1" t="s">
        <v>6</v>
      </c>
      <c r="J101">
        <v>99</v>
      </c>
      <c r="K101">
        <f t="shared" si="3"/>
        <v>2.9337792642140497</v>
      </c>
      <c r="L101">
        <f t="shared" si="2"/>
        <v>0.20265367811208726</v>
      </c>
      <c r="M101" cm="1">
        <f t="array" ref="M101">EstymacjaGaussowska($K101,$C$2:$C$151)</f>
        <v>6.7168743906165201E-2</v>
      </c>
      <c r="N101" cm="1">
        <f t="array" ref="N101">EstymacjaGaussowska($K101,$C$2:$C$151,$N$2)</f>
        <v>2.1424824310501314E-2</v>
      </c>
      <c r="O101" cm="1">
        <f t="array" ref="O101">EstymacjaGaussowska($K101,$C$2:$C$151,$O$2)</f>
        <v>0.13548738599089608</v>
      </c>
      <c r="P101" cm="1">
        <f t="array" ref="P101">EstymacjaGaussowska($K101,$C$2:$C$151,$P$2)</f>
        <v>3.2814117764580618E-2</v>
      </c>
      <c r="R101" cm="1">
        <f t="array" ref="R101">EstymacjaEpanecznikowa($K101,$C$2:$C$151,R$2)</f>
        <v>6.6835134741684427E-2</v>
      </c>
      <c r="S101" cm="1">
        <f t="array" ref="S101">EstymacjaEpanecznikowa($K101,$C$2:$C$151,S$2)</f>
        <v>2.0399565044963684E-2</v>
      </c>
      <c r="T101" cm="1">
        <f t="array" ref="T101">EstymacjaEpanecznikowa($K101,$C$2:$C$151,T$2)</f>
        <v>0.15035131246237468</v>
      </c>
    </row>
    <row r="102" spans="1:20" x14ac:dyDescent="0.25">
      <c r="A102" s="1">
        <v>6.3</v>
      </c>
      <c r="B102" s="1">
        <v>3.3</v>
      </c>
      <c r="C102" s="2">
        <v>6</v>
      </c>
      <c r="D102" s="1">
        <v>2.5</v>
      </c>
      <c r="E102" s="1" t="s">
        <v>7</v>
      </c>
      <c r="J102">
        <v>100</v>
      </c>
      <c r="K102">
        <f t="shared" si="3"/>
        <v>2.9535117056856217</v>
      </c>
      <c r="L102">
        <f t="shared" si="2"/>
        <v>0.20370136825584165</v>
      </c>
      <c r="M102" cm="1">
        <f t="array" ref="M102">EstymacjaGaussowska($K102,$C$2:$C$151)</f>
        <v>6.7628371686282454E-2</v>
      </c>
      <c r="N102" cm="1">
        <f t="array" ref="N102">EstymacjaGaussowska($K102,$C$2:$C$151,$N$2)</f>
        <v>2.4003565144406363E-2</v>
      </c>
      <c r="O102" cm="1">
        <f t="array" ref="O102">EstymacjaGaussowska($K102,$C$2:$C$151,$O$2)</f>
        <v>0.13586445890989346</v>
      </c>
      <c r="P102" cm="1">
        <f t="array" ref="P102">EstymacjaGaussowska($K102,$C$2:$C$151,$P$2)</f>
        <v>3.2817724586475285E-2</v>
      </c>
      <c r="R102" cm="1">
        <f t="array" ref="R102">EstymacjaEpanecznikowa($K102,$C$2:$C$151,R$2)</f>
        <v>6.6391667340682345E-2</v>
      </c>
      <c r="S102" cm="1">
        <f t="array" ref="S102">EstymacjaEpanecznikowa($K102,$C$2:$C$151,S$2)</f>
        <v>2.1394178966432715E-2</v>
      </c>
      <c r="T102" cm="1">
        <f t="array" ref="T102">EstymacjaEpanecznikowa($K102,$C$2:$C$151,T$2)</f>
        <v>0.15088213728660049</v>
      </c>
    </row>
    <row r="103" spans="1:20" x14ac:dyDescent="0.25">
      <c r="A103" s="1">
        <v>5.8</v>
      </c>
      <c r="B103" s="1">
        <v>2.7</v>
      </c>
      <c r="C103" s="2">
        <v>5.0999999999999996</v>
      </c>
      <c r="D103" s="1">
        <v>1.9</v>
      </c>
      <c r="E103" s="1" t="s">
        <v>7</v>
      </c>
      <c r="J103">
        <v>101</v>
      </c>
      <c r="K103">
        <f t="shared" si="3"/>
        <v>2.9732441471571938</v>
      </c>
      <c r="L103">
        <f t="shared" si="2"/>
        <v>0.2047288929678277</v>
      </c>
      <c r="M103" cm="1">
        <f t="array" ref="M103">EstymacjaGaussowska($K103,$C$2:$C$151)</f>
        <v>6.8183788420889818E-2</v>
      </c>
      <c r="N103" cm="1">
        <f t="array" ref="N103">EstymacjaGaussowska($K103,$C$2:$C$151,$N$2)</f>
        <v>2.5916555537075392E-2</v>
      </c>
      <c r="O103" cm="1">
        <f t="array" ref="O103">EstymacjaGaussowska($K103,$C$2:$C$151,$O$2)</f>
        <v>0.13624425963557837</v>
      </c>
      <c r="P103" cm="1">
        <f t="array" ref="P103">EstymacjaGaussowska($K103,$C$2:$C$151,$P$2)</f>
        <v>3.2821244958050007E-2</v>
      </c>
      <c r="R103" cm="1">
        <f t="array" ref="R103">EstymacjaEpanecznikowa($K103,$C$2:$C$151,R$2)</f>
        <v>6.6323732522662618E-2</v>
      </c>
      <c r="S103" cm="1">
        <f t="array" ref="S103">EstymacjaEpanecznikowa($K103,$C$2:$C$151,S$2)</f>
        <v>2.2040530446556482E-2</v>
      </c>
      <c r="T103" cm="1">
        <f t="array" ref="T103">EstymacjaEpanecznikowa($K103,$C$2:$C$151,T$2)</f>
        <v>0.15140879142473698</v>
      </c>
    </row>
    <row r="104" spans="1:20" x14ac:dyDescent="0.25">
      <c r="A104" s="1">
        <v>7.1</v>
      </c>
      <c r="B104" s="1">
        <v>3</v>
      </c>
      <c r="C104" s="2">
        <v>5.9</v>
      </c>
      <c r="D104" s="1">
        <v>2.1</v>
      </c>
      <c r="E104" s="1" t="s">
        <v>7</v>
      </c>
      <c r="J104">
        <v>102</v>
      </c>
      <c r="K104">
        <f t="shared" si="3"/>
        <v>2.9929765886287658</v>
      </c>
      <c r="L104">
        <f t="shared" si="2"/>
        <v>0.2057358931245814</v>
      </c>
      <c r="M104" cm="1">
        <f t="array" ref="M104">EstymacjaGaussowska($K104,$C$2:$C$151)</f>
        <v>6.8833732225787106E-2</v>
      </c>
      <c r="N104" cm="1">
        <f t="array" ref="N104">EstymacjaGaussowska($K104,$C$2:$C$151,$N$2)</f>
        <v>2.7008244628281972E-2</v>
      </c>
      <c r="O104" cm="1">
        <f t="array" ref="O104">EstymacjaGaussowska($K104,$C$2:$C$151,$O$2)</f>
        <v>0.13662677402601028</v>
      </c>
      <c r="P104" cm="1">
        <f t="array" ref="P104">EstymacjaGaussowska($K104,$C$2:$C$151,$P$2)</f>
        <v>3.2824678851278342E-2</v>
      </c>
      <c r="R104" cm="1">
        <f t="array" ref="R104">EstymacjaEpanecznikowa($K104,$C$2:$C$151,R$2)</f>
        <v>6.6545025391836238E-2</v>
      </c>
      <c r="S104" cm="1">
        <f t="array" ref="S104">EstymacjaEpanecznikowa($K104,$C$2:$C$151,S$2)</f>
        <v>2.2338619485334991E-2</v>
      </c>
      <c r="T104" cm="1">
        <f t="array" ref="T104">EstymacjaEpanecznikowa($K104,$C$2:$C$151,T$2)</f>
        <v>0.15192048317650472</v>
      </c>
    </row>
    <row r="105" spans="1:20" x14ac:dyDescent="0.25">
      <c r="A105" s="1">
        <v>6.3</v>
      </c>
      <c r="B105" s="1">
        <v>2.9</v>
      </c>
      <c r="C105" s="2">
        <v>5.6</v>
      </c>
      <c r="D105" s="1">
        <v>1.8</v>
      </c>
      <c r="E105" s="1" t="s">
        <v>7</v>
      </c>
      <c r="J105">
        <v>103</v>
      </c>
      <c r="K105">
        <f t="shared" si="3"/>
        <v>3.0127090301003379</v>
      </c>
      <c r="L105">
        <f t="shared" si="2"/>
        <v>0.20672201552574951</v>
      </c>
      <c r="M105" cm="1">
        <f t="array" ref="M105">EstymacjaGaussowska($K105,$C$2:$C$151)</f>
        <v>6.9576856152936684E-2</v>
      </c>
      <c r="N105" cm="1">
        <f t="array" ref="N105">EstymacjaGaussowska($K105,$C$2:$C$151,$N$2)</f>
        <v>2.7240822280087378E-2</v>
      </c>
      <c r="O105" cm="1">
        <f t="array" ref="O105">EstymacjaGaussowska($K105,$C$2:$C$151,$O$2)</f>
        <v>0.13701198055553035</v>
      </c>
      <c r="P105" cm="1">
        <f t="array" ref="P105">EstymacjaGaussowska($K105,$C$2:$C$151,$P$2)</f>
        <v>3.2828026238817039E-2</v>
      </c>
      <c r="R105" cm="1">
        <f t="array" ref="R105">EstymacjaEpanecznikowa($K105,$C$2:$C$151,R$2)</f>
        <v>6.6698627392004536E-2</v>
      </c>
      <c r="S105" cm="1">
        <f t="array" ref="S105">EstymacjaEpanecznikowa($K105,$C$2:$C$151,S$2)</f>
        <v>2.2288446082768244E-2</v>
      </c>
      <c r="T105" cm="1">
        <f t="array" ref="T105">EstymacjaEpanecznikowa($K105,$C$2:$C$151,T$2)</f>
        <v>0.15241721254190341</v>
      </c>
    </row>
    <row r="106" spans="1:20" x14ac:dyDescent="0.25">
      <c r="A106" s="1">
        <v>6.5</v>
      </c>
      <c r="B106" s="1">
        <v>3</v>
      </c>
      <c r="C106" s="2">
        <v>5.8</v>
      </c>
      <c r="D106" s="1">
        <v>2.2000000000000002</v>
      </c>
      <c r="E106" s="1" t="s">
        <v>7</v>
      </c>
      <c r="J106">
        <v>104</v>
      </c>
      <c r="K106">
        <f t="shared" si="3"/>
        <v>3.0324414715719099</v>
      </c>
      <c r="L106">
        <f t="shared" si="2"/>
        <v>0.20768691310016449</v>
      </c>
      <c r="M106" cm="1">
        <f t="array" ref="M106">EstymacjaGaussowska($K106,$C$2:$C$151)</f>
        <v>7.041173314852664E-2</v>
      </c>
      <c r="N106" cm="1">
        <f t="array" ref="N106">EstymacjaGaussowska($K106,$C$2:$C$151,$N$2)</f>
        <v>2.671743345880178E-2</v>
      </c>
      <c r="O106" cm="1">
        <f t="array" ref="O106">EstymacjaGaussowska($K106,$C$2:$C$151,$O$2)</f>
        <v>0.13739985028285051</v>
      </c>
      <c r="P106" cm="1">
        <f t="array" ref="P106">EstymacjaGaussowska($K106,$C$2:$C$151,$P$2)</f>
        <v>3.2831287094006636E-2</v>
      </c>
      <c r="R106" cm="1">
        <f t="array" ref="R106">EstymacjaEpanecznikowa($K106,$C$2:$C$151,R$2)</f>
        <v>6.6784538523167458E-2</v>
      </c>
      <c r="S106" cm="1">
        <f t="array" ref="S106">EstymacjaEpanecznikowa($K106,$C$2:$C$151,S$2)</f>
        <v>2.1890010238856238E-2</v>
      </c>
      <c r="T106" cm="1">
        <f t="array" ref="T106">EstymacjaEpanecznikowa($K106,$C$2:$C$151,T$2)</f>
        <v>0.15289897952093304</v>
      </c>
    </row>
    <row r="107" spans="1:20" x14ac:dyDescent="0.25">
      <c r="A107" s="1">
        <v>7.6</v>
      </c>
      <c r="B107" s="1">
        <v>3</v>
      </c>
      <c r="C107" s="2">
        <v>6.6</v>
      </c>
      <c r="D107" s="1">
        <v>2.1</v>
      </c>
      <c r="E107" s="1" t="s">
        <v>7</v>
      </c>
      <c r="J107">
        <v>105</v>
      </c>
      <c r="K107">
        <f t="shared" si="3"/>
        <v>3.052173913043482</v>
      </c>
      <c r="L107">
        <f t="shared" si="2"/>
        <v>0.20863024510908254</v>
      </c>
      <c r="M107" cm="1">
        <f t="array" ref="M107">EstymacjaGaussowska($K107,$C$2:$C$151)</f>
        <v>7.1336860779441708E-2</v>
      </c>
      <c r="N107" cm="1">
        <f t="array" ref="N107">EstymacjaGaussowska($K107,$C$2:$C$151,$N$2)</f>
        <v>2.5681211065975814E-2</v>
      </c>
      <c r="O107" cm="1">
        <f t="array" ref="O107">EstymacjaGaussowska($K107,$C$2:$C$151,$O$2)</f>
        <v>0.13779034682732214</v>
      </c>
      <c r="P107" cm="1">
        <f t="array" ref="P107">EstymacjaGaussowska($K107,$C$2:$C$151,$P$2)</f>
        <v>3.2834461390871851E-2</v>
      </c>
      <c r="R107" cm="1">
        <f t="array" ref="R107">EstymacjaEpanecznikowa($K107,$C$2:$C$151,R$2)</f>
        <v>6.7698755903735988E-2</v>
      </c>
      <c r="S107" cm="1">
        <f t="array" ref="S107">EstymacjaEpanecznikowa($K107,$C$2:$C$151,S$2)</f>
        <v>2.1143311953598972E-2</v>
      </c>
      <c r="T107" cm="1">
        <f t="array" ref="T107">EstymacjaEpanecznikowa($K107,$C$2:$C$151,T$2)</f>
        <v>0.15337135745392852</v>
      </c>
    </row>
    <row r="108" spans="1:20" x14ac:dyDescent="0.25">
      <c r="A108" s="1">
        <v>4.9000000000000004</v>
      </c>
      <c r="B108" s="1">
        <v>2.5</v>
      </c>
      <c r="C108" s="2">
        <v>4.5</v>
      </c>
      <c r="D108" s="1">
        <v>1.7</v>
      </c>
      <c r="E108" s="1" t="s">
        <v>7</v>
      </c>
      <c r="J108">
        <v>106</v>
      </c>
      <c r="K108">
        <f t="shared" si="3"/>
        <v>3.071906354515054</v>
      </c>
      <c r="L108">
        <f t="shared" si="2"/>
        <v>0.20955167734641747</v>
      </c>
      <c r="M108" cm="1">
        <f t="array" ref="M108">EstymacjaGaussowska($K108,$C$2:$C$151)</f>
        <v>7.2350665720267271E-2</v>
      </c>
      <c r="N108" cm="1">
        <f t="array" ref="N108">EstymacjaGaussowska($K108,$C$2:$C$151,$N$2)</f>
        <v>2.4488360072156563E-2</v>
      </c>
      <c r="O108" cm="1">
        <f t="array" ref="O108">EstymacjaGaussowska($K108,$C$2:$C$151,$O$2)</f>
        <v>0.13818342635342271</v>
      </c>
      <c r="P108" cm="1">
        <f t="array" ref="P108">EstymacjaGaussowska($K108,$C$2:$C$151,$P$2)</f>
        <v>3.2837549104121587E-2</v>
      </c>
      <c r="R108" cm="1">
        <f t="array" ref="R108">EstymacjaEpanecznikowa($K108,$C$2:$C$151,R$2)</f>
        <v>6.885525599965675E-2</v>
      </c>
      <c r="S108" cm="1">
        <f t="array" ref="S108">EstymacjaEpanecznikowa($K108,$C$2:$C$151,S$2)</f>
        <v>2.0048351226996445E-2</v>
      </c>
      <c r="T108" cm="1">
        <f t="array" ref="T108">EstymacjaEpanecznikowa($K108,$C$2:$C$151,T$2)</f>
        <v>0.15384065519466267</v>
      </c>
    </row>
    <row r="109" spans="1:20" x14ac:dyDescent="0.25">
      <c r="A109" s="1">
        <v>7.3</v>
      </c>
      <c r="B109" s="1">
        <v>2.9</v>
      </c>
      <c r="C109" s="2">
        <v>6.3</v>
      </c>
      <c r="D109" s="1">
        <v>1.8</v>
      </c>
      <c r="E109" s="1" t="s">
        <v>7</v>
      </c>
      <c r="J109">
        <v>107</v>
      </c>
      <c r="K109">
        <f t="shared" si="3"/>
        <v>3.0916387959866261</v>
      </c>
      <c r="L109">
        <f t="shared" si="2"/>
        <v>0.21045088233580697</v>
      </c>
      <c r="M109" cm="1">
        <f t="array" ref="M109">EstymacjaGaussowska($K109,$C$2:$C$151)</f>
        <v>7.34515079953688E-2</v>
      </c>
      <c r="N109" cm="1">
        <f t="array" ref="N109">EstymacjaGaussowska($K109,$C$2:$C$151,$N$2)</f>
        <v>2.3558748142314512E-2</v>
      </c>
      <c r="O109" cm="1">
        <f t="array" ref="O109">EstymacjaGaussowska($K109,$C$2:$C$151,$O$2)</f>
        <v>0.13857903756347598</v>
      </c>
      <c r="P109" cm="1">
        <f t="array" ref="P109">EstymacjaGaussowska($K109,$C$2:$C$151,$P$2)</f>
        <v>3.2840550209149673E-2</v>
      </c>
      <c r="R109" cm="1">
        <f t="array" ref="R109">EstymacjaEpanecznikowa($K109,$C$2:$C$151,R$2)</f>
        <v>7.010578880522389E-2</v>
      </c>
      <c r="S109" cm="1">
        <f t="array" ref="S109">EstymacjaEpanecznikowa($K109,$C$2:$C$151,S$2)</f>
        <v>2.4495475515712996E-2</v>
      </c>
      <c r="T109" cm="1">
        <f t="array" ref="T109">EstymacjaEpanecznikowa($K109,$C$2:$C$151,T$2)</f>
        <v>0.15429488736015678</v>
      </c>
    </row>
    <row r="110" spans="1:20" x14ac:dyDescent="0.25">
      <c r="A110" s="1">
        <v>6.7</v>
      </c>
      <c r="B110" s="1">
        <v>2.5</v>
      </c>
      <c r="C110" s="2">
        <v>5.8</v>
      </c>
      <c r="D110" s="1">
        <v>1.8</v>
      </c>
      <c r="E110" s="1" t="s">
        <v>7</v>
      </c>
      <c r="J110">
        <v>108</v>
      </c>
      <c r="K110">
        <f t="shared" si="3"/>
        <v>3.1113712374581981</v>
      </c>
      <c r="L110">
        <f t="shared" si="2"/>
        <v>0.21132753952434796</v>
      </c>
      <c r="M110" cm="1">
        <f t="array" ref="M110">EstymacjaGaussowska($K110,$C$2:$C$151)</f>
        <v>7.4637684972914481E-2</v>
      </c>
      <c r="N110" cm="1">
        <f t="array" ref="N110">EstymacjaGaussowska($K110,$C$2:$C$151,$N$2)</f>
        <v>2.3311688094532098E-2</v>
      </c>
      <c r="O110" cm="1">
        <f t="array" ref="O110">EstymacjaGaussowska($K110,$C$2:$C$151,$O$2)</f>
        <v>0.13897712169861379</v>
      </c>
      <c r="P110" cm="1">
        <f t="array" ref="P110">EstymacjaGaussowska($K110,$C$2:$C$151,$P$2)</f>
        <v>3.2843464682034966E-2</v>
      </c>
      <c r="R110" cm="1">
        <f t="array" ref="R110">EstymacjaEpanecznikowa($K110,$C$2:$C$151,R$2)</f>
        <v>7.1299375324167566E-2</v>
      </c>
      <c r="S110" cm="1">
        <f t="array" ref="S110">EstymacjaEpanecznikowa($K110,$C$2:$C$151,S$2)</f>
        <v>2.9710558006026924E-2</v>
      </c>
      <c r="T110" cm="1">
        <f t="array" ref="T110">EstymacjaEpanecznikowa($K110,$C$2:$C$151,T$2)</f>
        <v>0.15473405395041023</v>
      </c>
    </row>
    <row r="111" spans="1:20" x14ac:dyDescent="0.25">
      <c r="A111" s="1">
        <v>7.2</v>
      </c>
      <c r="B111" s="1">
        <v>3.6</v>
      </c>
      <c r="C111" s="2">
        <v>6.1</v>
      </c>
      <c r="D111" s="1">
        <v>2.5</v>
      </c>
      <c r="E111" s="1" t="s">
        <v>7</v>
      </c>
      <c r="J111">
        <v>109</v>
      </c>
      <c r="K111">
        <f t="shared" si="3"/>
        <v>3.1311036789297702</v>
      </c>
      <c r="L111">
        <f t="shared" si="2"/>
        <v>0.21218133547284151</v>
      </c>
      <c r="M111" cm="1">
        <f t="array" ref="M111">EstymacjaGaussowska($K111,$C$2:$C$151)</f>
        <v>7.5907435109943605E-2</v>
      </c>
      <c r="N111" cm="1">
        <f t="array" ref="N111">EstymacjaGaussowska($K111,$C$2:$C$151,$N$2)</f>
        <v>2.4097183556922031E-2</v>
      </c>
      <c r="O111" cm="1">
        <f t="array" ref="O111">EstymacjaGaussowska($K111,$C$2:$C$151,$O$2)</f>
        <v>0.13937761254798578</v>
      </c>
      <c r="P111" cm="1">
        <f t="array" ref="P111">EstymacjaGaussowska($K111,$C$2:$C$151,$P$2)</f>
        <v>3.2846292499541734E-2</v>
      </c>
      <c r="R111" cm="1">
        <f t="array" ref="R111">EstymacjaEpanecznikowa($K111,$C$2:$C$151,R$2)</f>
        <v>7.243601555648764E-2</v>
      </c>
      <c r="S111" cm="1">
        <f t="array" ref="S111">EstymacjaEpanecznikowa($K111,$C$2:$C$151,S$2)</f>
        <v>3.3880853172305068E-2</v>
      </c>
      <c r="T111" cm="1">
        <f t="array" ref="T111">EstymacjaEpanecznikowa($K111,$C$2:$C$151,T$2)</f>
        <v>0.15515815496542334</v>
      </c>
    </row>
    <row r="112" spans="1:20" x14ac:dyDescent="0.25">
      <c r="A112" s="1">
        <v>6.5</v>
      </c>
      <c r="B112" s="1">
        <v>3.2</v>
      </c>
      <c r="C112" s="2">
        <v>5.0999999999999996</v>
      </c>
      <c r="D112" s="1">
        <v>2</v>
      </c>
      <c r="E112" s="1" t="s">
        <v>7</v>
      </c>
      <c r="J112">
        <v>110</v>
      </c>
      <c r="K112">
        <f t="shared" si="3"/>
        <v>3.1508361204013422</v>
      </c>
      <c r="L112">
        <f t="shared" si="2"/>
        <v>0.21301196404238881</v>
      </c>
      <c r="M112" cm="1">
        <f t="array" ref="M112">EstymacjaGaussowska($K112,$C$2:$C$151)</f>
        <v>7.7258941449705812E-2</v>
      </c>
      <c r="N112" cm="1">
        <f t="array" ref="N112">EstymacjaGaussowska($K112,$C$2:$C$151,$N$2)</f>
        <v>2.6133865151695971E-2</v>
      </c>
      <c r="O112" cm="1">
        <f t="array" ref="O112">EstymacjaGaussowska($K112,$C$2:$C$151,$O$2)</f>
        <v>0.13978043646620048</v>
      </c>
      <c r="P112" cm="1">
        <f t="array" ref="P112">EstymacjaGaussowska($K112,$C$2:$C$151,$P$2)</f>
        <v>3.2849033639119882E-2</v>
      </c>
      <c r="R112" cm="1">
        <f t="array" ref="R112">EstymacjaEpanecznikowa($K112,$C$2:$C$151,R$2)</f>
        <v>7.3958076547488663E-2</v>
      </c>
      <c r="S112" cm="1">
        <f t="array" ref="S112">EstymacjaEpanecznikowa($K112,$C$2:$C$151,S$2)</f>
        <v>3.7006361014547427E-2</v>
      </c>
      <c r="T112" cm="1">
        <f t="array" ref="T112">EstymacjaEpanecznikowa($K112,$C$2:$C$151,T$2)</f>
        <v>0.15556719040519615</v>
      </c>
    </row>
    <row r="113" spans="1:20" x14ac:dyDescent="0.25">
      <c r="A113" s="1">
        <v>6.4</v>
      </c>
      <c r="B113" s="1">
        <v>2.7</v>
      </c>
      <c r="C113" s="2">
        <v>5.3</v>
      </c>
      <c r="D113" s="1">
        <v>1.9</v>
      </c>
      <c r="E113" s="1" t="s">
        <v>7</v>
      </c>
      <c r="J113">
        <v>111</v>
      </c>
      <c r="K113">
        <f t="shared" si="3"/>
        <v>3.1705685618729142</v>
      </c>
      <c r="L113">
        <f t="shared" si="2"/>
        <v>0.21381912657718322</v>
      </c>
      <c r="M113" cm="1">
        <f t="array" ref="M113">EstymacjaGaussowska($K113,$C$2:$C$151)</f>
        <v>7.8690334874511408E-2</v>
      </c>
      <c r="N113" cm="1">
        <f t="array" ref="N113">EstymacjaGaussowska($K113,$C$2:$C$151,$N$2)</f>
        <v>2.946448833973624E-2</v>
      </c>
      <c r="O113" cm="1">
        <f t="array" ref="O113">EstymacjaGaussowska($K113,$C$2:$C$151,$O$2)</f>
        <v>0.14018551239898347</v>
      </c>
      <c r="P113" cm="1">
        <f t="array" ref="P113">EstymacjaGaussowska($K113,$C$2:$C$151,$P$2)</f>
        <v>3.2851688078905358E-2</v>
      </c>
      <c r="R113" cm="1">
        <f t="array" ref="R113">EstymacjaEpanecznikowa($K113,$C$2:$C$151,R$2)</f>
        <v>7.5714571066215847E-2</v>
      </c>
      <c r="S113" cm="1">
        <f t="array" ref="S113">EstymacjaEpanecznikowa($K113,$C$2:$C$151,S$2)</f>
        <v>3.9087081532754017E-2</v>
      </c>
      <c r="T113" cm="1">
        <f t="array" ref="T113">EstymacjaEpanecznikowa($K113,$C$2:$C$151,T$2)</f>
        <v>0.1559611602697285</v>
      </c>
    </row>
    <row r="114" spans="1:20" x14ac:dyDescent="0.25">
      <c r="A114" s="1">
        <v>6.8</v>
      </c>
      <c r="B114" s="1">
        <v>3</v>
      </c>
      <c r="C114" s="2">
        <v>5.5</v>
      </c>
      <c r="D114" s="1">
        <v>2.1</v>
      </c>
      <c r="E114" s="1" t="s">
        <v>7</v>
      </c>
      <c r="J114">
        <v>112</v>
      </c>
      <c r="K114">
        <f t="shared" si="3"/>
        <v>3.1903010033444863</v>
      </c>
      <c r="L114">
        <f t="shared" si="2"/>
        <v>0.21460253208334548</v>
      </c>
      <c r="M114" cm="1">
        <f t="array" ref="M114">EstymacjaGaussowska($K114,$C$2:$C$151)</f>
        <v>8.0199697119205618E-2</v>
      </c>
      <c r="N114" cm="1">
        <f t="array" ref="N114">EstymacjaGaussowska($K114,$C$2:$C$151,$N$2)</f>
        <v>3.3938324722382021E-2</v>
      </c>
      <c r="O114" cm="1">
        <f t="array" ref="O114">EstymacjaGaussowska($K114,$C$2:$C$151,$O$2)</f>
        <v>0.14059275191701751</v>
      </c>
      <c r="P114" cm="1">
        <f t="array" ref="P114">EstymacjaGaussowska($K114,$C$2:$C$151,$P$2)</f>
        <v>3.2854255797720409E-2</v>
      </c>
      <c r="R114" cm="1">
        <f t="array" ref="R114">EstymacjaEpanecznikowa($K114,$C$2:$C$151,R$2)</f>
        <v>7.7696482131165145E-2</v>
      </c>
      <c r="S114" cm="1">
        <f t="array" ref="S114">EstymacjaEpanecznikowa($K114,$C$2:$C$151,S$2)</f>
        <v>4.0123014726924831E-2</v>
      </c>
      <c r="T114" cm="1">
        <f t="array" ref="T114">EstymacjaEpanecznikowa($K114,$C$2:$C$151,T$2)</f>
        <v>0.15634006455902039</v>
      </c>
    </row>
    <row r="115" spans="1:20" x14ac:dyDescent="0.25">
      <c r="A115" s="1">
        <v>5.7</v>
      </c>
      <c r="B115" s="1">
        <v>2.5</v>
      </c>
      <c r="C115" s="2">
        <v>5</v>
      </c>
      <c r="D115" s="1">
        <v>2</v>
      </c>
      <c r="E115" s="1" t="s">
        <v>7</v>
      </c>
      <c r="J115">
        <v>113</v>
      </c>
      <c r="K115">
        <f t="shared" si="3"/>
        <v>3.2100334448160583</v>
      </c>
      <c r="L115">
        <f t="shared" si="2"/>
        <v>0.2153618974036528</v>
      </c>
      <c r="M115" cm="1">
        <f t="array" ref="M115">EstymacjaGaussowska($K115,$C$2:$C$151)</f>
        <v>8.1785063552139908E-2</v>
      </c>
      <c r="N115" cm="1">
        <f t="array" ref="N115">EstymacjaGaussowska($K115,$C$2:$C$151,$N$2)</f>
        <v>3.9226758493789815E-2</v>
      </c>
      <c r="O115" cm="1">
        <f t="array" ref="O115">EstymacjaGaussowska($K115,$C$2:$C$151,$O$2)</f>
        <v>0.14100205925793088</v>
      </c>
      <c r="P115" cm="1">
        <f t="array" ref="P115">EstymacjaGaussowska($K115,$C$2:$C$151,$P$2)</f>
        <v>3.2856736775073905E-2</v>
      </c>
      <c r="R115" cm="1">
        <f t="array" ref="R115">EstymacjaEpanecznikowa($K115,$C$2:$C$151,R$2)</f>
        <v>7.9623595825967314E-2</v>
      </c>
      <c r="S115" cm="1">
        <f t="array" ref="S115">EstymacjaEpanecznikowa($K115,$C$2:$C$151,S$2)</f>
        <v>4.0114160597059849E-2</v>
      </c>
      <c r="T115" cm="1">
        <f t="array" ref="T115">EstymacjaEpanecznikowa($K115,$C$2:$C$151,T$2)</f>
        <v>0.1567039032730716</v>
      </c>
    </row>
    <row r="116" spans="1:20" x14ac:dyDescent="0.25">
      <c r="A116" s="1">
        <v>5.8</v>
      </c>
      <c r="B116" s="1">
        <v>2.8</v>
      </c>
      <c r="C116" s="2">
        <v>5.0999999999999996</v>
      </c>
      <c r="D116" s="1">
        <v>2.4</v>
      </c>
      <c r="E116" s="1" t="s">
        <v>7</v>
      </c>
      <c r="J116">
        <v>114</v>
      </c>
      <c r="K116">
        <f t="shared" si="3"/>
        <v>3.2297658862876304</v>
      </c>
      <c r="L116">
        <f t="shared" si="2"/>
        <v>0.2160969473880141</v>
      </c>
      <c r="M116" cm="1">
        <f t="array" ref="M116">EstymacjaGaussowska($K116,$C$2:$C$151)</f>
        <v>8.34444257321139E-2</v>
      </c>
      <c r="N116" cm="1">
        <f t="array" ref="N116">EstymacjaGaussowska($K116,$C$2:$C$151,$N$2)</f>
        <v>4.4873426164391376E-2</v>
      </c>
      <c r="O116" cm="1">
        <f t="array" ref="O116">EstymacjaGaussowska($K116,$C$2:$C$151,$O$2)</f>
        <v>0.14141333137638232</v>
      </c>
      <c r="P116" cm="1">
        <f t="array" ref="P116">EstymacjaGaussowska($K116,$C$2:$C$151,$P$2)</f>
        <v>3.2859130991161424E-2</v>
      </c>
      <c r="R116" cm="1">
        <f t="array" ref="R116">EstymacjaEpanecznikowa($K116,$C$2:$C$151,R$2)</f>
        <v>8.1495912150622227E-2</v>
      </c>
      <c r="S116" cm="1">
        <f t="array" ref="S116">EstymacjaEpanecznikowa($K116,$C$2:$C$151,S$2)</f>
        <v>4.030930161741221E-2</v>
      </c>
      <c r="T116" cm="1">
        <f t="array" ref="T116">EstymacjaEpanecznikowa($K116,$C$2:$C$151,T$2)</f>
        <v>0.15705267641188267</v>
      </c>
    </row>
    <row r="117" spans="1:20" x14ac:dyDescent="0.25">
      <c r="A117" s="1">
        <v>6.4</v>
      </c>
      <c r="B117" s="1">
        <v>3.2</v>
      </c>
      <c r="C117" s="2">
        <v>5.3</v>
      </c>
      <c r="D117" s="1">
        <v>2.2999999999999998</v>
      </c>
      <c r="E117" s="1" t="s">
        <v>7</v>
      </c>
      <c r="J117">
        <v>115</v>
      </c>
      <c r="K117">
        <f t="shared" si="3"/>
        <v>3.2494983277592024</v>
      </c>
      <c r="L117">
        <f t="shared" si="2"/>
        <v>0.21680741505954898</v>
      </c>
      <c r="M117" cm="1">
        <f t="array" ref="M117">EstymacjaGaussowska($K117,$C$2:$C$151)</f>
        <v>8.5175733751232538E-2</v>
      </c>
      <c r="N117" cm="1">
        <f t="array" ref="N117">EstymacjaGaussowska($K117,$C$2:$C$151,$N$2)</f>
        <v>5.0373304355167577E-2</v>
      </c>
      <c r="O117" cm="1">
        <f t="array" ref="O117">EstymacjaGaussowska($K117,$C$2:$C$151,$O$2)</f>
        <v>0.14182645800218135</v>
      </c>
      <c r="P117" cm="1">
        <f t="array" ref="P117">EstymacjaGaussowska($K117,$C$2:$C$151,$P$2)</f>
        <v>3.286143842686582E-2</v>
      </c>
      <c r="R117" cm="1">
        <f t="array" ref="R117">EstymacjaEpanecznikowa($K117,$C$2:$C$151,R$2)</f>
        <v>8.35433217760463E-2</v>
      </c>
      <c r="S117" cm="1">
        <f t="array" ref="S117">EstymacjaEpanecznikowa($K117,$C$2:$C$151,S$2)</f>
        <v>4.2440195538185538E-2</v>
      </c>
      <c r="T117" cm="1">
        <f t="array" ref="T117">EstymacjaEpanecznikowa($K117,$C$2:$C$151,T$2)</f>
        <v>0.15738958251921384</v>
      </c>
    </row>
    <row r="118" spans="1:20" x14ac:dyDescent="0.25">
      <c r="A118" s="1">
        <v>6.5</v>
      </c>
      <c r="B118" s="1">
        <v>3</v>
      </c>
      <c r="C118" s="2">
        <v>5.5</v>
      </c>
      <c r="D118" s="1">
        <v>1.8</v>
      </c>
      <c r="E118" s="1" t="s">
        <v>7</v>
      </c>
      <c r="J118">
        <v>116</v>
      </c>
      <c r="K118">
        <f t="shared" si="3"/>
        <v>3.2692307692307745</v>
      </c>
      <c r="L118">
        <f t="shared" si="2"/>
        <v>0.21749304177612908</v>
      </c>
      <c r="M118" cm="1">
        <f t="array" ref="M118">EstymacjaGaussowska($K118,$C$2:$C$151)</f>
        <v>8.69768983749344E-2</v>
      </c>
      <c r="N118" cm="1">
        <f t="array" ref="N118">EstymacjaGaussowska($K118,$C$2:$C$151,$N$2)</f>
        <v>5.526733630849779E-2</v>
      </c>
      <c r="O118" cm="1">
        <f t="array" ref="O118">EstymacjaGaussowska($K118,$C$2:$C$151,$O$2)</f>
        <v>0.14224132170638207</v>
      </c>
      <c r="P118" cm="1">
        <f t="array" ref="P118">EstymacjaGaussowska($K118,$C$2:$C$151,$P$2)</f>
        <v>3.2863659063757225E-2</v>
      </c>
      <c r="R118" cm="1">
        <f t="array" ref="R118">EstymacjaEpanecznikowa($K118,$C$2:$C$151,R$2)</f>
        <v>8.5734183509435943E-2</v>
      </c>
      <c r="S118" cm="1">
        <f t="array" ref="S118">EstymacjaEpanecznikowa($K118,$C$2:$C$151,S$2)</f>
        <v>4.3874564576268357E-2</v>
      </c>
      <c r="T118" cm="1">
        <f t="array" ref="T118">EstymacjaEpanecznikowa($K118,$C$2:$C$151,T$2)</f>
        <v>0.15772569403369807</v>
      </c>
    </row>
    <row r="119" spans="1:20" x14ac:dyDescent="0.25">
      <c r="A119" s="1">
        <v>7.7</v>
      </c>
      <c r="B119" s="1">
        <v>3.8</v>
      </c>
      <c r="C119" s="2">
        <v>6.7</v>
      </c>
      <c r="D119" s="1">
        <v>2.2000000000000002</v>
      </c>
      <c r="E119" s="1" t="s">
        <v>7</v>
      </c>
      <c r="J119">
        <v>117</v>
      </c>
      <c r="K119">
        <f t="shared" si="3"/>
        <v>3.2889632107023465</v>
      </c>
      <c r="L119">
        <f t="shared" si="2"/>
        <v>0.2181535773872457</v>
      </c>
      <c r="M119" cm="1">
        <f t="array" ref="M119">EstymacjaGaussowska($K119,$C$2:$C$151)</f>
        <v>8.8845792991617031E-2</v>
      </c>
      <c r="N119" cm="1">
        <f t="array" ref="N119">EstymacjaGaussowska($K119,$C$2:$C$151,$N$2)</f>
        <v>5.9232759784193789E-2</v>
      </c>
      <c r="O119" cm="1">
        <f t="array" ref="O119">EstymacjaGaussowska($K119,$C$2:$C$151,$O$2)</f>
        <v>0.14265779797526709</v>
      </c>
      <c r="P119" cm="1">
        <f t="array" ref="P119">EstymacjaGaussowska($K119,$C$2:$C$151,$P$2)</f>
        <v>3.2865792884093331E-2</v>
      </c>
      <c r="R119" cm="1">
        <f t="array" ref="R119">EstymacjaEpanecznikowa($K119,$C$2:$C$151,R$2)</f>
        <v>8.8117304564984331E-2</v>
      </c>
      <c r="S119" cm="1">
        <f t="array" ref="S119">EstymacjaEpanecznikowa($K119,$C$2:$C$151,S$2)</f>
        <v>4.9499088043661432E-2</v>
      </c>
      <c r="T119" cm="1">
        <f t="array" ref="T119">EstymacjaEpanecznikowa($K119,$C$2:$C$151,T$2)</f>
        <v>0.15804663678406997</v>
      </c>
    </row>
    <row r="120" spans="1:20" x14ac:dyDescent="0.25">
      <c r="A120" s="1">
        <v>7.7</v>
      </c>
      <c r="B120" s="1">
        <v>2.6</v>
      </c>
      <c r="C120" s="2">
        <v>6.9</v>
      </c>
      <c r="D120" s="1">
        <v>2.2999999999999998</v>
      </c>
      <c r="E120" s="1" t="s">
        <v>7</v>
      </c>
      <c r="J120">
        <v>118</v>
      </c>
      <c r="K120">
        <f t="shared" si="3"/>
        <v>3.3086956521739186</v>
      </c>
      <c r="L120">
        <f t="shared" si="2"/>
        <v>0.21878878038607041</v>
      </c>
      <c r="M120" cm="1">
        <f t="array" ref="M120">EstymacjaGaussowska($K120,$C$2:$C$151)</f>
        <v>9.078025538529659E-2</v>
      </c>
      <c r="N120" cm="1">
        <f t="array" ref="N120">EstymacjaGaussowska($K120,$C$2:$C$151,$N$2)</f>
        <v>6.2147043328026771E-2</v>
      </c>
      <c r="O120" cm="1">
        <f t="array" ref="O120">EstymacjaGaussowska($K120,$C$2:$C$151,$O$2)</f>
        <v>0.14307575529213801</v>
      </c>
      <c r="P120" cm="1">
        <f t="array" ref="P120">EstymacjaGaussowska($K120,$C$2:$C$151,$P$2)</f>
        <v>3.286783987081978E-2</v>
      </c>
      <c r="R120" cm="1">
        <f t="array" ref="R120">EstymacjaEpanecznikowa($K120,$C$2:$C$151,R$2)</f>
        <v>9.0445628250385518E-2</v>
      </c>
      <c r="S120" cm="1">
        <f t="array" ref="S120">EstymacjaEpanecznikowa($K120,$C$2:$C$151,S$2)</f>
        <v>5.6641419467860367E-2</v>
      </c>
      <c r="T120" cm="1">
        <f t="array" ref="T120">EstymacjaEpanecznikowa($K120,$C$2:$C$151,T$2)</f>
        <v>0.15835241077033016</v>
      </c>
    </row>
    <row r="121" spans="1:20" x14ac:dyDescent="0.25">
      <c r="A121" s="1">
        <v>6</v>
      </c>
      <c r="B121" s="1">
        <v>2.2000000000000002</v>
      </c>
      <c r="C121" s="2">
        <v>5</v>
      </c>
      <c r="D121" s="1">
        <v>1.5</v>
      </c>
      <c r="E121" s="1" t="s">
        <v>7</v>
      </c>
      <c r="J121">
        <v>119</v>
      </c>
      <c r="K121">
        <f t="shared" si="3"/>
        <v>3.3284280936454906</v>
      </c>
      <c r="L121">
        <f t="shared" si="2"/>
        <v>0.21939841805657898</v>
      </c>
      <c r="M121" cm="1">
        <f t="array" ref="M121">EstymacjaGaussowska($K121,$C$2:$C$151)</f>
        <v>9.2778089345600043E-2</v>
      </c>
      <c r="N121" cm="1">
        <f t="array" ref="N121">EstymacjaGaussowska($K121,$C$2:$C$151,$N$2)</f>
        <v>6.4107307977334729E-2</v>
      </c>
      <c r="O121" cm="1">
        <f t="array" ref="O121">EstymacjaGaussowska($K121,$C$2:$C$151,$O$2)</f>
        <v>0.1434950552268171</v>
      </c>
      <c r="P121" cm="1">
        <f t="array" ref="P121">EstymacjaGaussowska($K121,$C$2:$C$151,$P$2)</f>
        <v>3.2869800007570296E-2</v>
      </c>
      <c r="R121" cm="1">
        <f t="array" ref="R121">EstymacjaEpanecznikowa($K121,$C$2:$C$151,R$2)</f>
        <v>9.2719154565639533E-2</v>
      </c>
      <c r="S121" cm="1">
        <f t="array" ref="S121">EstymacjaEpanecznikowa($K121,$C$2:$C$151,S$2)</f>
        <v>6.2390701126678272E-2</v>
      </c>
      <c r="T121" cm="1">
        <f t="array" ref="T121">EstymacjaEpanecznikowa($K121,$C$2:$C$151,T$2)</f>
        <v>0.15864301599247829</v>
      </c>
    </row>
    <row r="122" spans="1:20" x14ac:dyDescent="0.25">
      <c r="A122" s="1">
        <v>6.9</v>
      </c>
      <c r="B122" s="1">
        <v>3.2</v>
      </c>
      <c r="C122" s="2">
        <v>5.7</v>
      </c>
      <c r="D122" s="1">
        <v>2.2999999999999998</v>
      </c>
      <c r="E122" s="1" t="s">
        <v>7</v>
      </c>
      <c r="J122">
        <v>120</v>
      </c>
      <c r="K122">
        <f t="shared" si="3"/>
        <v>3.3481605351170627</v>
      </c>
      <c r="L122">
        <f t="shared" si="2"/>
        <v>0.21998226661561399</v>
      </c>
      <c r="M122" cm="1">
        <f t="array" ref="M122">EstymacjaGaussowska($K122,$C$2:$C$151)</f>
        <v>9.4837066130094475E-2</v>
      </c>
      <c r="N122" cm="1">
        <f t="array" ref="N122">EstymacjaGaussowska($K122,$C$2:$C$151,$N$2)</f>
        <v>6.5397383337428089E-2</v>
      </c>
      <c r="O122" cm="1">
        <f t="array" ref="O122">EstymacjaGaussowska($K122,$C$2:$C$151,$O$2)</f>
        <v>0.14391555253275329</v>
      </c>
      <c r="P122" cm="1">
        <f t="array" ref="P122">EstymacjaGaussowska($K122,$C$2:$C$151,$P$2)</f>
        <v>3.2871673278666767E-2</v>
      </c>
      <c r="R122" cm="1">
        <f t="array" ref="R122">EstymacjaEpanecznikowa($K122,$C$2:$C$151,R$2)</f>
        <v>9.4937883510746349E-2</v>
      </c>
      <c r="S122" cm="1">
        <f t="array" ref="S122">EstymacjaEpanecznikowa($K122,$C$2:$C$151,S$2)</f>
        <v>6.6746933020115126E-2</v>
      </c>
      <c r="T122" cm="1">
        <f t="array" ref="T122">EstymacjaEpanecznikowa($K122,$C$2:$C$151,T$2)</f>
        <v>0.15892247331857567</v>
      </c>
    </row>
    <row r="123" spans="1:20" x14ac:dyDescent="0.25">
      <c r="A123" s="1">
        <v>5.6</v>
      </c>
      <c r="B123" s="1">
        <v>2.8</v>
      </c>
      <c r="C123" s="2">
        <v>4.9000000000000004</v>
      </c>
      <c r="D123" s="1">
        <v>2</v>
      </c>
      <c r="E123" s="1" t="s">
        <v>7</v>
      </c>
      <c r="J123">
        <v>121</v>
      </c>
      <c r="K123">
        <f t="shared" si="3"/>
        <v>3.3678929765886347</v>
      </c>
      <c r="L123">
        <f t="shared" si="2"/>
        <v>0.22054011134976337</v>
      </c>
      <c r="M123" cm="1">
        <f t="array" ref="M123">EstymacjaGaussowska($K123,$C$2:$C$151)</f>
        <v>9.6954925794521557E-2</v>
      </c>
      <c r="N123" cm="1">
        <f t="array" ref="N123">EstymacjaGaussowska($K123,$C$2:$C$151,$N$2)</f>
        <v>6.6408777732599414E-2</v>
      </c>
      <c r="O123" cm="1">
        <f t="array" ref="O123">EstymacjaGaussowska($K123,$C$2:$C$151,$O$2)</f>
        <v>0.14433709525162164</v>
      </c>
      <c r="P123" cm="1">
        <f t="array" ref="P123">EstymacjaGaussowska($K123,$C$2:$C$151,$P$2)</f>
        <v>3.2873459669119663E-2</v>
      </c>
      <c r="R123" cm="1">
        <f t="array" ref="R123">EstymacjaEpanecznikowa($K123,$C$2:$C$151,R$2)</f>
        <v>9.7184175265261727E-2</v>
      </c>
      <c r="S123" cm="1">
        <f t="array" ref="S123">EstymacjaEpanecznikowa($K123,$C$2:$C$151,S$2)</f>
        <v>6.9710115148170965E-2</v>
      </c>
      <c r="T123" cm="1">
        <f t="array" ref="T123">EstymacjaEpanecznikowa($K123,$C$2:$C$151,T$2)</f>
        <v>0.1592176940565192</v>
      </c>
    </row>
    <row r="124" spans="1:20" x14ac:dyDescent="0.25">
      <c r="A124" s="1">
        <v>7.7</v>
      </c>
      <c r="B124" s="1">
        <v>2.8</v>
      </c>
      <c r="C124" s="2">
        <v>6.7</v>
      </c>
      <c r="D124" s="1">
        <v>2</v>
      </c>
      <c r="E124" s="1" t="s">
        <v>7</v>
      </c>
      <c r="J124">
        <v>122</v>
      </c>
      <c r="K124">
        <f t="shared" si="3"/>
        <v>3.3876254180602068</v>
      </c>
      <c r="L124">
        <f t="shared" si="2"/>
        <v>0.22107174674693908</v>
      </c>
      <c r="M124" cm="1">
        <f t="array" ref="M124">EstymacjaGaussowska($K124,$C$2:$C$151)</f>
        <v>9.9129378406915228E-2</v>
      </c>
      <c r="N124" cm="1">
        <f t="array" ref="N124">EstymacjaGaussowska($K124,$C$2:$C$151,$N$2)</f>
        <v>6.753544702155774E-2</v>
      </c>
      <c r="O124" cm="1">
        <f t="array" ref="O124">EstymacjaGaussowska($K124,$C$2:$C$151,$O$2)</f>
        <v>0.14475952482529178</v>
      </c>
      <c r="P124" cm="1">
        <f t="array" ref="P124">EstymacjaGaussowska($K124,$C$2:$C$151,$P$2)</f>
        <v>3.2875159164628166E-2</v>
      </c>
      <c r="R124" cm="1">
        <f t="array" ref="R124">EstymacjaEpanecznikowa($K124,$C$2:$C$151,R$2)</f>
        <v>9.9707749865928119E-2</v>
      </c>
      <c r="S124" cm="1">
        <f t="array" ref="S124">EstymacjaEpanecznikowa($K124,$C$2:$C$151,S$2)</f>
        <v>7.3470269010716932E-2</v>
      </c>
      <c r="T124" cm="1">
        <f t="array" ref="T124">EstymacjaEpanecznikowa($K124,$C$2:$C$151,T$2)</f>
        <v>0.15949753965260755</v>
      </c>
    </row>
    <row r="125" spans="1:20" x14ac:dyDescent="0.25">
      <c r="A125" s="1">
        <v>6.3</v>
      </c>
      <c r="B125" s="1">
        <v>2.7</v>
      </c>
      <c r="C125" s="2">
        <v>4.9000000000000004</v>
      </c>
      <c r="D125" s="1">
        <v>1.8</v>
      </c>
      <c r="E125" s="1" t="s">
        <v>7</v>
      </c>
      <c r="J125">
        <v>123</v>
      </c>
      <c r="K125">
        <f t="shared" si="3"/>
        <v>3.4073578595317788</v>
      </c>
      <c r="L125">
        <f t="shared" si="2"/>
        <v>0.22157697662254275</v>
      </c>
      <c r="M125" cm="1">
        <f t="array" ref="M125">EstymacjaGaussowska($K125,$C$2:$C$151)</f>
        <v>0.10135810516184154</v>
      </c>
      <c r="N125" cm="1">
        <f t="array" ref="N125">EstymacjaGaussowska($K125,$C$2:$C$151,$N$2)</f>
        <v>6.9070568895283374E-2</v>
      </c>
      <c r="O125" cm="1">
        <f t="array" ref="O125">EstymacjaGaussowska($K125,$C$2:$C$151,$O$2)</f>
        <v>0.14518267621503875</v>
      </c>
      <c r="P125" cm="1">
        <f t="array" ref="P125">EstymacjaGaussowska($K125,$C$2:$C$151,$P$2)</f>
        <v>3.2876771751580353E-2</v>
      </c>
      <c r="R125" cm="1">
        <f t="array" ref="R125">EstymacjaEpanecznikowa($K125,$C$2:$C$151,R$2)</f>
        <v>0.10217115480525647</v>
      </c>
      <c r="S125" cm="1">
        <f t="array" ref="S125">EstymacjaEpanecznikowa($K125,$C$2:$C$151,S$2)</f>
        <v>7.7221468696731826E-2</v>
      </c>
      <c r="T125" cm="1">
        <f t="array" ref="T125">EstymacjaEpanecznikowa($K125,$C$2:$C$151,T$2)</f>
        <v>0.15976201010684107</v>
      </c>
    </row>
    <row r="126" spans="1:20" x14ac:dyDescent="0.25">
      <c r="A126" s="1">
        <v>6.7</v>
      </c>
      <c r="B126" s="1">
        <v>3.3</v>
      </c>
      <c r="C126" s="2">
        <v>5.7</v>
      </c>
      <c r="D126" s="1">
        <v>2.1</v>
      </c>
      <c r="E126" s="1" t="s">
        <v>7</v>
      </c>
      <c r="J126">
        <v>124</v>
      </c>
      <c r="K126">
        <f t="shared" si="3"/>
        <v>3.4270903010033509</v>
      </c>
      <c r="L126">
        <f t="shared" si="2"/>
        <v>0.22205561424010847</v>
      </c>
      <c r="M126" cm="1">
        <f t="array" ref="M126">EstymacjaGaussowska($K126,$C$2:$C$151)</f>
        <v>0.10363875941113888</v>
      </c>
      <c r="N126" cm="1">
        <f t="array" ref="N126">EstymacjaGaussowska($K126,$C$2:$C$151,$N$2)</f>
        <v>7.113335870419242E-2</v>
      </c>
      <c r="O126" cm="1">
        <f t="array" ref="O126">EstymacjaGaussowska($K126,$C$2:$C$151,$O$2)</f>
        <v>0.14560637802785353</v>
      </c>
      <c r="P126" cm="1">
        <f t="array" ref="P126">EstymacjaGaussowska($K126,$C$2:$C$151,$P$2)</f>
        <v>3.2878297417053302E-2</v>
      </c>
      <c r="R126" cm="1">
        <f t="array" ref="R126">EstymacjaEpanecznikowa($K126,$C$2:$C$151,R$2)</f>
        <v>0.10457439008324665</v>
      </c>
      <c r="S126" cm="1">
        <f t="array" ref="S126">EstymacjaEpanecznikowa($K126,$C$2:$C$151,S$2)</f>
        <v>7.9231356176020437E-2</v>
      </c>
      <c r="T126" cm="1">
        <f t="array" ref="T126">EstymacjaEpanecznikowa($K126,$C$2:$C$151,T$2)</f>
        <v>0.16001110541921965</v>
      </c>
    </row>
    <row r="127" spans="1:20" x14ac:dyDescent="0.25">
      <c r="A127" s="1">
        <v>7.2</v>
      </c>
      <c r="B127" s="1">
        <v>3.2</v>
      </c>
      <c r="C127" s="2">
        <v>6</v>
      </c>
      <c r="D127" s="1">
        <v>1.8</v>
      </c>
      <c r="E127" s="1" t="s">
        <v>7</v>
      </c>
      <c r="J127">
        <v>125</v>
      </c>
      <c r="K127">
        <f t="shared" si="3"/>
        <v>3.4468227424749229</v>
      </c>
      <c r="L127">
        <f t="shared" si="2"/>
        <v>0.22250748242632135</v>
      </c>
      <c r="M127" cm="1">
        <f t="array" ref="M127">EstymacjaGaussowska($K127,$C$2:$C$151)</f>
        <v>0.10596896762752023</v>
      </c>
      <c r="N127" cm="1">
        <f t="array" ref="N127">EstymacjaGaussowska($K127,$C$2:$C$151,$N$2)</f>
        <v>7.3645039365376641E-2</v>
      </c>
      <c r="O127" cm="1">
        <f t="array" ref="O127">EstymacjaGaussowska($K127,$C$2:$C$151,$O$2)</f>
        <v>0.14603045264970888</v>
      </c>
      <c r="P127" cm="1">
        <f t="array" ref="P127">EstymacjaGaussowska($K127,$C$2:$C$151,$P$2)</f>
        <v>3.287973614881342E-2</v>
      </c>
      <c r="R127" cm="1">
        <f t="array" ref="R127">EstymacjaEpanecznikowa($K127,$C$2:$C$151,R$2)</f>
        <v>0.10700954016924015</v>
      </c>
      <c r="S127" cm="1">
        <f t="array" ref="S127">EstymacjaEpanecznikowa($K127,$C$2:$C$151,S$2)</f>
        <v>7.9499931448582709E-2</v>
      </c>
      <c r="T127" cm="1">
        <f t="array" ref="T127">EstymacjaEpanecznikowa($K127,$C$2:$C$151,T$2)</f>
        <v>0.1602448255897431</v>
      </c>
    </row>
    <row r="128" spans="1:20" x14ac:dyDescent="0.25">
      <c r="A128" s="1">
        <v>6.2</v>
      </c>
      <c r="B128" s="1">
        <v>2.8</v>
      </c>
      <c r="C128" s="2">
        <v>4.8</v>
      </c>
      <c r="D128" s="1">
        <v>1.8</v>
      </c>
      <c r="E128" s="1" t="s">
        <v>7</v>
      </c>
      <c r="J128">
        <v>126</v>
      </c>
      <c r="K128">
        <f t="shared" si="3"/>
        <v>3.466555183946495</v>
      </c>
      <c r="L128">
        <f t="shared" si="2"/>
        <v>0.2229324136803105</v>
      </c>
      <c r="M128" cm="1">
        <f t="array" ref="M128">EstymacjaGaussowska($K128,$C$2:$C$151)</f>
        <v>0.10834633031726787</v>
      </c>
      <c r="N128" cm="1">
        <f t="array" ref="N128">EstymacjaGaussowska($K128,$C$2:$C$151,$N$2)</f>
        <v>7.6358322259846526E-2</v>
      </c>
      <c r="O128" cm="1">
        <f t="array" ref="O128">EstymacjaGaussowska($K128,$C$2:$C$151,$O$2)</f>
        <v>0.14645471638562851</v>
      </c>
      <c r="P128" cm="1">
        <f t="array" ref="P128">EstymacjaGaussowska($K128,$C$2:$C$151,$P$2)</f>
        <v>3.2881087935316571E-2</v>
      </c>
      <c r="R128" cm="1">
        <f t="array" ref="R128">EstymacjaEpanecznikowa($K128,$C$2:$C$151,R$2)</f>
        <v>0.1095052182351406</v>
      </c>
      <c r="S128" cm="1">
        <f t="array" ref="S128">EstymacjaEpanecznikowa($K128,$C$2:$C$151,S$2)</f>
        <v>7.8027194514418696E-2</v>
      </c>
      <c r="T128" cm="1">
        <f t="array" ref="T128">EstymacjaEpanecznikowa($K128,$C$2:$C$151,T$2)</f>
        <v>0.16046317061841175</v>
      </c>
    </row>
    <row r="129" spans="1:20" x14ac:dyDescent="0.25">
      <c r="A129" s="1">
        <v>6.1</v>
      </c>
      <c r="B129" s="1">
        <v>3</v>
      </c>
      <c r="C129" s="2">
        <v>4.9000000000000004</v>
      </c>
      <c r="D129" s="1">
        <v>1.8</v>
      </c>
      <c r="E129" s="1" t="s">
        <v>7</v>
      </c>
      <c r="J129">
        <v>127</v>
      </c>
      <c r="K129">
        <f t="shared" si="3"/>
        <v>3.486287625418067</v>
      </c>
      <c r="L129">
        <f t="shared" si="2"/>
        <v>0.22333025027712314</v>
      </c>
      <c r="M129" cm="1">
        <f t="array" ref="M129">EstymacjaGaussowska($K129,$C$2:$C$151)</f>
        <v>0.11076842289799252</v>
      </c>
      <c r="N129" cm="1">
        <f t="array" ref="N129">EstymacjaGaussowska($K129,$C$2:$C$151,$N$2)</f>
        <v>7.8929189525919319E-2</v>
      </c>
      <c r="O129" cm="1">
        <f t="array" ref="O129">EstymacjaGaussowska($K129,$C$2:$C$151,$O$2)</f>
        <v>0.14687897960639226</v>
      </c>
      <c r="P129" cm="1">
        <f t="array" ref="P129">EstymacjaGaussowska($K129,$C$2:$C$151,$P$2)</f>
        <v>3.2882352765707994E-2</v>
      </c>
      <c r="R129" cm="1">
        <f t="array" ref="R129">EstymacjaEpanecznikowa($K129,$C$2:$C$151,R$2)</f>
        <v>0.11223146479737829</v>
      </c>
      <c r="S129" cm="1">
        <f t="array" ref="S129">EstymacjaEpanecznikowa($K129,$C$2:$C$151,S$2)</f>
        <v>7.6748247970628181E-2</v>
      </c>
      <c r="T129" cm="1">
        <f t="array" ref="T129">EstymacjaEpanecznikowa($K129,$C$2:$C$151,T$2)</f>
        <v>0.16066614050522546</v>
      </c>
    </row>
    <row r="130" spans="1:20" x14ac:dyDescent="0.25">
      <c r="A130" s="1">
        <v>6.4</v>
      </c>
      <c r="B130" s="1">
        <v>2.8</v>
      </c>
      <c r="C130" s="2">
        <v>5.6</v>
      </c>
      <c r="D130" s="1">
        <v>2.1</v>
      </c>
      <c r="E130" s="1" t="s">
        <v>7</v>
      </c>
      <c r="J130">
        <v>128</v>
      </c>
      <c r="K130">
        <f t="shared" si="3"/>
        <v>3.5060200668896391</v>
      </c>
      <c r="L130">
        <f t="shared" si="2"/>
        <v>0.2237008443652902</v>
      </c>
      <c r="M130" cm="1">
        <f t="array" ref="M130">EstymacjaGaussowska($K130,$C$2:$C$151)</f>
        <v>0.11323279655705401</v>
      </c>
      <c r="N130" cm="1">
        <f t="array" ref="N130">EstymacjaGaussowska($K130,$C$2:$C$151,$N$2)</f>
        <v>8.1008579466680525E-2</v>
      </c>
      <c r="O130" cm="1">
        <f t="array" ref="O130">EstymacjaGaussowska($K130,$C$2:$C$151,$O$2)</f>
        <v>0.14730304690171547</v>
      </c>
      <c r="P130" cm="1">
        <f t="array" ref="P130">EstymacjaGaussowska($K130,$C$2:$C$151,$P$2)</f>
        <v>3.2883530629822764E-2</v>
      </c>
      <c r="R130" cm="1">
        <f t="array" ref="R130">EstymacjaEpanecznikowa($K130,$C$2:$C$151,R$2)</f>
        <v>0.11489539278180153</v>
      </c>
      <c r="S130" cm="1">
        <f t="array" ref="S130">EstymacjaEpanecznikowa($K130,$C$2:$C$151,S$2)</f>
        <v>7.5390614724705263E-2</v>
      </c>
      <c r="T130" cm="1">
        <f t="array" ref="T130">EstymacjaEpanecznikowa($K130,$C$2:$C$151,T$2)</f>
        <v>0.16085373525018429</v>
      </c>
    </row>
    <row r="131" spans="1:20" x14ac:dyDescent="0.25">
      <c r="A131" s="1">
        <v>7.2</v>
      </c>
      <c r="B131" s="1">
        <v>3</v>
      </c>
      <c r="C131" s="2">
        <v>5.8</v>
      </c>
      <c r="D131" s="1">
        <v>1.6</v>
      </c>
      <c r="E131" s="1" t="s">
        <v>7</v>
      </c>
      <c r="J131">
        <v>129</v>
      </c>
      <c r="K131">
        <f t="shared" si="3"/>
        <v>3.5257525083612111</v>
      </c>
      <c r="L131">
        <f t="shared" si="2"/>
        <v>0.22404405805839844</v>
      </c>
      <c r="M131" cm="1">
        <f t="array" ref="M131">EstymacjaGaussowska($K131,$C$2:$C$151)</f>
        <v>0.11573697910575764</v>
      </c>
      <c r="N131" cm="1">
        <f t="array" ref="N131">EstymacjaGaussowska($K131,$C$2:$C$151,$N$2)</f>
        <v>8.2328163756111891E-2</v>
      </c>
      <c r="O131" cm="1">
        <f t="array" ref="O131">EstymacjaGaussowska($K131,$C$2:$C$151,$O$2)</f>
        <v>0.14772671723971945</v>
      </c>
      <c r="P131" cm="1">
        <f t="array" ref="P131">EstymacjaGaussowska($K131,$C$2:$C$151,$P$2)</f>
        <v>3.288462151818583E-2</v>
      </c>
      <c r="R131" cm="1">
        <f t="array" ref="R131">EstymacjaEpanecznikowa($K131,$C$2:$C$151,R$2)</f>
        <v>0.11749700218841037</v>
      </c>
      <c r="S131" cm="1">
        <f t="array" ref="S131">EstymacjaEpanecznikowa($K131,$C$2:$C$151,S$2)</f>
        <v>7.2805809084202991E-2</v>
      </c>
      <c r="T131" cm="1">
        <f t="array" ref="T131">EstymacjaEpanecznikowa($K131,$C$2:$C$151,T$2)</f>
        <v>0.16102595485328811</v>
      </c>
    </row>
    <row r="132" spans="1:20" x14ac:dyDescent="0.25">
      <c r="A132" s="1">
        <v>7.4</v>
      </c>
      <c r="B132" s="1">
        <v>2.8</v>
      </c>
      <c r="C132" s="2">
        <v>6.1</v>
      </c>
      <c r="D132" s="1">
        <v>1.9</v>
      </c>
      <c r="E132" s="1" t="s">
        <v>7</v>
      </c>
      <c r="J132">
        <v>130</v>
      </c>
      <c r="K132">
        <f t="shared" si="3"/>
        <v>3.5454849498327832</v>
      </c>
      <c r="L132">
        <f t="shared" ref="L132:L195" si="4">_xlfn.NORM.DIST(K132,$H$2,$H$3,FALSE)</f>
        <v>0.22435976352059081</v>
      </c>
      <c r="M132" cm="1">
        <f t="array" ref="M132">EstymacjaGaussowska($K132,$C$2:$C$151)</f>
        <v>0.11827847584385891</v>
      </c>
      <c r="N132" cm="1">
        <f t="array" ref="N132">EstymacjaGaussowska($K132,$C$2:$C$151,$N$2)</f>
        <v>8.275920782291718E-2</v>
      </c>
      <c r="O132" cm="1">
        <f t="array" ref="O132">EstymacjaGaussowska($K132,$C$2:$C$151,$O$2)</f>
        <v>0.14814978413251664</v>
      </c>
      <c r="P132" cm="1">
        <f t="array" ref="P132">EstymacjaGaussowska($K132,$C$2:$C$151,$P$2)</f>
        <v>3.2885625422012059E-2</v>
      </c>
      <c r="R132" cm="1">
        <f t="array" ref="R132">EstymacjaEpanecznikowa($K132,$C$2:$C$151,R$2)</f>
        <v>0.12003629301720464</v>
      </c>
      <c r="S132" cm="1">
        <f t="array" ref="S132">EstymacjaEpanecznikowa($K132,$C$2:$C$151,S$2)</f>
        <v>7.55860058617214E-2</v>
      </c>
      <c r="T132" cm="1">
        <f t="array" ref="T132">EstymacjaEpanecznikowa($K132,$C$2:$C$151,T$2)</f>
        <v>0.16118279931453697</v>
      </c>
    </row>
    <row r="133" spans="1:20" x14ac:dyDescent="0.25">
      <c r="A133" s="1">
        <v>7.9</v>
      </c>
      <c r="B133" s="1">
        <v>3.8</v>
      </c>
      <c r="C133" s="2">
        <v>6.4</v>
      </c>
      <c r="D133" s="1">
        <v>2</v>
      </c>
      <c r="E133" s="1" t="s">
        <v>7</v>
      </c>
      <c r="J133">
        <v>131</v>
      </c>
      <c r="K133">
        <f t="shared" ref="K133:K196" si="5">K132+$H$11</f>
        <v>3.5652173913043552</v>
      </c>
      <c r="L133">
        <f t="shared" si="4"/>
        <v>0.22464784304591942</v>
      </c>
      <c r="M133" cm="1">
        <f t="array" ref="M133">EstymacjaGaussowska($K133,$C$2:$C$151)</f>
        <v>0.1208547704482283</v>
      </c>
      <c r="N133" cm="1">
        <f t="array" ref="N133">EstymacjaGaussowska($K133,$C$2:$C$151,$N$2)</f>
        <v>8.2334068795221038E-2</v>
      </c>
      <c r="O133" cm="1">
        <f t="array" ref="O133">EstymacjaGaussowska($K133,$C$2:$C$151,$O$2)</f>
        <v>0.14857203580771536</v>
      </c>
      <c r="P133" cm="1">
        <f t="array" ref="P133">EstymacjaGaussowska($K133,$C$2:$C$151,$P$2)</f>
        <v>3.2886542333206432E-2</v>
      </c>
      <c r="R133" cm="1">
        <f t="array" ref="R133">EstymacjaEpanecznikowa($K133,$C$2:$C$151,R$2)</f>
        <v>0.12255446728790365</v>
      </c>
      <c r="S133" cm="1">
        <f t="array" ref="S133">EstymacjaEpanecznikowa($K133,$C$2:$C$151,S$2)</f>
        <v>7.697315287385878E-2</v>
      </c>
      <c r="T133" cm="1">
        <f t="array" ref="T133">EstymacjaEpanecznikowa($K133,$C$2:$C$151,T$2)</f>
        <v>0.1613413919393363</v>
      </c>
    </row>
    <row r="134" spans="1:20" x14ac:dyDescent="0.25">
      <c r="A134" s="1">
        <v>6.4</v>
      </c>
      <c r="B134" s="1">
        <v>2.8</v>
      </c>
      <c r="C134" s="2">
        <v>5.6</v>
      </c>
      <c r="D134" s="1">
        <v>2.2000000000000002</v>
      </c>
      <c r="E134" s="1" t="s">
        <v>7</v>
      </c>
      <c r="J134">
        <v>132</v>
      </c>
      <c r="K134">
        <f t="shared" si="5"/>
        <v>3.5849498327759273</v>
      </c>
      <c r="L134">
        <f t="shared" si="4"/>
        <v>0.22490818913148308</v>
      </c>
      <c r="M134" cm="1">
        <f t="array" ref="M134">EstymacjaGaussowska($K134,$C$2:$C$151)</f>
        <v>0.12346332589877124</v>
      </c>
      <c r="N134" cm="1">
        <f t="array" ref="N134">EstymacjaGaussowska($K134,$C$2:$C$151,$N$2)</f>
        <v>8.1232033973736101E-2</v>
      </c>
      <c r="O134" cm="1">
        <f t="array" ref="O134">EstymacjaGaussowska($K134,$C$2:$C$151,$O$2)</f>
        <v>0.14899325538565428</v>
      </c>
      <c r="P134" cm="1">
        <f t="array" ref="P134">EstymacjaGaussowska($K134,$C$2:$C$151,$P$2)</f>
        <v>3.2887372244364076E-2</v>
      </c>
      <c r="R134" cm="1">
        <f t="array" ref="R134">EstymacjaEpanecznikowa($K134,$C$2:$C$151,R$2)</f>
        <v>0.12563339110845656</v>
      </c>
      <c r="S134" cm="1">
        <f t="array" ref="S134">EstymacjaEpanecznikowa($K134,$C$2:$C$151,S$2)</f>
        <v>7.8645833068301363E-2</v>
      </c>
      <c r="T134" cm="1">
        <f t="array" ref="T134">EstymacjaEpanecznikowa($K134,$C$2:$C$151,T$2)</f>
        <v>0.1614848734417248</v>
      </c>
    </row>
    <row r="135" spans="1:20" x14ac:dyDescent="0.25">
      <c r="A135" s="1">
        <v>6.3</v>
      </c>
      <c r="B135" s="1">
        <v>2.8</v>
      </c>
      <c r="C135" s="2">
        <v>5.0999999999999996</v>
      </c>
      <c r="D135" s="1">
        <v>1.5</v>
      </c>
      <c r="E135" s="1" t="s">
        <v>7</v>
      </c>
      <c r="J135">
        <v>133</v>
      </c>
      <c r="K135">
        <f t="shared" si="5"/>
        <v>3.6046822742474993</v>
      </c>
      <c r="L135">
        <f t="shared" si="4"/>
        <v>0.22514070454428567</v>
      </c>
      <c r="M135" cm="1">
        <f t="array" ref="M135">EstymacjaGaussowska($K135,$C$2:$C$151)</f>
        <v>0.1261015854538558</v>
      </c>
      <c r="N135" cm="1">
        <f t="array" ref="N135">EstymacjaGaussowska($K135,$C$2:$C$151,$N$2)</f>
        <v>7.9740754458624274E-2</v>
      </c>
      <c r="O135" cm="1">
        <f t="array" ref="O135">EstymacjaGaussowska($K135,$C$2:$C$151,$O$2)</f>
        <v>0.14941322106216037</v>
      </c>
      <c r="P135" cm="1">
        <f t="array" ref="P135">EstymacjaGaussowska($K135,$C$2:$C$151,$P$2)</f>
        <v>3.2888115148770443E-2</v>
      </c>
      <c r="R135" cm="1">
        <f t="array" ref="R135">EstymacjaEpanecznikowa($K135,$C$2:$C$151,R$2)</f>
        <v>0.12864140068528934</v>
      </c>
      <c r="S135" cm="1">
        <f t="array" ref="S135">EstymacjaEpanecznikowa($K135,$C$2:$C$151,S$2)</f>
        <v>8.0868219664342877E-2</v>
      </c>
      <c r="T135" cm="1">
        <f t="array" ref="T135">EstymacjaEpanecznikowa($K135,$C$2:$C$151,T$2)</f>
        <v>0.1616128766133865</v>
      </c>
    </row>
    <row r="136" spans="1:20" x14ac:dyDescent="0.25">
      <c r="A136" s="1">
        <v>6.1</v>
      </c>
      <c r="B136" s="1">
        <v>2.6</v>
      </c>
      <c r="C136" s="2">
        <v>5.6</v>
      </c>
      <c r="D136" s="1">
        <v>1.4</v>
      </c>
      <c r="E136" s="1" t="s">
        <v>7</v>
      </c>
      <c r="J136">
        <v>134</v>
      </c>
      <c r="K136">
        <f t="shared" si="5"/>
        <v>3.6244147157190714</v>
      </c>
      <c r="L136">
        <f t="shared" si="4"/>
        <v>0.22534530238175715</v>
      </c>
      <c r="M136" cm="1">
        <f t="array" ref="M136">EstymacjaGaussowska($K136,$C$2:$C$151)</f>
        <v>0.12876697368659748</v>
      </c>
      <c r="N136" cm="1">
        <f t="array" ref="N136">EstymacjaGaussowska($K136,$C$2:$C$151,$N$2)</f>
        <v>7.8208795387110369E-2</v>
      </c>
      <c r="O136" cm="1">
        <f t="array" ref="O136">EstymacjaGaussowska($K136,$C$2:$C$151,$O$2)</f>
        <v>0.14983170629662551</v>
      </c>
      <c r="P136" cm="1">
        <f t="array" ref="P136">EstymacjaGaussowska($K136,$C$2:$C$151,$P$2)</f>
        <v>3.2888771040401422E-2</v>
      </c>
      <c r="R136" cm="1">
        <f t="array" ref="R136">EstymacjaEpanecznikowa($K136,$C$2:$C$151,R$2)</f>
        <v>0.13157849601840249</v>
      </c>
      <c r="S136" cm="1">
        <f t="array" ref="S136">EstymacjaEpanecznikowa($K136,$C$2:$C$151,S$2)</f>
        <v>8.1349294053658108E-2</v>
      </c>
      <c r="T136" cm="1">
        <f t="array" ref="T136">EstymacjaEpanecznikowa($K136,$C$2:$C$151,T$2)</f>
        <v>0.16172540145432202</v>
      </c>
    </row>
    <row r="137" spans="1:20" x14ac:dyDescent="0.25">
      <c r="A137" s="1">
        <v>7.7</v>
      </c>
      <c r="B137" s="1">
        <v>3</v>
      </c>
      <c r="C137" s="2">
        <v>6.1</v>
      </c>
      <c r="D137" s="1">
        <v>2.2999999999999998</v>
      </c>
      <c r="E137" s="1" t="s">
        <v>7</v>
      </c>
      <c r="J137">
        <v>135</v>
      </c>
      <c r="K137">
        <f t="shared" si="5"/>
        <v>3.6441471571906434</v>
      </c>
      <c r="L137">
        <f t="shared" si="4"/>
        <v>0.22552190612588383</v>
      </c>
      <c r="M137" cm="1">
        <f t="array" ref="M137">EstymacjaGaussowska($K137,$C$2:$C$151)</f>
        <v>0.13145689759238025</v>
      </c>
      <c r="N137" cm="1">
        <f t="array" ref="N137">EstymacjaGaussowska($K137,$C$2:$C$151,$N$2)</f>
        <v>7.7003342305157943E-2</v>
      </c>
      <c r="O137" cm="1">
        <f t="array" ref="O137">EstymacjaGaussowska($K137,$C$2:$C$151,$O$2)</f>
        <v>0.15024848000519003</v>
      </c>
      <c r="P137" cm="1">
        <f t="array" ref="P137">EstymacjaGaussowska($K137,$C$2:$C$151,$P$2)</f>
        <v>3.288933991392335E-2</v>
      </c>
      <c r="R137" cm="1">
        <f t="array" ref="R137">EstymacjaEpanecznikowa($K137,$C$2:$C$151,R$2)</f>
        <v>0.1344446771077957</v>
      </c>
      <c r="S137" cm="1">
        <f t="array" ref="S137">EstymacjaEpanecznikowa($K137,$C$2:$C$151,S$2)</f>
        <v>8.0089056236247014E-2</v>
      </c>
      <c r="T137" cm="1">
        <f t="array" ref="T137">EstymacjaEpanecznikowa($K137,$C$2:$C$151,T$2)</f>
        <v>0.16182244796453102</v>
      </c>
    </row>
    <row r="138" spans="1:20" x14ac:dyDescent="0.25">
      <c r="A138" s="1">
        <v>6.3</v>
      </c>
      <c r="B138" s="1">
        <v>3.4</v>
      </c>
      <c r="C138" s="2">
        <v>5.6</v>
      </c>
      <c r="D138" s="1">
        <v>2.4</v>
      </c>
      <c r="E138" s="1" t="s">
        <v>7</v>
      </c>
      <c r="J138">
        <v>136</v>
      </c>
      <c r="K138">
        <f t="shared" si="5"/>
        <v>3.6638795986622155</v>
      </c>
      <c r="L138">
        <f t="shared" si="4"/>
        <v>0.22567044969090166</v>
      </c>
      <c r="M138" cm="1">
        <f t="array" ref="M138">EstymacjaGaussowska($K138,$C$2:$C$151)</f>
        <v>0.13416874777698012</v>
      </c>
      <c r="N138" cm="1">
        <f t="array" ref="N138">EstymacjaGaussowska($K138,$C$2:$C$151,$N$2)</f>
        <v>7.6481427657259501E-2</v>
      </c>
      <c r="O138" cm="1">
        <f t="array" ref="O138">EstymacjaGaussowska($K138,$C$2:$C$151,$O$2)</f>
        <v>0.15066330675881154</v>
      </c>
      <c r="P138" cm="1">
        <f t="array" ref="P138">EstymacjaGaussowska($K138,$C$2:$C$151,$P$2)</f>
        <v>3.2889821764693059E-2</v>
      </c>
      <c r="R138" cm="1">
        <f t="array" ref="R138">EstymacjaEpanecznikowa($K138,$C$2:$C$151,R$2)</f>
        <v>0.13723994395346889</v>
      </c>
      <c r="S138" cm="1">
        <f t="array" ref="S138">EstymacjaEpanecznikowa($K138,$C$2:$C$151,S$2)</f>
        <v>7.7087506212109649E-2</v>
      </c>
      <c r="T138" cm="1">
        <f t="array" ref="T138">EstymacjaEpanecznikowa($K138,$C$2:$C$151,T$2)</f>
        <v>0.16190401614401367</v>
      </c>
    </row>
    <row r="139" spans="1:20" x14ac:dyDescent="0.25">
      <c r="A139" s="1">
        <v>6.4</v>
      </c>
      <c r="B139" s="1">
        <v>3.1</v>
      </c>
      <c r="C139" s="2">
        <v>5.5</v>
      </c>
      <c r="D139" s="1">
        <v>1.8</v>
      </c>
      <c r="E139" s="1" t="s">
        <v>7</v>
      </c>
      <c r="J139">
        <v>137</v>
      </c>
      <c r="K139">
        <f t="shared" si="5"/>
        <v>3.6836120401337875</v>
      </c>
      <c r="L139">
        <f t="shared" si="4"/>
        <v>0.22579087746451051</v>
      </c>
      <c r="M139" cm="1">
        <f t="array" ref="M139">EstymacjaGaussowska($K139,$C$2:$C$151)</f>
        <v>0.1368998997335949</v>
      </c>
      <c r="N139" cm="1">
        <f t="array" ref="N139">EstymacjaGaussowska($K139,$C$2:$C$151,$N$2)</f>
        <v>7.6975852241451162E-2</v>
      </c>
      <c r="O139" cm="1">
        <f t="array" ref="O139">EstymacjaGaussowska($K139,$C$2:$C$151,$O$2)</f>
        <v>0.15107594698600293</v>
      </c>
      <c r="P139" cm="1">
        <f t="array" ref="P139">EstymacjaGaussowska($K139,$C$2:$C$151,$P$2)</f>
        <v>3.2890216588758049E-2</v>
      </c>
      <c r="R139" cm="1">
        <f t="array" ref="R139">EstymacjaEpanecznikowa($K139,$C$2:$C$151,R$2)</f>
        <v>0.14012947368714926</v>
      </c>
      <c r="S139" cm="1">
        <f t="array" ref="S139">EstymacjaEpanecznikowa($K139,$C$2:$C$151,S$2)</f>
        <v>7.6606031636137301E-2</v>
      </c>
      <c r="T139" cm="1">
        <f t="array" ref="T139">EstymacjaEpanecznikowa($K139,$C$2:$C$151,T$2)</f>
        <v>0.16197010599276959</v>
      </c>
    </row>
    <row r="140" spans="1:20" x14ac:dyDescent="0.25">
      <c r="A140" s="1">
        <v>6</v>
      </c>
      <c r="B140" s="1">
        <v>3</v>
      </c>
      <c r="C140" s="2">
        <v>4.8</v>
      </c>
      <c r="D140" s="1">
        <v>1.8</v>
      </c>
      <c r="E140" s="1" t="s">
        <v>7</v>
      </c>
      <c r="J140">
        <v>138</v>
      </c>
      <c r="K140">
        <f t="shared" si="5"/>
        <v>3.7033444816053596</v>
      </c>
      <c r="L140">
        <f t="shared" si="4"/>
        <v>0.22588314434257303</v>
      </c>
      <c r="M140" cm="1">
        <f t="array" ref="M140">EstymacjaGaussowska($K140,$C$2:$C$151)</f>
        <v>0.13964771521598959</v>
      </c>
      <c r="N140" cm="1">
        <f t="array" ref="N140">EstymacjaGaussowska($K140,$C$2:$C$151,$N$2)</f>
        <v>7.8790962294614603E-2</v>
      </c>
      <c r="O140" cm="1">
        <f t="array" ref="O140">EstymacjaGaussowska($K140,$C$2:$C$151,$O$2)</f>
        <v>0.15148615718000416</v>
      </c>
      <c r="P140" cm="1">
        <f t="array" ref="P140">EstymacjaGaussowska($K140,$C$2:$C$151,$P$2)</f>
        <v>3.289052438285648E-2</v>
      </c>
      <c r="R140" cm="1">
        <f t="array" ref="R140">EstymacjaEpanecznikowa($K140,$C$2:$C$151,R$2)</f>
        <v>0.14294697635500578</v>
      </c>
      <c r="S140" cm="1">
        <f t="array" ref="S140">EstymacjaEpanecznikowa($K140,$C$2:$C$151,S$2)</f>
        <v>8.1056707581463619E-2</v>
      </c>
      <c r="T140" cm="1">
        <f t="array" ref="T140">EstymacjaEpanecznikowa($K140,$C$2:$C$151,T$2)</f>
        <v>0.16202071751079933</v>
      </c>
    </row>
    <row r="141" spans="1:20" x14ac:dyDescent="0.25">
      <c r="A141" s="1">
        <v>6.9</v>
      </c>
      <c r="B141" s="1">
        <v>3.1</v>
      </c>
      <c r="C141" s="2">
        <v>5.4</v>
      </c>
      <c r="D141" s="1">
        <v>2.1</v>
      </c>
      <c r="E141" s="1" t="s">
        <v>7</v>
      </c>
      <c r="J141">
        <v>139</v>
      </c>
      <c r="K141">
        <f t="shared" si="5"/>
        <v>3.7230769230769316</v>
      </c>
      <c r="L141">
        <f t="shared" si="4"/>
        <v>0.2259472157572687</v>
      </c>
      <c r="M141" cm="1">
        <f t="array" ref="M141">EstymacjaGaussowska($K141,$C$2:$C$151)</f>
        <v>0.14240954371384831</v>
      </c>
      <c r="N141" cm="1">
        <f t="array" ref="N141">EstymacjaGaussowska($K141,$C$2:$C$151,$N$2)</f>
        <v>8.220040839418058E-2</v>
      </c>
      <c r="O141" cm="1">
        <f t="array" ref="O141">EstymacjaGaussowska($K141,$C$2:$C$151,$O$2)</f>
        <v>0.15189369011016587</v>
      </c>
      <c r="P141" cm="1">
        <f t="array" ref="P141">EstymacjaGaussowska($K141,$C$2:$C$151,$P$2)</f>
        <v>3.2890745144417109E-2</v>
      </c>
      <c r="R141" cm="1">
        <f t="array" ref="R141">EstymacjaEpanecznikowa($K141,$C$2:$C$151,R$2)</f>
        <v>0.14569141586266621</v>
      </c>
      <c r="S141" cm="1">
        <f t="array" ref="S141">EstymacjaEpanecznikowa($K141,$C$2:$C$151,S$2)</f>
        <v>8.2721283996027892E-2</v>
      </c>
      <c r="T141" cm="1">
        <f t="array" ref="T141">EstymacjaEpanecznikowa($K141,$C$2:$C$151,T$2)</f>
        <v>0.16205585069810249</v>
      </c>
    </row>
    <row r="142" spans="1:20" x14ac:dyDescent="0.25">
      <c r="A142" s="1">
        <v>6.7</v>
      </c>
      <c r="B142" s="1">
        <v>3.1</v>
      </c>
      <c r="C142" s="2">
        <v>5.6</v>
      </c>
      <c r="D142" s="1">
        <v>2.4</v>
      </c>
      <c r="E142" s="1" t="s">
        <v>7</v>
      </c>
      <c r="J142">
        <v>140</v>
      </c>
      <c r="K142">
        <f t="shared" si="5"/>
        <v>3.7428093645485037</v>
      </c>
      <c r="L142">
        <f t="shared" si="4"/>
        <v>0.22598306769867735</v>
      </c>
      <c r="M142" cm="1">
        <f t="array" ref="M142">EstymacjaGaussowska($K142,$C$2:$C$151)</f>
        <v>0.14518272403528429</v>
      </c>
      <c r="N142" cm="1">
        <f t="array" ref="N142">EstymacjaGaussowska($K142,$C$2:$C$151,$N$2)</f>
        <v>8.7439463841481754E-2</v>
      </c>
      <c r="O142" cm="1">
        <f t="array" ref="O142">EstymacjaGaussowska($K142,$C$2:$C$151,$O$2)</f>
        <v>0.15229829503730186</v>
      </c>
      <c r="P142" cm="1">
        <f t="array" ref="P142">EstymacjaGaussowska($K142,$C$2:$C$151,$P$2)</f>
        <v>3.2890878871559601E-2</v>
      </c>
      <c r="R142" cm="1">
        <f t="array" ref="R142">EstymacjaEpanecznikowa($K142,$C$2:$C$151,R$2)</f>
        <v>0.14836279221013027</v>
      </c>
      <c r="S142" cm="1">
        <f t="array" ref="S142">EstymacjaEpanecznikowa($K142,$C$2:$C$151,S$2)</f>
        <v>8.9610597404095813E-2</v>
      </c>
      <c r="T142" cm="1">
        <f t="array" ref="T142">EstymacjaEpanecznikowa($K142,$C$2:$C$151,T$2)</f>
        <v>0.16207550555467903</v>
      </c>
    </row>
    <row r="143" spans="1:20" x14ac:dyDescent="0.25">
      <c r="A143" s="1">
        <v>6.9</v>
      </c>
      <c r="B143" s="1">
        <v>3.1</v>
      </c>
      <c r="C143" s="2">
        <v>5.0999999999999996</v>
      </c>
      <c r="D143" s="1">
        <v>2.2999999999999998</v>
      </c>
      <c r="E143" s="1" t="s">
        <v>7</v>
      </c>
      <c r="J143">
        <v>141</v>
      </c>
      <c r="K143">
        <f t="shared" si="5"/>
        <v>3.7625418060200757</v>
      </c>
      <c r="L143">
        <f t="shared" si="4"/>
        <v>0.22599068672977446</v>
      </c>
      <c r="M143" cm="1">
        <f t="array" ref="M143">EstymacjaGaussowska($K143,$C$2:$C$151)</f>
        <v>0.14796458600031068</v>
      </c>
      <c r="N143" cm="1">
        <f t="array" ref="N143">EstymacjaGaussowska($K143,$C$2:$C$151,$N$2)</f>
        <v>9.4687712435953697E-2</v>
      </c>
      <c r="O143" cm="1">
        <f t="array" ref="O143">EstymacjaGaussowska($K143,$C$2:$C$151,$O$2)</f>
        <v>0.15269971793277584</v>
      </c>
      <c r="P143" cm="1">
        <f t="array" ref="P143">EstymacjaGaussowska($K143,$C$2:$C$151,$P$2)</f>
        <v>3.2890925563094239E-2</v>
      </c>
      <c r="R143" cm="1">
        <f t="array" ref="R143">EstymacjaEpanecznikowa($K143,$C$2:$C$151,R$2)</f>
        <v>0.15096110539739832</v>
      </c>
      <c r="S143" cm="1">
        <f t="array" ref="S143">EstymacjaEpanecznikowa($K143,$C$2:$C$151,S$2)</f>
        <v>9.4622034907520691E-2</v>
      </c>
      <c r="T143" cm="1">
        <f t="array" ref="T143">EstymacjaEpanecznikowa($K143,$C$2:$C$151,T$2)</f>
        <v>0.16207968208052936</v>
      </c>
    </row>
    <row r="144" spans="1:20" x14ac:dyDescent="0.25">
      <c r="A144" s="1">
        <v>5.8</v>
      </c>
      <c r="B144" s="1">
        <v>2.7</v>
      </c>
      <c r="C144" s="2">
        <v>5.0999999999999996</v>
      </c>
      <c r="D144" s="1">
        <v>1.9</v>
      </c>
      <c r="E144" s="1" t="s">
        <v>7</v>
      </c>
      <c r="J144">
        <v>142</v>
      </c>
      <c r="K144">
        <f t="shared" si="5"/>
        <v>3.7822742474916478</v>
      </c>
      <c r="L144">
        <f t="shared" si="4"/>
        <v>0.22597006999482433</v>
      </c>
      <c r="M144" cm="1">
        <f t="array" ref="M144">EstymacjaGaussowska($K144,$C$2:$C$151)</f>
        <v>0.15075245224792863</v>
      </c>
      <c r="N144" cm="1">
        <f t="array" ref="N144">EstymacjaGaussowska($K144,$C$2:$C$151,$N$2)</f>
        <v>0.10404246133480644</v>
      </c>
      <c r="O144" cm="1">
        <f t="array" ref="O144">EstymacjaGaussowska($K144,$C$2:$C$151,$O$2)</f>
        <v>0.1530977017010795</v>
      </c>
      <c r="P144" cm="1">
        <f t="array" ref="P144">EstymacjaGaussowska($K144,$C$2:$C$151,$P$2)</f>
        <v>3.2890885218522202E-2</v>
      </c>
      <c r="R144" cm="1">
        <f t="array" ref="R144">EstymacjaEpanecznikowa($K144,$C$2:$C$151,R$2)</f>
        <v>0.15364033176890934</v>
      </c>
      <c r="S144" cm="1">
        <f t="array" ref="S144">EstymacjaEpanecznikowa($K144,$C$2:$C$151,S$2)</f>
        <v>0.1033476048075361</v>
      </c>
      <c r="T144" cm="1">
        <f t="array" ref="T144">EstymacjaEpanecznikowa($K144,$C$2:$C$151,T$2)</f>
        <v>0.1620683802756531</v>
      </c>
    </row>
    <row r="145" spans="1:20" x14ac:dyDescent="0.25">
      <c r="A145" s="1">
        <v>6.8</v>
      </c>
      <c r="B145" s="1">
        <v>3.2</v>
      </c>
      <c r="C145" s="2">
        <v>5.9</v>
      </c>
      <c r="D145" s="1">
        <v>2.2999999999999998</v>
      </c>
      <c r="E145" s="1" t="s">
        <v>7</v>
      </c>
      <c r="J145">
        <v>143</v>
      </c>
      <c r="K145">
        <f t="shared" si="5"/>
        <v>3.8020066889632198</v>
      </c>
      <c r="L145">
        <f t="shared" si="4"/>
        <v>0.2259212252211637</v>
      </c>
      <c r="M145" cm="1">
        <f t="array" ref="M145">EstymacjaGaussowska($K145,$C$2:$C$151)</f>
        <v>0.15354364015833866</v>
      </c>
      <c r="N145" cm="1">
        <f t="array" ref="N145">EstymacjaGaussowska($K145,$C$2:$C$151,$N$2)</f>
        <v>0.11548746843965445</v>
      </c>
      <c r="O145" cm="1">
        <f t="array" ref="O145">EstymacjaGaussowska($K145,$C$2:$C$151,$O$2)</f>
        <v>0.15349198640565773</v>
      </c>
      <c r="P145" cm="1">
        <f t="array" ref="P145">EstymacjaGaussowska($K145,$C$2:$C$151,$P$2)</f>
        <v>3.2890757838035432E-2</v>
      </c>
      <c r="R145" cm="1">
        <f t="array" ref="R145">EstymacjaEpanecznikowa($K145,$C$2:$C$151,R$2)</f>
        <v>0.15625672863466056</v>
      </c>
      <c r="S145" cm="1">
        <f t="array" ref="S145">EstymacjaEpanecznikowa($K145,$C$2:$C$151,S$2)</f>
        <v>0.12252269871787444</v>
      </c>
      <c r="T145" cm="1">
        <f t="array" ref="T145">EstymacjaEpanecznikowa($K145,$C$2:$C$151,T$2)</f>
        <v>0.16204160014005056</v>
      </c>
    </row>
    <row r="146" spans="1:20" x14ac:dyDescent="0.25">
      <c r="A146" s="1">
        <v>6.7</v>
      </c>
      <c r="B146" s="1">
        <v>3.3</v>
      </c>
      <c r="C146" s="2">
        <v>5.7</v>
      </c>
      <c r="D146" s="1">
        <v>2.5</v>
      </c>
      <c r="E146" s="1" t="s">
        <v>7</v>
      </c>
      <c r="J146">
        <v>144</v>
      </c>
      <c r="K146">
        <f t="shared" si="5"/>
        <v>3.8217391304347919</v>
      </c>
      <c r="L146">
        <f t="shared" si="4"/>
        <v>0.22584417071437499</v>
      </c>
      <c r="M146" cm="1">
        <f t="array" ref="M146">EstymacjaGaussowska($K146,$C$2:$C$151)</f>
        <v>0.15633546389065231</v>
      </c>
      <c r="N146" cm="1">
        <f t="array" ref="N146">EstymacjaGaussowska($K146,$C$2:$C$151,$N$2)</f>
        <v>0.12886426078092025</v>
      </c>
      <c r="O146" cm="1">
        <f t="array" ref="O146">EstymacjaGaussowska($K146,$C$2:$C$151,$O$2)</f>
        <v>0.15388230949773066</v>
      </c>
      <c r="P146" cm="1">
        <f t="array" ref="P146">EstymacjaGaussowska($K146,$C$2:$C$151,$P$2)</f>
        <v>3.2890543422516537E-2</v>
      </c>
      <c r="R146" cm="1">
        <f t="array" ref="R146">EstymacjaEpanecznikowa($K146,$C$2:$C$151,R$2)</f>
        <v>0.15879791342373931</v>
      </c>
      <c r="S146" cm="1">
        <f t="array" ref="S146">EstymacjaEpanecznikowa($K146,$C$2:$C$151,S$2)</f>
        <v>0.13786690577341493</v>
      </c>
      <c r="T146" cm="1">
        <f t="array" ref="T146">EstymacjaEpanecznikowa($K146,$C$2:$C$151,T$2)</f>
        <v>0.16199934167372135</v>
      </c>
    </row>
    <row r="147" spans="1:20" x14ac:dyDescent="0.25">
      <c r="A147" s="1">
        <v>6.7</v>
      </c>
      <c r="B147" s="1">
        <v>3</v>
      </c>
      <c r="C147" s="2">
        <v>5.2</v>
      </c>
      <c r="D147" s="1">
        <v>2.2999999999999998</v>
      </c>
      <c r="E147" s="1" t="s">
        <v>7</v>
      </c>
      <c r="J147">
        <v>145</v>
      </c>
      <c r="K147">
        <f t="shared" si="5"/>
        <v>3.8414715719063639</v>
      </c>
      <c r="L147">
        <f t="shared" si="4"/>
        <v>0.22573893534685288</v>
      </c>
      <c r="M147" cm="1">
        <f t="array" ref="M147">EstymacjaGaussowska($K147,$C$2:$C$151)</f>
        <v>0.15912523653536573</v>
      </c>
      <c r="N147" cm="1">
        <f t="array" ref="N147">EstymacjaGaussowska($K147,$C$2:$C$151,$N$2)</f>
        <v>0.14385394102192145</v>
      </c>
      <c r="O147" cm="1">
        <f t="array" ref="O147">EstymacjaGaussowska($K147,$C$2:$C$151,$O$2)</f>
        <v>0.15426840604786685</v>
      </c>
      <c r="P147" cm="1">
        <f t="array" ref="P147">EstymacjaGaussowska($K147,$C$2:$C$151,$P$2)</f>
        <v>3.2890241973539153E-2</v>
      </c>
      <c r="R147" cm="1">
        <f t="array" ref="R147">EstymacjaEpanecznikowa($K147,$C$2:$C$151,R$2)</f>
        <v>0.16126388613614517</v>
      </c>
      <c r="S147" cm="1">
        <f t="array" ref="S147">EstymacjaEpanecznikowa($K147,$C$2:$C$151,S$2)</f>
        <v>0.15309590909405099</v>
      </c>
      <c r="T147" cm="1">
        <f t="array" ref="T147">EstymacjaEpanecznikowa($K147,$C$2:$C$151,T$2)</f>
        <v>0.1619416048766657</v>
      </c>
    </row>
    <row r="148" spans="1:20" x14ac:dyDescent="0.25">
      <c r="A148" s="1">
        <v>6.3</v>
      </c>
      <c r="B148" s="1">
        <v>2.5</v>
      </c>
      <c r="C148" s="2">
        <v>5</v>
      </c>
      <c r="D148" s="1">
        <v>1.9</v>
      </c>
      <c r="E148" s="1" t="s">
        <v>7</v>
      </c>
      <c r="J148">
        <v>146</v>
      </c>
      <c r="K148">
        <f t="shared" si="5"/>
        <v>3.861204013377936</v>
      </c>
      <c r="L148">
        <f t="shared" si="4"/>
        <v>0.22560555853977399</v>
      </c>
      <c r="M148" cm="1">
        <f t="array" ref="M148">EstymacjaGaussowska($K148,$C$2:$C$151)</f>
        <v>0.16191027237976924</v>
      </c>
      <c r="N148" cm="1">
        <f t="array" ref="N148">EstymacjaGaussowska($K148,$C$2:$C$151,$N$2)</f>
        <v>0.15997613156495899</v>
      </c>
      <c r="O148" cm="1">
        <f t="array" ref="O148">EstymacjaGaussowska($K148,$C$2:$C$151,$O$2)</f>
        <v>0.15465000898005074</v>
      </c>
      <c r="P148" cm="1">
        <f t="array" ref="P148">EstymacjaGaussowska($K148,$C$2:$C$151,$P$2)</f>
        <v>3.2889853493367441E-2</v>
      </c>
      <c r="R148" cm="1">
        <f t="array" ref="R148">EstymacjaEpanecznikowa($K148,$C$2:$C$151,R$2)</f>
        <v>0.16365464677187855</v>
      </c>
      <c r="S148" cm="1">
        <f t="array" ref="S148">EstymacjaEpanecznikowa($K148,$C$2:$C$151,S$2)</f>
        <v>0.16521426150221563</v>
      </c>
      <c r="T148" cm="1">
        <f t="array" ref="T148">EstymacjaEpanecznikowa($K148,$C$2:$C$151,T$2)</f>
        <v>0.16186838974888373</v>
      </c>
    </row>
    <row r="149" spans="1:20" x14ac:dyDescent="0.25">
      <c r="A149" s="1">
        <v>6.5</v>
      </c>
      <c r="B149" s="1">
        <v>3</v>
      </c>
      <c r="C149" s="2">
        <v>5.2</v>
      </c>
      <c r="D149" s="1">
        <v>2</v>
      </c>
      <c r="E149" s="1" t="s">
        <v>7</v>
      </c>
      <c r="J149">
        <v>147</v>
      </c>
      <c r="K149">
        <f t="shared" si="5"/>
        <v>3.880936454849508</v>
      </c>
      <c r="L149">
        <f t="shared" si="4"/>
        <v>0.22544409023848616</v>
      </c>
      <c r="M149" cm="1">
        <f t="array" ref="M149">EstymacjaGaussowska($K149,$C$2:$C$151)</f>
        <v>0.16468788928340827</v>
      </c>
      <c r="N149" cm="1">
        <f t="array" ref="N149">EstymacjaGaussowska($K149,$C$2:$C$151,$N$2)</f>
        <v>0.17660921100974683</v>
      </c>
      <c r="O149" cm="1">
        <f t="array" ref="O149">EstymacjaGaussowska($K149,$C$2:$C$151,$O$2)</f>
        <v>0.15502684930799682</v>
      </c>
      <c r="P149" cm="1">
        <f t="array" ref="P149">EstymacjaGaussowska($K149,$C$2:$C$151,$P$2)</f>
        <v>3.2889377984956496E-2</v>
      </c>
      <c r="R149" cm="1">
        <f t="array" ref="R149">EstymacjaEpanecznikowa($K149,$C$2:$C$151,R$2)</f>
        <v>0.16611296101085407</v>
      </c>
      <c r="S149" cm="1">
        <f t="array" ref="S149">EstymacjaEpanecznikowa($K149,$C$2:$C$151,S$2)</f>
        <v>0.17654824805570443</v>
      </c>
      <c r="T149" cm="1">
        <f t="array" ref="T149">EstymacjaEpanecznikowa($K149,$C$2:$C$151,T$2)</f>
        <v>0.16177969629037517</v>
      </c>
    </row>
    <row r="150" spans="1:20" x14ac:dyDescent="0.25">
      <c r="A150" s="1">
        <v>6.2</v>
      </c>
      <c r="B150" s="1">
        <v>3.4</v>
      </c>
      <c r="C150" s="2">
        <v>5.4</v>
      </c>
      <c r="D150" s="1">
        <v>2.2999999999999998</v>
      </c>
      <c r="E150" s="1" t="s">
        <v>7</v>
      </c>
      <c r="J150">
        <v>148</v>
      </c>
      <c r="K150">
        <f t="shared" si="5"/>
        <v>3.90066889632108</v>
      </c>
      <c r="L150">
        <f t="shared" si="4"/>
        <v>0.22525459088133806</v>
      </c>
      <c r="M150" cm="1">
        <f t="array" ref="M150">EstymacjaGaussowska($K150,$C$2:$C$151)</f>
        <v>0.16745541115969587</v>
      </c>
      <c r="N150" cm="1">
        <f t="array" ref="N150">EstymacjaGaussowska($K150,$C$2:$C$151,$N$2)</f>
        <v>0.1930328751775415</v>
      </c>
      <c r="O150" cm="1">
        <f t="array" ref="O150">EstymacjaGaussowska($K150,$C$2:$C$151,$O$2)</f>
        <v>0.15539865637344971</v>
      </c>
      <c r="P150" cm="1">
        <f t="array" ref="P150">EstymacjaGaussowska($K150,$C$2:$C$151,$P$2)</f>
        <v>3.288881545195195E-2</v>
      </c>
      <c r="R150" cm="1">
        <f t="array" ref="R150">EstymacjaEpanecznikowa($K150,$C$2:$C$151,R$2)</f>
        <v>0.16851765318137066</v>
      </c>
      <c r="S150" cm="1">
        <f t="array" ref="S150">EstymacjaEpanecznikowa($K150,$C$2:$C$151,S$2)</f>
        <v>0.19277786809771549</v>
      </c>
      <c r="T150" cm="1">
        <f t="array" ref="T150">EstymacjaEpanecznikowa($K150,$C$2:$C$151,T$2)</f>
        <v>0.16167552450114045</v>
      </c>
    </row>
    <row r="151" spans="1:20" x14ac:dyDescent="0.25">
      <c r="A151" s="1">
        <v>5.9</v>
      </c>
      <c r="B151" s="1">
        <v>3</v>
      </c>
      <c r="C151" s="2">
        <v>5.0999999999999996</v>
      </c>
      <c r="D151" s="1">
        <v>1.8</v>
      </c>
      <c r="E151" s="1" t="s">
        <v>7</v>
      </c>
      <c r="J151">
        <v>149</v>
      </c>
      <c r="K151">
        <f t="shared" si="5"/>
        <v>3.9204013377926521</v>
      </c>
      <c r="L151">
        <f t="shared" si="4"/>
        <v>0.22503713136197689</v>
      </c>
      <c r="M151" cm="1">
        <f t="array" ref="M151">EstymacjaGaussowska($K151,$C$2:$C$151)</f>
        <v>0.17021017055879328</v>
      </c>
      <c r="N151" cm="1">
        <f t="array" ref="N151">EstymacjaGaussowska($K151,$C$2:$C$151,$N$2)</f>
        <v>0.20849062370245061</v>
      </c>
      <c r="O151" cm="1">
        <f t="array" ref="O151">EstymacjaGaussowska($K151,$C$2:$C$151,$O$2)</f>
        <v>0.15576515808621594</v>
      </c>
      <c r="P151" cm="1">
        <f t="array" ref="P151">EstymacjaGaussowska($K151,$C$2:$C$151,$P$2)</f>
        <v>3.2888165898690168E-2</v>
      </c>
      <c r="R151" cm="1">
        <f t="array" ref="R151">EstymacjaEpanecznikowa($K151,$C$2:$C$151,R$2)</f>
        <v>0.17084498435873832</v>
      </c>
      <c r="S151" cm="1">
        <f t="array" ref="S151">EstymacjaEpanecznikowa($K151,$C$2:$C$151,S$2)</f>
        <v>0.20448007640223811</v>
      </c>
      <c r="T151" cm="1">
        <f t="array" ref="T151">EstymacjaEpanecznikowa($K151,$C$2:$C$151,T$2)</f>
        <v>0.16155587438117894</v>
      </c>
    </row>
    <row r="152" spans="1:20" x14ac:dyDescent="0.25">
      <c r="J152">
        <v>150</v>
      </c>
      <c r="K152">
        <f t="shared" si="5"/>
        <v>3.9401337792642241</v>
      </c>
      <c r="L152">
        <f t="shared" si="4"/>
        <v>0.22479179298514687</v>
      </c>
      <c r="M152" cm="1">
        <f t="array" ref="M152">EstymacjaGaussowska($K152,$C$2:$C$151)</f>
        <v>0.17294951134595335</v>
      </c>
      <c r="N152" cm="1">
        <f t="array" ref="N152">EstymacjaGaussowska($K152,$C$2:$C$151,$N$2)</f>
        <v>0.2222660874374805</v>
      </c>
      <c r="O152" cm="1">
        <f t="array" ref="O152">EstymacjaGaussowska($K152,$C$2:$C$151,$O$2)</f>
        <v>0.15612608116567481</v>
      </c>
      <c r="P152" cm="1">
        <f t="array" ref="P152">EstymacjaGaussowska($K152,$C$2:$C$151,$P$2)</f>
        <v>3.2887429330198073E-2</v>
      </c>
      <c r="R152" cm="1">
        <f t="array" ref="R152">EstymacjaEpanecznikowa($K152,$C$2:$C$151,R$2)</f>
        <v>0.17309495454295695</v>
      </c>
      <c r="S152" cm="1">
        <f t="array" ref="S152">EstymacjaEpanecznikowa($K152,$C$2:$C$151,S$2)</f>
        <v>0.21508242169356862</v>
      </c>
      <c r="T152" cm="1">
        <f t="array" ref="T152">EstymacjaEpanecznikowa($K152,$C$2:$C$151,T$2)</f>
        <v>0.16142074593049102</v>
      </c>
    </row>
    <row r="153" spans="1:20" x14ac:dyDescent="0.25">
      <c r="J153">
        <v>151</v>
      </c>
      <c r="K153">
        <f t="shared" si="5"/>
        <v>3.9598662207357962</v>
      </c>
      <c r="L153">
        <f t="shared" si="4"/>
        <v>0.22451866741602722</v>
      </c>
      <c r="M153" cm="1">
        <f t="array" ref="M153">EstymacjaGaussowska($K153,$C$2:$C$151)</f>
        <v>0.17567079146863837</v>
      </c>
      <c r="N153" cm="1">
        <f t="array" ref="N153">EstymacjaGaussowska($K153,$C$2:$C$151,$N$2)</f>
        <v>0.23376332668382716</v>
      </c>
      <c r="O153" cm="1">
        <f t="array" ref="O153">EstymacjaGaussowska($K153,$C$2:$C$151,$O$2)</f>
        <v>0.15648115138350496</v>
      </c>
      <c r="P153" cm="1">
        <f t="array" ref="P153">EstymacjaGaussowska($K153,$C$2:$C$151,$P$2)</f>
        <v>3.2886605752193161E-2</v>
      </c>
      <c r="R153" cm="1">
        <f t="array" ref="R153">EstymacjaEpanecznikowa($K153,$C$2:$C$151,R$2)</f>
        <v>0.17526756373402652</v>
      </c>
      <c r="S153" cm="1">
        <f t="array" ref="S153">EstymacjaEpanecznikowa($K153,$C$2:$C$151,S$2)</f>
        <v>0.2221421145723618</v>
      </c>
      <c r="T153" cm="1">
        <f t="array" ref="T153">EstymacjaEpanecznikowa($K153,$C$2:$C$151,T$2)</f>
        <v>0.1612701391490767</v>
      </c>
    </row>
    <row r="154" spans="1:20" x14ac:dyDescent="0.25">
      <c r="J154">
        <v>152</v>
      </c>
      <c r="K154">
        <f t="shared" si="5"/>
        <v>3.9795986622073682</v>
      </c>
      <c r="L154">
        <f t="shared" si="4"/>
        <v>0.22421785662315363</v>
      </c>
      <c r="M154" cm="1">
        <f t="array" ref="M154">EstymacjaGaussowska($K154,$C$2:$C$151)</f>
        <v>0.17837138580490805</v>
      </c>
      <c r="N154" cm="1">
        <f t="array" ref="N154">EstymacjaGaussowska($K154,$C$2:$C$151,$N$2)</f>
        <v>0.2425780336969636</v>
      </c>
      <c r="O154" cm="1">
        <f t="array" ref="O154">EstymacjaGaussowska($K154,$C$2:$C$151,$O$2)</f>
        <v>0.15683009380737192</v>
      </c>
      <c r="P154" cm="1">
        <f t="array" ref="P154">EstymacjaGaussowska($K154,$C$2:$C$151,$P$2)</f>
        <v>3.2885695171083376E-2</v>
      </c>
      <c r="R154" cm="1">
        <f t="array" ref="R154">EstymacjaEpanecznikowa($K154,$C$2:$C$151,R$2)</f>
        <v>0.17756012963917603</v>
      </c>
      <c r="S154" cm="1">
        <f t="array" ref="S154">EstymacjaEpanecznikowa($K154,$C$2:$C$151,S$2)</f>
        <v>0.2275686456894509</v>
      </c>
      <c r="T154" cm="1">
        <f t="array" ref="T154">EstymacjaEpanecznikowa($K154,$C$2:$C$151,T$2)</f>
        <v>0.16110405403693615</v>
      </c>
    </row>
    <row r="155" spans="1:20" x14ac:dyDescent="0.25">
      <c r="J155">
        <v>153</v>
      </c>
      <c r="K155">
        <f t="shared" si="5"/>
        <v>3.9993311036789403</v>
      </c>
      <c r="L155">
        <f t="shared" si="4"/>
        <v>0.22388947281497326</v>
      </c>
      <c r="M155" cm="1">
        <f t="array" ref="M155">EstymacjaGaussowska($K155,$C$2:$C$151)</f>
        <v>0.18104868908480914</v>
      </c>
      <c r="N155" cm="1">
        <f t="array" ref="N155">EstymacjaGaussowska($K155,$C$2:$C$151,$N$2)</f>
        <v>0.24854529412948559</v>
      </c>
      <c r="O155" cm="1">
        <f t="array" ref="O155">EstymacjaGaussowska($K155,$C$2:$C$151,$O$2)</f>
        <v>0.15717263304532339</v>
      </c>
      <c r="P155" cm="1">
        <f t="array" ref="P155">EstymacjaGaussowska($K155,$C$2:$C$151,$P$2)</f>
        <v>3.288469759396704E-2</v>
      </c>
      <c r="R155" cm="1">
        <f t="array" ref="R155">EstymacjaEpanecznikowa($K155,$C$2:$C$151,R$2)</f>
        <v>0.17982476891001944</v>
      </c>
      <c r="S155" cm="1">
        <f t="array" ref="S155">EstymacjaEpanecznikowa($K155,$C$2:$C$151,S$2)</f>
        <v>0.24113317264218351</v>
      </c>
      <c r="T155" cm="1">
        <f t="array" ref="T155">EstymacjaEpanecznikowa($K155,$C$2:$C$151,T$2)</f>
        <v>0.16092249059406885</v>
      </c>
    </row>
    <row r="156" spans="1:20" x14ac:dyDescent="0.25">
      <c r="J156">
        <v>154</v>
      </c>
      <c r="K156">
        <f t="shared" si="5"/>
        <v>4.0190635451505123</v>
      </c>
      <c r="L156">
        <f t="shared" si="4"/>
        <v>0.22353363837008813</v>
      </c>
      <c r="M156" cm="1">
        <f t="array" ref="M156">EstymacjaGaussowska($K156,$C$2:$C$151)</f>
        <v>0.18370011887580029</v>
      </c>
      <c r="N156" cm="1">
        <f t="array" ref="N156">EstymacjaGaussowska($K156,$C$2:$C$151,$N$2)</f>
        <v>0.2517517094848265</v>
      </c>
      <c r="O156" cm="1">
        <f t="array" ref="O156">EstymacjaGaussowska($K156,$C$2:$C$151,$O$2)</f>
        <v>0.15750849349062793</v>
      </c>
      <c r="P156" cm="1">
        <f t="array" ref="P156">EstymacjaGaussowska($K156,$C$2:$C$151,$P$2)</f>
        <v>3.2883613028632755E-2</v>
      </c>
      <c r="R156" cm="1">
        <f t="array" ref="R156">EstymacjaEpanecznikowa($K156,$C$2:$C$151,R$2)</f>
        <v>0.18200882381299907</v>
      </c>
      <c r="S156" cm="1">
        <f t="array" ref="S156">EstymacjaEpanecznikowa($K156,$C$2:$C$151,S$2)</f>
        <v>0.249125500533392</v>
      </c>
      <c r="T156" cm="1">
        <f t="array" ref="T156">EstymacjaEpanecznikowa($K156,$C$2:$C$151,T$2)</f>
        <v>0.16072544882047507</v>
      </c>
    </row>
    <row r="157" spans="1:20" x14ac:dyDescent="0.25">
      <c r="J157">
        <v>155</v>
      </c>
      <c r="K157">
        <f t="shared" si="5"/>
        <v>4.0387959866220839</v>
      </c>
      <c r="L157">
        <f t="shared" si="4"/>
        <v>0.22315048576124816</v>
      </c>
      <c r="M157" cm="1">
        <f t="array" ref="M157">EstymacjaGaussowska($K157,$C$2:$C$151)</f>
        <v>0.18632311862262063</v>
      </c>
      <c r="N157" cm="1">
        <f t="array" ref="N157">EstymacjaGaussowska($K157,$C$2:$C$151,$N$2)</f>
        <v>0.25250604050637449</v>
      </c>
      <c r="O157" cm="1">
        <f t="array" ref="O157">EstymacjaGaussowska($K157,$C$2:$C$151,$O$2)</f>
        <v>0.15783739956680881</v>
      </c>
      <c r="P157" cm="1">
        <f t="array" ref="P157">EstymacjaGaussowska($K157,$C$2:$C$151,$P$2)</f>
        <v>3.2882441483559212E-2</v>
      </c>
      <c r="R157" cm="1">
        <f t="array" ref="R157">EstymacjaEpanecznikowa($K157,$C$2:$C$151,R$2)</f>
        <v>0.18411229434811535</v>
      </c>
      <c r="S157" cm="1">
        <f t="array" ref="S157">EstymacjaEpanecznikowa($K157,$C$2:$C$151,S$2)</f>
        <v>0.25468664443841754</v>
      </c>
      <c r="T157" cm="1">
        <f t="array" ref="T157">EstymacjaEpanecznikowa($K157,$C$2:$C$151,T$2)</f>
        <v>0.16051292871615502</v>
      </c>
    </row>
    <row r="158" spans="1:20" x14ac:dyDescent="0.25">
      <c r="J158">
        <v>156</v>
      </c>
      <c r="K158">
        <f t="shared" si="5"/>
        <v>4.0585284280936555</v>
      </c>
      <c r="L158">
        <f t="shared" si="4"/>
        <v>0.22274015747315945</v>
      </c>
      <c r="M158" cm="1">
        <f t="array" ref="M158">EstymacjaGaussowska($K158,$C$2:$C$151)</f>
        <v>0.18891516073143819</v>
      </c>
      <c r="N158" cm="1">
        <f t="array" ref="N158">EstymacjaGaussowska($K158,$C$2:$C$151,$N$2)</f>
        <v>0.25127230772165771</v>
      </c>
      <c r="O158" cm="1">
        <f t="array" ref="O158">EstymacjaGaussowska($K158,$C$2:$C$151,$O$2)</f>
        <v>0.15815907597261514</v>
      </c>
      <c r="P158" cm="1">
        <f t="array" ref="P158">EstymacjaGaussowska($K158,$C$2:$C$151,$P$2)</f>
        <v>3.2881182967915264E-2</v>
      </c>
      <c r="R158" cm="1">
        <f t="array" ref="R158">EstymacjaEpanecznikowa($K158,$C$2:$C$151,R$2)</f>
        <v>0.18613518051536804</v>
      </c>
      <c r="S158" cm="1">
        <f t="array" ref="S158">EstymacjaEpanecznikowa($K158,$C$2:$C$151,S$2)</f>
        <v>0.25592327124285258</v>
      </c>
      <c r="T158" cm="1">
        <f t="array" ref="T158">EstymacjaEpanecznikowa($K158,$C$2:$C$151,T$2)</f>
        <v>0.16028493028110838</v>
      </c>
    </row>
    <row r="159" spans="1:20" x14ac:dyDescent="0.25">
      <c r="J159">
        <v>157</v>
      </c>
      <c r="K159">
        <f t="shared" si="5"/>
        <v>4.0782608695652272</v>
      </c>
      <c r="L159">
        <f t="shared" si="4"/>
        <v>0.22230280591417936</v>
      </c>
      <c r="M159" cm="1">
        <f t="array" ref="M159">EstymacjaGaussowska($K159,$C$2:$C$151)</f>
        <v>0.19147374968763586</v>
      </c>
      <c r="N159" cm="1">
        <f t="array" ref="N159">EstymacjaGaussowska($K159,$C$2:$C$151,$N$2)</f>
        <v>0.24857989632561089</v>
      </c>
      <c r="O159" cm="1">
        <f t="array" ref="O159">EstymacjaGaussowska($K159,$C$2:$C$151,$O$2)</f>
        <v>0.15847324792667583</v>
      </c>
      <c r="P159" cm="1">
        <f t="array" ref="P159">EstymacjaGaussowska($K159,$C$2:$C$151,$P$2)</f>
        <v>3.2879837491559823E-2</v>
      </c>
      <c r="R159" cm="1">
        <f t="array" ref="R159">EstymacjaEpanecznikowa($K159,$C$2:$C$151,R$2)</f>
        <v>0.1884384264722157</v>
      </c>
      <c r="S159" cm="1">
        <f t="array" ref="S159">EstymacjaEpanecznikowa($K159,$C$2:$C$151,S$2)</f>
        <v>0.25267990842907884</v>
      </c>
      <c r="T159" cm="1">
        <f t="array" ref="T159">EstymacjaEpanecznikowa($K159,$C$2:$C$151,T$2)</f>
        <v>0.16004145351533539</v>
      </c>
    </row>
    <row r="160" spans="1:20" x14ac:dyDescent="0.25">
      <c r="J160">
        <v>158</v>
      </c>
      <c r="K160">
        <f t="shared" si="5"/>
        <v>4.0979933110367988</v>
      </c>
      <c r="L160">
        <f t="shared" si="4"/>
        <v>0.22183859332197506</v>
      </c>
      <c r="M160" cm="1">
        <f t="array" ref="M160">EstymacjaGaussowska($K160,$C$2:$C$151)</f>
        <v>0.19399642519615837</v>
      </c>
      <c r="N160" cm="1">
        <f t="array" ref="N160">EstymacjaGaussowska($K160,$C$2:$C$151,$N$2)</f>
        <v>0.24493300049053554</v>
      </c>
      <c r="O160" cm="1">
        <f t="array" ref="O160">EstymacjaGaussowska($K160,$C$2:$C$151,$O$2)</f>
        <v>0.15877964141158898</v>
      </c>
      <c r="P160" cm="1">
        <f t="array" ref="P160">EstymacjaGaussowska($K160,$C$2:$C$151,$P$2)</f>
        <v>3.2878405065041395E-2</v>
      </c>
      <c r="R160" cm="1">
        <f t="array" ref="R160">EstymacjaEpanecznikowa($K160,$C$2:$C$151,R$2)</f>
        <v>0.19079408510364257</v>
      </c>
      <c r="S160" cm="1">
        <f t="array" ref="S160">EstymacjaEpanecznikowa($K160,$C$2:$C$151,S$2)</f>
        <v>0.25094745035221439</v>
      </c>
      <c r="T160" cm="1">
        <f t="array" ref="T160">EstymacjaEpanecznikowa($K160,$C$2:$C$151,T$2)</f>
        <v>0.15978249841883591</v>
      </c>
    </row>
    <row r="161" spans="10:20" x14ac:dyDescent="0.25">
      <c r="J161">
        <v>159</v>
      </c>
      <c r="K161">
        <f t="shared" si="5"/>
        <v>4.1177257525083704</v>
      </c>
      <c r="L161">
        <f t="shared" si="4"/>
        <v>0.22134769166322743</v>
      </c>
      <c r="M161" cm="1">
        <f t="array" ref="M161">EstymacjaGaussowska($K161,$C$2:$C$151)</f>
        <v>0.19648076533301398</v>
      </c>
      <c r="N161" cm="1">
        <f t="array" ref="N161">EstymacjaGaussowska($K161,$C$2:$C$151,$N$2)</f>
        <v>0.24074340936230287</v>
      </c>
      <c r="O161" cm="1">
        <f t="array" ref="O161">EstymacjaGaussowska($K161,$C$2:$C$151,$O$2)</f>
        <v>0.15907798341719323</v>
      </c>
      <c r="P161" cm="1">
        <f t="array" ref="P161">EstymacjaGaussowska($K161,$C$2:$C$151,$P$2)</f>
        <v>3.287688569959827E-2</v>
      </c>
      <c r="R161" cm="1">
        <f t="array" ref="R161">EstymacjaEpanecznikowa($K161,$C$2:$C$151,R$2)</f>
        <v>0.19306271261777655</v>
      </c>
      <c r="S161" cm="1">
        <f t="array" ref="S161">EstymacjaEpanecznikowa($K161,$C$2:$C$151,S$2)</f>
        <v>0.24329453077248092</v>
      </c>
      <c r="T161" cm="1">
        <f t="array" ref="T161">EstymacjaEpanecznikowa($K161,$C$2:$C$151,T$2)</f>
        <v>0.15950806499160997</v>
      </c>
    </row>
    <row r="162" spans="10:20" x14ac:dyDescent="0.25">
      <c r="J162">
        <v>160</v>
      </c>
      <c r="K162">
        <f t="shared" si="5"/>
        <v>4.137458193979942</v>
      </c>
      <c r="L162">
        <f t="shared" si="4"/>
        <v>0.22083028252746659</v>
      </c>
      <c r="M162" cm="1">
        <f t="array" ref="M162">EstymacjaGaussowska($K162,$C$2:$C$151)</f>
        <v>0.19892438969624116</v>
      </c>
      <c r="N162" cm="1">
        <f t="array" ref="N162">EstymacjaGaussowska($K162,$C$2:$C$151,$N$2)</f>
        <v>0.2363047493848128</v>
      </c>
      <c r="O162" cm="1">
        <f t="array" ref="O162">EstymacjaGaussowska($K162,$C$2:$C$151,$O$2)</f>
        <v>0.15936800218277755</v>
      </c>
      <c r="P162" cm="1">
        <f t="array" ref="P162">EstymacjaGaussowska($K162,$C$2:$C$151,$P$2)</f>
        <v>3.2875279407158384E-2</v>
      </c>
      <c r="R162" cm="1">
        <f t="array" ref="R162">EstymacjaEpanecznikowa($K162,$C$2:$C$151,R$2)</f>
        <v>0.19524430901461809</v>
      </c>
      <c r="S162" cm="1">
        <f t="array" ref="S162">EstymacjaEpanecznikowa($K162,$C$2:$C$151,S$2)</f>
        <v>0.23828939620896195</v>
      </c>
      <c r="T162" cm="1">
        <f t="array" ref="T162">EstymacjaEpanecznikowa($K162,$C$2:$C$151,T$2)</f>
        <v>0.15921815323365743</v>
      </c>
    </row>
    <row r="163" spans="10:20" x14ac:dyDescent="0.25">
      <c r="J163">
        <v>161</v>
      </c>
      <c r="K163">
        <f t="shared" si="5"/>
        <v>4.1571906354515136</v>
      </c>
      <c r="L163">
        <f t="shared" si="4"/>
        <v>0.22028655701513136</v>
      </c>
      <c r="M163" cm="1">
        <f t="array" ref="M163">EstymacjaGaussowska($K163,$C$2:$C$151)</f>
        <v>0.20132496254446255</v>
      </c>
      <c r="N163" cm="1">
        <f t="array" ref="N163">EstymacjaGaussowska($K163,$C$2:$C$151,$N$2)</f>
        <v>0.23181412344611468</v>
      </c>
      <c r="O163" cm="1">
        <f t="array" ref="O163">EstymacjaGaussowska($K163,$C$2:$C$151,$O$2)</f>
        <v>0.15964942743798174</v>
      </c>
      <c r="P163" cm="1">
        <f t="array" ref="P163">EstymacjaGaussowska($K163,$C$2:$C$151,$P$2)</f>
        <v>3.2873586200338888E-2</v>
      </c>
      <c r="R163" cm="1">
        <f t="array" ref="R163">EstymacjaEpanecznikowa($K163,$C$2:$C$151,R$2)</f>
        <v>0.19733887429416713</v>
      </c>
      <c r="S163" cm="1">
        <f t="array" ref="S163">EstymacjaEpanecznikowa($K163,$C$2:$C$151,S$2)</f>
        <v>0.23189081169339629</v>
      </c>
      <c r="T163" cm="1">
        <f t="array" ref="T163">EstymacjaEpanecznikowa($K163,$C$2:$C$151,T$2)</f>
        <v>0.15891276314497868</v>
      </c>
    </row>
    <row r="164" spans="10:20" x14ac:dyDescent="0.25">
      <c r="J164">
        <v>162</v>
      </c>
      <c r="K164">
        <f t="shared" si="5"/>
        <v>4.1769230769230852</v>
      </c>
      <c r="L164">
        <f t="shared" si="4"/>
        <v>0.21971671561994932</v>
      </c>
      <c r="M164" cm="1">
        <f t="array" ref="M164">EstymacjaGaussowska($K164,$C$2:$C$151)</f>
        <v>0.20368019591103217</v>
      </c>
      <c r="N164" cm="1">
        <f t="array" ref="N164">EstymacjaGaussowska($K164,$C$2:$C$151,$N$2)</f>
        <v>0.22743233294262924</v>
      </c>
      <c r="O164" cm="1">
        <f t="array" ref="O164">EstymacjaGaussowska($K164,$C$2:$C$151,$O$2)</f>
        <v>0.15992199064214777</v>
      </c>
      <c r="P164" cm="1">
        <f t="array" ref="P164">EstymacjaGaussowska($K164,$C$2:$C$151,$P$2)</f>
        <v>3.2871806092446207E-2</v>
      </c>
      <c r="R164" cm="1">
        <f t="array" ref="R164">EstymacjaEpanecznikowa($K164,$C$2:$C$151,R$2)</f>
        <v>0.19951002009079702</v>
      </c>
      <c r="S164" cm="1">
        <f t="array" ref="S164">EstymacjaEpanecznikowa($K164,$C$2:$C$151,S$2)</f>
        <v>0.22103995048586733</v>
      </c>
      <c r="T164" cm="1">
        <f t="array" ref="T164">EstymacjaEpanecznikowa($K164,$C$2:$C$151,T$2)</f>
        <v>0.15859189472557333</v>
      </c>
    </row>
    <row r="165" spans="10:20" x14ac:dyDescent="0.25">
      <c r="J165">
        <v>163</v>
      </c>
      <c r="K165">
        <f t="shared" si="5"/>
        <v>4.1966555183946568</v>
      </c>
      <c r="L165">
        <f t="shared" si="4"/>
        <v>0.21912096810573778</v>
      </c>
      <c r="M165" cm="1">
        <f t="array" ref="M165">EstymacjaGaussowska($K165,$C$2:$C$151)</f>
        <v>0.20598785268171993</v>
      </c>
      <c r="N165" cm="1">
        <f t="array" ref="N165">EstymacjaGaussowska($K165,$C$2:$C$151,$N$2)</f>
        <v>0.22336138051275065</v>
      </c>
      <c r="O165" cm="1">
        <f t="array" ref="O165">EstymacjaGaussowska($K165,$C$2:$C$151,$O$2)</f>
        <v>0.16018542522188448</v>
      </c>
      <c r="P165" cm="1">
        <f t="array" ref="P165">EstymacjaGaussowska($K165,$C$2:$C$151,$P$2)</f>
        <v>3.2869939097475896E-2</v>
      </c>
      <c r="R165" cm="1">
        <f t="array" ref="R165">EstymacjaEpanecznikowa($K165,$C$2:$C$151,R$2)</f>
        <v>0.20167771226959011</v>
      </c>
      <c r="S165" cm="1">
        <f t="array" ref="S165">EstymacjaEpanecznikowa($K165,$C$2:$C$151,S$2)</f>
        <v>0.21994203838264068</v>
      </c>
      <c r="T165" cm="1">
        <f t="array" ref="T165">EstymacjaEpanecznikowa($K165,$C$2:$C$151,T$2)</f>
        <v>0.15825554797544147</v>
      </c>
    </row>
    <row r="166" spans="10:20" x14ac:dyDescent="0.25">
      <c r="J166">
        <v>164</v>
      </c>
      <c r="K166">
        <f t="shared" si="5"/>
        <v>4.2163879598662284</v>
      </c>
      <c r="L166">
        <f t="shared" si="4"/>
        <v>0.21849953337773326</v>
      </c>
      <c r="M166" cm="1">
        <f t="array" ref="M166">EstymacjaGaussowska($K166,$C$2:$C$151)</f>
        <v>0.20824574962392808</v>
      </c>
      <c r="N166" cm="1">
        <f t="array" ref="N166">EstymacjaGaussowska($K166,$C$2:$C$151,$N$2)</f>
        <v>0.21991191338596927</v>
      </c>
      <c r="O166" cm="1">
        <f t="array" ref="O166">EstymacjaGaussowska($K166,$C$2:$C$151,$O$2)</f>
        <v>0.16043946680660773</v>
      </c>
      <c r="P166" cm="1">
        <f t="array" ref="P166">EstymacjaGaussowska($K166,$C$2:$C$151,$P$2)</f>
        <v>3.2867985230112223E-2</v>
      </c>
      <c r="R166" cm="1">
        <f t="array" ref="R166">EstymacjaEpanecznikowa($K166,$C$2:$C$151,R$2)</f>
        <v>0.20375514995637617</v>
      </c>
      <c r="S166" cm="1">
        <f t="array" ref="S166">EstymacjaEpanecznikowa($K166,$C$2:$C$151,S$2)</f>
        <v>0.21257540233519973</v>
      </c>
      <c r="T166" cm="1">
        <f t="array" ref="T166">EstymacjaEpanecznikowa($K166,$C$2:$C$151,T$2)</f>
        <v>0.15790372289458329</v>
      </c>
    </row>
    <row r="167" spans="10:20" x14ac:dyDescent="0.25">
      <c r="J167">
        <v>165</v>
      </c>
      <c r="K167">
        <f t="shared" si="5"/>
        <v>4.2361204013378</v>
      </c>
      <c r="L167">
        <f t="shared" si="4"/>
        <v>0.21785263934855839</v>
      </c>
      <c r="M167" cm="1">
        <f t="array" ref="M167">EstymacjaGaussowska($K167,$C$2:$C$151)</f>
        <v>0.21045176035552327</v>
      </c>
      <c r="N167" cm="1">
        <f t="array" ref="N167">EstymacjaGaussowska($K167,$C$2:$C$151,$N$2)</f>
        <v>0.2175356412645095</v>
      </c>
      <c r="O167" cm="1">
        <f t="array" ref="O167">EstymacjaGaussowska($K167,$C$2:$C$151,$O$2)</f>
        <v>0.16068385346182587</v>
      </c>
      <c r="P167" cm="1">
        <f t="array" ref="P167">EstymacjaGaussowska($K167,$C$2:$C$151,$P$2)</f>
        <v>3.2865944505728224E-2</v>
      </c>
      <c r="R167" cm="1">
        <f t="array" ref="R167">EstymacjaEpanecznikowa($K167,$C$2:$C$151,R$2)</f>
        <v>0.2057423331511552</v>
      </c>
      <c r="S167" cm="1">
        <f t="array" ref="S167">EstymacjaEpanecznikowa($K167,$C$2:$C$151,S$2)</f>
        <v>0.21180379243032885</v>
      </c>
      <c r="T167" cm="1">
        <f t="array" ref="T167">EstymacjaEpanecznikowa($K167,$C$2:$C$151,T$2)</f>
        <v>0.15753641948299849</v>
      </c>
    </row>
    <row r="168" spans="10:20" x14ac:dyDescent="0.25">
      <c r="J168">
        <v>166</v>
      </c>
      <c r="K168">
        <f t="shared" si="5"/>
        <v>4.2558528428093716</v>
      </c>
      <c r="L168">
        <f t="shared" si="4"/>
        <v>0.21718052279894223</v>
      </c>
      <c r="M168" cm="1">
        <f t="array" ref="M168">EstymacjaGaussowska($K168,$C$2:$C$151)</f>
        <v>0.21260381824154184</v>
      </c>
      <c r="N168" cm="1">
        <f t="array" ref="N168">EstymacjaGaussowska($K168,$C$2:$C$151,$N$2)</f>
        <v>0.21680760612404712</v>
      </c>
      <c r="O168" cm="1">
        <f t="array" ref="O168">EstymacjaGaussowska($K168,$C$2:$C$151,$O$2)</f>
        <v>0.16091832591994454</v>
      </c>
      <c r="P168" cm="1">
        <f t="array" ref="P168">EstymacjaGaussowska($K168,$C$2:$C$151,$P$2)</f>
        <v>3.2863816940385412E-2</v>
      </c>
      <c r="R168" cm="1">
        <f t="array" ref="R168">EstymacjaEpanecznikowa($K168,$C$2:$C$151,R$2)</f>
        <v>0.20763926185392703</v>
      </c>
      <c r="S168" cm="1">
        <f t="array" ref="S168">EstymacjaEpanecznikowa($K168,$C$2:$C$151,S$2)</f>
        <v>0.21360708354610639</v>
      </c>
      <c r="T168" cm="1">
        <f t="array" ref="T168">EstymacjaEpanecznikowa($K168,$C$2:$C$151,T$2)</f>
        <v>0.15715363774068752</v>
      </c>
    </row>
    <row r="169" spans="10:20" x14ac:dyDescent="0.25">
      <c r="J169">
        <v>167</v>
      </c>
      <c r="K169">
        <f t="shared" si="5"/>
        <v>4.2755852842809432</v>
      </c>
      <c r="L169">
        <f t="shared" si="4"/>
        <v>0.2164834292333124</v>
      </c>
      <c r="M169" cm="1">
        <f t="array" ref="M169">EstymacjaGaussowska($K169,$C$2:$C$151)</f>
        <v>0.21469991920727793</v>
      </c>
      <c r="N169" cm="1">
        <f t="array" ref="N169">EstymacjaGaussowska($K169,$C$2:$C$151,$N$2)</f>
        <v>0.21835712107754299</v>
      </c>
      <c r="O169" cm="1">
        <f t="array" ref="O169">EstymacjaGaussowska($K169,$C$2:$C$151,$O$2)</f>
        <v>0.16114262780836336</v>
      </c>
      <c r="P169" cm="1">
        <f t="array" ref="P169">EstymacjaGaussowska($K169,$C$2:$C$151,$P$2)</f>
        <v>3.2861602550833389E-2</v>
      </c>
      <c r="R169" cm="1">
        <f t="array" ref="R169">EstymacjaEpanecznikowa($K169,$C$2:$C$151,R$2)</f>
        <v>0.20959267243885318</v>
      </c>
      <c r="S169" cm="1">
        <f t="array" ref="S169">EstymacjaEpanecznikowa($K169,$C$2:$C$151,S$2)</f>
        <v>0.21088296292439579</v>
      </c>
      <c r="T169" cm="1">
        <f t="array" ref="T169">EstymacjaEpanecznikowa($K169,$C$2:$C$151,T$2)</f>
        <v>0.15675537766764988</v>
      </c>
    </row>
    <row r="170" spans="10:20" x14ac:dyDescent="0.25">
      <c r="J170">
        <v>168</v>
      </c>
      <c r="K170">
        <f t="shared" si="5"/>
        <v>4.2953177257525148</v>
      </c>
      <c r="L170">
        <f t="shared" si="4"/>
        <v>0.21576161273038291</v>
      </c>
      <c r="M170" cm="1">
        <f t="array" ref="M170">EstymacjaGaussowska($K170,$C$2:$C$151)</f>
        <v>0.21673812445656734</v>
      </c>
      <c r="N170" cm="1">
        <f t="array" ref="N170">EstymacjaGaussowska($K170,$C$2:$C$151,$N$2)</f>
        <v>0.22275983351831125</v>
      </c>
      <c r="O170" cm="1">
        <f t="array" ref="O170">EstymacjaGaussowska($K170,$C$2:$C$151,$O$2)</f>
        <v>0.16135650587464884</v>
      </c>
      <c r="P170" cm="1">
        <f t="array" ref="P170">EstymacjaGaussowska($K170,$C$2:$C$151,$P$2)</f>
        <v>3.2859301354510116E-2</v>
      </c>
      <c r="R170" cm="1">
        <f t="array" ref="R170">EstymacjaEpanecznikowa($K170,$C$2:$C$151,R$2)</f>
        <v>0.21155649982531916</v>
      </c>
      <c r="S170" cm="1">
        <f t="array" ref="S170">EstymacjaEpanecznikowa($K170,$C$2:$C$151,S$2)</f>
        <v>0.23262935617545463</v>
      </c>
      <c r="T170" cm="1">
        <f t="array" ref="T170">EstymacjaEpanecznikowa($K170,$C$2:$C$151,T$2)</f>
        <v>0.15634163926388595</v>
      </c>
    </row>
    <row r="171" spans="10:20" x14ac:dyDescent="0.25">
      <c r="J171">
        <v>169</v>
      </c>
      <c r="K171">
        <f t="shared" si="5"/>
        <v>4.3150501672240864</v>
      </c>
      <c r="L171">
        <f t="shared" si="4"/>
        <v>0.2150153357888642</v>
      </c>
      <c r="M171" cm="1">
        <f t="array" ref="M171">EstymacjaGaussowska($K171,$C$2:$C$151)</f>
        <v>0.21871656308446463</v>
      </c>
      <c r="N171" cm="1">
        <f t="array" ref="N171">EstymacjaGaussowska($K171,$C$2:$C$151,$N$2)</f>
        <v>0.23041298849961359</v>
      </c>
      <c r="O171" cm="1">
        <f t="array" ref="O171">EstymacjaGaussowska($K171,$C$2:$C$151,$O$2)</f>
        <v>0.1615597102085666</v>
      </c>
      <c r="P171" cm="1">
        <f t="array" ref="P171">EstymacjaGaussowska($K171,$C$2:$C$151,$P$2)</f>
        <v>3.2856913369540997E-2</v>
      </c>
      <c r="R171" cm="1">
        <f t="array" ref="R171">EstymacjaEpanecznikowa($K171,$C$2:$C$151,R$2)</f>
        <v>0.21342684934506373</v>
      </c>
      <c r="S171" cm="1">
        <f t="array" ref="S171">EstymacjaEpanecznikowa($K171,$C$2:$C$151,S$2)</f>
        <v>0.24835724219179833</v>
      </c>
      <c r="T171" cm="1">
        <f t="array" ref="T171">EstymacjaEpanecznikowa($K171,$C$2:$C$151,T$2)</f>
        <v>0.15591242252939547</v>
      </c>
    </row>
    <row r="172" spans="10:20" x14ac:dyDescent="0.25">
      <c r="J172">
        <v>170</v>
      </c>
      <c r="K172">
        <f t="shared" si="5"/>
        <v>4.334782608695658</v>
      </c>
      <c r="L172">
        <f t="shared" si="4"/>
        <v>0.21424486916842728</v>
      </c>
      <c r="M172" cm="1">
        <f t="array" ref="M172">EstymacjaGaussowska($K172,$C$2:$C$151)</f>
        <v>0.22063343457394455</v>
      </c>
      <c r="N172" cm="1">
        <f t="array" ref="N172">EstymacjaGaussowska($K172,$C$2:$C$151,$N$2)</f>
        <v>0.24141977310575255</v>
      </c>
      <c r="O172" cm="1">
        <f t="array" ref="O172">EstymacjaGaussowska($K172,$C$2:$C$151,$O$2)</f>
        <v>0.16175199446076563</v>
      </c>
      <c r="P172" cm="1">
        <f t="array" ref="P172">EstymacjaGaussowska($K172,$C$2:$C$151,$P$2)</f>
        <v>3.2854438614739266E-2</v>
      </c>
      <c r="R172" cm="1">
        <f t="array" ref="R172">EstymacjaEpanecznikowa($K172,$C$2:$C$151,R$2)</f>
        <v>0.2152037209980863</v>
      </c>
      <c r="S172" cm="1">
        <f t="array" ref="S172">EstymacjaEpanecznikowa($K172,$C$2:$C$151,S$2)</f>
        <v>0.26364467276487624</v>
      </c>
      <c r="T172" cm="1">
        <f t="array" ref="T172">EstymacjaEpanecznikowa($K172,$C$2:$C$151,T$2)</f>
        <v>0.15546772746417847</v>
      </c>
    </row>
    <row r="173" spans="10:20" x14ac:dyDescent="0.25">
      <c r="J173">
        <v>171</v>
      </c>
      <c r="K173">
        <f t="shared" si="5"/>
        <v>4.3545150501672296</v>
      </c>
      <c r="L173">
        <f t="shared" si="4"/>
        <v>0.21345049172605662</v>
      </c>
      <c r="M173" cm="1">
        <f t="array" ref="M173">EstymacjaGaussowska($K173,$C$2:$C$151)</f>
        <v>0.22248701116676445</v>
      </c>
      <c r="N173" cm="1">
        <f t="array" ref="N173">EstymacjaGaussowska($K173,$C$2:$C$151,$N$2)</f>
        <v>0.25550695094683662</v>
      </c>
      <c r="O173" cm="1">
        <f t="array" ref="O173">EstymacjaGaussowska($K173,$C$2:$C$151,$O$2)</f>
        <v>0.161933116057905</v>
      </c>
      <c r="P173" cm="1">
        <f t="array" ref="P173">EstymacjaGaussowska($K173,$C$2:$C$151,$P$2)</f>
        <v>3.2851877109605264E-2</v>
      </c>
      <c r="R173" cm="1">
        <f t="array" ref="R173">EstymacjaEpanecznikowa($K173,$C$2:$C$151,R$2)</f>
        <v>0.21688711478438749</v>
      </c>
      <c r="S173" cm="1">
        <f t="array" ref="S173">EstymacjaEpanecznikowa($K173,$C$2:$C$151,S$2)</f>
        <v>0.27769912823679038</v>
      </c>
      <c r="T173" cm="1">
        <f t="array" ref="T173">EstymacjaEpanecznikowa($K173,$C$2:$C$151,T$2)</f>
        <v>0.15500792127655033</v>
      </c>
    </row>
    <row r="174" spans="10:20" x14ac:dyDescent="0.25">
      <c r="J174">
        <v>172</v>
      </c>
      <c r="K174">
        <f t="shared" si="5"/>
        <v>4.3742474916388012</v>
      </c>
      <c r="L174">
        <f t="shared" si="4"/>
        <v>0.21263249024792935</v>
      </c>
      <c r="M174" cm="1">
        <f t="array" ref="M174">EstymacjaGaussowska($K174,$C$2:$C$151)</f>
        <v>0.22427564009917866</v>
      </c>
      <c r="N174" cm="1">
        <f t="array" ref="N174">EstymacjaGaussowska($K174,$C$2:$C$151,$N$2)</f>
        <v>0.27199451875589836</v>
      </c>
      <c r="O174" cm="1">
        <f t="array" ref="O174">EstymacjaGaussowska($K174,$C$2:$C$151,$O$2)</f>
        <v>0.1621028364140292</v>
      </c>
      <c r="P174" cm="1">
        <f t="array" ref="P174">EstymacjaGaussowska($K174,$C$2:$C$151,$P$2)</f>
        <v>3.2849228874326675E-2</v>
      </c>
      <c r="R174" cm="1">
        <f t="array" ref="R174">EstymacjaEpanecznikowa($K174,$C$2:$C$151,R$2)</f>
        <v>0.2185635949026957</v>
      </c>
      <c r="S174" cm="1">
        <f t="array" ref="S174">EstymacjaEpanecznikowa($K174,$C$2:$C$151,S$2)</f>
        <v>0.28548485976449023</v>
      </c>
      <c r="T174" cm="1">
        <f t="array" ref="T174">EstymacjaEpanecznikowa($K174,$C$2:$C$151,T$2)</f>
        <v>0.15454986325247291</v>
      </c>
    </row>
    <row r="175" spans="10:20" x14ac:dyDescent="0.25">
      <c r="J175">
        <v>173</v>
      </c>
      <c r="K175">
        <f t="shared" si="5"/>
        <v>4.3939799331103728</v>
      </c>
      <c r="L175">
        <f t="shared" si="4"/>
        <v>0.21179115927696393</v>
      </c>
      <c r="M175" cm="1">
        <f t="array" ref="M175">EstymacjaGaussowska($K175,$C$2:$C$151)</f>
        <v>0.22599774569379605</v>
      </c>
      <c r="N175" cm="1">
        <f t="array" ref="N175">EstymacjaGaussowska($K175,$C$2:$C$151,$N$2)</f>
        <v>0.28982855155886383</v>
      </c>
      <c r="O175" cm="1">
        <f t="array" ref="O175">EstymacjaGaussowska($K175,$C$2:$C$151,$O$2)</f>
        <v>0.16226092113799334</v>
      </c>
      <c r="P175" cm="1">
        <f t="array" ref="P175">EstymacjaGaussowska($K175,$C$2:$C$151,$P$2)</f>
        <v>3.2846493929777766E-2</v>
      </c>
      <c r="R175" cm="1">
        <f t="array" ref="R175">EstymacjaEpanecznikowa($K175,$C$2:$C$151,R$2)</f>
        <v>0.22022511708994488</v>
      </c>
      <c r="S175" cm="1">
        <f t="array" ref="S175">EstymacjaEpanecznikowa($K175,$C$2:$C$151,S$2)</f>
        <v>0.29713894562308496</v>
      </c>
      <c r="T175" cm="1">
        <f t="array" ref="T175">EstymacjaEpanecznikowa($K175,$C$2:$C$151,T$2)</f>
        <v>0.15407643008654057</v>
      </c>
    </row>
    <row r="176" spans="10:20" x14ac:dyDescent="0.25">
      <c r="J176">
        <v>174</v>
      </c>
      <c r="K176">
        <f t="shared" si="5"/>
        <v>4.4137123745819444</v>
      </c>
      <c r="L176">
        <f t="shared" si="4"/>
        <v>0.21092680093618266</v>
      </c>
      <c r="M176" cm="1">
        <f t="array" ref="M176">EstymacjaGaussowska($K176,$C$2:$C$151)</f>
        <v>0.22765183129954969</v>
      </c>
      <c r="N176" cm="1">
        <f t="array" ref="N176">EstymacjaGaussowska($K176,$C$2:$C$151,$N$2)</f>
        <v>0.30767957559344744</v>
      </c>
      <c r="O176" cm="1">
        <f t="array" ref="O176">EstymacjaGaussowska($K176,$C$2:$C$151,$O$2)</f>
        <v>0.16240714023675054</v>
      </c>
      <c r="P176" cm="1">
        <f t="array" ref="P176">EstymacjaGaussowska($K176,$C$2:$C$151,$P$2)</f>
        <v>3.2843672297519354E-2</v>
      </c>
      <c r="R176" cm="1">
        <f t="array" ref="R176">EstymacjaEpanecznikowa($K176,$C$2:$C$151,R$2)</f>
        <v>0.2217910124939961</v>
      </c>
      <c r="S176" cm="1">
        <f t="array" ref="S176">EstymacjaEpanecznikowa($K176,$C$2:$C$151,S$2)</f>
        <v>0.30277312359366015</v>
      </c>
      <c r="T176" cm="1">
        <f t="array" ref="T176">EstymacjaEpanecznikowa($K176,$C$2:$C$151,T$2)</f>
        <v>0.15358762177875324</v>
      </c>
    </row>
    <row r="177" spans="10:20" x14ac:dyDescent="0.25">
      <c r="J177">
        <v>175</v>
      </c>
      <c r="K177">
        <f t="shared" si="5"/>
        <v>4.433444816053516</v>
      </c>
      <c r="L177">
        <f t="shared" si="4"/>
        <v>0.21003972474803589</v>
      </c>
      <c r="M177" cm="1">
        <f t="array" ref="M177">EstymacjaGaussowska($K177,$C$2:$C$151)</f>
        <v>0.22923648107241917</v>
      </c>
      <c r="N177" cm="1">
        <f t="array" ref="N177">EstymacjaGaussowska($K177,$C$2:$C$151,$N$2)</f>
        <v>0.32409868124910285</v>
      </c>
      <c r="O177" cm="1">
        <f t="array" ref="O177">EstymacjaGaussowska($K177,$C$2:$C$151,$O$2)</f>
        <v>0.16254126831432036</v>
      </c>
      <c r="P177" cm="1">
        <f t="array" ref="P177">EstymacjaGaussowska($K177,$C$2:$C$151,$P$2)</f>
        <v>3.2840763999798551E-2</v>
      </c>
      <c r="R177" cm="1">
        <f t="array" ref="R177">EstymacjaEpanecznikowa($K177,$C$2:$C$151,R$2)</f>
        <v>0.22326128111484919</v>
      </c>
      <c r="S177" cm="1">
        <f t="array" ref="S177">EstymacjaEpanecznikowa($K177,$C$2:$C$151,S$2)</f>
        <v>0.3091373420797508</v>
      </c>
      <c r="T177" cm="1">
        <f t="array" ref="T177">EstymacjaEpanecznikowa($K177,$C$2:$C$151,T$2)</f>
        <v>0.15308343832911078</v>
      </c>
    </row>
    <row r="178" spans="10:20" x14ac:dyDescent="0.25">
      <c r="J178">
        <v>176</v>
      </c>
      <c r="K178">
        <f t="shared" si="5"/>
        <v>4.4531772575250876</v>
      </c>
      <c r="L178">
        <f t="shared" si="4"/>
        <v>0.20913024744983988</v>
      </c>
      <c r="M178" cm="1">
        <f t="array" ref="M178">EstymacjaGaussowska($K178,$C$2:$C$151)</f>
        <v>0.23075036159032236</v>
      </c>
      <c r="N178" cm="1">
        <f t="array" ref="N178">EstymacjaGaussowska($K178,$C$2:$C$151,$N$2)</f>
        <v>0.3377122367715153</v>
      </c>
      <c r="O178" cm="1">
        <f t="array" ref="O178">EstymacjaGaussowska($K178,$C$2:$C$151,$O$2)</f>
        <v>0.16266308476625849</v>
      </c>
      <c r="P178" cm="1">
        <f t="array" ref="P178">EstymacjaGaussowska($K178,$C$2:$C$151,$P$2)</f>
        <v>3.2837769059548501E-2</v>
      </c>
      <c r="R178" cm="1">
        <f t="array" ref="R178">EstymacjaEpanecznikowa($K178,$C$2:$C$151,R$2)</f>
        <v>0.22463592295250448</v>
      </c>
      <c r="S178" cm="1">
        <f t="array" ref="S178">EstymacjaEpanecznikowa($K178,$C$2:$C$151,S$2)</f>
        <v>0.31732150945136278</v>
      </c>
      <c r="T178" cm="1">
        <f t="array" ref="T178">EstymacjaEpanecznikowa($K178,$C$2:$C$151,T$2)</f>
        <v>0.15256387973761368</v>
      </c>
    </row>
    <row r="179" spans="10:20" x14ac:dyDescent="0.25">
      <c r="J179">
        <v>177</v>
      </c>
      <c r="K179">
        <f t="shared" si="5"/>
        <v>4.4729096989966592</v>
      </c>
      <c r="L179">
        <f t="shared" si="4"/>
        <v>0.20819869280548162</v>
      </c>
      <c r="M179" cm="1">
        <f t="array" ref="M179">EstymacjaGaussowska($K179,$C$2:$C$151)</f>
        <v>0.23219222329633632</v>
      </c>
      <c r="N179" cm="1">
        <f t="array" ref="N179">EstymacjaGaussowska($K179,$C$2:$C$151,$N$2)</f>
        <v>0.34742490176007673</v>
      </c>
      <c r="O179" cm="1">
        <f t="array" ref="O179">EstymacjaGaussowska($K179,$C$2:$C$151,$O$2)</f>
        <v>0.16277237396945757</v>
      </c>
      <c r="P179" cm="1">
        <f t="array" ref="P179">EstymacjaGaussowska($K179,$C$2:$C$151,$P$2)</f>
        <v>3.2834687500387767E-2</v>
      </c>
      <c r="R179" cm="1">
        <f t="array" ref="R179">EstymacjaEpanecznikowa($K179,$C$2:$C$151,R$2)</f>
        <v>0.22599023227774109</v>
      </c>
      <c r="S179" cm="1">
        <f t="array" ref="S179">EstymacjaEpanecznikowa($K179,$C$2:$C$151,S$2)</f>
        <v>0.31958521532010575</v>
      </c>
      <c r="T179" cm="1">
        <f t="array" ref="T179">EstymacjaEpanecznikowa($K179,$C$2:$C$151,T$2)</f>
        <v>0.15204571086099306</v>
      </c>
    </row>
    <row r="180" spans="10:20" x14ac:dyDescent="0.25">
      <c r="J180">
        <v>178</v>
      </c>
      <c r="K180">
        <f t="shared" si="5"/>
        <v>4.4926421404682308</v>
      </c>
      <c r="L180">
        <f t="shared" si="4"/>
        <v>0.20724539141354736</v>
      </c>
      <c r="M180" cm="1">
        <f t="array" ref="M180">EstymacjaGaussowska($K180,$C$2:$C$151)</f>
        <v>0.23356090176524222</v>
      </c>
      <c r="N180" cm="1">
        <f t="array" ref="N180">EstymacjaGaussowska($K180,$C$2:$C$151,$N$2)</f>
        <v>0.35259289652912568</v>
      </c>
      <c r="O180" cm="1">
        <f t="array" ref="O180">EstymacjaGaussowska($K180,$C$2:$C$151,$O$2)</f>
        <v>0.16286892546711609</v>
      </c>
      <c r="P180" cm="1">
        <f t="array" ref="P180">EstymacjaGaussowska($K180,$C$2:$C$151,$P$2)</f>
        <v>3.2831519346620507E-2</v>
      </c>
      <c r="R180" cm="1">
        <f t="array" ref="R180">EstymacjaEpanecznikowa($K180,$C$2:$C$151,R$2)</f>
        <v>0.22733885037264451</v>
      </c>
      <c r="S180" cm="1">
        <f t="array" ref="S180">EstymacjaEpanecznikowa($K180,$C$2:$C$151,S$2)</f>
        <v>0.33158701336338842</v>
      </c>
      <c r="T180" cm="1">
        <f t="array" ref="T180">EstymacjaEpanecznikowa($K180,$C$2:$C$151,T$2)</f>
        <v>0.15151309188139403</v>
      </c>
    </row>
    <row r="181" spans="10:20" x14ac:dyDescent="0.25">
      <c r="J181">
        <v>179</v>
      </c>
      <c r="K181">
        <f t="shared" si="5"/>
        <v>4.5123745819398025</v>
      </c>
      <c r="L181">
        <f t="shared" si="4"/>
        <v>0.20627068051203393</v>
      </c>
      <c r="M181" cm="1">
        <f t="array" ref="M181">EstymacjaGaussowska($K181,$C$2:$C$151)</f>
        <v>0.2348553187892066</v>
      </c>
      <c r="N181" cm="1">
        <f t="array" ref="N181">EstymacjaGaussowska($K181,$C$2:$C$151,$N$2)</f>
        <v>0.35312927958731993</v>
      </c>
      <c r="O181" cm="1">
        <f t="array" ref="O181">EstymacjaGaussowska($K181,$C$2:$C$151,$O$2)</f>
        <v>0.16295253414871319</v>
      </c>
      <c r="P181" cm="1">
        <f t="array" ref="P181">EstymacjaGaussowska($K181,$C$2:$C$151,$P$2)</f>
        <v>3.2828264623235702E-2</v>
      </c>
      <c r="R181" cm="1">
        <f t="array" ref="R181">EstymacjaEpanecznikowa($K181,$C$2:$C$151,R$2)</f>
        <v>0.22858969276787339</v>
      </c>
      <c r="S181" cm="1">
        <f t="array" ref="S181">EstymacjaEpanecznikowa($K181,$C$2:$C$151,S$2)</f>
        <v>0.33943767517676293</v>
      </c>
      <c r="T181" cm="1">
        <f t="array" ref="T181">EstymacjaEpanecznikowa($K181,$C$2:$C$151,T$2)</f>
        <v>0.15096520094881169</v>
      </c>
    </row>
    <row r="182" spans="10:20" x14ac:dyDescent="0.25">
      <c r="J182">
        <v>180</v>
      </c>
      <c r="K182">
        <f t="shared" si="5"/>
        <v>4.5321070234113741</v>
      </c>
      <c r="L182">
        <f t="shared" si="4"/>
        <v>0.20527490377980387</v>
      </c>
      <c r="M182" cm="1">
        <f t="array" ref="M182">EstymacjaGaussowska($K182,$C$2:$C$151)</f>
        <v>0.23607448327926797</v>
      </c>
      <c r="N182" cm="1">
        <f t="array" ref="N182">EstymacjaGaussowska($K182,$C$2:$C$151,$N$2)</f>
        <v>0.34951323376008353</v>
      </c>
      <c r="O182" cm="1">
        <f t="array" ref="O182">EstymacjaGaussowska($K182,$C$2:$C$151,$O$2)</f>
        <v>0.16302300042484091</v>
      </c>
      <c r="P182" cm="1">
        <f t="array" ref="P182">EstymacjaGaussowska($K182,$C$2:$C$151,$P$2)</f>
        <v>3.2824923355907136E-2</v>
      </c>
      <c r="R182" cm="1">
        <f t="array" ref="R182">EstymacjaEpanecznikowa($K182,$C$2:$C$151,R$2)</f>
        <v>0.22974275946342801</v>
      </c>
      <c r="S182" cm="1">
        <f t="array" ref="S182">EstymacjaEpanecznikowa($K182,$C$2:$C$151,S$2)</f>
        <v>0.34309127934093642</v>
      </c>
      <c r="T182" cm="1">
        <f t="array" ref="T182">EstymacjaEpanecznikowa($K182,$C$2:$C$151,T$2)</f>
        <v>0.1504020380632459</v>
      </c>
    </row>
    <row r="183" spans="10:20" x14ac:dyDescent="0.25">
      <c r="J183">
        <v>181</v>
      </c>
      <c r="K183">
        <f t="shared" si="5"/>
        <v>4.5518394648829457</v>
      </c>
      <c r="L183">
        <f t="shared" si="4"/>
        <v>0.20425841113494814</v>
      </c>
      <c r="M183" cm="1">
        <f t="array" ref="M183">EstymacjaGaussowska($K183,$C$2:$C$151)</f>
        <v>0.23721749198016789</v>
      </c>
      <c r="N183" cm="1">
        <f t="array" ref="N183">EstymacjaGaussowska($K183,$C$2:$C$151,$N$2)</f>
        <v>0.34269558354949142</v>
      </c>
      <c r="O183" cm="1">
        <f t="array" ref="O183">EstymacjaGaussowska($K183,$C$2:$C$151,$O$2)</f>
        <v>0.16308013039674601</v>
      </c>
      <c r="P183" cm="1">
        <f t="array" ref="P183">EstymacjaGaussowska($K183,$C$2:$C$151,$P$2)</f>
        <v>3.2821495570992905E-2</v>
      </c>
      <c r="R183" cm="1">
        <f t="array" ref="R183">EstymacjaEpanecznikowa($K183,$C$2:$C$151,R$2)</f>
        <v>0.23086554096080628</v>
      </c>
      <c r="S183" cm="1">
        <f t="array" ref="S183">EstymacjaEpanecznikowa($K183,$C$2:$C$151,S$2)</f>
        <v>0.34415967767794381</v>
      </c>
      <c r="T183" cm="1">
        <f t="array" ref="T183">EstymacjaEpanecznikowa($K183,$C$2:$C$151,T$2)</f>
        <v>0.14982360322469654</v>
      </c>
    </row>
    <row r="184" spans="10:20" x14ac:dyDescent="0.25">
      <c r="J184">
        <v>182</v>
      </c>
      <c r="K184">
        <f t="shared" si="5"/>
        <v>4.5715719063545173</v>
      </c>
      <c r="L184">
        <f t="shared" si="4"/>
        <v>0.20322155853022145</v>
      </c>
      <c r="M184" cm="1">
        <f t="array" ref="M184">EstymacjaGaussowska($K184,$C$2:$C$151)</f>
        <v>0.23828352999694916</v>
      </c>
      <c r="N184" cm="1">
        <f t="array" ref="N184">EstymacjaGaussowska($K184,$C$2:$C$151,$N$2)</f>
        <v>0.33391819665078681</v>
      </c>
      <c r="O184" cm="1">
        <f t="array" ref="O184">EstymacjaGaussowska($K184,$C$2:$C$151,$O$2)</f>
        <v>0.16312373602044355</v>
      </c>
      <c r="P184" cm="1">
        <f t="array" ref="P184">EstymacjaGaussowska($K184,$C$2:$C$151,$P$2)</f>
        <v>3.281798129553519E-2</v>
      </c>
      <c r="R184" cm="1">
        <f t="array" ref="R184">EstymacjaEpanecznikowa($K184,$C$2:$C$151,R$2)</f>
        <v>0.23200411495104739</v>
      </c>
      <c r="S184" cm="1">
        <f t="array" ref="S184">EstymacjaEpanecznikowa($K184,$C$2:$C$151,S$2)</f>
        <v>0.33826282718804623</v>
      </c>
      <c r="T184" cm="1">
        <f t="array" ref="T184">EstymacjaEpanecznikowa($K184,$C$2:$C$151,T$2)</f>
        <v>0.14926103498686491</v>
      </c>
    </row>
    <row r="185" spans="10:20" x14ac:dyDescent="0.25">
      <c r="J185">
        <v>183</v>
      </c>
      <c r="K185">
        <f t="shared" si="5"/>
        <v>4.5913043478260889</v>
      </c>
      <c r="L185">
        <f t="shared" si="4"/>
        <v>0.20216470774571718</v>
      </c>
      <c r="M185" cm="1">
        <f t="array" ref="M185">EstymacjaGaussowska($K185,$C$2:$C$151)</f>
        <v>0.23927187113261086</v>
      </c>
      <c r="N185" cm="1">
        <f t="array" ref="N185">EstymacjaGaussowska($K185,$C$2:$C$151,$N$2)</f>
        <v>0.32448770859600529</v>
      </c>
      <c r="O185" cm="1">
        <f t="array" ref="O185">EstymacjaGaussowska($K185,$C$2:$C$151,$O$2)</f>
        <v>0.16315363526527052</v>
      </c>
      <c r="P185" cm="1">
        <f t="array" ref="P185">EstymacjaGaussowska($K185,$C$2:$C$151,$P$2)</f>
        <v>3.2814380557259673E-2</v>
      </c>
      <c r="R185" cm="1">
        <f t="array" ref="R185">EstymacjaEpanecznikowa($K185,$C$2:$C$151,R$2)</f>
        <v>0.23319802927080963</v>
      </c>
      <c r="S185" cm="1">
        <f t="array" ref="S185">EstymacjaEpanecznikowa($K185,$C$2:$C$151,S$2)</f>
        <v>0.33693190640171722</v>
      </c>
      <c r="T185" cm="1">
        <f t="array" ref="T185">EstymacjaEpanecznikowa($K185,$C$2:$C$151,T$2)</f>
        <v>0.14868742204185392</v>
      </c>
    </row>
    <row r="186" spans="10:20" x14ac:dyDescent="0.25">
      <c r="J186">
        <v>184</v>
      </c>
      <c r="K186">
        <f t="shared" si="5"/>
        <v>4.6110367892976605</v>
      </c>
      <c r="L186">
        <f t="shared" si="4"/>
        <v>0.20108822617895122</v>
      </c>
      <c r="M186" cm="1">
        <f t="array" ref="M186">EstymacjaGaussowska($K186,$C$2:$C$151)</f>
        <v>0.24018187803701066</v>
      </c>
      <c r="N186" cm="1">
        <f t="array" ref="N186">EstymacjaGaussowska($K186,$C$2:$C$151,$N$2)</f>
        <v>0.31555618627712062</v>
      </c>
      <c r="O186" cm="1">
        <f t="array" ref="O186">EstymacjaGaussowska($K186,$C$2:$C$151,$O$2)</f>
        <v>0.1631696522667534</v>
      </c>
      <c r="P186" cm="1">
        <f t="array" ref="P186">EstymacjaGaussowska($K186,$C$2:$C$151,$P$2)</f>
        <v>3.2810693384575464E-2</v>
      </c>
      <c r="R186" cm="1">
        <f t="array" ref="R186">EstymacjaEpanecznikowa($K186,$C$2:$C$151,R$2)</f>
        <v>0.23429201897442084</v>
      </c>
      <c r="S186" cm="1">
        <f t="array" ref="S186">EstymacjaEpanecznikowa($K186,$C$2:$C$151,S$2)</f>
        <v>0.33114130547019621</v>
      </c>
      <c r="T186" cm="1">
        <f t="array" ref="T186">EstymacjaEpanecznikowa($K186,$C$2:$C$151,T$2)</f>
        <v>0.14809874352160238</v>
      </c>
    </row>
    <row r="187" spans="10:20" x14ac:dyDescent="0.25">
      <c r="J187">
        <v>185</v>
      </c>
      <c r="K187">
        <f t="shared" si="5"/>
        <v>4.6307692307692321</v>
      </c>
      <c r="L187">
        <f t="shared" si="4"/>
        <v>0.19999248663252395</v>
      </c>
      <c r="M187" cm="1">
        <f t="array" ref="M187">EstymacjaGaussowska($K187,$C$2:$C$151)</f>
        <v>0.2410130021680639</v>
      </c>
      <c r="N187" cm="1">
        <f t="array" ref="N187">EstymacjaGaussowska($K187,$C$2:$C$151,$N$2)</f>
        <v>0.3079582313916665</v>
      </c>
      <c r="O187" cm="1">
        <f t="array" ref="O187">EstymacjaGaussowska($K187,$C$2:$C$151,$O$2)</f>
        <v>0.1631716174736729</v>
      </c>
      <c r="P187" cm="1">
        <f t="array" ref="P187">EstymacjaGaussowska($K187,$C$2:$C$151,$P$2)</f>
        <v>3.2806919806574547E-2</v>
      </c>
      <c r="R187" cm="1">
        <f t="array" ref="R187">EstymacjaEpanecznikowa($K187,$C$2:$C$151,R$2)</f>
        <v>0.23528608406188134</v>
      </c>
      <c r="S187" cm="1">
        <f t="array" ref="S187">EstymacjaEpanecznikowa($K187,$C$2:$C$151,S$2)</f>
        <v>0.32281412139076826</v>
      </c>
      <c r="T187" cm="1">
        <f t="array" ref="T187">EstymacjaEpanecznikowa($K187,$C$2:$C$151,T$2)</f>
        <v>0.14749499942611061</v>
      </c>
    </row>
    <row r="188" spans="10:20" x14ac:dyDescent="0.25">
      <c r="J188">
        <v>186</v>
      </c>
      <c r="K188">
        <f t="shared" si="5"/>
        <v>4.6505016722408037</v>
      </c>
      <c r="L188">
        <f t="shared" si="4"/>
        <v>0.19887786709953256</v>
      </c>
      <c r="M188" cm="1">
        <f t="array" ref="M188">EstymacjaGaussowska($K188,$C$2:$C$151)</f>
        <v>0.24176478356716222</v>
      </c>
      <c r="N188" cm="1">
        <f t="array" ref="N188">EstymacjaGaussowska($K188,$C$2:$C$151,$N$2)</f>
        <v>0.3021363728976888</v>
      </c>
      <c r="O188" cm="1">
        <f t="array" ref="O188">EstymacjaGaussowska($K188,$C$2:$C$151,$O$2)</f>
        <v>0.16315936778921381</v>
      </c>
      <c r="P188" cm="1">
        <f t="array" ref="P188">EstymacjaGaussowska($K188,$C$2:$C$151,$P$2)</f>
        <v>3.2803059853031398E-2</v>
      </c>
      <c r="R188" cm="1">
        <f t="array" ref="R188">EstymacjaEpanecznikowa($K188,$C$2:$C$151,R$2)</f>
        <v>0.23618022453319126</v>
      </c>
      <c r="S188" cm="1">
        <f t="array" ref="S188">EstymacjaEpanecznikowa($K188,$C$2:$C$151,S$2)</f>
        <v>0.31729504710843215</v>
      </c>
      <c r="T188" cm="1">
        <f t="array" ref="T188">EstymacjaEpanecznikowa($K188,$C$2:$C$151,T$2)</f>
        <v>0.14687618975537819</v>
      </c>
    </row>
    <row r="189" spans="10:20" x14ac:dyDescent="0.25">
      <c r="J189">
        <v>187</v>
      </c>
      <c r="K189">
        <f t="shared" si="5"/>
        <v>4.6702341137123753</v>
      </c>
      <c r="L189">
        <f t="shared" si="4"/>
        <v>0.19774475054690527</v>
      </c>
      <c r="M189" cm="1">
        <f t="array" ref="M189">EstymacjaGaussowska($K189,$C$2:$C$151)</f>
        <v>0.24243685045157093</v>
      </c>
      <c r="N189" cm="1">
        <f t="array" ref="N189">EstymacjaGaussowska($K189,$C$2:$C$151,$N$2)</f>
        <v>0.29816044383818613</v>
      </c>
      <c r="O189" cm="1">
        <f t="array" ref="O189">EstymacjaGaussowska($K189,$C$2:$C$151,$O$2)</f>
        <v>0.16313274670609576</v>
      </c>
      <c r="P189" cm="1">
        <f t="array" ref="P189">EstymacjaGaussowska($K189,$C$2:$C$151,$P$2)</f>
        <v>3.2799113554402688E-2</v>
      </c>
      <c r="R189" cm="1">
        <f t="array" ref="R189">EstymacjaEpanecznikowa($K189,$C$2:$C$151,R$2)</f>
        <v>0.23697444038835044</v>
      </c>
      <c r="S189" cm="1">
        <f t="array" ref="S189">EstymacjaEpanecznikowa($K189,$C$2:$C$151,S$2)</f>
        <v>0.30481072399919118</v>
      </c>
      <c r="T189" cm="1">
        <f t="array" ref="T189">EstymacjaEpanecznikowa($K189,$C$2:$C$151,T$2)</f>
        <v>0.14634293370825924</v>
      </c>
    </row>
    <row r="190" spans="10:20" x14ac:dyDescent="0.25">
      <c r="J190">
        <v>188</v>
      </c>
      <c r="K190">
        <f t="shared" si="5"/>
        <v>4.6899665551839469</v>
      </c>
      <c r="L190">
        <f t="shared" si="4"/>
        <v>0.19659352469683158</v>
      </c>
      <c r="M190" cm="1">
        <f t="array" ref="M190">EstymacjaGaussowska($K190,$C$2:$C$151)</f>
        <v>0.24302891862739365</v>
      </c>
      <c r="N190" cm="1">
        <f t="array" ref="N190">EstymacjaGaussowska($K190,$C$2:$C$151,$N$2)</f>
        <v>0.29582090926055493</v>
      </c>
      <c r="O190" cm="1">
        <f t="array" ref="O190">EstymacjaGaussowska($K190,$C$2:$C$151,$O$2)</f>
        <v>0.16309160443558904</v>
      </c>
      <c r="P190" cm="1">
        <f t="array" ref="P190">EstymacjaGaussowska($K190,$C$2:$C$151,$P$2)</f>
        <v>3.2795080941826815E-2</v>
      </c>
      <c r="R190" cm="1">
        <f t="array" ref="R190">EstymacjaEpanecznikowa($K190,$C$2:$C$151,R$2)</f>
        <v>0.23766873162735874</v>
      </c>
      <c r="S190" cm="1">
        <f t="array" ref="S190">EstymacjaEpanecznikowa($K190,$C$2:$C$151,S$2)</f>
        <v>0.29852254097860736</v>
      </c>
      <c r="T190" cm="1">
        <f t="array" ref="T190">EstymacjaEpanecznikowa($K190,$C$2:$C$151,T$2)</f>
        <v>0.14581772421432393</v>
      </c>
    </row>
    <row r="191" spans="10:20" x14ac:dyDescent="0.25">
      <c r="J191">
        <v>189</v>
      </c>
      <c r="K191">
        <f t="shared" si="5"/>
        <v>4.7096989966555185</v>
      </c>
      <c r="L191">
        <f t="shared" si="4"/>
        <v>0.19542458180646191</v>
      </c>
      <c r="M191" cm="1">
        <f t="array" ref="M191">EstymacjaGaussowska($K191,$C$2:$C$151)</f>
        <v>0.24354079072748125</v>
      </c>
      <c r="N191" cm="1">
        <f t="array" ref="N191">EstymacjaGaussowska($K191,$C$2:$C$151,$N$2)</f>
        <v>0.29475912467423554</v>
      </c>
      <c r="O191" cm="1">
        <f t="array" ref="O191">EstymacjaGaussowska($K191,$C$2:$C$151,$O$2)</f>
        <v>0.16303579803032558</v>
      </c>
      <c r="P191" cm="1">
        <f t="array" ref="P191">EstymacjaGaussowska($K191,$C$2:$C$151,$P$2)</f>
        <v>3.2790962047123451E-2</v>
      </c>
      <c r="R191" cm="1">
        <f t="array" ref="R191">EstymacjaEpanecznikowa($K191,$C$2:$C$151,R$2)</f>
        <v>0.23826309825021622</v>
      </c>
      <c r="S191" cm="1">
        <f t="array" ref="S191">EstymacjaEpanecznikowa($K191,$C$2:$C$151,S$2)</f>
        <v>0.28977170929565249</v>
      </c>
      <c r="T191" cm="1">
        <f t="array" ref="T191">EstymacjaEpanecznikowa($K191,$C$2:$C$151,T$2)</f>
        <v>0.1452781714672487</v>
      </c>
    </row>
    <row r="192" spans="10:20" x14ac:dyDescent="0.25">
      <c r="J192">
        <v>190</v>
      </c>
      <c r="K192">
        <f t="shared" si="5"/>
        <v>4.7294314381270901</v>
      </c>
      <c r="L192">
        <f t="shared" si="4"/>
        <v>0.19423831844605152</v>
      </c>
      <c r="M192" cm="1">
        <f t="array" ref="M192">EstymacjaGaussowska($K192,$C$2:$C$151)</f>
        <v>0.24397235527942657</v>
      </c>
      <c r="N192" cm="1">
        <f t="array" ref="N192">EstymacjaGaussowska($K192,$C$2:$C$151,$N$2)</f>
        <v>0.29459390151504505</v>
      </c>
      <c r="O192" cm="1">
        <f t="array" ref="O192">EstymacjaGaussowska($K192,$C$2:$C$151,$O$2)</f>
        <v>0.16296519150082242</v>
      </c>
      <c r="P192" cm="1">
        <f t="array" ref="P192">EstymacjaGaussowska($K192,$C$2:$C$151,$P$2)</f>
        <v>3.2786756902793292E-2</v>
      </c>
      <c r="R192" cm="1">
        <f t="array" ref="R192">EstymacjaEpanecznikowa($K192,$C$2:$C$151,R$2)</f>
        <v>0.23875754025692314</v>
      </c>
      <c r="S192" cm="1">
        <f t="array" ref="S192">EstymacjaEpanecznikowa($K192,$C$2:$C$151,S$2)</f>
        <v>0.28175512008814507</v>
      </c>
      <c r="T192" cm="1">
        <f t="array" ref="T192">EstymacjaEpanecznikowa($K192,$C$2:$C$151,T$2)</f>
        <v>0.14472427546703368</v>
      </c>
    </row>
    <row r="193" spans="10:20" x14ac:dyDescent="0.25">
      <c r="J193">
        <v>191</v>
      </c>
      <c r="K193">
        <f t="shared" si="5"/>
        <v>4.7491638795986617</v>
      </c>
      <c r="L193">
        <f t="shared" si="4"/>
        <v>0.19303513527572308</v>
      </c>
      <c r="M193" cm="1">
        <f t="array" ref="M193">EstymacjaGaussowska($K193,$C$2:$C$151)</f>
        <v>0.24432358560950848</v>
      </c>
      <c r="N193" cm="1">
        <f t="array" ref="N193">EstymacjaGaussowska($K193,$C$2:$C$151,$N$2)</f>
        <v>0.29501310590455376</v>
      </c>
      <c r="O193" cm="1">
        <f t="array" ref="O193">EstymacjaGaussowska($K193,$C$2:$C$151,$O$2)</f>
        <v>0.16287965592564263</v>
      </c>
      <c r="P193" cm="1">
        <f t="array" ref="P193">EstymacjaGaussowska($K193,$C$2:$C$151,$P$2)</f>
        <v>3.2782465542017414E-2</v>
      </c>
      <c r="R193" cm="1">
        <f t="array" ref="R193">EstymacjaEpanecznikowa($K193,$C$2:$C$151,R$2)</f>
        <v>0.23915205764747938</v>
      </c>
      <c r="S193" cm="1">
        <f t="array" ref="S193">EstymacjaEpanecznikowa($K193,$C$2:$C$151,S$2)</f>
        <v>0.2893785259016603</v>
      </c>
      <c r="T193" cm="1">
        <f t="array" ref="T193">EstymacjaEpanecznikowa($K193,$C$2:$C$151,T$2)</f>
        <v>0.14415603621367876</v>
      </c>
    </row>
    <row r="194" spans="10:20" x14ac:dyDescent="0.25">
      <c r="J194">
        <v>192</v>
      </c>
      <c r="K194">
        <f t="shared" si="5"/>
        <v>4.7688963210702333</v>
      </c>
      <c r="L194">
        <f t="shared" si="4"/>
        <v>0.19181543682102384</v>
      </c>
      <c r="M194" cm="1">
        <f t="array" ref="M194">EstymacjaGaussowska($K194,$C$2:$C$151)</f>
        <v>0.24459453858912367</v>
      </c>
      <c r="N194" cm="1">
        <f t="array" ref="N194">EstymacjaGaussowska($K194,$C$2:$C$151,$N$2)</f>
        <v>0.29581646525619715</v>
      </c>
      <c r="O194" cm="1">
        <f t="array" ref="O194">EstymacjaGaussowska($K194,$C$2:$C$151,$O$2)</f>
        <v>0.16277906955512514</v>
      </c>
      <c r="P194" cm="1">
        <f t="array" ref="P194">EstymacjaGaussowska($K194,$C$2:$C$151,$P$2)</f>
        <v>3.2778087998657023E-2</v>
      </c>
      <c r="R194" cm="1">
        <f t="array" ref="R194">EstymacjaEpanecznikowa($K194,$C$2:$C$151,R$2)</f>
        <v>0.23946736303363761</v>
      </c>
      <c r="S194" cm="1">
        <f t="array" ref="S194">EstymacjaEpanecznikowa($K194,$C$2:$C$151,S$2)</f>
        <v>0.29108147021230629</v>
      </c>
      <c r="T194" cm="1">
        <f t="array" ref="T194">EstymacjaEpanecznikowa($K194,$C$2:$C$151,T$2)</f>
        <v>0.14374478772685148</v>
      </c>
    </row>
    <row r="195" spans="10:20" x14ac:dyDescent="0.25">
      <c r="J195">
        <v>193</v>
      </c>
      <c r="K195">
        <f t="shared" si="5"/>
        <v>4.7886287625418049</v>
      </c>
      <c r="L195">
        <f t="shared" si="4"/>
        <v>0.19057963124745139</v>
      </c>
      <c r="M195" cm="1">
        <f t="array" ref="M195">EstymacjaGaussowska($K195,$C$2:$C$151)</f>
        <v>0.24478535323089221</v>
      </c>
      <c r="N195" cm="1">
        <f t="array" ref="N195">EstymacjaGaussowska($K195,$C$2:$C$151,$N$2)</f>
        <v>0.29691424082345141</v>
      </c>
      <c r="O195" cm="1">
        <f t="array" ref="O195">EstymacjaGaussowska($K195,$C$2:$C$151,$O$2)</f>
        <v>0.16266331790862565</v>
      </c>
      <c r="P195" cm="1">
        <f t="array" ref="P195">EstymacjaGaussowska($K195,$C$2:$C$151,$P$2)</f>
        <v>3.277362430725287E-2</v>
      </c>
      <c r="R195" cm="1">
        <f t="array" ref="R195">EstymacjaEpanecznikowa($K195,$C$2:$C$151,R$2)</f>
        <v>0.23974486463759312</v>
      </c>
      <c r="S195" cm="1">
        <f t="array" ref="S195">EstymacjaEpanecznikowa($K195,$C$2:$C$151,S$2)</f>
        <v>0.29638459376794135</v>
      </c>
      <c r="T195" cm="1">
        <f t="array" ref="T195">EstymacjaEpanecznikowa($K195,$C$2:$C$151,T$2)</f>
        <v>0.14337755777175154</v>
      </c>
    </row>
    <row r="196" spans="10:20" x14ac:dyDescent="0.25">
      <c r="J196">
        <v>194</v>
      </c>
      <c r="K196">
        <f t="shared" si="5"/>
        <v>4.8083612040133765</v>
      </c>
      <c r="L196">
        <f t="shared" ref="L196:L259" si="6">_xlfn.NORM.DIST(K196,$H$2,$H$3,FALSE)</f>
        <v>0.18932813013412392</v>
      </c>
      <c r="M196" cm="1">
        <f t="array" ref="M196">EstymacjaGaussowska($K196,$C$2:$C$151)</f>
        <v>0.24489624914218783</v>
      </c>
      <c r="N196" cm="1">
        <f t="array" ref="N196">EstymacjaGaussowska($K196,$C$2:$C$151,$N$2)</f>
        <v>0.29829941719988656</v>
      </c>
      <c r="O196" cm="1">
        <f t="array" ref="O196">EstymacjaGaussowska($K196,$C$2:$C$151,$O$2)</f>
        <v>0.16253229386521159</v>
      </c>
      <c r="P196" cm="1">
        <f t="array" ref="P196">EstymacjaGaussowska($K196,$C$2:$C$151,$P$2)</f>
        <v>3.276907450302486E-2</v>
      </c>
      <c r="R196" cm="1">
        <f t="array" ref="R196">EstymacjaEpanecznikowa($K196,$C$2:$C$151,R$2)</f>
        <v>0.23992136716716</v>
      </c>
      <c r="S196" cm="1">
        <f t="array" ref="S196">EstymacjaEpanecznikowa($K196,$C$2:$C$151,S$2)</f>
        <v>0.30047225038881614</v>
      </c>
      <c r="T196" cm="1">
        <f t="array" ref="T196">EstymacjaEpanecznikowa($K196,$C$2:$C$151,T$2)</f>
        <v>0.14299732601884152</v>
      </c>
    </row>
    <row r="197" spans="10:20" x14ac:dyDescent="0.25">
      <c r="J197">
        <v>195</v>
      </c>
      <c r="K197">
        <f t="shared" ref="K197:K260" si="7">K196+$H$11</f>
        <v>4.8280936454849481</v>
      </c>
      <c r="L197">
        <f t="shared" si="6"/>
        <v>0.18806134824676815</v>
      </c>
      <c r="M197" cm="1">
        <f t="array" ref="M197">EstymacjaGaussowska($K197,$C$2:$C$151)</f>
        <v>0.2449275248443859</v>
      </c>
      <c r="N197" cm="1">
        <f t="array" ref="N197">EstymacjaGaussowska($K197,$C$2:$C$151,$N$2)</f>
        <v>0.30001478654804875</v>
      </c>
      <c r="O197" cm="1">
        <f t="array" ref="O197">EstymacjaGaussowska($K197,$C$2:$C$151,$O$2)</f>
        <v>0.16238589774776749</v>
      </c>
      <c r="P197" cm="1">
        <f t="array" ref="P197">EstymacjaGaussowska($K197,$C$2:$C$151,$P$2)</f>
        <v>3.2764438621871665E-2</v>
      </c>
      <c r="R197" cm="1">
        <f t="array" ref="R197">EstymacjaEpanecznikowa($K197,$C$2:$C$151,R$2)</f>
        <v>0.23999687062233777</v>
      </c>
      <c r="S197" cm="1">
        <f t="array" ref="S197">EstymacjaEpanecznikowa($K197,$C$2:$C$151,S$2)</f>
        <v>0.29996551402989224</v>
      </c>
      <c r="T197" cm="1">
        <f t="array" ref="T197">EstymacjaEpanecznikowa($K197,$C$2:$C$151,T$2)</f>
        <v>0.1426040924681212</v>
      </c>
    </row>
    <row r="198" spans="10:20" x14ac:dyDescent="0.25">
      <c r="J198">
        <v>196</v>
      </c>
      <c r="K198">
        <f t="shared" si="7"/>
        <v>4.8478260869565197</v>
      </c>
      <c r="L198">
        <f t="shared" si="6"/>
        <v>0.18677970331020091</v>
      </c>
      <c r="M198" cm="1">
        <f t="array" ref="M198">EstymacjaGaussowska($K198,$C$2:$C$151)</f>
        <v>0.24487955596659056</v>
      </c>
      <c r="N198" cm="1">
        <f t="array" ref="N198">EstymacjaGaussowska($K198,$C$2:$C$151,$N$2)</f>
        <v>0.30213073448299843</v>
      </c>
      <c r="O198" cm="1">
        <f t="array" ref="O198">EstymacjaGaussowska($K198,$C$2:$C$151,$O$2)</f>
        <v>0.16222403740047206</v>
      </c>
      <c r="P198" cm="1">
        <f t="array" ref="P198">EstymacjaGaussowska($K198,$C$2:$C$151,$P$2)</f>
        <v>3.275971670037011E-2</v>
      </c>
      <c r="R198" cm="1">
        <f t="array" ref="R198">EstymacjaEpanecznikowa($K198,$C$2:$C$151,R$2)</f>
        <v>0.24007202766730687</v>
      </c>
      <c r="S198" cm="1">
        <f t="array" ref="S198">EstymacjaEpanecznikowa($K198,$C$2:$C$151,S$2)</f>
        <v>0.30202557491174858</v>
      </c>
      <c r="T198" cm="1">
        <f t="array" ref="T198">EstymacjaEpanecznikowa($K198,$C$2:$C$151,T$2)</f>
        <v>0.14219785711959054</v>
      </c>
    </row>
    <row r="199" spans="10:20" x14ac:dyDescent="0.25">
      <c r="J199">
        <v>197</v>
      </c>
      <c r="K199">
        <f t="shared" si="7"/>
        <v>4.8675585284280913</v>
      </c>
      <c r="L199">
        <f t="shared" si="6"/>
        <v>0.18548361578047537</v>
      </c>
      <c r="M199" cm="1">
        <f t="array" ref="M199">EstymacjaGaussowska($K199,$C$2:$C$151)</f>
        <v>0.24475279332300284</v>
      </c>
      <c r="N199" cm="1">
        <f t="array" ref="N199">EstymacjaGaussowska($K199,$C$2:$C$151,$N$2)</f>
        <v>0.30473800818479024</v>
      </c>
      <c r="O199" cm="1">
        <f t="array" ref="O199">EstymacjaGaussowska($K199,$C$2:$C$151,$O$2)</f>
        <v>0.162046628259614</v>
      </c>
      <c r="P199" cm="1">
        <f t="array" ref="P199">EstymacjaGaussowska($K199,$C$2:$C$151,$P$2)</f>
        <v>3.2754908775774645E-2</v>
      </c>
      <c r="R199" cm="1">
        <f t="array" ref="R199">EstymacjaEpanecznikowa($K199,$C$2:$C$151,R$2)</f>
        <v>0.24013022779054666</v>
      </c>
      <c r="S199" cm="1">
        <f t="array" ref="S199">EstymacjaEpanecznikowa($K199,$C$2:$C$151,S$2)</f>
        <v>0.29781691184939063</v>
      </c>
      <c r="T199" cm="1">
        <f t="array" ref="T199">EstymacjaEpanecznikowa($K199,$C$2:$C$151,T$2)</f>
        <v>0.14193442995198127</v>
      </c>
    </row>
    <row r="200" spans="10:20" x14ac:dyDescent="0.25">
      <c r="J200">
        <v>198</v>
      </c>
      <c r="K200">
        <f t="shared" si="7"/>
        <v>4.8872909698996629</v>
      </c>
      <c r="L200">
        <f t="shared" si="6"/>
        <v>0.18417350861686638</v>
      </c>
      <c r="M200" cm="1">
        <f t="array" ref="M200">EstymacjaGaussowska($K200,$C$2:$C$151)</f>
        <v>0.24454776088345523</v>
      </c>
      <c r="N200" cm="1">
        <f t="array" ref="N200">EstymacjaGaussowska($K200,$C$2:$C$151,$N$2)</f>
        <v>0.30794755683036357</v>
      </c>
      <c r="O200" cm="1">
        <f t="array" ref="O200">EstymacjaGaussowska($K200,$C$2:$C$151,$O$2)</f>
        <v>0.16185359341772396</v>
      </c>
      <c r="P200" cm="1">
        <f t="array" ref="P200">EstymacjaGaussowska($K200,$C$2:$C$151,$P$2)</f>
        <v>3.2750014886017247E-2</v>
      </c>
      <c r="R200" cm="1">
        <f t="array" ref="R200">EstymacjaEpanecznikowa($K200,$C$2:$C$151,R$2)</f>
        <v>0.24015742615289754</v>
      </c>
      <c r="S200" cm="1">
        <f t="array" ref="S200">EstymacjaEpanecznikowa($K200,$C$2:$C$151,S$2)</f>
        <v>0.30435105959621384</v>
      </c>
      <c r="T200" cm="1">
        <f t="array" ref="T200">EstymacjaEpanecznikowa($K200,$C$2:$C$151,T$2)</f>
        <v>0.14173179586624102</v>
      </c>
    </row>
    <row r="201" spans="10:20" x14ac:dyDescent="0.25">
      <c r="J201">
        <v>199</v>
      </c>
      <c r="K201">
        <f t="shared" si="7"/>
        <v>4.9070234113712345</v>
      </c>
      <c r="L201">
        <f t="shared" si="6"/>
        <v>0.18284980705386519</v>
      </c>
      <c r="M201" cm="1">
        <f t="array" ref="M201">EstymacjaGaussowska($K201,$C$2:$C$151)</f>
        <v>0.24426505364690621</v>
      </c>
      <c r="N201" cm="1">
        <f t="array" ref="N201">EstymacjaGaussowska($K201,$C$2:$C$151,$N$2)</f>
        <v>0.31188199115292348</v>
      </c>
      <c r="O201" cm="1">
        <f t="array" ref="O201">EstymacjaGaussowska($K201,$C$2:$C$151,$O$2)</f>
        <v>0.1616448636810037</v>
      </c>
      <c r="P201" cm="1">
        <f t="array" ref="P201">EstymacjaGaussowska($K201,$C$2:$C$151,$P$2)</f>
        <v>3.2745035069706406E-2</v>
      </c>
      <c r="R201" cm="1">
        <f t="array" ref="R201">EstymacjaEpanecznikowa($K201,$C$2:$C$151,R$2)</f>
        <v>0.24008469989909831</v>
      </c>
      <c r="S201" cm="1">
        <f t="array" ref="S201">EstymacjaEpanecznikowa($K201,$C$2:$C$151,S$2)</f>
        <v>0.31624510738114175</v>
      </c>
      <c r="T201" cm="1">
        <f t="array" ref="T201">EstymacjaEpanecznikowa($K201,$C$2:$C$151,T$2)</f>
        <v>0.14151750143802003</v>
      </c>
    </row>
    <row r="202" spans="10:20" x14ac:dyDescent="0.25">
      <c r="J202">
        <v>200</v>
      </c>
      <c r="K202">
        <f t="shared" si="7"/>
        <v>4.9267558528428061</v>
      </c>
      <c r="L202">
        <f t="shared" si="6"/>
        <v>0.18151293837335405</v>
      </c>
      <c r="M202" cm="1">
        <f t="array" ref="M202">EstymacjaGaussowska($K202,$C$2:$C$151)</f>
        <v>0.24390533542791115</v>
      </c>
      <c r="N202" cm="1">
        <f t="array" ref="N202">EstymacjaGaussowska($K202,$C$2:$C$151,$N$2)</f>
        <v>0.31664379611845861</v>
      </c>
      <c r="O202" cm="1">
        <f t="array" ref="O202">EstymacjaGaussowska($K202,$C$2:$C$151,$O$2)</f>
        <v>0.16142037762004466</v>
      </c>
      <c r="P202" cm="1">
        <f t="array" ref="P202">EstymacjaGaussowska($K202,$C$2:$C$151,$P$2)</f>
        <v>3.2739969366126817E-2</v>
      </c>
      <c r="R202" cm="1">
        <f t="array" ref="R202">EstymacjaEpanecznikowa($K202,$C$2:$C$151,R$2)</f>
        <v>0.23991204902914792</v>
      </c>
      <c r="S202" cm="1">
        <f t="array" ref="S202">EstymacjaEpanecznikowa($K202,$C$2:$C$151,S$2)</f>
        <v>0.32225556085930057</v>
      </c>
      <c r="T202" cm="1">
        <f t="array" ref="T202">EstymacjaEpanecznikowa($K202,$C$2:$C$151,T$2)</f>
        <v>0.14129154666731852</v>
      </c>
    </row>
    <row r="203" spans="10:20" x14ac:dyDescent="0.25">
      <c r="J203">
        <v>201</v>
      </c>
      <c r="K203">
        <f t="shared" si="7"/>
        <v>4.9464882943143778</v>
      </c>
      <c r="L203">
        <f t="shared" si="6"/>
        <v>0.18016333167712983</v>
      </c>
      <c r="M203" cm="1">
        <f t="array" ref="M203">EstymacjaGaussowska($K203,$C$2:$C$151)</f>
        <v>0.2434693365662349</v>
      </c>
      <c r="N203" cm="1">
        <f t="array" ref="N203">EstymacjaGaussowska($K203,$C$2:$C$151,$N$2)</f>
        <v>0.32225454353607574</v>
      </c>
      <c r="O203" cm="1">
        <f t="array" ref="O203">EstymacjaGaussowska($K203,$C$2:$C$151,$O$2)</f>
        <v>0.16118008161382993</v>
      </c>
      <c r="P203" cm="1">
        <f t="array" ref="P203">EstymacjaGaussowska($K203,$C$2:$C$151,$P$2)</f>
        <v>3.273481781523916E-2</v>
      </c>
      <c r="R203" cm="1">
        <f t="array" ref="R203">EstymacjaEpanecznikowa($K203,$C$2:$C$151,R$2)</f>
        <v>0.23963947354304699</v>
      </c>
      <c r="S203" cm="1">
        <f t="array" ref="S203">EstymacjaEpanecznikowa($K203,$C$2:$C$151,S$2)</f>
        <v>0.33692095129188265</v>
      </c>
      <c r="T203" cm="1">
        <f t="array" ref="T203">EstymacjaEpanecznikowa($K203,$C$2:$C$151,T$2)</f>
        <v>0.14105393155413648</v>
      </c>
    </row>
    <row r="204" spans="10:20" x14ac:dyDescent="0.25">
      <c r="J204">
        <v>202</v>
      </c>
      <c r="K204">
        <f t="shared" si="7"/>
        <v>4.9662207357859494</v>
      </c>
      <c r="L204">
        <f t="shared" si="6"/>
        <v>0.17880141765994387</v>
      </c>
      <c r="M204" cm="1">
        <f t="array" ref="M204">EstymacjaGaussowska($K204,$C$2:$C$151)</f>
        <v>0.24295785156984853</v>
      </c>
      <c r="N204" cm="1">
        <f t="array" ref="N204">EstymacjaGaussowska($K204,$C$2:$C$151,$N$2)</f>
        <v>0.32857399415338678</v>
      </c>
      <c r="O204" cm="1">
        <f t="array" ref="O204">EstymacjaGaussowska($K204,$C$2:$C$151,$O$2)</f>
        <v>0.16092392988702633</v>
      </c>
      <c r="P204" cm="1">
        <f t="array" ref="P204">EstymacjaGaussowska($K204,$C$2:$C$151,$P$2)</f>
        <v>3.2729580457679049E-2</v>
      </c>
      <c r="R204" cm="1">
        <f t="array" ref="R204">EstymacjaEpanecznikowa($K204,$C$2:$C$151,R$2)</f>
        <v>0.23926697344079548</v>
      </c>
      <c r="S204" cm="1">
        <f t="array" ref="S204">EstymacjaEpanecznikowa($K204,$C$2:$C$151,S$2)</f>
        <v>0.34427283045621465</v>
      </c>
      <c r="T204" cm="1">
        <f t="array" ref="T204">EstymacjaEpanecznikowa($K204,$C$2:$C$151,T$2)</f>
        <v>0.14088019800043047</v>
      </c>
    </row>
    <row r="205" spans="10:20" x14ac:dyDescent="0.25">
      <c r="J205">
        <v>203</v>
      </c>
      <c r="K205">
        <f t="shared" si="7"/>
        <v>4.985953177257521</v>
      </c>
      <c r="L205">
        <f t="shared" si="6"/>
        <v>0.17742762838322362</v>
      </c>
      <c r="M205" cm="1">
        <f t="array" ref="M205">EstymacjaGaussowska($K205,$C$2:$C$151)</f>
        <v>0.24237173670156781</v>
      </c>
      <c r="N205" cm="1">
        <f t="array" ref="N205">EstymacjaGaussowska($K205,$C$2:$C$151,$N$2)</f>
        <v>0.33522258716877623</v>
      </c>
      <c r="O205" cm="1">
        <f t="array" ref="O205">EstymacjaGaussowska($K205,$C$2:$C$151,$O$2)</f>
        <v>0.16065188454057533</v>
      </c>
      <c r="P205" cm="1">
        <f t="array" ref="P205">EstymacjaGaussowska($K205,$C$2:$C$151,$P$2)</f>
        <v>3.2724257334756889E-2</v>
      </c>
      <c r="R205" cm="1">
        <f t="array" ref="R205">EstymacjaEpanecznikowa($K205,$C$2:$C$151,R$2)</f>
        <v>0.23879454872239286</v>
      </c>
      <c r="S205" cm="1">
        <f t="array" ref="S205">EstymacjaEpanecznikowa($K205,$C$2:$C$151,S$2)</f>
        <v>0.34805344386178028</v>
      </c>
      <c r="T205" cm="1">
        <f t="array" ref="T205">EstymacjaEpanecznikowa($K205,$C$2:$C$151,T$2)</f>
        <v>0.14074284661659528</v>
      </c>
    </row>
    <row r="206" spans="10:20" x14ac:dyDescent="0.25">
      <c r="J206">
        <v>204</v>
      </c>
      <c r="K206">
        <f t="shared" si="7"/>
        <v>5.0056856187290926</v>
      </c>
      <c r="L206">
        <f t="shared" si="6"/>
        <v>0.17604239704964061</v>
      </c>
      <c r="M206" cm="1">
        <f t="array" ref="M206">EstymacjaGaussowska($K206,$C$2:$C$151)</f>
        <v>0.24171190751953908</v>
      </c>
      <c r="N206" cm="1">
        <f t="array" ref="N206">EstymacjaGaussowska($K206,$C$2:$C$151,$N$2)</f>
        <v>0.34153908112028014</v>
      </c>
      <c r="O206" cm="1">
        <f t="array" ref="O206">EstymacjaGaussowska($K206,$C$2:$C$151,$O$2)</f>
        <v>0.16036391557560223</v>
      </c>
      <c r="P206" cm="1">
        <f t="array" ref="P206">EstymacjaGaussowska($K206,$C$2:$C$151,$P$2)</f>
        <v>3.2718848488457214E-2</v>
      </c>
      <c r="R206" cm="1">
        <f t="array" ref="R206">EstymacjaEpanecznikowa($K206,$C$2:$C$151,R$2)</f>
        <v>0.23822219938783959</v>
      </c>
      <c r="S206" cm="1">
        <f t="array" ref="S206">EstymacjaEpanecznikowa($K206,$C$2:$C$151,S$2)</f>
        <v>0.34798556219948584</v>
      </c>
      <c r="T206" cm="1">
        <f t="array" ref="T206">EstymacjaEpanecznikowa($K206,$C$2:$C$151,T$2)</f>
        <v>0.14059455721238021</v>
      </c>
    </row>
    <row r="207" spans="10:20" x14ac:dyDescent="0.25">
      <c r="J207">
        <v>205</v>
      </c>
      <c r="K207">
        <f t="shared" si="7"/>
        <v>5.0254180602006642</v>
      </c>
      <c r="L207">
        <f t="shared" si="6"/>
        <v>0.17464615777868553</v>
      </c>
      <c r="M207" cm="1">
        <f t="array" ref="M207">EstymacjaGaussowska($K207,$C$2:$C$151)</f>
        <v>0.24097933638165145</v>
      </c>
      <c r="N207" cm="1">
        <f t="array" ref="N207">EstymacjaGaussowska($K207,$C$2:$C$151,$N$2)</f>
        <v>0.3466023309894945</v>
      </c>
      <c r="O207" cm="1">
        <f t="array" ref="O207">EstymacjaGaussowska($K207,$C$2:$C$151,$O$2)</f>
        <v>0.1600600009106658</v>
      </c>
      <c r="P207" cm="1">
        <f t="array" ref="P207">EstymacjaGaussowska($K207,$C$2:$C$151,$P$2)</f>
        <v>3.2713353961438006E-2</v>
      </c>
      <c r="R207" cm="1">
        <f t="array" ref="R207">EstymacjaEpanecznikowa($K207,$C$2:$C$151,R$2)</f>
        <v>0.23754992543713568</v>
      </c>
      <c r="S207" cm="1">
        <f t="array" ref="S207">EstymacjaEpanecznikowa($K207,$C$2:$C$151,S$2)</f>
        <v>0.34136252299068365</v>
      </c>
      <c r="T207" cm="1">
        <f t="array" ref="T207">EstymacjaEpanecznikowa($K207,$C$2:$C$151,T$2)</f>
        <v>0.140435329787785</v>
      </c>
    </row>
    <row r="208" spans="10:20" x14ac:dyDescent="0.25">
      <c r="J208">
        <v>206</v>
      </c>
      <c r="K208">
        <f t="shared" si="7"/>
        <v>5.0451505016722358</v>
      </c>
      <c r="L208">
        <f t="shared" si="6"/>
        <v>0.17323934538341174</v>
      </c>
      <c r="M208" cm="1">
        <f t="array" ref="M208">EstymacjaGaussowska($K208,$C$2:$C$151)</f>
        <v>0.24017504992377459</v>
      </c>
      <c r="N208" cm="1">
        <f t="array" ref="N208">EstymacjaGaussowska($K208,$C$2:$C$151,$N$2)</f>
        <v>0.34933135258195636</v>
      </c>
      <c r="O208" cm="1">
        <f t="array" ref="O208">EstymacjaGaussowska($K208,$C$2:$C$151,$O$2)</f>
        <v>0.15974012639238119</v>
      </c>
      <c r="P208" cm="1">
        <f t="array" ref="P208">EstymacjaGaussowska($K208,$C$2:$C$151,$P$2)</f>
        <v>3.2707773797030361E-2</v>
      </c>
      <c r="R208" cm="1">
        <f t="array" ref="R208">EstymacjaEpanecznikowa($K208,$C$2:$C$151,R$2)</f>
        <v>0.23685554336143788</v>
      </c>
      <c r="S208" cm="1">
        <f t="array" ref="S208">EstymacjaEpanecznikowa($K208,$C$2:$C$151,S$2)</f>
        <v>0.3418849166527031</v>
      </c>
      <c r="T208" cm="1">
        <f t="array" ref="T208">EstymacjaEpanecznikowa($K208,$C$2:$C$151,T$2)</f>
        <v>0.14026516434280986</v>
      </c>
    </row>
    <row r="209" spans="10:20" x14ac:dyDescent="0.25">
      <c r="J209">
        <v>207</v>
      </c>
      <c r="K209">
        <f t="shared" si="7"/>
        <v>5.0648829431438074</v>
      </c>
      <c r="L209">
        <f t="shared" si="6"/>
        <v>0.17182239514850345</v>
      </c>
      <c r="M209" cm="1">
        <f t="array" ref="M209">EstymacjaGaussowska($K209,$C$2:$C$151)</f>
        <v>0.23930012652147617</v>
      </c>
      <c r="N209" cm="1">
        <f t="array" ref="N209">EstymacjaGaussowska($K209,$C$2:$C$151,$N$2)</f>
        <v>0.34865457375620224</v>
      </c>
      <c r="O209" cm="1">
        <f t="array" ref="O209">EstymacjaGaussowska($K209,$C$2:$C$151,$O$2)</f>
        <v>0.15940428579945257</v>
      </c>
      <c r="P209" cm="1">
        <f t="array" ref="P209">EstymacjaGaussowska($K209,$C$2:$C$151,$P$2)</f>
        <v>3.2702108039237898E-2</v>
      </c>
      <c r="R209" cm="1">
        <f t="array" ref="R209">EstymacjaEpanecznikowa($K209,$C$2:$C$151,R$2)</f>
        <v>0.23615649936401098</v>
      </c>
      <c r="S209" cm="1">
        <f t="array" ref="S209">EstymacjaEpanecznikowa($K209,$C$2:$C$151,S$2)</f>
        <v>0.33579032392916303</v>
      </c>
      <c r="T209" cm="1">
        <f t="array" ref="T209">EstymacjaEpanecznikowa($K209,$C$2:$C$151,T$2)</f>
        <v>0.14012245484495497</v>
      </c>
    </row>
    <row r="210" spans="10:20" x14ac:dyDescent="0.25">
      <c r="J210">
        <v>208</v>
      </c>
      <c r="K210">
        <f t="shared" si="7"/>
        <v>5.084615384615379</v>
      </c>
      <c r="L210">
        <f t="shared" si="6"/>
        <v>0.17039574260982485</v>
      </c>
      <c r="M210" cm="1">
        <f t="array" ref="M210">EstymacjaGaussowska($K210,$C$2:$C$151)</f>
        <v>0.23835569374455937</v>
      </c>
      <c r="N210" cm="1">
        <f t="array" ref="N210">EstymacjaGaussowska($K210,$C$2:$C$151,$N$2)</f>
        <v>0.34371499759633356</v>
      </c>
      <c r="O210" cm="1">
        <f t="array" ref="O210">EstymacjaGaussowska($K210,$C$2:$C$151,$O$2)</f>
        <v>0.1590524808401601</v>
      </c>
      <c r="P210" cm="1">
        <f t="array" ref="P210">EstymacjaGaussowska($K210,$C$2:$C$151,$P$2)</f>
        <v>3.2696356732735854E-2</v>
      </c>
      <c r="R210" cm="1">
        <f t="array" ref="R210">EstymacjaEpanecznikowa($K210,$C$2:$C$151,R$2)</f>
        <v>0.23543899800594228</v>
      </c>
      <c r="S210" cm="1">
        <f t="array" ref="S210">EstymacjaEpanecznikowa($K210,$C$2:$C$151,S$2)</f>
        <v>0.32630715065739807</v>
      </c>
      <c r="T210" cm="1">
        <f t="array" ref="T210">EstymacjaEpanecznikowa($K210,$C$2:$C$151,T$2)</f>
        <v>0.14000100504111587</v>
      </c>
    </row>
    <row r="211" spans="10:20" x14ac:dyDescent="0.25">
      <c r="J211">
        <v>209</v>
      </c>
      <c r="K211">
        <f t="shared" si="7"/>
        <v>5.1043478260869506</v>
      </c>
      <c r="L211">
        <f t="shared" si="6"/>
        <v>0.16895982333560164</v>
      </c>
      <c r="M211" cm="1">
        <f t="array" ref="M211">EstymacjaGaussowska($K211,$C$2:$C$151)</f>
        <v>0.23734292581340241</v>
      </c>
      <c r="N211" cm="1">
        <f t="array" ref="N211">EstymacjaGaussowska($K211,$C$2:$C$151,$N$2)</f>
        <v>0.33406174789176496</v>
      </c>
      <c r="O211" cm="1">
        <f t="array" ref="O211">EstymacjaGaussowska($K211,$C$2:$C$151,$O$2)</f>
        <v>0.1586847211433495</v>
      </c>
      <c r="P211" cm="1">
        <f t="array" ref="P211">EstymacjaGaussowska($K211,$C$2:$C$151,$P$2)</f>
        <v>3.2690519922870948E-2</v>
      </c>
      <c r="R211" cm="1">
        <f t="array" ref="R211">EstymacjaEpanecznikowa($K211,$C$2:$C$151,R$2)</f>
        <v>0.23462264648996123</v>
      </c>
      <c r="S211" cm="1">
        <f t="array" ref="S211">EstymacjaEpanecznikowa($K211,$C$2:$C$151,S$2)</f>
        <v>0.31423306889855768</v>
      </c>
      <c r="T211" cm="1">
        <f t="array" ref="T211">EstymacjaEpanecznikowa($K211,$C$2:$C$151,T$2)</f>
        <v>0.13986902997238279</v>
      </c>
    </row>
    <row r="212" spans="10:20" x14ac:dyDescent="0.25">
      <c r="J212">
        <v>210</v>
      </c>
      <c r="K212">
        <f t="shared" si="7"/>
        <v>5.1240802675585222</v>
      </c>
      <c r="L212">
        <f t="shared" si="6"/>
        <v>0.16751507270938634</v>
      </c>
      <c r="M212" cm="1">
        <f t="array" ref="M212">EstymacjaGaussowska($K212,$C$2:$C$151)</f>
        <v>0.23626304106566948</v>
      </c>
      <c r="N212" cm="1">
        <f t="array" ref="N212">EstymacjaGaussowska($K212,$C$2:$C$151,$N$2)</f>
        <v>0.3197769022541862</v>
      </c>
      <c r="O212" cm="1">
        <f t="array" ref="O212">EstymacjaGaussowska($K212,$C$2:$C$151,$O$2)</f>
        <v>0.1583010242429829</v>
      </c>
      <c r="P212" cm="1">
        <f t="array" ref="P212">EstymacjaGaussowska($K212,$C$2:$C$151,$P$2)</f>
        <v>3.2684597655660542E-2</v>
      </c>
      <c r="R212" cm="1">
        <f t="array" ref="R212">EstymacjaEpanecznikowa($K212,$C$2:$C$151,R$2)</f>
        <v>0.23370744481606739</v>
      </c>
      <c r="S212" cm="1">
        <f t="array" ref="S212">EstymacjaEpanecznikowa($K212,$C$2:$C$151,S$2)</f>
        <v>0.29531944694755174</v>
      </c>
      <c r="T212" cm="1">
        <f t="array" ref="T212">EstymacjaEpanecznikowa($K212,$C$2:$C$151,T$2)</f>
        <v>0.13972652963875565</v>
      </c>
    </row>
    <row r="213" spans="10:20" x14ac:dyDescent="0.25">
      <c r="J213">
        <v>211</v>
      </c>
      <c r="K213">
        <f t="shared" si="7"/>
        <v>5.1438127090300938</v>
      </c>
      <c r="L213">
        <f t="shared" si="6"/>
        <v>0.16606192571495354</v>
      </c>
      <c r="M213" cm="1">
        <f t="array" ref="M213">EstymacjaGaussowska($K213,$C$2:$C$151)</f>
        <v>0.23511729944148943</v>
      </c>
      <c r="N213" cm="1">
        <f t="array" ref="N213">EstymacjaGaussowska($K213,$C$2:$C$151,$N$2)</f>
        <v>0.3015013985326454</v>
      </c>
      <c r="O213" cm="1">
        <f t="array" ref="O213">EstymacjaGaussowska($K213,$C$2:$C$151,$O$2)</f>
        <v>0.15790141555631251</v>
      </c>
      <c r="P213" cm="1">
        <f t="array" ref="P213">EstymacjaGaussowska($K213,$C$2:$C$151,$P$2)</f>
        <v>3.2678589977791994E-2</v>
      </c>
      <c r="R213" cm="1">
        <f t="array" ref="R213">EstymacjaEpanecznikowa($K213,$C$2:$C$151,R$2)</f>
        <v>0.23272659959451195</v>
      </c>
      <c r="S213" cm="1">
        <f t="array" ref="S213">EstymacjaEpanecznikowa($K213,$C$2:$C$151,S$2)</f>
        <v>0.28926322212009203</v>
      </c>
      <c r="T213" cm="1">
        <f t="array" ref="T213">EstymacjaEpanecznikowa($K213,$C$2:$C$151,T$2)</f>
        <v>0.13957350404023475</v>
      </c>
    </row>
    <row r="214" spans="10:20" x14ac:dyDescent="0.25">
      <c r="J214">
        <v>212</v>
      </c>
      <c r="K214">
        <f t="shared" si="7"/>
        <v>5.1635451505016654</v>
      </c>
      <c r="L214">
        <f t="shared" si="6"/>
        <v>0.16460081672326954</v>
      </c>
      <c r="M214" cm="1">
        <f t="array" ref="M214">EstymacjaGaussowska($K214,$C$2:$C$151)</f>
        <v>0.23390699999469816</v>
      </c>
      <c r="N214" cm="1">
        <f t="array" ref="N214">EstymacjaGaussowska($K214,$C$2:$C$151,$N$2)</f>
        <v>0.2803507908396356</v>
      </c>
      <c r="O214" cm="1">
        <f t="array" ref="O214">EstymacjaGaussowska($K214,$C$2:$C$151,$O$2)</f>
        <v>0.15748592835574413</v>
      </c>
      <c r="P214" cm="1">
        <f t="array" ref="P214">EstymacjaGaussowska($K214,$C$2:$C$151,$P$2)</f>
        <v>3.2672496936622143E-2</v>
      </c>
      <c r="R214" cm="1">
        <f t="array" ref="R214">EstymacjaEpanecznikowa($K214,$C$2:$C$151,R$2)</f>
        <v>0.23169829753268203</v>
      </c>
      <c r="S214" cm="1">
        <f t="array" ref="S214">EstymacjaEpanecznikowa($K214,$C$2:$C$151,S$2)</f>
        <v>0.27763479823110848</v>
      </c>
      <c r="T214" cm="1">
        <f t="array" ref="T214">EstymacjaEpanecznikowa($K214,$C$2:$C$151,T$2)</f>
        <v>0.13940995317681965</v>
      </c>
    </row>
    <row r="215" spans="10:20" x14ac:dyDescent="0.25">
      <c r="J215">
        <v>213</v>
      </c>
      <c r="K215">
        <f t="shared" si="7"/>
        <v>5.183277591973237</v>
      </c>
      <c r="L215">
        <f t="shared" si="6"/>
        <v>0.16313217928167834</v>
      </c>
      <c r="M215" cm="1">
        <f t="array" ref="M215">EstymacjaGaussowska($K215,$C$2:$C$151)</f>
        <v>0.23263347843718879</v>
      </c>
      <c r="N215" cm="1">
        <f t="array" ref="N215">EstymacjaGaussowska($K215,$C$2:$C$151,$N$2)</f>
        <v>0.25774175862994331</v>
      </c>
      <c r="O215" cm="1">
        <f t="array" ref="O215">EstymacjaGaussowska($K215,$C$2:$C$151,$O$2)</f>
        <v>0.15705460373446534</v>
      </c>
      <c r="P215" cm="1">
        <f t="array" ref="P215">EstymacjaGaussowska($K215,$C$2:$C$151,$P$2)</f>
        <v>3.266631858017674E-2</v>
      </c>
      <c r="R215" cm="1">
        <f t="array" ref="R215">EstymacjaEpanecznikowa($K215,$C$2:$C$151,R$2)</f>
        <v>0.23073459763207391</v>
      </c>
      <c r="S215" cm="1">
        <f t="array" ref="S215">EstymacjaEpanecznikowa($K215,$C$2:$C$151,S$2)</f>
        <v>0.26314553995250206</v>
      </c>
      <c r="T215" cm="1">
        <f t="array" ref="T215">EstymacjaEpanecznikowa($K215,$C$2:$C$151,T$2)</f>
        <v>0.13923587704851068</v>
      </c>
    </row>
    <row r="216" spans="10:20" x14ac:dyDescent="0.25">
      <c r="J216">
        <v>214</v>
      </c>
      <c r="K216">
        <f t="shared" si="7"/>
        <v>5.2030100334448086</v>
      </c>
      <c r="L216">
        <f t="shared" si="6"/>
        <v>0.16165644590544109</v>
      </c>
      <c r="M216" cm="1">
        <f t="array" ref="M216">EstymacjaGaussowska($K216,$C$2:$C$151)</f>
        <v>0.23129810472283308</v>
      </c>
      <c r="N216" cm="1">
        <f t="array" ref="N216">EstymacjaGaussowska($K216,$C$2:$C$151,$N$2)</f>
        <v>0.23517339976882956</v>
      </c>
      <c r="O216" cm="1">
        <f t="array" ref="O216">EstymacjaGaussowska($K216,$C$2:$C$151,$O$2)</f>
        <v>0.15660749056591894</v>
      </c>
      <c r="P216" cm="1">
        <f t="array" ref="P216">EstymacjaGaussowska($K216,$C$2:$C$151,$P$2)</f>
        <v>3.2660054957149617E-2</v>
      </c>
      <c r="R216" cm="1">
        <f t="array" ref="R216">EstymacjaEpanecznikowa($K216,$C$2:$C$151,R$2)</f>
        <v>0.22967484490283191</v>
      </c>
      <c r="S216" cm="1">
        <f t="array" ref="S216">EstymacjaEpanecznikowa($K216,$C$2:$C$151,S$2)</f>
        <v>0.24767442370223486</v>
      </c>
      <c r="T216" cm="1">
        <f t="array" ref="T216">EstymacjaEpanecznikowa($K216,$C$2:$C$151,T$2)</f>
        <v>0.13905127565530764</v>
      </c>
    </row>
    <row r="217" spans="10:20" x14ac:dyDescent="0.25">
      <c r="J217">
        <v>215</v>
      </c>
      <c r="K217">
        <f t="shared" si="7"/>
        <v>5.2227424749163802</v>
      </c>
      <c r="L217">
        <f t="shared" si="6"/>
        <v>0.16017404787176465</v>
      </c>
      <c r="M217" cm="1">
        <f t="array" ref="M217">EstymacjaGaussowska($K217,$C$2:$C$151)</f>
        <v>0.22990228067682131</v>
      </c>
      <c r="N217" cm="1">
        <f t="array" ref="N217">EstymacjaGaussowska($K217,$C$2:$C$151,$N$2)</f>
        <v>0.21401615121951878</v>
      </c>
      <c r="O217" cm="1">
        <f t="array" ref="O217">EstymacjaGaussowska($K217,$C$2:$C$151,$O$2)</f>
        <v>0.15614464545720511</v>
      </c>
      <c r="P217" cm="1">
        <f t="array" ref="P217">EstymacjaGaussowska($K217,$C$2:$C$151,$P$2)</f>
        <v>3.2653706116902374E-2</v>
      </c>
      <c r="R217" cm="1">
        <f t="array" ref="R217">EstymacjaEpanecznikowa($K217,$C$2:$C$151,R$2)</f>
        <v>0.22851516755743903</v>
      </c>
      <c r="S217" cm="1">
        <f t="array" ref="S217">EstymacjaEpanecznikowa($K217,$C$2:$C$151,S$2)</f>
        <v>0.22593458350775336</v>
      </c>
      <c r="T217" cm="1">
        <f t="array" ref="T217">EstymacjaEpanecznikowa($K217,$C$2:$C$151,T$2)</f>
        <v>0.13885614899721069</v>
      </c>
    </row>
    <row r="218" spans="10:20" x14ac:dyDescent="0.25">
      <c r="J218">
        <v>216</v>
      </c>
      <c r="K218">
        <f t="shared" si="7"/>
        <v>5.2424749163879518</v>
      </c>
      <c r="L218">
        <f t="shared" si="6"/>
        <v>0.15868541501645037</v>
      </c>
      <c r="M218" cm="1">
        <f t="array" ref="M218">EstymacjaGaussowska($K218,$C$2:$C$151)</f>
        <v>0.22844743767564593</v>
      </c>
      <c r="N218" cm="1">
        <f t="array" ref="N218">EstymacjaGaussowska($K218,$C$2:$C$151,$N$2)</f>
        <v>0.1953538790169031</v>
      </c>
      <c r="O218" cm="1">
        <f t="array" ref="O218">EstymacjaGaussowska($K218,$C$2:$C$151,$O$2)</f>
        <v>0.15566613269650267</v>
      </c>
      <c r="P218" cm="1">
        <f t="array" ref="P218">EstymacjaGaussowska($K218,$C$2:$C$151,$P$2)</f>
        <v>3.264727210946327E-2</v>
      </c>
      <c r="R218" cm="1">
        <f t="array" ref="R218">EstymacjaEpanecznikowa($K218,$C$2:$C$151,R$2)</f>
        <v>0.2272830755094371</v>
      </c>
      <c r="S218" cm="1">
        <f t="array" ref="S218">EstymacjaEpanecznikowa($K218,$C$2:$C$151,S$2)</f>
        <v>0.21365735699534391</v>
      </c>
      <c r="T218" cm="1">
        <f t="array" ref="T218">EstymacjaEpanecznikowa($K218,$C$2:$C$151,T$2)</f>
        <v>0.1386504970742197</v>
      </c>
    </row>
    <row r="219" spans="10:20" x14ac:dyDescent="0.25">
      <c r="J219">
        <v>217</v>
      </c>
      <c r="K219">
        <f t="shared" si="7"/>
        <v>5.2622073578595234</v>
      </c>
      <c r="L219">
        <f t="shared" si="6"/>
        <v>0.15719097553329103</v>
      </c>
      <c r="M219" cm="1">
        <f t="array" ref="M219">EstymacjaGaussowska($K219,$C$2:$C$151)</f>
        <v>0.22693503438228996</v>
      </c>
      <c r="N219" cm="1">
        <f t="array" ref="N219">EstymacjaGaussowska($K219,$C$2:$C$151,$N$2)</f>
        <v>0.17990523466949052</v>
      </c>
      <c r="O219" cm="1">
        <f t="array" ref="O219">EstymacjaGaussowska($K219,$C$2:$C$151,$O$2)</f>
        <v>0.15517202419460757</v>
      </c>
      <c r="P219" cm="1">
        <f t="array" ref="P219">EstymacjaGaussowska($K219,$C$2:$C$151,$P$2)</f>
        <v>3.2640752985527044E-2</v>
      </c>
      <c r="R219" cm="1">
        <f t="array" ref="R219">EstymacjaEpanecznikowa($K219,$C$2:$C$151,R$2)</f>
        <v>0.22600807601500558</v>
      </c>
      <c r="S219" cm="1">
        <f t="array" ref="S219">EstymacjaEpanecznikowa($K219,$C$2:$C$151,S$2)</f>
        <v>0.19719457820022898</v>
      </c>
      <c r="T219" cm="1">
        <f t="array" ref="T219">EstymacjaEpanecznikowa($K219,$C$2:$C$151,T$2)</f>
        <v>0.13844874688223863</v>
      </c>
    </row>
    <row r="220" spans="10:20" x14ac:dyDescent="0.25">
      <c r="J220">
        <v>218</v>
      </c>
      <c r="K220">
        <f t="shared" si="7"/>
        <v>5.281939799331095</v>
      </c>
      <c r="L220">
        <f t="shared" si="6"/>
        <v>0.15569115577634107</v>
      </c>
      <c r="M220" cm="1">
        <f t="array" ref="M220">EstymacjaGaussowska($K220,$C$2:$C$151)</f>
        <v>0.22536655454052443</v>
      </c>
      <c r="N220" cm="1">
        <f t="array" ref="N220">EstymacjaGaussowska($K220,$C$2:$C$151,$N$2)</f>
        <v>0.16802641783640979</v>
      </c>
      <c r="O220" cm="1">
        <f t="array" ref="O220">EstymacjaGaussowska($K220,$C$2:$C$151,$O$2)</f>
        <v>0.15466239942068408</v>
      </c>
      <c r="P220" cm="1">
        <f t="array" ref="P220">EstymacjaGaussowska($K220,$C$2:$C$151,$P$2)</f>
        <v>3.2634148796453877E-2</v>
      </c>
      <c r="R220" cm="1">
        <f t="array" ref="R220">EstymacjaEpanecznikowa($K220,$C$2:$C$151,R$2)</f>
        <v>0.22463422636266167</v>
      </c>
      <c r="S220" cm="1">
        <f t="array" ref="S220">EstymacjaEpanecznikowa($K220,$C$2:$C$151,S$2)</f>
        <v>0.17914280824605536</v>
      </c>
      <c r="T220" cm="1">
        <f t="array" ref="T220">EstymacjaEpanecznikowa($K220,$C$2:$C$151,T$2)</f>
        <v>0.13825731228698498</v>
      </c>
    </row>
    <row r="221" spans="10:20" x14ac:dyDescent="0.25">
      <c r="J221">
        <v>219</v>
      </c>
      <c r="K221">
        <f t="shared" si="7"/>
        <v>5.3016722408026666</v>
      </c>
      <c r="L221">
        <f t="shared" si="6"/>
        <v>0.15418638006517985</v>
      </c>
      <c r="M221" cm="1">
        <f t="array" ref="M221">EstymacjaGaussowska($K221,$C$2:$C$151)</f>
        <v>0.22374350483155514</v>
      </c>
      <c r="N221" cm="1">
        <f t="array" ref="N221">EstymacjaGaussowska($K221,$C$2:$C$151,$N$2)</f>
        <v>0.15977698753431352</v>
      </c>
      <c r="O221" cm="1">
        <f t="array" ref="O221">EstymacjaGaussowska($K221,$C$2:$C$151,$O$2)</f>
        <v>0.15413734533234022</v>
      </c>
      <c r="P221" cm="1">
        <f t="array" ref="P221">EstymacjaGaussowska($K221,$C$2:$C$151,$P$2)</f>
        <v>3.2627459594269041E-2</v>
      </c>
      <c r="R221" cm="1">
        <f t="array" ref="R221">EstymacjaEpanecznikowa($K221,$C$2:$C$151,R$2)</f>
        <v>0.22316152655240515</v>
      </c>
      <c r="S221" cm="1">
        <f t="array" ref="S221">EstymacjaEpanecznikowa($K221,$C$2:$C$151,S$2)</f>
        <v>0.1639520727748377</v>
      </c>
      <c r="T221" cm="1">
        <f t="array" ref="T221">EstymacjaEpanecznikowa($K221,$C$2:$C$151,T$2)</f>
        <v>0.13805555880458045</v>
      </c>
    </row>
    <row r="222" spans="10:20" x14ac:dyDescent="0.25">
      <c r="J222">
        <v>220</v>
      </c>
      <c r="K222">
        <f t="shared" si="7"/>
        <v>5.3214046822742382</v>
      </c>
      <c r="L222">
        <f t="shared" si="6"/>
        <v>0.15267707049328619</v>
      </c>
      <c r="M222" cm="1">
        <f t="array" ref="M222">EstymacjaGaussowska($K222,$C$2:$C$151)</f>
        <v>0.22206741279558331</v>
      </c>
      <c r="N222" cm="1">
        <f t="array" ref="N222">EstymacjaGaussowska($K222,$C$2:$C$151,$N$2)</f>
        <v>0.1550187091557331</v>
      </c>
      <c r="O222" cm="1">
        <f t="array" ref="O222">EstymacjaGaussowska($K222,$C$2:$C$151,$O$2)</f>
        <v>0.15359695630013201</v>
      </c>
      <c r="P222" cm="1">
        <f t="array" ref="P222">EstymacjaGaussowska($K222,$C$2:$C$151,$P$2)</f>
        <v>3.2620685431661918E-2</v>
      </c>
      <c r="R222" cm="1">
        <f t="array" ref="R222">EstymacjaEpanecznikowa($K222,$C$2:$C$151,R$2)</f>
        <v>0.22158997658423593</v>
      </c>
      <c r="S222" cm="1">
        <f t="array" ref="S222">EstymacjaEpanecznikowa($K222,$C$2:$C$151,S$2)</f>
        <v>0.14284087580075089</v>
      </c>
      <c r="T222" cm="1">
        <f t="array" ref="T222">EstymacjaEpanecznikowa($K222,$C$2:$C$151,T$2)</f>
        <v>0.1378434864350247</v>
      </c>
    </row>
    <row r="223" spans="10:20" x14ac:dyDescent="0.25">
      <c r="J223">
        <v>221</v>
      </c>
      <c r="K223">
        <f t="shared" si="7"/>
        <v>5.3411371237458098</v>
      </c>
      <c r="L223">
        <f t="shared" si="6"/>
        <v>0.15116364673963667</v>
      </c>
      <c r="M223" cm="1">
        <f t="array" ref="M223">EstymacjaGaussowska($K223,$C$2:$C$151)</f>
        <v>0.22033982482019393</v>
      </c>
      <c r="N223" cm="1">
        <f t="array" ref="N223">EstymacjaGaussowska($K223,$C$2:$C$151,$N$2)</f>
        <v>0.15351602812912063</v>
      </c>
      <c r="O223" cm="1">
        <f t="array" ref="O223">EstymacjaGaussowska($K223,$C$2:$C$151,$O$2)</f>
        <v>0.1530413340266133</v>
      </c>
      <c r="P223" cm="1">
        <f t="array" ref="P223">EstymacjaGaussowska($K223,$C$2:$C$151,$P$2)</f>
        <v>3.2613826361985475E-2</v>
      </c>
      <c r="R223" cm="1">
        <f t="array" ref="R223">EstymacjaEpanecznikowa($K223,$C$2:$C$151,R$2)</f>
        <v>0.21994139461360604</v>
      </c>
      <c r="S223" cm="1">
        <f t="array" ref="S223">EstymacjaEpanecznikowa($K223,$C$2:$C$151,S$2)</f>
        <v>0.14495721293173411</v>
      </c>
      <c r="T223" cm="1">
        <f t="array" ref="T223">EstymacjaEpanecznikowa($K223,$C$2:$C$151,T$2)</f>
        <v>0.13762109517831825</v>
      </c>
    </row>
    <row r="224" spans="10:20" x14ac:dyDescent="0.25">
      <c r="J224">
        <v>222</v>
      </c>
      <c r="K224">
        <f t="shared" si="7"/>
        <v>5.3608695652173814</v>
      </c>
      <c r="L224">
        <f t="shared" si="6"/>
        <v>0.14964652588363728</v>
      </c>
      <c r="M224" cm="1">
        <f t="array" ref="M224">EstymacjaGaussowska($K224,$C$2:$C$151)</f>
        <v>0.21856230419683123</v>
      </c>
      <c r="N224" cm="1">
        <f t="array" ref="N224">EstymacjaGaussowska($K224,$C$2:$C$151,$N$2)</f>
        <v>0.15501351771952568</v>
      </c>
      <c r="O224" cm="1">
        <f t="array" ref="O224">EstymacjaGaussowska($K224,$C$2:$C$151,$O$2)</f>
        <v>0.15247058746005185</v>
      </c>
      <c r="P224" cm="1">
        <f t="array" ref="P224">EstymacjaGaussowska($K224,$C$2:$C$151,$P$2)</f>
        <v>3.2606882439255504E-2</v>
      </c>
      <c r="R224" cm="1">
        <f t="array" ref="R224">EstymacjaEpanecznikowa($K224,$C$2:$C$151,R$2)</f>
        <v>0.21825659856824817</v>
      </c>
      <c r="S224" cm="1">
        <f t="array" ref="S224">EstymacjaEpanecznikowa($K224,$C$2:$C$151,S$2)</f>
        <v>0.14744522342371913</v>
      </c>
      <c r="T224" cm="1">
        <f t="array" ref="T224">EstymacjaEpanecznikowa($K224,$C$2:$C$151,T$2)</f>
        <v>0.13738838503446071</v>
      </c>
    </row>
    <row r="225" spans="10:20" x14ac:dyDescent="0.25">
      <c r="J225">
        <v>223</v>
      </c>
      <c r="K225">
        <f t="shared" si="7"/>
        <v>5.3806020066889531</v>
      </c>
      <c r="L225">
        <f t="shared" si="6"/>
        <v>0.14812612222349394</v>
      </c>
      <c r="M225" cm="1">
        <f t="array" ref="M225">EstymacjaGaussowska($K225,$C$2:$C$151)</f>
        <v>0.2167364292459944</v>
      </c>
      <c r="N225" cm="1">
        <f t="array" ref="N225">EstymacjaGaussowska($K225,$C$2:$C$151,$N$2)</f>
        <v>0.15927661029619136</v>
      </c>
      <c r="O225" cm="1">
        <f t="array" ref="O225">EstymacjaGaussowska($K225,$C$2:$C$151,$O$2)</f>
        <v>0.15188483270292991</v>
      </c>
      <c r="P225" cm="1">
        <f t="array" ref="P225">EstymacjaGaussowska($K225,$C$2:$C$151,$P$2)</f>
        <v>3.2599853718150003E-2</v>
      </c>
      <c r="R225" cm="1">
        <f t="array" ref="R225">EstymacjaEpanecznikowa($K225,$C$2:$C$151,R$2)</f>
        <v>0.21654400755844883</v>
      </c>
      <c r="S225" cm="1">
        <f t="array" ref="S225">EstymacjaEpanecznikowa($K225,$C$2:$C$151,S$2)</f>
        <v>0.15180190552713957</v>
      </c>
      <c r="T225" cm="1">
        <f t="array" ref="T225">EstymacjaEpanecznikowa($K225,$C$2:$C$151,T$2)</f>
        <v>0.13714535600345226</v>
      </c>
    </row>
    <row r="226" spans="10:20" x14ac:dyDescent="0.25">
      <c r="J226">
        <v>224</v>
      </c>
      <c r="K226">
        <f t="shared" si="7"/>
        <v>5.4003344481605247</v>
      </c>
      <c r="L226">
        <f t="shared" si="6"/>
        <v>0.1466028470981233</v>
      </c>
      <c r="M226" cm="1">
        <f t="array" ref="M226">EstymacjaGaussowska($K226,$C$2:$C$151)</f>
        <v>0.21486379151118298</v>
      </c>
      <c r="N226" cm="1">
        <f t="array" ref="N226">EstymacjaGaussowska($K226,$C$2:$C$151,$N$2)</f>
        <v>0.16609321256067103</v>
      </c>
      <c r="O226" cm="1">
        <f t="array" ref="O226">EstymacjaGaussowska($K226,$C$2:$C$151,$O$2)</f>
        <v>0.15128419291536019</v>
      </c>
      <c r="P226" cm="1">
        <f t="array" ref="P226">EstymacjaGaussowska($K226,$C$2:$C$151,$P$2)</f>
        <v>3.2592740254008344E-2</v>
      </c>
      <c r="R226" cm="1">
        <f t="array" ref="R226">EstymacjaEpanecznikowa($K226,$C$2:$C$151,R$2)</f>
        <v>0.21474585616896308</v>
      </c>
      <c r="S226" cm="1">
        <f t="array" ref="S226">EstymacjaEpanecznikowa($K226,$C$2:$C$151,S$2)</f>
        <v>0.17020964151587376</v>
      </c>
      <c r="T226" cm="1">
        <f t="array" ref="T226">EstymacjaEpanecznikowa($K226,$C$2:$C$151,T$2)</f>
        <v>0.13689200808529264</v>
      </c>
    </row>
    <row r="227" spans="10:20" x14ac:dyDescent="0.25">
      <c r="J227">
        <v>225</v>
      </c>
      <c r="K227">
        <f t="shared" si="7"/>
        <v>5.4200668896320963</v>
      </c>
      <c r="L227">
        <f t="shared" si="6"/>
        <v>0.14507710871270088</v>
      </c>
      <c r="M227" cm="1">
        <f t="array" ref="M227">EstymacjaGaussowska($K227,$C$2:$C$151)</f>
        <v>0.21294599402104206</v>
      </c>
      <c r="N227" cm="1">
        <f t="array" ref="N227">EstymacjaGaussowska($K227,$C$2:$C$151,$N$2)</f>
        <v>0.17524291012081861</v>
      </c>
      <c r="O227" cm="1">
        <f t="array" ref="O227">EstymacjaGaussowska($K227,$C$2:$C$151,$O$2)</f>
        <v>0.15066879821354609</v>
      </c>
      <c r="P227" cm="1">
        <f t="array" ref="P227">EstymacjaGaussowska($K227,$C$2:$C$151,$P$2)</f>
        <v>3.2585542102830579E-2</v>
      </c>
      <c r="R227" cm="1">
        <f t="array" ref="R227">EstymacjaEpanecznikowa($K227,$C$2:$C$151,R$2)</f>
        <v>0.212848854621565</v>
      </c>
      <c r="S227" cm="1">
        <f t="array" ref="S227">EstymacjaEpanecznikowa($K227,$C$2:$C$151,S$2)</f>
        <v>0.18339344088442933</v>
      </c>
      <c r="T227" cm="1">
        <f t="array" ref="T227">EstymacjaEpanecznikowa($K227,$C$2:$C$151,T$2)</f>
        <v>0.13662834127998225</v>
      </c>
    </row>
    <row r="228" spans="10:20" x14ac:dyDescent="0.25">
      <c r="J228">
        <v>226</v>
      </c>
      <c r="K228">
        <f t="shared" si="7"/>
        <v>5.4397993311036679</v>
      </c>
      <c r="L228">
        <f t="shared" si="6"/>
        <v>0.14354931196793994</v>
      </c>
      <c r="M228" cm="1">
        <f t="array" ref="M228">EstymacjaGaussowska($K228,$C$2:$C$151)</f>
        <v>0.21098464961861463</v>
      </c>
      <c r="N228" cm="1">
        <f t="array" ref="N228">EstymacjaGaussowska($K228,$C$2:$C$151,$N$2)</f>
        <v>0.1864465145548449</v>
      </c>
      <c r="O228" cm="1">
        <f t="array" ref="O228">EstymacjaGaussowska($K228,$C$2:$C$151,$O$2)</f>
        <v>0.15003878556342107</v>
      </c>
      <c r="P228" cm="1">
        <f t="array" ref="P228">EstymacjaGaussowska($K228,$C$2:$C$151,$P$2)</f>
        <v>3.257825932127674E-2</v>
      </c>
      <c r="R228" cm="1">
        <f t="array" ref="R228">EstymacjaEpanecznikowa($K228,$C$2:$C$151,R$2)</f>
        <v>0.21090139692419438</v>
      </c>
      <c r="S228" cm="1">
        <f t="array" ref="S228">EstymacjaEpanecznikowa($K228,$C$2:$C$151,S$2)</f>
        <v>0.19806483411691658</v>
      </c>
      <c r="T228" cm="1">
        <f t="array" ref="T228">EstymacjaEpanecznikowa($K228,$C$2:$C$151,T$2)</f>
        <v>0.13635435558752085</v>
      </c>
    </row>
    <row r="229" spans="10:20" x14ac:dyDescent="0.25">
      <c r="J229">
        <v>227</v>
      </c>
      <c r="K229">
        <f t="shared" si="7"/>
        <v>5.4595317725752395</v>
      </c>
      <c r="L229">
        <f t="shared" si="6"/>
        <v>0.14201985829318986</v>
      </c>
      <c r="M229" cm="1">
        <f t="array" ref="M229">EstymacjaGaussowska($K229,$C$2:$C$151)</f>
        <v>0.208981379356111</v>
      </c>
      <c r="N229" cm="1">
        <f t="array" ref="N229">EstymacjaGaussowska($K229,$C$2:$C$151,$N$2)</f>
        <v>0.1993119136814589</v>
      </c>
      <c r="O229" cm="1">
        <f t="array" ref="O229">EstymacjaGaussowska($K229,$C$2:$C$151,$O$2)</f>
        <v>0.1493942986696031</v>
      </c>
      <c r="P229" cm="1">
        <f t="array" ref="P229">EstymacjaGaussowska($K229,$C$2:$C$151,$P$2)</f>
        <v>3.2570891966666134E-2</v>
      </c>
      <c r="R229" cm="1">
        <f t="array" ref="R229">EstymacjaEpanecznikowa($K229,$C$2:$C$151,R$2)</f>
        <v>0.209059839243002</v>
      </c>
      <c r="S229" cm="1">
        <f t="array" ref="S229">EstymacjaEpanecznikowa($K229,$C$2:$C$151,S$2)</f>
        <v>0.2096135708371222</v>
      </c>
      <c r="T229" cm="1">
        <f t="array" ref="T229">EstymacjaEpanecznikowa($K229,$C$2:$C$151,T$2)</f>
        <v>0.13607005100790839</v>
      </c>
    </row>
    <row r="230" spans="10:20" x14ac:dyDescent="0.25">
      <c r="J230">
        <v>228</v>
      </c>
      <c r="K230">
        <f t="shared" si="7"/>
        <v>5.4792642140468111</v>
      </c>
      <c r="L230">
        <f t="shared" si="6"/>
        <v>0.14048914548343888</v>
      </c>
      <c r="M230" cm="1">
        <f t="array" ref="M230">EstymacjaGaussowska($K230,$C$2:$C$151)</f>
        <v>0.2069378109531336</v>
      </c>
      <c r="N230" cm="1">
        <f t="array" ref="N230">EstymacjaGaussowska($K230,$C$2:$C$151,$N$2)</f>
        <v>0.2132929741729985</v>
      </c>
      <c r="O230" cm="1">
        <f t="array" ref="O230">EstymacjaGaussowska($K230,$C$2:$C$151,$O$2)</f>
        <v>0.14873548785980664</v>
      </c>
      <c r="P230" cm="1">
        <f t="array" ref="P230">EstymacjaGaussowska($K230,$C$2:$C$151,$P$2)</f>
        <v>3.2563440096976488E-2</v>
      </c>
      <c r="R230" cm="1">
        <f t="array" ref="R230">EstymacjaEpanecznikowa($K230,$C$2:$C$151,R$2)</f>
        <v>0.20712265477861164</v>
      </c>
      <c r="S230" cm="1">
        <f t="array" ref="S230">EstymacjaEpanecznikowa($K230,$C$2:$C$151,S$2)</f>
        <v>0.21834644414368029</v>
      </c>
      <c r="T230" cm="1">
        <f t="array" ref="T230">EstymacjaEpanecznikowa($K230,$C$2:$C$151,T$2)</f>
        <v>0.13577542754114499</v>
      </c>
    </row>
    <row r="231" spans="10:20" x14ac:dyDescent="0.25">
      <c r="J231">
        <v>229</v>
      </c>
      <c r="K231">
        <f t="shared" si="7"/>
        <v>5.4989966555183827</v>
      </c>
      <c r="L231">
        <f t="shared" si="6"/>
        <v>0.13895756754030139</v>
      </c>
      <c r="M231" cm="1">
        <f t="array" ref="M231">EstymacjaGaussowska($K231,$C$2:$C$151)</f>
        <v>0.20485557731588594</v>
      </c>
      <c r="N231" cm="1">
        <f t="array" ref="N231">EstymacjaGaussowska($K231,$C$2:$C$151,$N$2)</f>
        <v>0.22767660646201149</v>
      </c>
      <c r="O231" cm="1">
        <f t="array" ref="O231">EstymacjaGaussowska($K231,$C$2:$C$151,$O$2)</f>
        <v>0.14806250996485615</v>
      </c>
      <c r="P231" cm="1">
        <f t="array" ref="P231">EstymacjaGaussowska($K231,$C$2:$C$151,$P$2)</f>
        <v>3.2555903770843157E-2</v>
      </c>
      <c r="R231" cm="1">
        <f t="array" ref="R231">EstymacjaEpanecznikowa($K231,$C$2:$C$151,R$2)</f>
        <v>0.20508984353102311</v>
      </c>
      <c r="S231" cm="1">
        <f t="array" ref="S231">EstymacjaEpanecznikowa($K231,$C$2:$C$151,S$2)</f>
        <v>0.23200541514830905</v>
      </c>
      <c r="T231" cm="1">
        <f t="array" ref="T231">EstymacjaEpanecznikowa($K231,$C$2:$C$151,T$2)</f>
        <v>0.13547048518723084</v>
      </c>
    </row>
    <row r="232" spans="10:20" x14ac:dyDescent="0.25">
      <c r="J232">
        <v>230</v>
      </c>
      <c r="K232">
        <f t="shared" si="7"/>
        <v>5.5187290969899543</v>
      </c>
      <c r="L232">
        <f t="shared" si="6"/>
        <v>0.13742551451706631</v>
      </c>
      <c r="M232" cm="1">
        <f t="array" ref="M232">EstymacjaGaussowska($K232,$C$2:$C$151)</f>
        <v>0.20273631511452833</v>
      </c>
      <c r="N232" cm="1">
        <f t="array" ref="N232">EstymacjaGaussowska($K232,$C$2:$C$151,$N$2)</f>
        <v>0.24160858252712988</v>
      </c>
      <c r="O232" cm="1">
        <f t="array" ref="O232">EstymacjaGaussowska($K232,$C$2:$C$151,$O$2)</f>
        <v>0.14737552819444569</v>
      </c>
      <c r="P232" cm="1">
        <f t="array" ref="P232">EstymacjaGaussowska($K232,$C$2:$C$151,$P$2)</f>
        <v>3.25482830475586E-2</v>
      </c>
      <c r="R232" cm="1">
        <f t="array" ref="R232">EstymacjaEpanecznikowa($K232,$C$2:$C$151,R$2)</f>
        <v>0.20296140550023675</v>
      </c>
      <c r="S232" cm="1">
        <f t="array" ref="S232">EstymacjaEpanecznikowa($K232,$C$2:$C$151,S$2)</f>
        <v>0.24009218709141411</v>
      </c>
      <c r="T232" cm="1">
        <f t="array" ref="T232">EstymacjaEpanecznikowa($K232,$C$2:$C$151,T$2)</f>
        <v>0.13515522394616539</v>
      </c>
    </row>
    <row r="233" spans="10:20" x14ac:dyDescent="0.25">
      <c r="J233">
        <v>231</v>
      </c>
      <c r="K233">
        <f t="shared" si="7"/>
        <v>5.5384615384615259</v>
      </c>
      <c r="L233">
        <f t="shared" si="6"/>
        <v>0.13589337236787774</v>
      </c>
      <c r="M233" cm="1">
        <f t="array" ref="M233">EstymacjaGaussowska($K233,$C$2:$C$151)</f>
        <v>0.20058166341552236</v>
      </c>
      <c r="N233" cm="1">
        <f t="array" ref="N233">EstymacjaGaussowska($K233,$C$2:$C$151,$N$2)</f>
        <v>0.25416100139996994</v>
      </c>
      <c r="O233" cm="1">
        <f t="array" ref="O233">EstymacjaGaussowska($K233,$C$2:$C$151,$O$2)</f>
        <v>0.14667471200879517</v>
      </c>
      <c r="P233" cm="1">
        <f t="array" ref="P233">EstymacjaGaussowska($K233,$C$2:$C$151,$P$2)</f>
        <v>3.2540577987071252E-2</v>
      </c>
      <c r="R233" cm="1">
        <f t="array" ref="R233">EstymacjaEpanecznikowa($K233,$C$2:$C$151,R$2)</f>
        <v>0.20078958796188881</v>
      </c>
      <c r="S233" cm="1">
        <f t="array" ref="S233">EstymacjaEpanecznikowa($K233,$C$2:$C$151,S$2)</f>
        <v>0.2487460235325159</v>
      </c>
      <c r="T233" cm="1">
        <f t="array" ref="T233">EstymacjaEpanecznikowa($K233,$C$2:$C$151,T$2)</f>
        <v>0.13482964381794918</v>
      </c>
    </row>
    <row r="234" spans="10:20" x14ac:dyDescent="0.25">
      <c r="J234">
        <v>232</v>
      </c>
      <c r="K234">
        <f t="shared" si="7"/>
        <v>5.5581939799330975</v>
      </c>
      <c r="L234">
        <f t="shared" si="6"/>
        <v>0.13436152280111568</v>
      </c>
      <c r="M234" cm="1">
        <f t="array" ref="M234">EstymacjaGaussowska($K234,$C$2:$C$151)</f>
        <v>0.19839326236554955</v>
      </c>
      <c r="N234" cm="1">
        <f t="array" ref="N234">EstymacjaGaussowska($K234,$C$2:$C$151,$N$2)</f>
        <v>0.26443411937584671</v>
      </c>
      <c r="O234" cm="1">
        <f t="array" ref="O234">EstymacjaGaussowska($K234,$C$2:$C$151,$O$2)</f>
        <v>0.14596023698635532</v>
      </c>
      <c r="P234" cm="1">
        <f t="array" ref="P234">EstymacjaGaussowska($K234,$C$2:$C$151,$P$2)</f>
        <v>3.2532788649985114E-2</v>
      </c>
      <c r="R234" cm="1">
        <f t="array" ref="R234">EstymacjaEpanecznikowa($K234,$C$2:$C$151,R$2)</f>
        <v>0.19889143911162607</v>
      </c>
      <c r="S234" cm="1">
        <f t="array" ref="S234">EstymacjaEpanecznikowa($K234,$C$2:$C$151,S$2)</f>
        <v>0.25445398591863522</v>
      </c>
      <c r="T234" cm="1">
        <f t="array" ref="T234">EstymacjaEpanecznikowa($K234,$C$2:$C$151,T$2)</f>
        <v>0.13449374480258192</v>
      </c>
    </row>
    <row r="235" spans="10:20" x14ac:dyDescent="0.25">
      <c r="J235">
        <v>233</v>
      </c>
      <c r="K235">
        <f t="shared" si="7"/>
        <v>5.5779264214046691</v>
      </c>
      <c r="L235">
        <f t="shared" si="6"/>
        <v>0.13283034313703981</v>
      </c>
      <c r="M235" cm="1">
        <f t="array" ref="M235">EstymacjaGaussowska($K235,$C$2:$C$151)</f>
        <v>0.19617275192337699</v>
      </c>
      <c r="N235" cm="1">
        <f t="array" ref="N235">EstymacjaGaussowska($K235,$C$2:$C$151,$N$2)</f>
        <v>0.27167477158548192</v>
      </c>
      <c r="O235" cm="1">
        <f t="array" ref="O235">EstymacjaGaussowska($K235,$C$2:$C$151,$O$2)</f>
        <v>0.14523228468771365</v>
      </c>
      <c r="P235" cm="1">
        <f t="array" ref="P235">EstymacjaGaussowska($K235,$C$2:$C$151,$P$2)</f>
        <v>3.2524915097558615E-2</v>
      </c>
      <c r="R235" cm="1">
        <f t="array" ref="R235">EstymacjaEpanecznikowa($K235,$C$2:$C$151,R$2)</f>
        <v>0.19690303576935636</v>
      </c>
      <c r="S235" cm="1">
        <f t="array" ref="S235">EstymacjaEpanecznikowa($K235,$C$2:$C$151,S$2)</f>
        <v>0.25620305174190511</v>
      </c>
      <c r="T235" cm="1">
        <f t="array" ref="T235">EstymacjaEpanecznikowa($K235,$C$2:$C$151,T$2)</f>
        <v>0.13414752690006373</v>
      </c>
    </row>
    <row r="236" spans="10:20" x14ac:dyDescent="0.25">
      <c r="J236">
        <v>234</v>
      </c>
      <c r="K236">
        <f t="shared" si="7"/>
        <v>5.5976588628762407</v>
      </c>
      <c r="L236">
        <f t="shared" si="6"/>
        <v>0.13130020616975444</v>
      </c>
      <c r="M236" cm="1">
        <f t="array" ref="M236">EstymacjaGaussowska($K236,$C$2:$C$151)</f>
        <v>0.19392177063589816</v>
      </c>
      <c r="N236" cm="1">
        <f t="array" ref="N236">EstymacjaGaussowska($K236,$C$2:$C$151,$N$2)</f>
        <v>0.27538611871568097</v>
      </c>
      <c r="O236" cm="1">
        <f t="array" ref="O236">EstymacjaGaussowska($K236,$C$2:$C$151,$O$2)</f>
        <v>0.14449104251585934</v>
      </c>
      <c r="P236" cm="1">
        <f t="array" ref="P236">EstymacjaGaussowska($K236,$C$2:$C$151,$P$2)</f>
        <v>3.2516957391704078E-2</v>
      </c>
      <c r="R236" cm="1">
        <f t="array" ref="R236">EstymacjaEpanecznikowa($K236,$C$2:$C$151,R$2)</f>
        <v>0.19482437793507956</v>
      </c>
      <c r="S236" cm="1">
        <f t="array" ref="S236">EstymacjaEpanecznikowa($K236,$C$2:$C$151,S$2)</f>
        <v>0.26339555656867497</v>
      </c>
      <c r="T236" cm="1">
        <f t="array" ref="T236">EstymacjaEpanecznikowa($K236,$C$2:$C$151,T$2)</f>
        <v>0.1337909901103945</v>
      </c>
    </row>
    <row r="237" spans="10:20" x14ac:dyDescent="0.25">
      <c r="J237">
        <v>235</v>
      </c>
      <c r="K237">
        <f t="shared" si="7"/>
        <v>5.6173913043478123</v>
      </c>
      <c r="L237">
        <f t="shared" si="6"/>
        <v>0.12977148003354974</v>
      </c>
      <c r="M237" cm="1">
        <f t="array" ref="M237">EstymacjaGaussowska($K237,$C$2:$C$151)</f>
        <v>0.19164195445447274</v>
      </c>
      <c r="N237" cm="1">
        <f t="array" ref="N237">EstymacjaGaussowska($K237,$C$2:$C$151,$N$2)</f>
        <v>0.2754022047526265</v>
      </c>
      <c r="O237" cm="1">
        <f t="array" ref="O237">EstymacjaGaussowska($K237,$C$2:$C$151,$O$2)</f>
        <v>0.14373670357296289</v>
      </c>
      <c r="P237" cm="1">
        <f t="array" ref="P237">EstymacjaGaussowska($K237,$C$2:$C$151,$P$2)</f>
        <v>3.250891559498665E-2</v>
      </c>
      <c r="R237" cm="1">
        <f t="array" ref="R237">EstymacjaEpanecznikowa($K237,$C$2:$C$151,R$2)</f>
        <v>0.19265546560879551</v>
      </c>
      <c r="S237" cm="1">
        <f t="array" ref="S237">EstymacjaEpanecznikowa($K237,$C$2:$C$151,S$2)</f>
        <v>0.2646675998925756</v>
      </c>
      <c r="T237" cm="1">
        <f t="array" ref="T237">EstymacjaEpanecznikowa($K237,$C$2:$C$151,T$2)</f>
        <v>0.13342413443357432</v>
      </c>
    </row>
    <row r="238" spans="10:20" x14ac:dyDescent="0.25">
      <c r="J238">
        <v>236</v>
      </c>
      <c r="K238">
        <f t="shared" si="7"/>
        <v>5.6371237458193839</v>
      </c>
      <c r="L238">
        <f t="shared" si="6"/>
        <v>0.1282445280736679</v>
      </c>
      <c r="M238" cm="1">
        <f t="array" ref="M238">EstymacjaGaussowska($K238,$C$2:$C$151)</f>
        <v>0.18933493558765577</v>
      </c>
      <c r="N238" cm="1">
        <f t="array" ref="N238">EstymacjaGaussowska($K238,$C$2:$C$151,$N$2)</f>
        <v>0.27190741566735438</v>
      </c>
      <c r="O238" cm="1">
        <f t="array" ref="O238">EstymacjaGaussowska($K238,$C$2:$C$151,$O$2)</f>
        <v>0.14296946651383044</v>
      </c>
      <c r="P238" cm="1">
        <f t="array" ref="P238">EstymacjaGaussowska($K238,$C$2:$C$151,$P$2)</f>
        <v>3.2500789770623803E-2</v>
      </c>
      <c r="R238" cm="1">
        <f t="array" ref="R238">EstymacjaEpanecznikowa($K238,$C$2:$C$151,R$2)</f>
        <v>0.19041061632918413</v>
      </c>
      <c r="S238" cm="1">
        <f t="array" ref="S238">EstymacjaEpanecznikowa($K238,$C$2:$C$151,S$2)</f>
        <v>0.26558937984182235</v>
      </c>
      <c r="T238" cm="1">
        <f t="array" ref="T238">EstymacjaEpanecznikowa($K238,$C$2:$C$151,T$2)</f>
        <v>0.13304695986960335</v>
      </c>
    </row>
    <row r="239" spans="10:20" x14ac:dyDescent="0.25">
      <c r="J239">
        <v>237</v>
      </c>
      <c r="K239">
        <f t="shared" si="7"/>
        <v>5.6568561872909555</v>
      </c>
      <c r="L239">
        <f t="shared" si="6"/>
        <v>0.12671970872154026</v>
      </c>
      <c r="M239" cm="1">
        <f t="array" ref="M239">EstymacjaGaussowska($K239,$C$2:$C$151)</f>
        <v>0.18700234138641436</v>
      </c>
      <c r="N239" cm="1">
        <f t="array" ref="N239">EstymacjaGaussowska($K239,$C$2:$C$151,$N$2)</f>
        <v>0.26539422687067454</v>
      </c>
      <c r="O239" cm="1">
        <f t="array" ref="O239">EstymacjaGaussowska($K239,$C$2:$C$151,$O$2)</f>
        <v>0.14218953539619555</v>
      </c>
      <c r="P239" cm="1">
        <f t="array" ref="P239">EstymacjaGaussowska($K239,$C$2:$C$151,$P$2)</f>
        <v>3.2492579982484178E-2</v>
      </c>
      <c r="R239" cm="1">
        <f t="array" ref="R239">EstymacjaEpanecznikowa($K239,$C$2:$C$151,R$2)</f>
        <v>0.18831390213315891</v>
      </c>
      <c r="S239" cm="1">
        <f t="array" ref="S239">EstymacjaEpanecznikowa($K239,$C$2:$C$151,S$2)</f>
        <v>0.26373886670010188</v>
      </c>
      <c r="T239" cm="1">
        <f t="array" ref="T239">EstymacjaEpanecznikowa($K239,$C$2:$C$151,T$2)</f>
        <v>0.13265946641848123</v>
      </c>
    </row>
    <row r="240" spans="10:20" x14ac:dyDescent="0.25">
      <c r="J240">
        <v>238</v>
      </c>
      <c r="K240">
        <f t="shared" si="7"/>
        <v>5.6765886287625271</v>
      </c>
      <c r="L240">
        <f t="shared" si="6"/>
        <v>0.12519737537453621</v>
      </c>
      <c r="M240" cm="1">
        <f t="array" ref="M240">EstymacjaGaussowska($K240,$C$2:$C$151)</f>
        <v>0.18464579325800243</v>
      </c>
      <c r="N240" cm="1">
        <f t="array" ref="N240">EstymacjaGaussowska($K240,$C$2:$C$151,$N$2)</f>
        <v>0.25656873401270386</v>
      </c>
      <c r="O240" cm="1">
        <f t="array" ref="O240">EstymacjaGaussowska($K240,$C$2:$C$151,$O$2)</f>
        <v>0.14139711952800713</v>
      </c>
      <c r="P240" cm="1">
        <f t="array" ref="P240">EstymacjaGaussowska($K240,$C$2:$C$151,$P$2)</f>
        <v>3.2484286295086984E-2</v>
      </c>
      <c r="R240" cm="1">
        <f t="array" ref="R240">EstymacjaEpanecznikowa($K240,$C$2:$C$151,R$2)</f>
        <v>0.18613015681984102</v>
      </c>
      <c r="S240" cm="1">
        <f t="array" ref="S240">EstymacjaEpanecznikowa($K240,$C$2:$C$151,S$2)</f>
        <v>0.2567425533836693</v>
      </c>
      <c r="T240" cm="1">
        <f t="array" ref="T240">EstymacjaEpanecznikowa($K240,$C$2:$C$151,T$2)</f>
        <v>0.13226165408020804</v>
      </c>
    </row>
    <row r="241" spans="10:20" x14ac:dyDescent="0.25">
      <c r="J241">
        <v>239</v>
      </c>
      <c r="K241">
        <f t="shared" si="7"/>
        <v>5.6963210702340987</v>
      </c>
      <c r="L241">
        <f t="shared" si="6"/>
        <v>0.1236778762802604</v>
      </c>
      <c r="M241" cm="1">
        <f t="array" ref="M241">EstymacjaGaussowska($K241,$C$2:$C$151)</f>
        <v>0.18226690560477407</v>
      </c>
      <c r="N241" cm="1">
        <f t="array" ref="N241">EstymacjaGaussowska($K241,$C$2:$C$151,$N$2)</f>
        <v>0.24622710918281346</v>
      </c>
      <c r="O241" cm="1">
        <f t="array" ref="O241">EstymacjaGaussowska($K241,$C$2:$C$151,$O$2)</f>
        <v>0.14059243331187984</v>
      </c>
      <c r="P241" cm="1">
        <f t="array" ref="P241">EstymacjaGaussowska($K241,$C$2:$C$151,$P$2)</f>
        <v>3.2475908773601014E-2</v>
      </c>
      <c r="R241" cm="1">
        <f t="array" ref="R241">EstymacjaEpanecznikowa($K241,$C$2:$C$151,R$2)</f>
        <v>0.18385938038923058</v>
      </c>
      <c r="S241" cm="1">
        <f t="array" ref="S241">EstymacjaEpanecznikowa($K241,$C$2:$C$151,S$2)</f>
        <v>0.25198198289308144</v>
      </c>
      <c r="T241" cm="1">
        <f t="array" ref="T241">EstymacjaEpanecznikowa($K241,$C$2:$C$151,T$2)</f>
        <v>0.13185352285478411</v>
      </c>
    </row>
    <row r="242" spans="10:20" x14ac:dyDescent="0.25">
      <c r="J242">
        <v>240</v>
      </c>
      <c r="K242">
        <f t="shared" si="7"/>
        <v>5.7160535117056703</v>
      </c>
      <c r="L242">
        <f t="shared" si="6"/>
        <v>0.12216155442543009</v>
      </c>
      <c r="M242" cm="1">
        <f t="array" ref="M242">EstymacjaGaussowska($K242,$C$2:$C$151)</f>
        <v>0.17986728478438704</v>
      </c>
      <c r="N242" cm="1">
        <f t="array" ref="N242">EstymacjaGaussowska($K242,$C$2:$C$151,$N$2)</f>
        <v>0.23513274791953614</v>
      </c>
      <c r="O242" cm="1">
        <f t="array" ref="O242">EstymacjaGaussowska($K242,$C$2:$C$151,$O$2)</f>
        <v>0.13977569608687035</v>
      </c>
      <c r="P242" cm="1">
        <f t="array" ref="P242">EstymacjaGaussowska($K242,$C$2:$C$151,$P$2)</f>
        <v>3.2467447483843871E-2</v>
      </c>
      <c r="R242" cm="1">
        <f t="array" ref="R242">EstymacjaEpanecznikowa($K242,$C$2:$C$151,R$2)</f>
        <v>0.18150157284132765</v>
      </c>
      <c r="S242" cm="1">
        <f t="array" ref="S242">EstymacjaEpanecznikowa($K242,$C$2:$C$151,S$2)</f>
        <v>0.24130095089962447</v>
      </c>
      <c r="T242" cm="1">
        <f t="array" ref="T242">EstymacjaEpanecznikowa($K242,$C$2:$C$151,T$2)</f>
        <v>0.13143507274220903</v>
      </c>
    </row>
    <row r="243" spans="10:20" x14ac:dyDescent="0.25">
      <c r="J243">
        <v>241</v>
      </c>
      <c r="K243">
        <f t="shared" si="7"/>
        <v>5.7357859531772419</v>
      </c>
      <c r="L243">
        <f t="shared" si="6"/>
        <v>0.12064874742936081</v>
      </c>
      <c r="M243" cm="1">
        <f t="array" ref="M243">EstymacjaGaussowska($K243,$C$2:$C$151)</f>
        <v>0.17744852808805353</v>
      </c>
      <c r="N243" cm="1">
        <f t="array" ref="N243">EstymacjaGaussowska($K243,$C$2:$C$151,$N$2)</f>
        <v>0.22392145349985015</v>
      </c>
      <c r="O243" cm="1">
        <f t="array" ref="O243">EstymacjaGaussowska($K243,$C$2:$C$151,$O$2)</f>
        <v>0.13894713196774225</v>
      </c>
      <c r="P243" cm="1">
        <f t="array" ref="P243">EstymacjaGaussowska($K243,$C$2:$C$151,$P$2)</f>
        <v>3.2458902492281123E-2</v>
      </c>
      <c r="R243" cm="1">
        <f t="array" ref="R243">EstymacjaEpanecznikowa($K243,$C$2:$C$151,R$2)</f>
        <v>0.17905673417613202</v>
      </c>
      <c r="S243" cm="1">
        <f t="array" ref="S243">EstymacjaEpanecznikowa($K243,$C$2:$C$151,S$2)</f>
        <v>0.23220595868858998</v>
      </c>
      <c r="T243" cm="1">
        <f t="array" ref="T243">EstymacjaEpanecznikowa($K243,$C$2:$C$151,T$2)</f>
        <v>0.13100630374248312</v>
      </c>
    </row>
    <row r="244" spans="10:20" x14ac:dyDescent="0.25">
      <c r="J244">
        <v>242</v>
      </c>
      <c r="K244">
        <f t="shared" si="7"/>
        <v>5.7555183946488135</v>
      </c>
      <c r="L244">
        <f t="shared" si="6"/>
        <v>0.11913978744208356</v>
      </c>
      <c r="M244" cm="1">
        <f t="array" ref="M244">EstymacjaGaussowska($K244,$C$2:$C$151)</f>
        <v>0.17501222273374775</v>
      </c>
      <c r="N244" cm="1">
        <f t="array" ref="N244">EstymacjaGaussowska($K244,$C$2:$C$151,$N$2)</f>
        <v>0.21305180566168014</v>
      </c>
      <c r="O244" cm="1">
        <f t="array" ref="O244">EstymacjaGaussowska($K244,$C$2:$C$151,$O$2)</f>
        <v>0.13810696968188904</v>
      </c>
      <c r="P244" cm="1">
        <f t="array" ref="P244">EstymacjaGaussowska($K244,$C$2:$C$151,$P$2)</f>
        <v>3.2450273866025371E-2</v>
      </c>
      <c r="R244" cm="1">
        <f t="array" ref="R244">EstymacjaEpanecznikowa($K244,$C$2:$C$151,R$2)</f>
        <v>0.17685791787128116</v>
      </c>
      <c r="S244" cm="1">
        <f t="array" ref="S244">EstymacjaEpanecznikowa($K244,$C$2:$C$151,S$2)</f>
        <v>0.22269072046065252</v>
      </c>
      <c r="T244" cm="1">
        <f t="array" ref="T244">EstymacjaEpanecznikowa($K244,$C$2:$C$151,T$2)</f>
        <v>0.13056721585560618</v>
      </c>
    </row>
    <row r="245" spans="10:20" x14ac:dyDescent="0.25">
      <c r="J245">
        <v>243</v>
      </c>
      <c r="K245">
        <f t="shared" si="7"/>
        <v>5.7752508361203851</v>
      </c>
      <c r="L245">
        <f t="shared" si="6"/>
        <v>0.11763500104711279</v>
      </c>
      <c r="M245" cm="1">
        <f t="array" ref="M245">EstymacjaGaussowska($K245,$C$2:$C$151)</f>
        <v>0.17255994487156637</v>
      </c>
      <c r="N245" cm="1">
        <f t="array" ref="N245">EstymacjaGaussowska($K245,$C$2:$C$151,$N$2)</f>
        <v>0.20280375701239708</v>
      </c>
      <c r="O245" cm="1">
        <f t="array" ref="O245">EstymacjaGaussowska($K245,$C$2:$C$151,$O$2)</f>
        <v>0.13725544240407692</v>
      </c>
      <c r="P245" cm="1">
        <f t="array" ref="P245">EstymacjaGaussowska($K245,$C$2:$C$151,$P$2)</f>
        <v>3.2441561672835337E-2</v>
      </c>
      <c r="R245" cm="1">
        <f t="array" ref="R245">EstymacjaEpanecznikowa($K245,$C$2:$C$151,R$2)</f>
        <v>0.17457996624497849</v>
      </c>
      <c r="S245" cm="1">
        <f t="array" ref="S245">EstymacjaEpanecznikowa($K245,$C$2:$C$151,S$2)</f>
        <v>0.20829980805388151</v>
      </c>
      <c r="T245" cm="1">
        <f t="array" ref="T245">EstymacjaEpanecznikowa($K245,$C$2:$C$151,T$2)</f>
        <v>0.1301178090815783</v>
      </c>
    </row>
    <row r="246" spans="10:20" x14ac:dyDescent="0.25">
      <c r="J246">
        <v>244</v>
      </c>
      <c r="K246">
        <f t="shared" si="7"/>
        <v>5.7949832775919567</v>
      </c>
      <c r="L246">
        <f t="shared" si="6"/>
        <v>0.11613470916887986</v>
      </c>
      <c r="M246" cm="1">
        <f t="array" ref="M246">EstymacjaGaussowska($K246,$C$2:$C$151)</f>
        <v>0.17009325859876134</v>
      </c>
      <c r="N246" cm="1">
        <f t="array" ref="N246">EstymacjaGaussowska($K246,$C$2:$C$151,$N$2)</f>
        <v>0.19331531252163447</v>
      </c>
      <c r="O246" cm="1">
        <f t="array" ref="O246">EstymacjaGaussowska($K246,$C$2:$C$151,$O$2)</f>
        <v>0.13639278758917575</v>
      </c>
      <c r="P246" cm="1">
        <f t="array" ref="P246">EstymacjaGaussowska($K246,$C$2:$C$151,$P$2)</f>
        <v>3.243276598111499E-2</v>
      </c>
      <c r="R246" cm="1">
        <f t="array" ref="R246">EstymacjaEpanecznikowa($K246,$C$2:$C$151,R$2)</f>
        <v>0.17221928133433603</v>
      </c>
      <c r="S246" cm="1">
        <f t="array" ref="S246">EstymacjaEpanecznikowa($K246,$C$2:$C$151,S$2)</f>
        <v>0.19616014570603921</v>
      </c>
      <c r="T246" cm="1">
        <f t="array" ref="T246">EstymacjaEpanecznikowa($K246,$C$2:$C$151,T$2)</f>
        <v>0.12965808342039933</v>
      </c>
    </row>
    <row r="247" spans="10:20" x14ac:dyDescent="0.25">
      <c r="J247">
        <v>245</v>
      </c>
      <c r="K247">
        <f t="shared" si="7"/>
        <v>5.8147157190635284</v>
      </c>
      <c r="L247">
        <f t="shared" si="6"/>
        <v>0.11463922698484244</v>
      </c>
      <c r="M247" cm="1">
        <f t="array" ref="M247">EstymacjaGaussowska($K247,$C$2:$C$151)</f>
        <v>0.16761371498230954</v>
      </c>
      <c r="N247" cm="1">
        <f t="array" ref="N247">EstymacjaGaussowska($K247,$C$2:$C$151,$N$2)</f>
        <v>0.18463878454378665</v>
      </c>
      <c r="O247" cm="1">
        <f t="array" ref="O247">EstymacjaGaussowska($K247,$C$2:$C$151,$O$2)</f>
        <v>0.1355192468030442</v>
      </c>
      <c r="P247" cm="1">
        <f t="array" ref="P247">EstymacjaGaussowska($K247,$C$2:$C$151,$P$2)</f>
        <v>3.2423886859912925E-2</v>
      </c>
      <c r="R247" cm="1">
        <f t="array" ref="R247">EstymacjaEpanecznikowa($K247,$C$2:$C$151,R$2)</f>
        <v>0.16977586313935356</v>
      </c>
      <c r="S247" cm="1">
        <f t="array" ref="S247">EstymacjaEpanecznikowa($K247,$C$2:$C$151,S$2)</f>
        <v>0.17890639797634617</v>
      </c>
      <c r="T247" cm="1">
        <f t="array" ref="T247">EstymacjaEpanecznikowa($K247,$C$2:$C$151,T$2)</f>
        <v>0.1291880388720695</v>
      </c>
    </row>
    <row r="248" spans="10:20" x14ac:dyDescent="0.25">
      <c r="J248">
        <v>246</v>
      </c>
      <c r="K248">
        <f t="shared" si="7"/>
        <v>5.8344481605351</v>
      </c>
      <c r="L248">
        <f t="shared" si="6"/>
        <v>0.11314886384227693</v>
      </c>
      <c r="M248" cm="1">
        <f t="array" ref="M248">EstymacjaGaussowska($K248,$C$2:$C$151)</f>
        <v>0.16512285108725852</v>
      </c>
      <c r="N248" cm="1">
        <f t="array" ref="N248">EstymacjaGaussowska($K248,$C$2:$C$151,$N$2)</f>
        <v>0.17679632163459649</v>
      </c>
      <c r="O248" cm="1">
        <f t="array" ref="O248">EstymacjaGaussowska($K248,$C$2:$C$151,$O$2)</f>
        <v>0.13463506555173296</v>
      </c>
      <c r="P248" cm="1">
        <f t="array" ref="P248">EstymacjaGaussowska($K248,$C$2:$C$151,$P$2)</f>
        <v>3.2414924378920899E-2</v>
      </c>
      <c r="R248" cm="1">
        <f t="array" ref="R248">EstymacjaEpanecznikowa($K248,$C$2:$C$151,R$2)</f>
        <v>0.16724971166003125</v>
      </c>
      <c r="S248" cm="1">
        <f t="array" ref="S248">EstymacjaEpanecznikowa($K248,$C$2:$C$151,S$2)</f>
        <v>0.16940546642150348</v>
      </c>
      <c r="T248" cm="1">
        <f t="array" ref="T248">EstymacjaEpanecznikowa($K248,$C$2:$C$151,T$2)</f>
        <v>0.12870767543658879</v>
      </c>
    </row>
    <row r="249" spans="10:20" x14ac:dyDescent="0.25">
      <c r="J249">
        <v>247</v>
      </c>
      <c r="K249">
        <f t="shared" si="7"/>
        <v>5.8541806020066716</v>
      </c>
      <c r="L249">
        <f t="shared" si="6"/>
        <v>0.11166392317975507</v>
      </c>
      <c r="M249" cm="1">
        <f t="array" ref="M249">EstymacjaGaussowska($K249,$C$2:$C$151)</f>
        <v>0.16262218900947595</v>
      </c>
      <c r="N249" cm="1">
        <f t="array" ref="N249">EstymacjaGaussowska($K249,$C$2:$C$151,$N$2)</f>
        <v>0.16981852505838127</v>
      </c>
      <c r="O249" cm="1">
        <f t="array" ref="O249">EstymacjaGaussowska($K249,$C$2:$C$151,$O$2)</f>
        <v>0.13374049310917296</v>
      </c>
      <c r="P249" cm="1">
        <f t="array" ref="P249">EstymacjaGaussowska($K249,$C$2:$C$151,$P$2)</f>
        <v>3.2405878608473576E-2</v>
      </c>
      <c r="R249" cm="1">
        <f t="array" ref="R249">EstymacjaEpanecznikowa($K249,$C$2:$C$151,R$2)</f>
        <v>0.16479587381594213</v>
      </c>
      <c r="S249" cm="1">
        <f t="array" ref="S249">EstymacjaEpanecznikowa($K249,$C$2:$C$151,S$2)</f>
        <v>0.16687908803344267</v>
      </c>
      <c r="T249" cm="1">
        <f t="array" ref="T249">EstymacjaEpanecznikowa($K249,$C$2:$C$151,T$2)</f>
        <v>0.12821699311395696</v>
      </c>
    </row>
    <row r="250" spans="10:20" x14ac:dyDescent="0.25">
      <c r="J250">
        <v>248</v>
      </c>
      <c r="K250">
        <f t="shared" si="7"/>
        <v>5.8739130434782432</v>
      </c>
      <c r="L250">
        <f t="shared" si="6"/>
        <v>0.11018470245330431</v>
      </c>
      <c r="M250" cm="1">
        <f t="array" ref="M250">EstymacjaGaussowska($K250,$C$2:$C$151)</f>
        <v>0.16011323491183524</v>
      </c>
      <c r="N250" cm="1">
        <f t="array" ref="N250">EstymacjaGaussowska($K250,$C$2:$C$151,$N$2)</f>
        <v>0.16375762866199731</v>
      </c>
      <c r="O250" cm="1">
        <f t="array" ref="O250">EstymacjaGaussowska($K250,$C$2:$C$151,$O$2)</f>
        <v>0.13283578234351401</v>
      </c>
      <c r="P250" cm="1">
        <f t="array" ref="P250">EstymacjaGaussowska($K250,$C$2:$C$151,$P$2)</f>
        <v>3.2396749619547097E-2</v>
      </c>
      <c r="R250" cm="1">
        <f t="array" ref="R250">EstymacjaEpanecznikowa($K250,$C$2:$C$151,R$2)</f>
        <v>0.1622745847154265</v>
      </c>
      <c r="S250" cm="1">
        <f t="array" ref="S250">EstymacjaEpanecznikowa($K250,$C$2:$C$151,S$2)</f>
        <v>0.1608700852319295</v>
      </c>
      <c r="T250" cm="1">
        <f t="array" ref="T250">EstymacjaEpanecznikowa($K250,$C$2:$C$151,T$2)</f>
        <v>0.12771599190417415</v>
      </c>
    </row>
    <row r="251" spans="10:20" x14ac:dyDescent="0.25">
      <c r="J251">
        <v>249</v>
      </c>
      <c r="K251">
        <f t="shared" si="7"/>
        <v>5.8936454849498148</v>
      </c>
      <c r="L251">
        <f t="shared" si="6"/>
        <v>0.10871149306724434</v>
      </c>
      <c r="M251" cm="1">
        <f t="array" ref="M251">EstymacjaGaussowska($K251,$C$2:$C$151)</f>
        <v>0.15759747806327717</v>
      </c>
      <c r="N251" cm="1">
        <f t="array" ref="N251">EstymacjaGaussowska($K251,$C$2:$C$151,$N$2)</f>
        <v>0.15867504416633232</v>
      </c>
      <c r="O251" cm="1">
        <f t="array" ref="O251">EstymacjaGaussowska($K251,$C$2:$C$151,$O$2)</f>
        <v>0.13192118954227625</v>
      </c>
      <c r="P251" cm="1">
        <f t="array" ref="P251">EstymacjaGaussowska($K251,$C$2:$C$151,$P$2)</f>
        <v>3.2387537483758271E-2</v>
      </c>
      <c r="R251" cm="1">
        <f t="array" ref="R251">EstymacjaEpanecznikowa($K251,$C$2:$C$151,R$2)</f>
        <v>0.15967271124704741</v>
      </c>
      <c r="S251" cm="1">
        <f t="array" ref="S251">EstymacjaEpanecznikowa($K251,$C$2:$C$151,S$2)</f>
        <v>0.16133049998488791</v>
      </c>
      <c r="T251" cm="1">
        <f t="array" ref="T251">EstymacjaEpanecznikowa($K251,$C$2:$C$151,T$2)</f>
        <v>0.12720467180724046</v>
      </c>
    </row>
    <row r="252" spans="10:20" x14ac:dyDescent="0.25">
      <c r="J252">
        <v>250</v>
      </c>
      <c r="K252">
        <f t="shared" si="7"/>
        <v>5.9133779264213864</v>
      </c>
      <c r="L252">
        <f t="shared" si="6"/>
        <v>0.10724458030969151</v>
      </c>
      <c r="M252" cm="1">
        <f t="array" ref="M252">EstymacjaGaussowska($K252,$C$2:$C$151)</f>
        <v>0.15507638988060377</v>
      </c>
      <c r="N252" cm="1">
        <f t="array" ref="N252">EstymacjaGaussowska($K252,$C$2:$C$151,$N$2)</f>
        <v>0.15460977512752877</v>
      </c>
      <c r="O252" cm="1">
        <f t="array" ref="O252">EstymacjaGaussowska($K252,$C$2:$C$151,$O$2)</f>
        <v>0.1309969742364783</v>
      </c>
      <c r="P252" cm="1">
        <f t="array" ref="P252">EstymacjaGaussowska($K252,$C$2:$C$151,$P$2)</f>
        <v>3.2378242273363812E-2</v>
      </c>
      <c r="R252" cm="1">
        <f t="array" ref="R252">EstymacjaEpanecznikowa($K252,$C$2:$C$151,R$2)</f>
        <v>0.15699025341080489</v>
      </c>
      <c r="S252" cm="1">
        <f t="array" ref="S252">EstymacjaEpanecznikowa($K252,$C$2:$C$151,S$2)</f>
        <v>0.15875985094750469</v>
      </c>
      <c r="T252" cm="1">
        <f t="array" ref="T252">EstymacjaEpanecznikowa($K252,$C$2:$C$151,T$2)</f>
        <v>0.12668303282315571</v>
      </c>
    </row>
    <row r="253" spans="10:20" x14ac:dyDescent="0.25">
      <c r="J253">
        <v>251</v>
      </c>
      <c r="K253">
        <f t="shared" si="7"/>
        <v>5.933110367892958</v>
      </c>
      <c r="L253">
        <f t="shared" si="6"/>
        <v>0.10578424329271631</v>
      </c>
      <c r="M253" cm="1">
        <f t="array" ref="M253">EstymacjaGaussowska($K253,$C$2:$C$151)</f>
        <v>0.15255142297326577</v>
      </c>
      <c r="N253" cm="1">
        <f t="array" ref="N253">EstymacjaGaussowska($K253,$C$2:$C$151,$N$2)</f>
        <v>0.15153817867855954</v>
      </c>
      <c r="O253" cm="1">
        <f t="array" ref="O253">EstymacjaGaussowska($K253,$C$2:$C$151,$O$2)</f>
        <v>0.1300633990239069</v>
      </c>
      <c r="P253" cm="1">
        <f t="array" ref="P253">EstymacjaGaussowska($K253,$C$2:$C$151,$P$2)</f>
        <v>3.2368864061259349E-2</v>
      </c>
      <c r="R253" cm="1">
        <f t="array" ref="R253">EstymacjaEpanecznikowa($K253,$C$2:$C$151,R$2)</f>
        <v>0.1542272112066988</v>
      </c>
      <c r="S253" cm="1">
        <f t="array" ref="S253">EstymacjaEpanecznikowa($K253,$C$2:$C$151,S$2)</f>
        <v>0.15748510636364191</v>
      </c>
      <c r="T253" cm="1">
        <f t="array" ref="T253">EstymacjaEpanecznikowa($K253,$C$2:$C$151,T$2)</f>
        <v>0.12615107495192004</v>
      </c>
    </row>
    <row r="254" spans="10:20" x14ac:dyDescent="0.25">
      <c r="J254">
        <v>252</v>
      </c>
      <c r="K254">
        <f t="shared" si="7"/>
        <v>5.9528428093645296</v>
      </c>
      <c r="L254">
        <f t="shared" si="6"/>
        <v>0.10433075489713682</v>
      </c>
      <c r="M254" cm="1">
        <f t="array" ref="M254">EstymacjaGaussowska($K254,$C$2:$C$151)</f>
        <v>0.15002401019181139</v>
      </c>
      <c r="N254" cm="1">
        <f t="array" ref="N254">EstymacjaGaussowska($K254,$C$2:$C$151,$N$2)</f>
        <v>0.14933683645309156</v>
      </c>
      <c r="O254" cm="1">
        <f t="array" ref="O254">EstymacjaGaussowska($K254,$C$2:$C$151,$O$2)</f>
        <v>0.12912072939168437</v>
      </c>
      <c r="P254" cm="1">
        <f t="array" ref="P254">EstymacjaGaussowska($K254,$C$2:$C$151,$P$2)</f>
        <v>3.2359402920978199E-2</v>
      </c>
      <c r="R254" cm="1">
        <f t="array" ref="R254">EstymacjaEpanecznikowa($K254,$C$2:$C$151,R$2)</f>
        <v>0.15167073858985852</v>
      </c>
      <c r="S254" cm="1">
        <f t="array" ref="S254">EstymacjaEpanecznikowa($K254,$C$2:$C$151,S$2)</f>
        <v>0.15872468454470454</v>
      </c>
      <c r="T254" cm="1">
        <f t="array" ref="T254">EstymacjaEpanecznikowa($K254,$C$2:$C$151,T$2)</f>
        <v>0.12560879819353335</v>
      </c>
    </row>
    <row r="255" spans="10:20" x14ac:dyDescent="0.25">
      <c r="J255">
        <v>253</v>
      </c>
      <c r="K255">
        <f t="shared" si="7"/>
        <v>5.9725752508361012</v>
      </c>
      <c r="L255">
        <f t="shared" si="6"/>
        <v>0.1028843817219262</v>
      </c>
      <c r="M255" cm="1">
        <f t="array" ref="M255">EstymacjaGaussowska($K255,$C$2:$C$151)</f>
        <v>0.14749556368104824</v>
      </c>
      <c r="N255" cm="1">
        <f t="array" ref="N255">EstymacjaGaussowska($K255,$C$2:$C$151,$N$2)</f>
        <v>0.14775950840938865</v>
      </c>
      <c r="O255" cm="1">
        <f t="array" ref="O255">EstymacjaGaussowska($K255,$C$2:$C$151,$O$2)</f>
        <v>0.12816923353829895</v>
      </c>
      <c r="P255" cm="1">
        <f t="array" ref="P255">EstymacjaGaussowska($K255,$C$2:$C$151,$P$2)</f>
        <v>3.2349858926690865E-2</v>
      </c>
      <c r="R255" cm="1">
        <f t="array" ref="R255">EstymacjaEpanecznikowa($K255,$C$2:$C$151,R$2)</f>
        <v>0.14908689416649309</v>
      </c>
      <c r="S255" cm="1">
        <f t="array" ref="S255">EstymacjaEpanecznikowa($K255,$C$2:$C$151,S$2)</f>
        <v>0.15648163831231474</v>
      </c>
      <c r="T255" cm="1">
        <f t="array" ref="T255">EstymacjaEpanecznikowa($K255,$C$2:$C$151,T$2)</f>
        <v>0.12505620254799585</v>
      </c>
    </row>
    <row r="256" spans="10:20" x14ac:dyDescent="0.25">
      <c r="J256">
        <v>254</v>
      </c>
      <c r="K256">
        <f t="shared" si="7"/>
        <v>5.9923076923076728</v>
      </c>
      <c r="L256">
        <f t="shared" si="6"/>
        <v>0.10144538403820945</v>
      </c>
      <c r="M256" cm="1">
        <f t="array" ref="M256">EstymacjaGaussowska($K256,$C$2:$C$151)</f>
        <v>0.14496747393934298</v>
      </c>
      <c r="N256" cm="1">
        <f t="array" ref="N256">EstymacjaGaussowska($K256,$C$2:$C$151,$N$2)</f>
        <v>0.14643685899998982</v>
      </c>
      <c r="O256" cm="1">
        <f t="array" ref="O256">EstymacjaGaussowska($K256,$C$2:$C$151,$O$2)</f>
        <v>0.12720918219525196</v>
      </c>
      <c r="P256" cm="1">
        <f t="array" ref="P256">EstymacjaGaussowska($K256,$C$2:$C$151,$P$2)</f>
        <v>3.234023215320362E-2</v>
      </c>
      <c r="R256" cm="1">
        <f t="array" ref="R256">EstymacjaEpanecznikowa($K256,$C$2:$C$151,R$2)</f>
        <v>0.14642676320821657</v>
      </c>
      <c r="S256" cm="1">
        <f t="array" ref="S256">EstymacjaEpanecznikowa($K256,$C$2:$C$151,S$2)</f>
        <v>0.15075596766647253</v>
      </c>
      <c r="T256" cm="1">
        <f t="array" ref="T256">EstymacjaEpanecznikowa($K256,$C$2:$C$151,T$2)</f>
        <v>0.12449328801530714</v>
      </c>
    </row>
    <row r="257" spans="10:20" x14ac:dyDescent="0.25">
      <c r="J257">
        <v>255</v>
      </c>
      <c r="K257">
        <f t="shared" si="7"/>
        <v>6.0120401337792444</v>
      </c>
      <c r="L257">
        <f t="shared" si="6"/>
        <v>0.1000140157478205</v>
      </c>
      <c r="M257" cm="1">
        <f t="array" ref="M257">EstymacjaGaussowska($K257,$C$2:$C$151)</f>
        <v>0.14244110888583125</v>
      </c>
      <c r="N257" cm="1">
        <f t="array" ref="N257">EstymacjaGaussowska($K257,$C$2:$C$151,$N$2)</f>
        <v>0.14490403418262615</v>
      </c>
      <c r="O257" cm="1">
        <f t="array" ref="O257">EstymacjaGaussowska($K257,$C$2:$C$151,$O$2)</f>
        <v>0.12624084844848255</v>
      </c>
      <c r="P257" cm="1">
        <f t="array" ref="P257">EstymacjaGaussowska($K257,$C$2:$C$151,$P$2)</f>
        <v>3.2330522675957853E-2</v>
      </c>
      <c r="R257" cm="1">
        <f t="array" ref="R257">EstymacjaEpanecznikowa($K257,$C$2:$C$151,R$2)</f>
        <v>0.14369034571502953</v>
      </c>
      <c r="S257" cm="1">
        <f t="array" ref="S257">EstymacjaEpanecznikowa($K257,$C$2:$C$151,S$2)</f>
        <v>0.14154767260717788</v>
      </c>
      <c r="T257" cm="1">
        <f t="array" ref="T257">EstymacjaEpanecznikowa($K257,$C$2:$C$151,T$2)</f>
        <v>0.12392005459546762</v>
      </c>
    </row>
    <row r="258" spans="10:20" x14ac:dyDescent="0.25">
      <c r="J258">
        <v>256</v>
      </c>
      <c r="K258">
        <f t="shared" si="7"/>
        <v>6.031772575250816</v>
      </c>
      <c r="L258">
        <f t="shared" si="6"/>
        <v>9.8590524346387362E-2</v>
      </c>
      <c r="M258" cm="1">
        <f t="array" ref="M258">EstymacjaGaussowska($K258,$C$2:$C$151)</f>
        <v>0.13991781293763031</v>
      </c>
      <c r="N258" cm="1">
        <f t="array" ref="N258">EstymacjaGaussowska($K258,$C$2:$C$151,$N$2)</f>
        <v>0.14265613105583455</v>
      </c>
      <c r="O258" cm="1">
        <f t="array" ref="O258">EstymacjaGaussowska($K258,$C$2:$C$151,$O$2)</f>
        <v>0.1252645075597206</v>
      </c>
      <c r="P258" cm="1">
        <f t="array" ref="P258">EstymacjaGaussowska($K258,$C$2:$C$151,$P$2)</f>
        <v>3.2320730571028855E-2</v>
      </c>
      <c r="R258" cm="1">
        <f t="array" ref="R258">EstymacjaEpanecznikowa($K258,$C$2:$C$151,R$2)</f>
        <v>0.14087764168693162</v>
      </c>
      <c r="S258" cm="1">
        <f t="array" ref="S258">EstymacjaEpanecznikowa($K258,$C$2:$C$151,S$2)</f>
        <v>0.13384568013818815</v>
      </c>
      <c r="T258" cm="1">
        <f t="array" ref="T258">EstymacjaEpanecznikowa($K258,$C$2:$C$151,T$2)</f>
        <v>0.12333650228847716</v>
      </c>
    </row>
    <row r="259" spans="10:20" x14ac:dyDescent="0.25">
      <c r="J259">
        <v>257</v>
      </c>
      <c r="K259">
        <f t="shared" si="7"/>
        <v>6.0515050167223876</v>
      </c>
      <c r="L259">
        <f t="shared" si="6"/>
        <v>9.7175150890908987E-2</v>
      </c>
      <c r="M259" cm="1">
        <f t="array" ref="M259">EstymacjaGaussowska($K259,$C$2:$C$151)</f>
        <v>0.13739890609944258</v>
      </c>
      <c r="N259" cm="1">
        <f t="array" ref="N259">EstymacjaGaussowska($K259,$C$2:$C$151,$N$2)</f>
        <v>0.13922528995935901</v>
      </c>
      <c r="O259" cm="1">
        <f t="array" ref="O259">EstymacjaGaussowska($K259,$C$2:$C$151,$O$2)</f>
        <v>0.12428043678792584</v>
      </c>
      <c r="P259" cm="1">
        <f t="array" ref="P259">EstymacjaGaussowska($K259,$C$2:$C$151,$P$2)</f>
        <v>3.2310855915125024E-2</v>
      </c>
      <c r="R259" cm="1">
        <f t="array" ref="R259">EstymacjaEpanecznikowa($K259,$C$2:$C$151,R$2)</f>
        <v>0.13851711877509826</v>
      </c>
      <c r="S259" cm="1">
        <f t="array" ref="S259">EstymacjaEpanecznikowa($K259,$C$2:$C$151,S$2)</f>
        <v>0.13046635390649311</v>
      </c>
      <c r="T259" cm="1">
        <f t="array" ref="T259">EstymacjaEpanecznikowa($K259,$C$2:$C$151,T$2)</f>
        <v>0.12274263109433564</v>
      </c>
    </row>
    <row r="260" spans="10:20" x14ac:dyDescent="0.25">
      <c r="J260">
        <v>258</v>
      </c>
      <c r="K260">
        <f t="shared" si="7"/>
        <v>6.0712374581939592</v>
      </c>
      <c r="L260">
        <f t="shared" ref="L260:L302" si="8">_xlfn.NORM.DIST(K260,$H$2,$H$3,FALSE)</f>
        <v>9.5768129971785521E-2</v>
      </c>
      <c r="M260" cm="1">
        <f t="array" ref="M260">EstymacjaGaussowska($K260,$C$2:$C$151)</f>
        <v>0.13488568306819076</v>
      </c>
      <c r="N260" cm="1">
        <f t="array" ref="N260">EstymacjaGaussowska($K260,$C$2:$C$151,$N$2)</f>
        <v>0.13426649121947073</v>
      </c>
      <c r="O260" cm="1">
        <f t="array" ref="O260">EstymacjaGaussowska($K260,$C$2:$C$151,$O$2)</f>
        <v>0.12328891521095929</v>
      </c>
      <c r="P260" cm="1">
        <f t="array" ref="P260">EstymacjaGaussowska($K260,$C$2:$C$151,$P$2)</f>
        <v>3.2300898785586708E-2</v>
      </c>
      <c r="R260" cm="1">
        <f t="array" ref="R260">EstymacjaEpanecznikowa($K260,$C$2:$C$151,R$2)</f>
        <v>0.1362319919531034</v>
      </c>
      <c r="S260" cm="1">
        <f t="array" ref="S260">EstymacjaEpanecznikowa($K260,$C$2:$C$151,S$2)</f>
        <v>0.12464919058538138</v>
      </c>
      <c r="T260" cm="1">
        <f t="array" ref="T260">EstymacjaEpanecznikowa($K260,$C$2:$C$151,T$2)</f>
        <v>0.12213844101304311</v>
      </c>
    </row>
    <row r="261" spans="10:20" x14ac:dyDescent="0.25">
      <c r="J261">
        <v>259</v>
      </c>
      <c r="K261">
        <f t="shared" ref="K261:K302" si="9">K260+$H$11</f>
        <v>6.0909698996655308</v>
      </c>
      <c r="L261">
        <f t="shared" si="8"/>
        <v>9.4369689689258421E-2</v>
      </c>
      <c r="M261" cm="1">
        <f t="array" ref="M261">EstymacjaGaussowska($K261,$C$2:$C$151)</f>
        <v>0.1323794123555519</v>
      </c>
      <c r="N261" cm="1">
        <f t="array" ref="N261">EstymacjaGaussowska($K261,$C$2:$C$151,$N$2)</f>
        <v>0.12763401335430744</v>
      </c>
      <c r="O261" cm="1">
        <f t="array" ref="O261">EstymacjaGaussowska($K261,$C$2:$C$151,$O$2)</f>
        <v>0.12229022354764013</v>
      </c>
      <c r="P261" cm="1">
        <f t="array" ref="P261">EstymacjaGaussowska($K261,$C$2:$C$151,$P$2)</f>
        <v>3.2290859260385288E-2</v>
      </c>
      <c r="R261" cm="1">
        <f t="array" ref="R261">EstymacjaEpanecznikowa($K261,$C$2:$C$151,R$2)</f>
        <v>0.13387917426210311</v>
      </c>
      <c r="S261" cm="1">
        <f t="array" ref="S261">EstymacjaEpanecznikowa($K261,$C$2:$C$151,S$2)</f>
        <v>0.11921450566508823</v>
      </c>
      <c r="T261" cm="1">
        <f t="array" ref="T261">EstymacjaEpanecznikowa($K261,$C$2:$C$151,T$2)</f>
        <v>0.12152393204459976</v>
      </c>
    </row>
    <row r="262" spans="10:20" x14ac:dyDescent="0.25">
      <c r="J262">
        <v>260</v>
      </c>
      <c r="K262">
        <f t="shared" si="9"/>
        <v>6.1107023411371024</v>
      </c>
      <c r="L262">
        <f t="shared" si="8"/>
        <v>9.2980051634215424E-2</v>
      </c>
      <c r="M262" cm="1">
        <f t="array" ref="M262">EstymacjaGaussowska($K262,$C$2:$C$151)</f>
        <v>0.12988133543143957</v>
      </c>
      <c r="N262" cm="1">
        <f t="array" ref="N262">EstymacjaGaussowska($K262,$C$2:$C$151,$N$2)</f>
        <v>0.11942916255554875</v>
      </c>
      <c r="O262" cm="1">
        <f t="array" ref="O262">EstymacjaGaussowska($K262,$C$2:$C$151,$O$2)</f>
        <v>0.1212846439803318</v>
      </c>
      <c r="P262" cm="1">
        <f t="array" ref="P262">EstymacjaGaussowska($K262,$C$2:$C$151,$P$2)</f>
        <v>3.2280737418122159E-2</v>
      </c>
      <c r="R262" cm="1">
        <f t="array" ref="R262">EstymacjaEpanecznikowa($K262,$C$2:$C$151,R$2)</f>
        <v>0.13145866570209749</v>
      </c>
      <c r="S262" cm="1">
        <f t="array" ref="S262">EstymacjaEpanecznikowa($K262,$C$2:$C$151,S$2)</f>
        <v>0.11203675772143319</v>
      </c>
      <c r="T262" cm="1">
        <f t="array" ref="T262">EstymacjaEpanecznikowa($K262,$C$2:$C$151,T$2)</f>
        <v>0.12089910418900529</v>
      </c>
    </row>
    <row r="263" spans="10:20" x14ac:dyDescent="0.25">
      <c r="J263">
        <v>261</v>
      </c>
      <c r="K263">
        <f t="shared" si="9"/>
        <v>6.130434782608674</v>
      </c>
      <c r="L263">
        <f t="shared" si="8"/>
        <v>9.159943087331085E-2</v>
      </c>
      <c r="M263" cm="1">
        <f t="array" ref="M263">EstymacjaGaussowska($K263,$C$2:$C$151)</f>
        <v>0.1273926658916236</v>
      </c>
      <c r="N263" cm="1">
        <f t="array" ref="N263">EstymacjaGaussowska($K263,$C$2:$C$151,$N$2)</f>
        <v>0.11000393398102315</v>
      </c>
      <c r="O263" cm="1">
        <f t="array" ref="O263">EstymacjaGaussowska($K263,$C$2:$C$151,$O$2)</f>
        <v>0.12027245997820279</v>
      </c>
      <c r="P263" cm="1">
        <f t="array" ref="P263">EstymacjaGaussowska($K263,$C$2:$C$151,$P$2)</f>
        <v>3.2270533338027617E-2</v>
      </c>
      <c r="R263" cm="1">
        <f t="array" ref="R263">EstymacjaEpanecznikowa($K263,$C$2:$C$151,R$2)</f>
        <v>0.12897046627308653</v>
      </c>
      <c r="S263" cm="1">
        <f t="array" ref="S263">EstymacjaEpanecznikowa($K263,$C$2:$C$151,S$2)</f>
        <v>0.10484580361797097</v>
      </c>
      <c r="T263" cm="1">
        <f t="array" ref="T263">EstymacjaEpanecznikowa($K263,$C$2:$C$151,T$2)</f>
        <v>0.12026395744625996</v>
      </c>
    </row>
    <row r="264" spans="10:20" x14ac:dyDescent="0.25">
      <c r="J264">
        <v>262</v>
      </c>
      <c r="K264">
        <f t="shared" si="9"/>
        <v>6.1501672240802456</v>
      </c>
      <c r="L264">
        <f t="shared" si="8"/>
        <v>9.0228035938349785E-2</v>
      </c>
      <c r="M264" cm="1">
        <f t="array" ref="M264">EstymacjaGaussowska($K264,$C$2:$C$151)</f>
        <v>0.12491458865278095</v>
      </c>
      <c r="N264" cm="1">
        <f t="array" ref="N264">EstymacjaGaussowska($K264,$C$2:$C$151,$N$2)</f>
        <v>9.9914645693493093E-2</v>
      </c>
      <c r="O264" cm="1">
        <f t="array" ref="O264">EstymacjaGaussowska($K264,$C$2:$C$151,$O$2)</f>
        <v>0.11925395612130361</v>
      </c>
      <c r="P264" cm="1">
        <f t="array" ref="P264">EstymacjaGaussowska($K264,$C$2:$C$151,$P$2)</f>
        <v>3.2260247099959886E-2</v>
      </c>
      <c r="R264" cm="1">
        <f t="array" ref="R264">EstymacjaEpanecznikowa($K264,$C$2:$C$151,R$2)</f>
        <v>0.12659557606296101</v>
      </c>
      <c r="S264" cm="1">
        <f t="array" ref="S264">EstymacjaEpanecznikowa($K264,$C$2:$C$151,S$2)</f>
        <v>0.10057811302318317</v>
      </c>
      <c r="T264" cm="1">
        <f t="array" ref="T264">EstymacjaEpanecznikowa($K264,$C$2:$C$151,T$2)</f>
        <v>0.11961849181636358</v>
      </c>
    </row>
    <row r="265" spans="10:20" x14ac:dyDescent="0.25">
      <c r="J265">
        <v>263</v>
      </c>
      <c r="K265">
        <f t="shared" si="9"/>
        <v>6.1698996655518172</v>
      </c>
      <c r="L265">
        <f t="shared" si="8"/>
        <v>8.8866068819881044E-2</v>
      </c>
      <c r="M265" cm="1">
        <f t="array" ref="M265">EstymacjaGaussowska($K265,$C$2:$C$151)</f>
        <v>0.12244825917832786</v>
      </c>
      <c r="N265" cm="1">
        <f t="array" ref="N265">EstymacjaGaussowska($K265,$C$2:$C$151,$N$2)</f>
        <v>8.9832093387295781E-2</v>
      </c>
      <c r="O265" cm="1">
        <f t="array" ref="O265">EstymacjaGaussowska($K265,$C$2:$C$151,$O$2)</f>
        <v>0.11822941792559884</v>
      </c>
      <c r="P265" cm="1">
        <f t="array" ref="P265">EstymacjaGaussowska($K265,$C$2:$C$151,$P$2)</f>
        <v>3.2249878784404093E-2</v>
      </c>
      <c r="R265" cm="1">
        <f t="array" ref="R265">EstymacjaEpanecznikowa($K265,$C$2:$C$151,R$2)</f>
        <v>0.12422683271553207</v>
      </c>
      <c r="S265" cm="1">
        <f t="array" ref="S265">EstymacjaEpanecznikowa($K265,$C$2:$C$151,S$2)</f>
        <v>9.4220847780323899E-2</v>
      </c>
      <c r="T265" cm="1">
        <f t="array" ref="T265">EstymacjaEpanecznikowa($K265,$C$2:$C$151,T$2)</f>
        <v>0.11896270729931628</v>
      </c>
    </row>
    <row r="266" spans="10:20" x14ac:dyDescent="0.25">
      <c r="J266">
        <v>264</v>
      </c>
      <c r="K266">
        <f t="shared" si="9"/>
        <v>6.1896321070233888</v>
      </c>
      <c r="L266">
        <f t="shared" si="8"/>
        <v>8.7513724964941003E-2</v>
      </c>
      <c r="M266" cm="1">
        <f t="array" ref="M266">EstymacjaGaussowska($K266,$C$2:$C$151)</f>
        <v>0.11999480273839661</v>
      </c>
      <c r="N266" cm="1">
        <f t="array" ref="N266">EstymacjaGaussowska($K266,$C$2:$C$151,$N$2)</f>
        <v>8.0426610522058531E-2</v>
      </c>
      <c r="O266" cm="1">
        <f t="array" ref="O266">EstymacjaGaussowska($K266,$C$2:$C$151,$O$2)</f>
        <v>0.11719913166909131</v>
      </c>
      <c r="P266" cm="1">
        <f t="array" ref="P266">EstymacjaGaussowska($K266,$C$2:$C$151,$P$2)</f>
        <v>3.2239428472471236E-2</v>
      </c>
      <c r="R266" cm="1">
        <f t="array" ref="R266">EstymacjaEpanecznikowa($K266,$C$2:$C$151,R$2)</f>
        <v>0.12179362187381243</v>
      </c>
      <c r="S266" cm="1">
        <f t="array" ref="S266">EstymacjaEpanecznikowa($K266,$C$2:$C$151,S$2)</f>
        <v>8.8343406343462078E-2</v>
      </c>
      <c r="T266" cm="1">
        <f t="array" ref="T266">EstymacjaEpanecznikowa($K266,$C$2:$C$151,T$2)</f>
        <v>0.11829660389511799</v>
      </c>
    </row>
    <row r="267" spans="10:20" x14ac:dyDescent="0.25">
      <c r="J267">
        <v>265</v>
      </c>
      <c r="K267">
        <f t="shared" si="9"/>
        <v>6.2093645484949604</v>
      </c>
      <c r="L267">
        <f t="shared" si="8"/>
        <v>8.6171193278888267E-2</v>
      </c>
      <c r="M267" cm="1">
        <f t="array" ref="M267">EstymacjaGaussowska($K267,$C$2:$C$151)</f>
        <v>0.1175553137072948</v>
      </c>
      <c r="N267" cm="1">
        <f t="array" ref="N267">EstymacjaGaussowska($K267,$C$2:$C$151,$N$2)</f>
        <v>7.2253594507967728E-2</v>
      </c>
      <c r="O267" cm="1">
        <f t="array" ref="O267">EstymacjaGaussowska($K267,$C$2:$C$151,$O$2)</f>
        <v>0.11616338421917012</v>
      </c>
      <c r="P267" cm="1">
        <f t="array" ref="P267">EstymacjaGaussowska($K267,$C$2:$C$151,$P$2)</f>
        <v>3.2228896245897039E-2</v>
      </c>
      <c r="R267" cm="1">
        <f t="array" ref="R267">EstymacjaEpanecznikowa($K267,$C$2:$C$151,R$2)</f>
        <v>0.11929594353780187</v>
      </c>
      <c r="S267" cm="1">
        <f t="array" ref="S267">EstymacjaEpanecznikowa($K267,$C$2:$C$151,S$2)</f>
        <v>8.1345692373722633E-2</v>
      </c>
      <c r="T267" cm="1">
        <f t="array" ref="T267">EstymacjaEpanecznikowa($K267,$C$2:$C$151,T$2)</f>
        <v>0.11762018160376876</v>
      </c>
    </row>
    <row r="268" spans="10:20" x14ac:dyDescent="0.25">
      <c r="J268">
        <v>266</v>
      </c>
      <c r="K268">
        <f t="shared" si="9"/>
        <v>6.229096989966532</v>
      </c>
      <c r="L268">
        <f t="shared" si="8"/>
        <v>8.4838656131265719E-2</v>
      </c>
      <c r="M268" cm="1">
        <f t="array" ref="M268">EstymacjaGaussowska($K268,$C$2:$C$151)</f>
        <v>0.1151308549017139</v>
      </c>
      <c r="N268" cm="1">
        <f t="array" ref="N268">EstymacjaGaussowska($K268,$C$2:$C$151,$N$2)</f>
        <v>6.566504393719802E-2</v>
      </c>
      <c r="O268" cm="1">
        <f t="array" ref="O268">EstymacjaGaussowska($K268,$C$2:$C$151,$O$2)</f>
        <v>0.11512246286131517</v>
      </c>
      <c r="P268" cm="1">
        <f t="array" ref="P268">EstymacjaGaussowska($K268,$C$2:$C$151,$P$2)</f>
        <v>3.2218282187041009E-2</v>
      </c>
      <c r="R268" cm="1">
        <f t="array" ref="R268">EstymacjaEpanecznikowa($K268,$C$2:$C$151,R$2)</f>
        <v>0.11673379770750053</v>
      </c>
      <c r="S268" cm="1">
        <f t="array" ref="S268">EstymacjaEpanecznikowa($K268,$C$2:$C$151,S$2)</f>
        <v>7.4133178213922554E-2</v>
      </c>
      <c r="T268" cm="1">
        <f t="array" ref="T268">EstymacjaEpanecznikowa($K268,$C$2:$C$151,T$2)</f>
        <v>0.11693344042526849</v>
      </c>
    </row>
    <row r="269" spans="10:20" x14ac:dyDescent="0.25">
      <c r="J269">
        <v>267</v>
      </c>
      <c r="K269">
        <f t="shared" si="9"/>
        <v>6.2488294314381037</v>
      </c>
      <c r="L269">
        <f t="shared" si="8"/>
        <v>8.3516289365624524E-2</v>
      </c>
      <c r="M269" cm="1">
        <f t="array" ref="M269">EstymacjaGaussowska($K269,$C$2:$C$151)</f>
        <v>0.11272245696284137</v>
      </c>
      <c r="N269" cm="1">
        <f t="array" ref="N269">EstymacjaGaussowska($K269,$C$2:$C$151,$N$2)</f>
        <v>6.0765464038368626E-2</v>
      </c>
      <c r="O269" cm="1">
        <f t="array" ref="O269">EstymacjaGaussowska($K269,$C$2:$C$151,$O$2)</f>
        <v>0.11407665512928511</v>
      </c>
      <c r="P269" cm="1">
        <f t="array" ref="P269">EstymacjaGaussowska($K269,$C$2:$C$151,$P$2)</f>
        <v>3.2207586378885183E-2</v>
      </c>
      <c r="R269" cm="1">
        <f t="array" ref="R269">EstymacjaEpanecznikowa($K269,$C$2:$C$151,R$2)</f>
        <v>0.11438025042031999</v>
      </c>
      <c r="S269" cm="1">
        <f t="array" ref="S269">EstymacjaEpanecznikowa($K269,$C$2:$C$151,S$2)</f>
        <v>7.0694824449795662E-2</v>
      </c>
      <c r="T269" cm="1">
        <f t="array" ref="T269">EstymacjaEpanecznikowa($K269,$C$2:$C$151,T$2)</f>
        <v>0.11623638035961725</v>
      </c>
    </row>
    <row r="270" spans="10:20" x14ac:dyDescent="0.25">
      <c r="J270">
        <v>268</v>
      </c>
      <c r="K270">
        <f t="shared" si="9"/>
        <v>6.2685618729096753</v>
      </c>
      <c r="L270">
        <f t="shared" si="8"/>
        <v>8.2204262313241669E-2</v>
      </c>
      <c r="M270" cm="1">
        <f t="array" ref="M270">EstymacjaGaussowska($K270,$C$2:$C$151)</f>
        <v>0.1103311177853827</v>
      </c>
      <c r="N270" cm="1">
        <f t="array" ref="N270">EstymacjaGaussowska($K270,$C$2:$C$151,$N$2)</f>
        <v>5.741869101049292E-2</v>
      </c>
      <c r="O270" cm="1">
        <f t="array" ref="O270">EstymacjaGaussowska($K270,$C$2:$C$151,$O$2)</f>
        <v>0.11302624863691156</v>
      </c>
      <c r="P270" cm="1">
        <f t="array" ref="P270">EstymacjaGaussowska($K270,$C$2:$C$151,$P$2)</f>
        <v>3.2196808905033215E-2</v>
      </c>
      <c r="R270" cm="1">
        <f t="array" ref="R270">EstymacjaEpanecznikowa($K270,$C$2:$C$151,R$2)</f>
        <v>0.11211353507762688</v>
      </c>
      <c r="S270" cm="1">
        <f t="array" ref="S270">EstymacjaEpanecznikowa($K270,$C$2:$C$151,S$2)</f>
        <v>6.5515158478942528E-2</v>
      </c>
      <c r="T270" cm="1">
        <f t="array" ref="T270">EstymacjaEpanecznikowa($K270,$C$2:$C$151,T$2)</f>
        <v>0.11552900140681514</v>
      </c>
    </row>
    <row r="271" spans="10:20" x14ac:dyDescent="0.25">
      <c r="J271">
        <v>269</v>
      </c>
      <c r="K271">
        <f t="shared" si="9"/>
        <v>6.2882943143812469</v>
      </c>
      <c r="L271">
        <f t="shared" si="8"/>
        <v>8.0902737810661138E-2</v>
      </c>
      <c r="M271" cm="1">
        <f t="array" ref="M271">EstymacjaGaussowska($K271,$C$2:$C$151)</f>
        <v>0.10795780199631004</v>
      </c>
      <c r="N271" cm="1">
        <f t="array" ref="N271">EstymacjaGaussowska($K271,$C$2:$C$151,$N$2)</f>
        <v>5.5299733406864317E-2</v>
      </c>
      <c r="O271" cm="1">
        <f t="array" ref="O271">EstymacjaGaussowska($K271,$C$2:$C$151,$O$2)</f>
        <v>0.11197153091162261</v>
      </c>
      <c r="P271" cm="1">
        <f t="array" ref="P271">EstymacjaGaussowska($K271,$C$2:$C$151,$P$2)</f>
        <v>3.2185949849709329E-2</v>
      </c>
      <c r="R271" cm="1">
        <f t="array" ref="R271">EstymacjaEpanecznikowa($K271,$C$2:$C$151,R$2)</f>
        <v>0.10978772453183366</v>
      </c>
      <c r="S271" cm="1">
        <f t="array" ref="S271">EstymacjaEpanecznikowa($K271,$C$2:$C$151,S$2)</f>
        <v>5.8594180301363201E-2</v>
      </c>
      <c r="T271" cm="1">
        <f t="array" ref="T271">EstymacjaEpanecznikowa($K271,$C$2:$C$151,T$2)</f>
        <v>0.11481130356686199</v>
      </c>
    </row>
    <row r="272" spans="10:20" x14ac:dyDescent="0.25">
      <c r="J272">
        <v>270</v>
      </c>
      <c r="K272">
        <f t="shared" si="9"/>
        <v>6.3080267558528185</v>
      </c>
      <c r="L272">
        <f t="shared" si="8"/>
        <v>7.9611872220985605E-2</v>
      </c>
      <c r="M272" cm="1">
        <f t="array" ref="M272">EstymacjaGaussowska($K272,$C$2:$C$151)</f>
        <v>0.10560344048593427</v>
      </c>
      <c r="N272" cm="1">
        <f t="array" ref="N272">EstymacjaGaussowska($K272,$C$2:$C$151,$N$2)</f>
        <v>5.3976374124165852E-2</v>
      </c>
      <c r="O272" cm="1">
        <f t="array" ref="O272">EstymacjaGaussowska($K272,$C$2:$C$151,$O$2)</f>
        <v>0.11091278922981374</v>
      </c>
      <c r="P272" cm="1">
        <f t="array" ref="P272">EstymacjaGaussowska($K272,$C$2:$C$151,$P$2)</f>
        <v>3.2175009297756942E-2</v>
      </c>
      <c r="R272" cm="1">
        <f t="array" ref="R272">EstymacjaEpanecznikowa($K272,$C$2:$C$151,R$2)</f>
        <v>0.10740281878294067</v>
      </c>
      <c r="S272" cm="1">
        <f t="array" ref="S272">EstymacjaEpanecznikowa($K272,$C$2:$C$151,S$2)</f>
        <v>4.9931889917057638E-2</v>
      </c>
      <c r="T272" cm="1">
        <f t="array" ref="T272">EstymacjaEpanecznikowa($K272,$C$2:$C$151,T$2)</f>
        <v>0.11408328683975787</v>
      </c>
    </row>
    <row r="273" spans="10:20" x14ac:dyDescent="0.25">
      <c r="J273">
        <v>271</v>
      </c>
      <c r="K273">
        <f t="shared" si="9"/>
        <v>6.3277591973243901</v>
      </c>
      <c r="L273">
        <f t="shared" si="8"/>
        <v>7.8331815458844253E-2</v>
      </c>
      <c r="M273" cm="1">
        <f t="array" ref="M273">EstymacjaGaussowska($K273,$C$2:$C$151)</f>
        <v>0.10326892999364129</v>
      </c>
      <c r="N273" cm="1">
        <f t="array" ref="N273">EstymacjaGaussowska($K273,$C$2:$C$151,$N$2)</f>
        <v>5.3001152858671692E-2</v>
      </c>
      <c r="O273" cm="1">
        <f t="array" ref="O273">EstymacjaGaussowska($K273,$C$2:$C$151,$O$2)</f>
        <v>0.1098503104541786</v>
      </c>
      <c r="P273" cm="1">
        <f t="array" ref="P273">EstymacjaGaussowska($K273,$C$2:$C$151,$P$2)</f>
        <v>3.2163987334637816E-2</v>
      </c>
      <c r="R273" cm="1">
        <f t="array" ref="R273">EstymacjaEpanecznikowa($K273,$C$2:$C$151,R$2)</f>
        <v>0.1049588178309477</v>
      </c>
      <c r="S273" cm="1">
        <f t="array" ref="S273">EstymacjaEpanecznikowa($K273,$C$2:$C$151,S$2)</f>
        <v>4.2042860207588628E-2</v>
      </c>
      <c r="T273" cm="1">
        <f t="array" ref="T273">EstymacjaEpanecznikowa($K273,$C$2:$C$151,T$2)</f>
        <v>0.1133449512255028</v>
      </c>
    </row>
    <row r="274" spans="10:20" x14ac:dyDescent="0.25">
      <c r="J274">
        <v>272</v>
      </c>
      <c r="K274">
        <f t="shared" si="9"/>
        <v>6.3474916387959617</v>
      </c>
      <c r="L274">
        <f t="shared" si="8"/>
        <v>7.7062711018959618E-2</v>
      </c>
      <c r="M274" cm="1">
        <f t="array" ref="M274">EstymacjaGaussowska($K274,$C$2:$C$151)</f>
        <v>0.10095513275035416</v>
      </c>
      <c r="N274" cm="1">
        <f t="array" ref="N274">EstymacjaGaussowska($K274,$C$2:$C$151,$N$2)</f>
        <v>5.1995465912611123E-2</v>
      </c>
      <c r="O274" cm="1">
        <f t="array" ref="O274">EstymacjaGaussowska($K274,$C$2:$C$151,$O$2)</f>
        <v>0.10878438087311322</v>
      </c>
      <c r="P274" cm="1">
        <f t="array" ref="P274">EstymacjaGaussowska($K274,$C$2:$C$151,$P$2)</f>
        <v>3.2152884046430928E-2</v>
      </c>
      <c r="R274" cm="1">
        <f t="array" ref="R274">EstymacjaEpanecznikowa($K274,$C$2:$C$151,R$2)</f>
        <v>0.10265131363966727</v>
      </c>
      <c r="S274" cm="1">
        <f t="array" ref="S274">EstymacjaEpanecznikowa($K274,$C$2:$C$151,S$2)</f>
        <v>4.2479663947581847E-2</v>
      </c>
      <c r="T274" cm="1">
        <f t="array" ref="T274">EstymacjaEpanecznikowa($K274,$C$2:$C$151,T$2)</f>
        <v>0.11259629672409684</v>
      </c>
    </row>
    <row r="275" spans="10:20" x14ac:dyDescent="0.25">
      <c r="J275">
        <v>273</v>
      </c>
      <c r="K275">
        <f t="shared" si="9"/>
        <v>6.3672240802675333</v>
      </c>
      <c r="L275">
        <f t="shared" si="8"/>
        <v>7.5804696008235112E-2</v>
      </c>
      <c r="M275" cm="1">
        <f t="array" ref="M275">EstymacjaGaussowska($K275,$C$2:$C$151)</f>
        <v>9.866287617947285E-2</v>
      </c>
      <c r="N275" cm="1">
        <f t="array" ref="N275">EstymacjaGaussowska($K275,$C$2:$C$151,$N$2)</f>
        <v>5.0712232700994953E-2</v>
      </c>
      <c r="O275" cm="1">
        <f t="array" ref="O275">EstymacjaGaussowska($K275,$C$2:$C$151,$O$2)</f>
        <v>0.10771528604229957</v>
      </c>
      <c r="P275" cm="1">
        <f t="array" ref="P275">EstymacjaGaussowska($K275,$C$2:$C$151,$P$2)</f>
        <v>3.2141699519831229E-2</v>
      </c>
      <c r="R275" cm="1">
        <f t="array" ref="R275">EstymacjaEpanecznikowa($K275,$C$2:$C$151,R$2)</f>
        <v>0.10042832328392098</v>
      </c>
      <c r="S275" cm="1">
        <f t="array" ref="S275">EstymacjaEpanecznikowa($K275,$C$2:$C$151,S$2)</f>
        <v>4.2219942804884593E-2</v>
      </c>
      <c r="T275" cm="1">
        <f t="array" ref="T275">EstymacjaEpanecznikowa($K275,$C$2:$C$151,T$2)</f>
        <v>0.11184901025337889</v>
      </c>
    </row>
    <row r="276" spans="10:20" x14ac:dyDescent="0.25">
      <c r="J276">
        <v>274</v>
      </c>
      <c r="K276">
        <f t="shared" si="9"/>
        <v>6.3869565217391049</v>
      </c>
      <c r="L276">
        <f t="shared" si="8"/>
        <v>7.4557901181282485E-2</v>
      </c>
      <c r="M276" cm="1">
        <f t="array" ref="M276">EstymacjaGaussowska($K276,$C$2:$C$151)</f>
        <v>9.6392952657719397E-2</v>
      </c>
      <c r="N276" cm="1">
        <f t="array" ref="N276">EstymacjaGaussowska($K276,$C$2:$C$151,$N$2)</f>
        <v>4.9069649541717275E-2</v>
      </c>
      <c r="O276" cm="1">
        <f t="array" ref="O276">EstymacjaGaussowska($K276,$C$2:$C$151,$O$2)</f>
        <v>0.10664331062857398</v>
      </c>
      <c r="P276" cm="1">
        <f t="array" ref="P276">EstymacjaGaussowska($K276,$C$2:$C$151,$P$2)</f>
        <v>3.2130433842148622E-2</v>
      </c>
      <c r="R276" cm="1">
        <f t="array" ref="R276">EstymacjaEpanecznikowa($K276,$C$2:$C$151,R$2)</f>
        <v>9.8150535558027524E-2</v>
      </c>
      <c r="S276" cm="1">
        <f t="array" ref="S276">EstymacjaEpanecznikowa($K276,$C$2:$C$151,S$2)</f>
        <v>4.3326458921306585E-2</v>
      </c>
      <c r="T276" cm="1">
        <f t="array" ref="T276">EstymacjaEpanecznikowa($K276,$C$2:$C$151,T$2)</f>
        <v>0.11109737814089247</v>
      </c>
    </row>
    <row r="277" spans="10:20" x14ac:dyDescent="0.25">
      <c r="J277">
        <v>275</v>
      </c>
      <c r="K277">
        <f t="shared" si="9"/>
        <v>6.4066889632106765</v>
      </c>
      <c r="L277">
        <f t="shared" si="8"/>
        <v>7.3322450979307563E-2</v>
      </c>
      <c r="M277" cm="1">
        <f t="array" ref="M277">EstymacjaGaussowska($K277,$C$2:$C$151)</f>
        <v>9.4146119336966969E-2</v>
      </c>
      <c r="N277" cm="1">
        <f t="array" ref="N277">EstymacjaGaussowska($K277,$C$2:$C$151,$N$2)</f>
        <v>4.7154192725086218E-2</v>
      </c>
      <c r="O277" cm="1">
        <f t="array" ref="O277">EstymacjaGaussowska($K277,$C$2:$C$151,$O$2)</f>
        <v>0.10556873825617936</v>
      </c>
      <c r="P277" cm="1">
        <f t="array" ref="P277">EstymacjaGaussowska($K277,$C$2:$C$151,$P$2)</f>
        <v>3.2119087101306711E-2</v>
      </c>
      <c r="R277" cm="1">
        <f t="array" ref="R277">EstymacjaEpanecznikowa($K277,$C$2:$C$151,R$2)</f>
        <v>9.5817950461986864E-2</v>
      </c>
      <c r="S277" cm="1">
        <f t="array" ref="S277">EstymacjaEpanecznikowa($K277,$C$2:$C$151,S$2)</f>
        <v>4.5259610608436238E-2</v>
      </c>
      <c r="T277" cm="1">
        <f t="array" ref="T277">EstymacjaEpanecznikowa($K277,$C$2:$C$151,T$2)</f>
        <v>0.11033553033012654</v>
      </c>
    </row>
    <row r="278" spans="10:20" x14ac:dyDescent="0.25">
      <c r="J278">
        <v>276</v>
      </c>
      <c r="K278">
        <f t="shared" si="9"/>
        <v>6.4264214046822481</v>
      </c>
      <c r="L278">
        <f t="shared" si="8"/>
        <v>7.2098463572269567E-2</v>
      </c>
      <c r="M278" cm="1">
        <f t="array" ref="M278">EstymacjaGaussowska($K278,$C$2:$C$151)</f>
        <v>9.1923098027777206E-2</v>
      </c>
      <c r="N278" cm="1">
        <f t="array" ref="N278">EstymacjaGaussowska($K278,$C$2:$C$151,$N$2)</f>
        <v>4.5195423089059286E-2</v>
      </c>
      <c r="O278" cm="1">
        <f t="array" ref="O278">EstymacjaGaussowska($K278,$C$2:$C$151,$O$2)</f>
        <v>0.1044918513555002</v>
      </c>
      <c r="P278" cm="1">
        <f t="array" ref="P278">EstymacjaGaussowska($K278,$C$2:$C$151,$P$2)</f>
        <v>3.2107659385841744E-2</v>
      </c>
      <c r="R278" cm="1">
        <f t="array" ref="R278">EstymacjaEpanecznikowa($K278,$C$2:$C$151,R$2)</f>
        <v>9.3430567995799033E-2</v>
      </c>
      <c r="S278" cm="1">
        <f t="array" ref="S278">EstymacjaEpanecznikowa($K278,$C$2:$C$151,S$2)</f>
        <v>4.6147974971530156E-2</v>
      </c>
      <c r="T278" cm="1">
        <f t="array" ref="T278">EstymacjaEpanecznikowa($K278,$C$2:$C$151,T$2)</f>
        <v>0.10956346682108113</v>
      </c>
    </row>
    <row r="279" spans="10:20" x14ac:dyDescent="0.25">
      <c r="J279">
        <v>277</v>
      </c>
      <c r="K279">
        <f t="shared" si="9"/>
        <v>6.4461538461538197</v>
      </c>
      <c r="L279">
        <f t="shared" si="8"/>
        <v>7.0886050904230127E-2</v>
      </c>
      <c r="M279" cm="1">
        <f t="array" ref="M279">EstymacjaGaussowska($K279,$C$2:$C$151)</f>
        <v>8.9724575145002414E-2</v>
      </c>
      <c r="N279" cm="1">
        <f t="array" ref="N279">EstymacjaGaussowska($K279,$C$2:$C$151,$N$2)</f>
        <v>4.3518300770353187E-2</v>
      </c>
      <c r="O279" cm="1">
        <f t="array" ref="O279">EstymacjaGaussowska($K279,$C$2:$C$151,$O$2)</f>
        <v>0.10341293101437134</v>
      </c>
      <c r="P279" cm="1">
        <f t="array" ref="P279">EstymacjaGaussowska($K279,$C$2:$C$151,$P$2)</f>
        <v>3.2096150784901599E-2</v>
      </c>
      <c r="R279" cm="1">
        <f t="array" ref="R279">EstymacjaEpanecznikowa($K279,$C$2:$C$151,R$2)</f>
        <v>9.1204326724677195E-2</v>
      </c>
      <c r="S279" cm="1">
        <f t="array" ref="S279">EstymacjaEpanecznikowa($K279,$C$2:$C$151,S$2)</f>
        <v>4.5991552010588341E-2</v>
      </c>
      <c r="T279" cm="1">
        <f t="array" ref="T279">EstymacjaEpanecznikowa($K279,$C$2:$C$151,T$2)</f>
        <v>0.1087811876137562</v>
      </c>
    </row>
    <row r="280" spans="10:20" x14ac:dyDescent="0.25">
      <c r="J280">
        <v>278</v>
      </c>
      <c r="K280">
        <f t="shared" si="9"/>
        <v>6.4658862876253913</v>
      </c>
      <c r="L280">
        <f t="shared" si="8"/>
        <v>6.9685318741804225E-2</v>
      </c>
      <c r="M280" cm="1">
        <f t="array" ref="M280">EstymacjaGaussowska($K280,$C$2:$C$151)</f>
        <v>8.7551201715436427E-2</v>
      </c>
      <c r="N280" cm="1">
        <f t="array" ref="N280">EstymacjaGaussowska($K280,$C$2:$C$151,$N$2)</f>
        <v>4.2480972513101144E-2</v>
      </c>
      <c r="O280" cm="1">
        <f t="array" ref="O280">EstymacjaGaussowska($K280,$C$2:$C$151,$O$2)</f>
        <v>0.10233225683205159</v>
      </c>
      <c r="P280" cm="1">
        <f t="array" ref="P280">EstymacjaGaussowska($K280,$C$2:$C$151,$P$2)</f>
        <v>3.2084561388244219E-2</v>
      </c>
      <c r="R280" cm="1">
        <f t="array" ref="R280">EstymacjaEpanecznikowa($K280,$C$2:$C$151,R$2)</f>
        <v>8.9130986548121446E-2</v>
      </c>
      <c r="S280" cm="1">
        <f t="array" ref="S280">EstymacjaEpanecznikowa($K280,$C$2:$C$151,S$2)</f>
        <v>4.4790341725610784E-2</v>
      </c>
      <c r="T280" cm="1">
        <f t="array" ref="T280">EstymacjaEpanecznikowa($K280,$C$2:$C$151,T$2)</f>
        <v>0.10798869270815198</v>
      </c>
    </row>
    <row r="281" spans="10:20" x14ac:dyDescent="0.25">
      <c r="J281">
        <v>279</v>
      </c>
      <c r="K281">
        <f t="shared" si="9"/>
        <v>6.4856187290969629</v>
      </c>
      <c r="L281">
        <f t="shared" si="8"/>
        <v>6.8496366725626215E-2</v>
      </c>
      <c r="M281" cm="1">
        <f t="array" ref="M281">EstymacjaGaussowska($K281,$C$2:$C$151)</f>
        <v>8.5403593447130305E-2</v>
      </c>
      <c r="N281" cm="1">
        <f t="array" ref="N281">EstymacjaGaussowska($K281,$C$2:$C$151,$N$2)</f>
        <v>4.2407490626980508E-2</v>
      </c>
      <c r="O281" cm="1">
        <f t="array" ref="O281">EstymacjaGaussowska($K281,$C$2:$C$151,$O$2)</f>
        <v>0.10125010677594737</v>
      </c>
      <c r="P281" cm="1">
        <f t="array" ref="P281">EstymacjaGaussowska($K281,$C$2:$C$151,$P$2)</f>
        <v>3.2072891286236888E-2</v>
      </c>
      <c r="R281" cm="1">
        <f t="array" ref="R281">EstymacjaEpanecznikowa($K281,$C$2:$C$151,R$2)</f>
        <v>8.7008221292609475E-2</v>
      </c>
      <c r="S281" cm="1">
        <f t="array" ref="S281">EstymacjaEpanecznikowa($K281,$C$2:$C$151,S$2)</f>
        <v>4.6158429848030896E-2</v>
      </c>
      <c r="T281" cm="1">
        <f t="array" ref="T281">EstymacjaEpanecznikowa($K281,$C$2:$C$151,T$2)</f>
        <v>0.1071859821042682</v>
      </c>
    </row>
    <row r="282" spans="10:20" x14ac:dyDescent="0.25">
      <c r="J282">
        <v>280</v>
      </c>
      <c r="K282">
        <f t="shared" si="9"/>
        <v>6.5053511705685345</v>
      </c>
      <c r="L282">
        <f t="shared" si="8"/>
        <v>6.7319288424741261E-2</v>
      </c>
      <c r="M282" cm="1">
        <f t="array" ref="M282">EstymacjaGaussowska($K282,$C$2:$C$151)</f>
        <v>8.3282330859616824E-2</v>
      </c>
      <c r="N282" cm="1">
        <f t="array" ref="N282">EstymacjaGaussowska($K282,$C$2:$C$151,$N$2)</f>
        <v>4.3525465889964976E-2</v>
      </c>
      <c r="O282" cm="1">
        <f t="array" ref="O282">EstymacjaGaussowska($K282,$C$2:$C$151,$O$2)</f>
        <v>0.10016675704116836</v>
      </c>
      <c r="P282" cm="1">
        <f t="array" ref="P282">EstymacjaGaussowska($K282,$C$2:$C$151,$P$2)</f>
        <v>3.2061140569854839E-2</v>
      </c>
      <c r="R282" cm="1">
        <f t="array" ref="R282">EstymacjaEpanecznikowa($K282,$C$2:$C$151,R$2)</f>
        <v>8.4836030958141226E-2</v>
      </c>
      <c r="S282" cm="1">
        <f t="array" ref="S282">EstymacjaEpanecznikowa($K282,$C$2:$C$151,S$2)</f>
        <v>5.0086712131342845E-2</v>
      </c>
      <c r="T282" cm="1">
        <f t="array" ref="T282">EstymacjaEpanecznikowa($K282,$C$2:$C$151,T$2)</f>
        <v>0.10637305580210495</v>
      </c>
    </row>
    <row r="283" spans="10:20" x14ac:dyDescent="0.25">
      <c r="J283">
        <v>281</v>
      </c>
      <c r="K283">
        <f t="shared" si="9"/>
        <v>6.5250836120401061</v>
      </c>
      <c r="L283">
        <f t="shared" si="8"/>
        <v>6.6154171393832645E-2</v>
      </c>
      <c r="M283" cm="1">
        <f t="array" ref="M283">EstymacjaGaussowska($K283,$C$2:$C$151)</f>
        <v>8.1187959473932383E-2</v>
      </c>
      <c r="N283" cm="1">
        <f t="array" ref="N283">EstymacjaGaussowska($K283,$C$2:$C$151,$N$2)</f>
        <v>4.5917923960960408E-2</v>
      </c>
      <c r="O283" cm="1">
        <f t="array" ref="O283">EstymacjaGaussowska($K283,$C$2:$C$151,$O$2)</f>
        <v>9.908248191299264E-2</v>
      </c>
      <c r="P283" cm="1">
        <f t="array" ref="P283">EstymacjaGaussowska($K283,$C$2:$C$151,$P$2)</f>
        <v>3.2049309330680044E-2</v>
      </c>
      <c r="R283" cm="1">
        <f t="array" ref="R283">EstymacjaEpanecznikowa($K283,$C$2:$C$151,R$2)</f>
        <v>8.2614415544716588E-2</v>
      </c>
      <c r="S283" cm="1">
        <f t="array" ref="S283">EstymacjaEpanecznikowa($K283,$C$2:$C$151,S$2)</f>
        <v>5.257002043006169E-2</v>
      </c>
      <c r="T283" cm="1">
        <f t="array" ref="T283">EstymacjaEpanecznikowa($K283,$C$2:$C$151,T$2)</f>
        <v>0.10554991380166225</v>
      </c>
    </row>
    <row r="284" spans="10:20" x14ac:dyDescent="0.25">
      <c r="J284">
        <v>282</v>
      </c>
      <c r="K284">
        <f t="shared" si="9"/>
        <v>6.5448160535116777</v>
      </c>
      <c r="L284">
        <f t="shared" si="8"/>
        <v>6.5001097233193944E-2</v>
      </c>
      <c r="M284" cm="1">
        <f t="array" ref="M284">EstymacjaGaussowska($K284,$C$2:$C$151)</f>
        <v>7.9120990060973409E-2</v>
      </c>
      <c r="N284" cm="1">
        <f t="array" ref="N284">EstymacjaGaussowska($K284,$C$2:$C$151,$N$2)</f>
        <v>4.9496535307162907E-2</v>
      </c>
      <c r="O284" cm="1">
        <f t="array" ref="O284">EstymacjaGaussowska($K284,$C$2:$C$151,$O$2)</f>
        <v>9.7997553632317227E-2</v>
      </c>
      <c r="P284" cm="1">
        <f t="array" ref="P284">EstymacjaGaussowska($K284,$C$2:$C$151,$P$2)</f>
        <v>3.2037397660900115E-2</v>
      </c>
      <c r="R284" cm="1">
        <f t="array" ref="R284">EstymacjaEpanecznikowa($K284,$C$2:$C$151,R$2)</f>
        <v>8.0493304547339356E-2</v>
      </c>
      <c r="S284" cm="1">
        <f t="array" ref="S284">EstymacjaEpanecznikowa($K284,$C$2:$C$151,S$2)</f>
        <v>5.7162362453226437E-2</v>
      </c>
      <c r="T284" cm="1">
        <f t="array" ref="T284">EstymacjaEpanecznikowa($K284,$C$2:$C$151,T$2)</f>
        <v>0.10471655610294008</v>
      </c>
    </row>
    <row r="285" spans="10:20" x14ac:dyDescent="0.25">
      <c r="J285">
        <v>283</v>
      </c>
      <c r="K285">
        <f t="shared" si="9"/>
        <v>6.5645484949832493</v>
      </c>
      <c r="L285">
        <f t="shared" si="8"/>
        <v>6.3860141651354271E-2</v>
      </c>
      <c r="M285" cm="1">
        <f t="array" ref="M285">EstymacjaGaussowska($K285,$C$2:$C$151)</f>
        <v>7.7081898946393806E-2</v>
      </c>
      <c r="N285" cm="1">
        <f t="array" ref="N285">EstymacjaGaussowska($K285,$C$2:$C$151,$N$2)</f>
        <v>5.4000256158662482E-2</v>
      </c>
      <c r="O285" cm="1">
        <f t="array" ref="O285">EstymacjaGaussowska($K285,$C$2:$C$151,$O$2)</f>
        <v>9.6912242264162687E-2</v>
      </c>
      <c r="P285" cm="1">
        <f t="array" ref="P285">EstymacjaGaussowska($K285,$C$2:$C$151,$P$2)</f>
        <v>3.2025405653307158E-2</v>
      </c>
      <c r="R285" cm="1">
        <f t="array" ref="R285">EstymacjaEpanecznikowa($K285,$C$2:$C$151,R$2)</f>
        <v>7.8511457221438138E-2</v>
      </c>
      <c r="S285" cm="1">
        <f t="array" ref="S285">EstymacjaEpanecznikowa($K285,$C$2:$C$151,S$2)</f>
        <v>6.036165471101021E-2</v>
      </c>
      <c r="T285" cm="1">
        <f t="array" ref="T285">EstymacjaEpanecznikowa($K285,$C$2:$C$151,T$2)</f>
        <v>0.10387298270593844</v>
      </c>
    </row>
    <row r="286" spans="10:20" x14ac:dyDescent="0.25">
      <c r="J286">
        <v>284</v>
      </c>
      <c r="K286">
        <f t="shared" si="9"/>
        <v>6.5842809364548209</v>
      </c>
      <c r="L286">
        <f t="shared" si="8"/>
        <v>6.2731374530264075E-2</v>
      </c>
      <c r="M286" cm="1">
        <f t="array" ref="M286">EstymacjaGaussowska($K286,$C$2:$C$151)</f>
        <v>7.5071128369934986E-2</v>
      </c>
      <c r="N286" cm="1">
        <f t="array" ref="N286">EstymacjaGaussowska($K286,$C$2:$C$151,$N$2)</f>
        <v>5.9019885214484841E-2</v>
      </c>
      <c r="O286" cm="1">
        <f t="array" ref="O286">EstymacjaGaussowska($K286,$C$2:$C$151,$O$2)</f>
        <v>9.5826815569298965E-2</v>
      </c>
      <c r="P286" cm="1">
        <f t="array" ref="P286">EstymacjaGaussowska($K286,$C$2:$C$151,$P$2)</f>
        <v>3.2013333401296307E-2</v>
      </c>
      <c r="R286" cm="1">
        <f t="array" ref="R286">EstymacjaEpanecznikowa($K286,$C$2:$C$151,R$2)</f>
        <v>7.6484482649533378E-2</v>
      </c>
      <c r="S286" cm="1">
        <f t="array" ref="S286">EstymacjaEpanecznikowa($K286,$C$2:$C$151,S$2)</f>
        <v>6.2167897203412995E-2</v>
      </c>
      <c r="T286" cm="1">
        <f t="array" ref="T286">EstymacjaEpanecznikowa($K286,$C$2:$C$151,T$2)</f>
        <v>0.10301919361065741</v>
      </c>
    </row>
    <row r="287" spans="10:20" x14ac:dyDescent="0.25">
      <c r="J287">
        <v>285</v>
      </c>
      <c r="K287">
        <f t="shared" si="9"/>
        <v>6.6040133779263925</v>
      </c>
      <c r="L287">
        <f t="shared" si="8"/>
        <v>6.161485999294871E-2</v>
      </c>
      <c r="M287" cm="1">
        <f t="array" ref="M287">EstymacjaGaussowska($K287,$C$2:$C$151)</f>
        <v>7.3089086896787864E-2</v>
      </c>
      <c r="N287" cm="1">
        <f t="array" ref="N287">EstymacjaGaussowska($K287,$C$2:$C$151,$N$2)</f>
        <v>6.4045694877481435E-2</v>
      </c>
      <c r="O287" cm="1">
        <f t="array" ref="O287">EstymacjaGaussowska($K287,$C$2:$C$151,$O$2)</f>
        <v>9.4741538879055842E-2</v>
      </c>
      <c r="P287" cm="1">
        <f t="array" ref="P287">EstymacjaGaussowska($K287,$C$2:$C$151,$P$2)</f>
        <v>3.2001180998864835E-2</v>
      </c>
      <c r="R287" cm="1">
        <f t="array" ref="R287">EstymacjaEpanecznikowa($K287,$C$2:$C$151,R$2)</f>
        <v>7.4412380831625047E-2</v>
      </c>
      <c r="S287" cm="1">
        <f t="array" ref="S287">EstymacjaEpanecznikowa($K287,$C$2:$C$151,S$2)</f>
        <v>6.2581089930434819E-2</v>
      </c>
      <c r="T287" cm="1">
        <f t="array" ref="T287">EstymacjaEpanecznikowa($K287,$C$2:$C$151,T$2)</f>
        <v>0.10215518881709679</v>
      </c>
    </row>
    <row r="288" spans="10:20" x14ac:dyDescent="0.25">
      <c r="J288">
        <v>286</v>
      </c>
      <c r="K288">
        <f t="shared" si="9"/>
        <v>6.6237458193979641</v>
      </c>
      <c r="L288">
        <f t="shared" si="8"/>
        <v>6.0510656473535783E-2</v>
      </c>
      <c r="M288" cm="1">
        <f t="array" ref="M288">EstymacjaGaussowska($K288,$C$2:$C$151)</f>
        <v>7.1136149878319538E-2</v>
      </c>
      <c r="N288" cm="1">
        <f t="array" ref="N288">EstymacjaGaussowska($K288,$C$2:$C$151,$N$2)</f>
        <v>6.853239291625815E-2</v>
      </c>
      <c r="O288" cm="1">
        <f t="array" ref="O288">EstymacjaGaussowska($K288,$C$2:$C$151,$O$2)</f>
        <v>9.3656674973375723E-2</v>
      </c>
      <c r="P288" cm="1">
        <f t="array" ref="P288">EstymacjaGaussowska($K288,$C$2:$C$151,$P$2)</f>
        <v>3.1988948540610761E-2</v>
      </c>
      <c r="R288" cm="1">
        <f t="array" ref="R288">EstymacjaEpanecznikowa($K288,$C$2:$C$151,R$2)</f>
        <v>7.2295151767713159E-2</v>
      </c>
      <c r="S288" cm="1">
        <f t="array" ref="S288">EstymacjaEpanecznikowa($K288,$C$2:$C$151,S$2)</f>
        <v>6.162904586497811E-2</v>
      </c>
      <c r="T288" cm="1">
        <f t="array" ref="T288">EstymacjaEpanecznikowa($K288,$C$2:$C$151,T$2)</f>
        <v>0.10128096832525685</v>
      </c>
    </row>
    <row r="289" spans="10:20" x14ac:dyDescent="0.25">
      <c r="J289">
        <v>287</v>
      </c>
      <c r="K289">
        <f t="shared" si="9"/>
        <v>6.6434782608695357</v>
      </c>
      <c r="L289">
        <f t="shared" si="8"/>
        <v>5.941881678956281E-2</v>
      </c>
      <c r="M289" cm="1">
        <f t="array" ref="M289">EstymacjaGaussowska($K289,$C$2:$C$151)</f>
        <v>6.9212659959255268E-2</v>
      </c>
      <c r="N289" cm="1">
        <f t="array" ref="N289">EstymacjaGaussowska($K289,$C$2:$C$151,$N$2)</f>
        <v>7.1973151827235446E-2</v>
      </c>
      <c r="O289" cm="1">
        <f t="array" ref="O289">EstymacjaGaussowska($K289,$C$2:$C$151,$O$2)</f>
        <v>9.25724839621649E-2</v>
      </c>
      <c r="P289" cm="1">
        <f t="array" ref="P289">EstymacjaGaussowska($K289,$C$2:$C$151,$P$2)</f>
        <v>3.1976636121731607E-2</v>
      </c>
      <c r="R289" cm="1">
        <f t="array" ref="R289">EstymacjaEpanecznikowa($K289,$C$2:$C$151,R$2)</f>
        <v>7.0387051242420812E-2</v>
      </c>
      <c r="S289" cm="1">
        <f t="array" ref="S289">EstymacjaEpanecznikowa($K289,$C$2:$C$151,S$2)</f>
        <v>6.3379212201570626E-2</v>
      </c>
      <c r="T289" cm="1">
        <f t="array" ref="T289">EstymacjaEpanecznikowa($K289,$C$2:$C$151,T$2)</f>
        <v>0.10039653213513738</v>
      </c>
    </row>
    <row r="290" spans="10:20" x14ac:dyDescent="0.25">
      <c r="J290">
        <v>288</v>
      </c>
      <c r="K290">
        <f t="shared" si="9"/>
        <v>6.6632107023411073</v>
      </c>
      <c r="L290">
        <f t="shared" si="8"/>
        <v>5.8339388216470278E-2</v>
      </c>
      <c r="M290" cm="1">
        <f t="array" ref="M290">EstymacjaGaussowska($K290,$C$2:$C$151)</f>
        <v>6.7318927628197217E-2</v>
      </c>
      <c r="N290" cm="1">
        <f t="array" ref="N290">EstymacjaGaussowska($K290,$C$2:$C$151,$N$2)</f>
        <v>7.3972266450507279E-2</v>
      </c>
      <c r="O290" cm="1">
        <f t="array" ref="O290">EstymacjaGaussowska($K290,$C$2:$C$151,$O$2)</f>
        <v>9.1489223169992528E-2</v>
      </c>
      <c r="P290" cm="1">
        <f t="array" ref="P290">EstymacjaGaussowska($K290,$C$2:$C$151,$P$2)</f>
        <v>3.196424383802323E-2</v>
      </c>
      <c r="R290" cm="1">
        <f t="array" ref="R290">EstymacjaEpanecznikowa($K290,$C$2:$C$151,R$2)</f>
        <v>6.8856221420363059E-2</v>
      </c>
      <c r="S290" cm="1">
        <f t="array" ref="S290">EstymacjaEpanecznikowa($K290,$C$2:$C$151,S$2)</f>
        <v>6.4084591214127393E-2</v>
      </c>
      <c r="T290" cm="1">
        <f t="array" ref="T290">EstymacjaEpanecznikowa($K290,$C$2:$C$151,T$2)</f>
        <v>9.9518095543432841E-2</v>
      </c>
    </row>
    <row r="291" spans="10:20" x14ac:dyDescent="0.25">
      <c r="J291">
        <v>289</v>
      </c>
      <c r="K291">
        <f t="shared" si="9"/>
        <v>6.682943143812679</v>
      </c>
      <c r="L291">
        <f t="shared" si="8"/>
        <v>5.7272412564186276E-2</v>
      </c>
      <c r="M291" cm="1">
        <f t="array" ref="M291">EstymacjaGaussowska($K291,$C$2:$C$151)</f>
        <v>6.5455231808179248E-2</v>
      </c>
      <c r="N291" cm="1">
        <f t="array" ref="N291">EstymacjaGaussowska($K291,$C$2:$C$151,$N$2)</f>
        <v>7.4304537263703507E-2</v>
      </c>
      <c r="O291" cm="1">
        <f t="array" ref="O291">EstymacjaGaussowska($K291,$C$2:$C$151,$O$2)</f>
        <v>9.0407147024187173E-2</v>
      </c>
      <c r="P291" cm="1">
        <f t="array" ref="P291">EstymacjaGaussowska($K291,$C$2:$C$151,$P$2)</f>
        <v>3.1951771785878692E-2</v>
      </c>
      <c r="R291" cm="1">
        <f t="array" ref="R291">EstymacjaEpanecznikowa($K291,$C$2:$C$151,R$2)</f>
        <v>6.7288860018207247E-2</v>
      </c>
      <c r="S291" cm="1">
        <f t="array" ref="S291">EstymacjaEpanecznikowa($K291,$C$2:$C$151,S$2)</f>
        <v>6.5035984976252542E-2</v>
      </c>
      <c r="T291" cm="1">
        <f t="array" ref="T291">EstymacjaEpanecznikowa($K291,$C$2:$C$151,T$2)</f>
        <v>9.8648506308063266E-2</v>
      </c>
    </row>
    <row r="292" spans="10:20" x14ac:dyDescent="0.25">
      <c r="J292">
        <v>290</v>
      </c>
      <c r="K292">
        <f t="shared" si="9"/>
        <v>6.7026755852842506</v>
      </c>
      <c r="L292">
        <f t="shared" si="8"/>
        <v>5.6217926255707366E-2</v>
      </c>
      <c r="M292" cm="1">
        <f t="array" ref="M292">EstymacjaGaussowska($K292,$C$2:$C$151)</f>
        <v>6.3621820483809849E-2</v>
      </c>
      <c r="N292" cm="1">
        <f t="array" ref="N292">EstymacjaGaussowska($K292,$C$2:$C$151,$N$2)</f>
        <v>7.2949623204037889E-2</v>
      </c>
      <c r="O292" cm="1">
        <f t="array" ref="O292">EstymacjaGaussowska($K292,$C$2:$C$151,$O$2)</f>
        <v>8.9326506946371301E-2</v>
      </c>
      <c r="P292" cm="1">
        <f t="array" ref="P292">EstymacjaGaussowska($K292,$C$2:$C$151,$P$2)</f>
        <v>3.1939220062286597E-2</v>
      </c>
      <c r="R292" cm="1">
        <f t="array" ref="R292">EstymacjaEpanecznikowa($K292,$C$2:$C$151,R$2)</f>
        <v>6.5684967035953293E-2</v>
      </c>
      <c r="S292" cm="1">
        <f t="array" ref="S292">EstymacjaEpanecznikowa($K292,$C$2:$C$151,S$2)</f>
        <v>6.7308544974863507E-2</v>
      </c>
      <c r="T292" cm="1">
        <f t="array" ref="T292">EstymacjaEpanecznikowa($K292,$C$2:$C$151,T$2)</f>
        <v>9.7768907752157352E-2</v>
      </c>
    </row>
    <row r="293" spans="10:20" x14ac:dyDescent="0.25">
      <c r="J293">
        <v>291</v>
      </c>
      <c r="K293">
        <f t="shared" si="9"/>
        <v>6.7224080267558222</v>
      </c>
      <c r="L293">
        <f t="shared" si="8"/>
        <v>5.5175960407581784E-2</v>
      </c>
      <c r="M293" cm="1">
        <f t="array" ref="M293">EstymacjaGaussowska($K293,$C$2:$C$151)</f>
        <v>6.1818911361439577E-2</v>
      </c>
      <c r="N293" cm="1">
        <f t="array" ref="N293">EstymacjaGaussowska($K293,$C$2:$C$151,$N$2)</f>
        <v>7.0092407329350209E-2</v>
      </c>
      <c r="O293" cm="1">
        <f t="array" ref="O293">EstymacjaGaussowska($K293,$C$2:$C$151,$O$2)</f>
        <v>8.8247551247476394E-2</v>
      </c>
      <c r="P293" cm="1">
        <f t="array" ref="P293">EstymacjaGaussowska($K293,$C$2:$C$151,$P$2)</f>
        <v>3.1926588764830406E-2</v>
      </c>
      <c r="R293" cm="1">
        <f t="array" ref="R293">EstymacjaEpanecznikowa($K293,$C$2:$C$151,R$2)</f>
        <v>6.4044542473601182E-2</v>
      </c>
      <c r="S293" cm="1">
        <f t="array" ref="S293">EstymacjaEpanecznikowa($K293,$C$2:$C$151,S$2)</f>
        <v>6.8188055208093512E-2</v>
      </c>
      <c r="T293" cm="1">
        <f t="array" ref="T293">EstymacjaEpanecznikowa($K293,$C$2:$C$151,T$2)</f>
        <v>9.6879299875714975E-2</v>
      </c>
    </row>
    <row r="294" spans="10:20" x14ac:dyDescent="0.25">
      <c r="J294">
        <v>292</v>
      </c>
      <c r="K294">
        <f t="shared" si="9"/>
        <v>6.7421404682273938</v>
      </c>
      <c r="L294">
        <f t="shared" si="8"/>
        <v>5.4146540912199781E-2</v>
      </c>
      <c r="M294" cm="1">
        <f t="array" ref="M294">EstymacjaGaussowska($K294,$C$2:$C$151)</f>
        <v>6.004669255870887E-2</v>
      </c>
      <c r="N294" cm="1">
        <f t="array" ref="N294">EstymacjaGaussowska($K294,$C$2:$C$151,$N$2)</f>
        <v>6.6086330484726438E-2</v>
      </c>
      <c r="O294" cm="1">
        <f t="array" ref="O294">EstymacjaGaussowska($K294,$C$2:$C$151,$O$2)</f>
        <v>8.7170525026271206E-2</v>
      </c>
      <c r="P294" cm="1">
        <f t="array" ref="P294">EstymacjaGaussowska($K294,$C$2:$C$151,$P$2)</f>
        <v>3.191387799168665E-2</v>
      </c>
      <c r="R294" cm="1">
        <f t="array" ref="R294">EstymacjaEpanecznikowa($K294,$C$2:$C$151,R$2)</f>
        <v>6.2419759353198219E-2</v>
      </c>
      <c r="S294" cm="1">
        <f t="array" ref="S294">EstymacjaEpanecznikowa($K294,$C$2:$C$151,S$2)</f>
        <v>6.7674515675942515E-2</v>
      </c>
      <c r="T294" cm="1">
        <f t="array" ref="T294">EstymacjaEpanecznikowa($K294,$C$2:$C$151,T$2)</f>
        <v>9.5979682678736036E-2</v>
      </c>
    </row>
    <row r="295" spans="10:20" x14ac:dyDescent="0.25">
      <c r="J295">
        <v>293</v>
      </c>
      <c r="K295">
        <f t="shared" si="9"/>
        <v>6.7618729096989654</v>
      </c>
      <c r="L295">
        <f t="shared" si="8"/>
        <v>5.3129688521797065E-2</v>
      </c>
      <c r="M295" cm="1">
        <f t="array" ref="M295">EstymacjaGaussowska($K295,$C$2:$C$151)</f>
        <v>5.830532331978338E-2</v>
      </c>
      <c r="N295" cm="1">
        <f t="array" ref="N295">EstymacjaGaussowska($K295,$C$2:$C$151,$N$2)</f>
        <v>6.1384887755138173E-2</v>
      </c>
      <c r="O295" cm="1">
        <f t="array" ref="O295">EstymacjaGaussowska($K295,$C$2:$C$151,$O$2)</f>
        <v>8.6095670071438271E-2</v>
      </c>
      <c r="P295" cm="1">
        <f t="array" ref="P295">EstymacjaGaussowska($K295,$C$2:$C$151,$P$2)</f>
        <v>3.1901087841624078E-2</v>
      </c>
      <c r="R295" cm="1">
        <f t="array" ref="R295">EstymacjaEpanecznikowa($K295,$C$2:$C$151,R$2)</f>
        <v>6.0875289374862543E-2</v>
      </c>
      <c r="S295" cm="1">
        <f t="array" ref="S295">EstymacjaEpanecznikowa($K295,$C$2:$C$151,S$2)</f>
        <v>6.5767926378410571E-2</v>
      </c>
      <c r="T295" cm="1">
        <f t="array" ref="T295">EstymacjaEpanecznikowa($K295,$C$2:$C$151,T$2)</f>
        <v>9.5070056161220773E-2</v>
      </c>
    </row>
    <row r="296" spans="10:20" x14ac:dyDescent="0.25">
      <c r="J296">
        <v>294</v>
      </c>
      <c r="K296">
        <f t="shared" si="9"/>
        <v>6.781605351170537</v>
      </c>
      <c r="L296">
        <f t="shared" si="8"/>
        <v>5.2125418934077253E-2</v>
      </c>
      <c r="M296" cm="1">
        <f t="array" ref="M296">EstymacjaGaussowska($K296,$C$2:$C$151)</f>
        <v>5.6594934752569735E-2</v>
      </c>
      <c r="N296" cm="1">
        <f t="array" ref="N296">EstymacjaGaussowska($K296,$C$2:$C$151,$N$2)</f>
        <v>5.6454905555358259E-2</v>
      </c>
      <c r="O296" cm="1">
        <f t="array" ref="O296">EstymacjaGaussowska($K296,$C$2:$C$151,$O$2)</f>
        <v>8.5023224767224362E-2</v>
      </c>
      <c r="P296" cm="1">
        <f t="array" ref="P296">EstymacjaGaussowska($K296,$C$2:$C$151,$P$2)</f>
        <v>3.1888218414002086E-2</v>
      </c>
      <c r="R296" cm="1">
        <f t="array" ref="R296">EstymacjaEpanecznikowa($K296,$C$2:$C$151,R$2)</f>
        <v>5.9296436732905147E-2</v>
      </c>
      <c r="S296" cm="1">
        <f t="array" ref="S296">EstymacjaEpanecznikowa($K296,$C$2:$C$151,S$2)</f>
        <v>6.2468287315497646E-2</v>
      </c>
      <c r="T296" cm="1">
        <f t="array" ref="T296">EstymacjaEpanecznikowa($K296,$C$2:$C$151,T$2)</f>
        <v>9.415042032316906E-2</v>
      </c>
    </row>
    <row r="297" spans="10:20" x14ac:dyDescent="0.25">
      <c r="J297">
        <v>295</v>
      </c>
      <c r="K297">
        <f t="shared" si="9"/>
        <v>6.8013377926421086</v>
      </c>
      <c r="L297">
        <f t="shared" si="8"/>
        <v>5.1133742879359352E-2</v>
      </c>
      <c r="M297" cm="1">
        <f t="array" ref="M297">EstymacjaGaussowska($K297,$C$2:$C$151)</f>
        <v>5.4915630584224023E-2</v>
      </c>
      <c r="N297" cm="1">
        <f t="array" ref="N297">EstymacjaGaussowska($K297,$C$2:$C$151,$N$2)</f>
        <v>5.1690958466934486E-2</v>
      </c>
      <c r="O297" cm="1">
        <f t="array" ref="O297">EstymacjaGaussowska($K297,$C$2:$C$151,$O$2)</f>
        <v>8.3953424002690444E-2</v>
      </c>
      <c r="P297" cm="1">
        <f t="array" ref="P297">EstymacjaGaussowska($K297,$C$2:$C$151,$P$2)</f>
        <v>3.1875269808769528E-2</v>
      </c>
      <c r="R297" cm="1">
        <f t="array" ref="R297">EstymacjaEpanecznikowa($K297,$C$2:$C$151,R$2)</f>
        <v>5.768320142732599E-2</v>
      </c>
      <c r="S297" cm="1">
        <f t="array" ref="S297">EstymacjaEpanecznikowa($K297,$C$2:$C$151,S$2)</f>
        <v>5.777559848720374E-2</v>
      </c>
      <c r="T297" cm="1">
        <f t="array" ref="T297">EstymacjaEpanecznikowa($K297,$C$2:$C$151,T$2)</f>
        <v>9.3220775164580882E-2</v>
      </c>
    </row>
    <row r="298" spans="10:20" x14ac:dyDescent="0.25">
      <c r="J298">
        <v>296</v>
      </c>
      <c r="K298">
        <f t="shared" si="9"/>
        <v>6.8210702341136802</v>
      </c>
      <c r="L298">
        <f t="shared" si="8"/>
        <v>5.0154666209156859E-2</v>
      </c>
      <c r="M298" cm="1">
        <f t="array" ref="M298">EstymacjaGaussowska($K298,$C$2:$C$151)</f>
        <v>5.3267487931314639E-2</v>
      </c>
      <c r="N298" cm="1">
        <f t="array" ref="N298">EstymacjaGaussowska($K298,$C$2:$C$151,$N$2)</f>
        <v>4.7350932816803568E-2</v>
      </c>
      <c r="O298" cm="1">
        <f t="array" ref="O298">EstymacjaGaussowska($K298,$C$2:$C$151,$O$2)</f>
        <v>8.2886499084583218E-2</v>
      </c>
      <c r="P298" cm="1">
        <f t="array" ref="P298">EstymacjaGaussowska($K298,$C$2:$C$151,$P$2)</f>
        <v>3.1862242126463505E-2</v>
      </c>
      <c r="R298" cm="1">
        <f t="array" ref="R298">EstymacjaEpanecznikowa($K298,$C$2:$C$151,R$2)</f>
        <v>5.6035583458125038E-2</v>
      </c>
      <c r="S298" cm="1">
        <f t="array" ref="S298">EstymacjaEpanecznikowa($K298,$C$2:$C$151,S$2)</f>
        <v>5.168985989352886E-2</v>
      </c>
      <c r="T298" cm="1">
        <f t="array" ref="T298">EstymacjaEpanecznikowa($K298,$C$2:$C$151,T$2)</f>
        <v>9.2281120685456242E-2</v>
      </c>
    </row>
    <row r="299" spans="10:20" x14ac:dyDescent="0.25">
      <c r="J299">
        <v>297</v>
      </c>
      <c r="K299">
        <f t="shared" si="9"/>
        <v>6.8408026755852518</v>
      </c>
      <c r="L299">
        <f t="shared" si="8"/>
        <v>4.9188189986096024E-2</v>
      </c>
      <c r="M299" cm="1">
        <f t="array" ref="M299">EstymacjaGaussowska($K299,$C$2:$C$151)</f>
        <v>5.1650558081081412E-2</v>
      </c>
      <c r="N299" cm="1">
        <f t="array" ref="N299">EstymacjaGaussowska($K299,$C$2:$C$151,$N$2)</f>
        <v>4.3527494967876772E-2</v>
      </c>
      <c r="O299" cm="1">
        <f t="array" ref="O299">EstymacjaGaussowska($K299,$C$2:$C$151,$O$2)</f>
        <v>8.1822677653842046E-2</v>
      </c>
      <c r="P299" cm="1">
        <f t="array" ref="P299">EstymacjaGaussowska($K299,$C$2:$C$151,$P$2)</f>
        <v>3.1849135468207924E-2</v>
      </c>
      <c r="R299" cm="1">
        <f t="array" ref="R299">EstymacjaEpanecznikowa($K299,$C$2:$C$151,R$2)</f>
        <v>5.439437480047854E-2</v>
      </c>
      <c r="S299" cm="1">
        <f t="array" ref="S299">EstymacjaEpanecznikowa($K299,$C$2:$C$151,S$2)</f>
        <v>4.7782487363228578E-2</v>
      </c>
      <c r="T299" cm="1">
        <f t="array" ref="T299">EstymacjaEpanecznikowa($K299,$C$2:$C$151,T$2)</f>
        <v>9.1331456885795206E-2</v>
      </c>
    </row>
    <row r="300" spans="10:20" x14ac:dyDescent="0.25">
      <c r="J300">
        <v>298</v>
      </c>
      <c r="K300">
        <f t="shared" si="9"/>
        <v>6.8605351170568234</v>
      </c>
      <c r="L300">
        <f t="shared" si="8"/>
        <v>4.8234310575080756E-2</v>
      </c>
      <c r="M300" cm="1">
        <f t="array" ref="M300">EstymacjaGaussowska($K300,$C$2:$C$151)</f>
        <v>5.0064867280344441E-2</v>
      </c>
      <c r="N300" cm="1">
        <f t="array" ref="N300">EstymacjaGaussowska($K300,$C$2:$C$151,$N$2)</f>
        <v>4.0160418589624894E-2</v>
      </c>
      <c r="O300" cm="1">
        <f t="array" ref="O300">EstymacjaGaussowska($K300,$C$2:$C$151,$O$2)</f>
        <v>8.0762183605759222E-2</v>
      </c>
      <c r="P300" cm="1">
        <f t="array" ref="P300">EstymacjaGaussowska($K300,$C$2:$C$151,$P$2)</f>
        <v>3.1835949935712267E-2</v>
      </c>
      <c r="R300" cm="1">
        <f t="array" ref="R300">EstymacjaEpanecznikowa($K300,$C$2:$C$151,R$2)</f>
        <v>5.2846863558994123E-2</v>
      </c>
      <c r="S300" cm="1">
        <f t="array" ref="S300">EstymacjaEpanecznikowa($K300,$C$2:$C$151,S$2)</f>
        <v>4.3334762794524466E-2</v>
      </c>
      <c r="T300" cm="1">
        <f t="array" ref="T300">EstymacjaEpanecznikowa($K300,$C$2:$C$151,T$2)</f>
        <v>9.0383231445922474E-2</v>
      </c>
    </row>
    <row r="301" spans="10:20" x14ac:dyDescent="0.25">
      <c r="J301">
        <v>299</v>
      </c>
      <c r="K301">
        <f t="shared" si="9"/>
        <v>6.880267558528395</v>
      </c>
      <c r="L301">
        <f t="shared" si="8"/>
        <v>4.7293019735612639E-2</v>
      </c>
      <c r="M301" cm="1">
        <f t="array" ref="M301">EstymacjaGaussowska($K301,$C$2:$C$151)</f>
        <v>4.8510417528749065E-2</v>
      </c>
      <c r="N301" cm="1">
        <f t="array" ref="N301">EstymacjaGaussowska($K301,$C$2:$C$151,$N$2)</f>
        <v>3.7083466980628157E-2</v>
      </c>
      <c r="O301" cm="1">
        <f t="array" ref="O301">EstymacjaGaussowska($K301,$C$2:$C$151,$O$2)</f>
        <v>7.9705237013799515E-2</v>
      </c>
      <c r="P301" cm="1">
        <f t="array" ref="P301">EstymacjaGaussowska($K301,$C$2:$C$151,$P$2)</f>
        <v>3.1822685631270352E-2</v>
      </c>
      <c r="R301" cm="1">
        <f t="array" ref="R301">EstymacjaEpanecznikowa($K301,$C$2:$C$151,R$2)</f>
        <v>5.126711857036434E-2</v>
      </c>
      <c r="S301" cm="1">
        <f t="array" ref="S301">EstymacjaEpanecznikowa($K301,$C$2:$C$151,S$2)</f>
        <v>3.7842250901784634E-2</v>
      </c>
      <c r="T301" cm="1">
        <f t="array" ref="T301">EstymacjaEpanecznikowa($K301,$C$2:$C$151,T$2)</f>
        <v>8.9448799373074594E-2</v>
      </c>
    </row>
    <row r="302" spans="10:20" x14ac:dyDescent="0.25">
      <c r="J302">
        <v>300</v>
      </c>
      <c r="K302">
        <f t="shared" si="9"/>
        <v>6.8999999999999666</v>
      </c>
      <c r="L302">
        <f t="shared" si="8"/>
        <v>4.6364304715175199E-2</v>
      </c>
      <c r="M302" cm="1">
        <f t="array" ref="M302">EstymacjaGaussowska($K302,$C$2:$C$151)</f>
        <v>4.6987187373196654E-2</v>
      </c>
      <c r="N302" cm="1">
        <f t="array" ref="N302">EstymacjaGaussowska($K302,$C$2:$C$151,$N$2)</f>
        <v>3.4090503642349099E-2</v>
      </c>
      <c r="O302" cm="1">
        <f t="array" ref="O302">EstymacjaGaussowska($K302,$C$2:$C$151,$O$2)</f>
        <v>7.8652054057088708E-2</v>
      </c>
      <c r="P302" cm="1">
        <f t="array" ref="P302">EstymacjaGaussowska($K302,$C$2:$C$151,$P$2)</f>
        <v>3.1809342657758831E-2</v>
      </c>
      <c r="R302" cm="1">
        <f t="array" ref="R302">EstymacjaEpanecznikowa($K302,$C$2:$C$151,R$2)</f>
        <v>4.9655139834589135E-2</v>
      </c>
      <c r="S302" cm="1">
        <f t="array" ref="S302">EstymacjaEpanecznikowa($K302,$C$2:$C$151,S$2)</f>
        <v>3.1304951685009068E-2</v>
      </c>
      <c r="T302" cm="1">
        <f t="array" ref="T302">EstymacjaEpanecznikowa($K302,$C$2:$C$151,T$2)</f>
        <v>8.8504564357433244E-2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6F5ED-80E4-45D9-A60C-7B3D73558633}">
  <sheetPr codeName="Arkusz4"/>
  <dimension ref="A1:S51"/>
  <sheetViews>
    <sheetView zoomScale="80" zoomScaleNormal="80" workbookViewId="0">
      <selection activeCell="N10" sqref="N10"/>
    </sheetView>
  </sheetViews>
  <sheetFormatPr defaultRowHeight="15" x14ac:dyDescent="0.25"/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G1" t="s">
        <v>8</v>
      </c>
      <c r="J1" t="s">
        <v>16</v>
      </c>
      <c r="K1" t="s">
        <v>23</v>
      </c>
      <c r="L1" t="s">
        <v>24</v>
      </c>
      <c r="M1" t="s">
        <v>25</v>
      </c>
      <c r="N1" t="s">
        <v>27</v>
      </c>
      <c r="O1" t="s">
        <v>32</v>
      </c>
      <c r="P1" t="s">
        <v>28</v>
      </c>
      <c r="Q1" t="s">
        <v>29</v>
      </c>
      <c r="R1" t="s">
        <v>30</v>
      </c>
      <c r="S1" t="s">
        <v>31</v>
      </c>
    </row>
    <row r="2" spans="1:19" x14ac:dyDescent="0.25">
      <c r="A2">
        <v>7</v>
      </c>
      <c r="B2">
        <v>3.2</v>
      </c>
      <c r="C2">
        <v>4.7</v>
      </c>
      <c r="D2">
        <v>1.4</v>
      </c>
      <c r="E2" s="2" t="s">
        <v>6</v>
      </c>
      <c r="G2" t="s">
        <v>9</v>
      </c>
      <c r="H2">
        <f>AVERAGE(C2:C51)</f>
        <v>4.26</v>
      </c>
      <c r="J2">
        <v>1</v>
      </c>
      <c r="K2">
        <f>H6-$H$9/2</f>
        <v>2.9249999999999998</v>
      </c>
      <c r="L2">
        <f>K2+$H$9</f>
        <v>3.0749999999999997</v>
      </c>
      <c r="M2">
        <f>COUNTIF($C$2:$C$151,"&lt;="&amp;L2)-COUNTIF($C$2:$C$151,"&lt;="&amp;K2)</f>
        <v>1</v>
      </c>
      <c r="N2">
        <f>M2/$M$17/0.203438104</f>
        <v>9.8309999979158277E-2</v>
      </c>
      <c r="O2">
        <f>_xlfn.NORM.DIST((K2+L2)/2,$H$2,$H$3,FALSE)</f>
        <v>2.3317073828917807E-2</v>
      </c>
      <c r="P2" cm="1">
        <f t="array" ref="P2">EstymacjaGaussowska((K2+L2)/2,$C$2:$C$151)</f>
        <v>7.2286816673830967E-2</v>
      </c>
      <c r="Q2">
        <f>M2</f>
        <v>1</v>
      </c>
      <c r="R2">
        <f>Q2/$M$17</f>
        <v>0.02</v>
      </c>
      <c r="S2">
        <f>_xlfn.NORM.DIST((K2+L2)/2,$H$2,$H$3,TRUE)</f>
        <v>3.6661910126892178E-3</v>
      </c>
    </row>
    <row r="3" spans="1:19" x14ac:dyDescent="0.25">
      <c r="A3">
        <v>6.4</v>
      </c>
      <c r="B3">
        <v>3.2</v>
      </c>
      <c r="C3">
        <v>4.5</v>
      </c>
      <c r="D3">
        <v>1.5</v>
      </c>
      <c r="E3" s="2" t="s">
        <v>6</v>
      </c>
      <c r="G3" t="s">
        <v>10</v>
      </c>
      <c r="H3">
        <f>_xlfn.STDEV.S(C2:C51)</f>
        <v>0.46991097723996639</v>
      </c>
      <c r="J3">
        <v>2</v>
      </c>
      <c r="K3">
        <f>L2</f>
        <v>3.0749999999999997</v>
      </c>
      <c r="L3">
        <f t="shared" ref="L3:L16" si="0">K3+$H$9</f>
        <v>3.2249999999999996</v>
      </c>
      <c r="M3">
        <f t="shared" ref="M3:M16" si="1">COUNTIF($C$2:$C$151,"&lt;="&amp;L3)-COUNTIF($C$2:$C$151,"&lt;="&amp;K3)</f>
        <v>0</v>
      </c>
      <c r="N3">
        <f t="shared" ref="N3:N16" si="2">M3/$M$17/0.203438104</f>
        <v>0</v>
      </c>
      <c r="O3">
        <f t="shared" ref="O3:O16" si="3">_xlfn.NORM.DIST((K3+L3)/2,$H$2,$H$3,FALSE)</f>
        <v>5.2151530396710465E-2</v>
      </c>
      <c r="P3" cm="1">
        <f t="array" ref="P3">EstymacjaGaussowska((K3+L3)/2,$C$2:$C$151)</f>
        <v>0.11424146492105218</v>
      </c>
      <c r="Q3">
        <f>SUM(Q2+M3)</f>
        <v>1</v>
      </c>
      <c r="R3">
        <f>Q3/$M$17</f>
        <v>0.02</v>
      </c>
      <c r="S3">
        <f t="shared" ref="S3:S16" si="4">_xlfn.NORM.DIST((K3+L3)/2,$H$2,$H$3,TRUE)</f>
        <v>9.0846556744512107E-3</v>
      </c>
    </row>
    <row r="4" spans="1:19" x14ac:dyDescent="0.25">
      <c r="A4">
        <v>6.9</v>
      </c>
      <c r="B4">
        <v>3.1</v>
      </c>
      <c r="C4">
        <v>4.9000000000000004</v>
      </c>
      <c r="D4">
        <v>1.5</v>
      </c>
      <c r="E4" s="2" t="s">
        <v>6</v>
      </c>
      <c r="J4">
        <v>3</v>
      </c>
      <c r="K4">
        <f t="shared" ref="K4:K16" si="5">L3</f>
        <v>3.2249999999999996</v>
      </c>
      <c r="L4">
        <f t="shared" si="0"/>
        <v>3.3749999999999996</v>
      </c>
      <c r="M4">
        <f t="shared" si="1"/>
        <v>2</v>
      </c>
      <c r="N4">
        <f t="shared" si="2"/>
        <v>0.19661999995831655</v>
      </c>
      <c r="O4">
        <f t="shared" si="3"/>
        <v>0.1053435106144725</v>
      </c>
      <c r="P4" cm="1">
        <f t="array" ref="P4">EstymacjaGaussowska((K4+L4)/2,$C$2:$C$151)</f>
        <v>0.16289235062310403</v>
      </c>
      <c r="Q4">
        <f t="shared" ref="Q4:Q16" si="6">SUM(Q3+M4)</f>
        <v>3</v>
      </c>
      <c r="R4">
        <f t="shared" ref="R4:R16" si="7">Q4/$M$17</f>
        <v>0.06</v>
      </c>
      <c r="S4">
        <f t="shared" si="4"/>
        <v>2.0529181822787367E-2</v>
      </c>
    </row>
    <row r="5" spans="1:19" x14ac:dyDescent="0.25">
      <c r="A5">
        <v>5.5</v>
      </c>
      <c r="B5">
        <v>2.2999999999999998</v>
      </c>
      <c r="C5">
        <v>4</v>
      </c>
      <c r="D5">
        <v>1.3</v>
      </c>
      <c r="E5" s="2" t="s">
        <v>6</v>
      </c>
      <c r="G5" t="s">
        <v>14</v>
      </c>
      <c r="H5">
        <v>15</v>
      </c>
      <c r="J5">
        <v>4</v>
      </c>
      <c r="K5">
        <f t="shared" si="5"/>
        <v>3.3749999999999996</v>
      </c>
      <c r="L5">
        <f t="shared" si="0"/>
        <v>3.5249999999999995</v>
      </c>
      <c r="M5">
        <f t="shared" si="1"/>
        <v>2</v>
      </c>
      <c r="N5">
        <f t="shared" si="2"/>
        <v>0.19661999995831655</v>
      </c>
      <c r="O5">
        <f t="shared" si="3"/>
        <v>0.19217471138343636</v>
      </c>
      <c r="P5" cm="1">
        <f t="array" ref="P5">EstymacjaGaussowska((K5+L5)/2,$C$2:$C$151)</f>
        <v>0.21483444659751386</v>
      </c>
      <c r="Q5">
        <f t="shared" si="6"/>
        <v>5</v>
      </c>
      <c r="R5">
        <f t="shared" si="7"/>
        <v>0.1</v>
      </c>
      <c r="S5">
        <f t="shared" si="4"/>
        <v>4.2378230799085315E-2</v>
      </c>
    </row>
    <row r="6" spans="1:19" x14ac:dyDescent="0.25">
      <c r="A6">
        <v>6.5</v>
      </c>
      <c r="B6">
        <v>2.8</v>
      </c>
      <c r="C6">
        <v>4.5999999999999996</v>
      </c>
      <c r="D6">
        <v>1.5</v>
      </c>
      <c r="E6" s="2" t="s">
        <v>6</v>
      </c>
      <c r="G6" t="s">
        <v>22</v>
      </c>
      <c r="H6">
        <f>MIN(C2:C51)</f>
        <v>3</v>
      </c>
      <c r="J6">
        <v>5</v>
      </c>
      <c r="K6">
        <f t="shared" si="5"/>
        <v>3.5249999999999995</v>
      </c>
      <c r="L6">
        <f t="shared" si="0"/>
        <v>3.6749999999999994</v>
      </c>
      <c r="M6">
        <f t="shared" si="1"/>
        <v>1</v>
      </c>
      <c r="N6">
        <f t="shared" si="2"/>
        <v>9.8309999979158277E-2</v>
      </c>
      <c r="O6">
        <f t="shared" si="3"/>
        <v>0.31661567201537133</v>
      </c>
      <c r="P6" cm="1">
        <f t="array" ref="P6">EstymacjaGaussowska((K6+L6)/2,$C$2:$C$151)</f>
        <v>0.28126091263596298</v>
      </c>
      <c r="Q6">
        <f t="shared" si="6"/>
        <v>6</v>
      </c>
      <c r="R6">
        <f t="shared" si="7"/>
        <v>0.12</v>
      </c>
      <c r="S6">
        <f t="shared" si="4"/>
        <v>8.0081829354758383E-2</v>
      </c>
    </row>
    <row r="7" spans="1:19" x14ac:dyDescent="0.25">
      <c r="A7">
        <v>5.7</v>
      </c>
      <c r="B7">
        <v>2.8</v>
      </c>
      <c r="C7">
        <v>4.5</v>
      </c>
      <c r="D7">
        <v>1.3</v>
      </c>
      <c r="E7" s="2" t="s">
        <v>6</v>
      </c>
      <c r="G7" t="s">
        <v>13</v>
      </c>
      <c r="H7">
        <f>MAX(C2:C51)</f>
        <v>5.0999999999999996</v>
      </c>
      <c r="J7">
        <v>6</v>
      </c>
      <c r="K7">
        <f t="shared" si="5"/>
        <v>3.6749999999999994</v>
      </c>
      <c r="L7">
        <f t="shared" si="0"/>
        <v>3.8249999999999993</v>
      </c>
      <c r="M7">
        <f t="shared" si="1"/>
        <v>2</v>
      </c>
      <c r="N7">
        <f t="shared" si="2"/>
        <v>0.19661999995831655</v>
      </c>
      <c r="O7">
        <f t="shared" si="3"/>
        <v>0.47110346532153069</v>
      </c>
      <c r="P7" cm="1">
        <f t="array" ref="P7">EstymacjaGaussowska((K7+L7)/2,$C$2:$C$151)</f>
        <v>0.38514043991163227</v>
      </c>
      <c r="Q7">
        <f t="shared" si="6"/>
        <v>8</v>
      </c>
      <c r="R7">
        <f t="shared" si="7"/>
        <v>0.16</v>
      </c>
      <c r="S7">
        <f t="shared" si="4"/>
        <v>0.13889175703011239</v>
      </c>
    </row>
    <row r="8" spans="1:19" x14ac:dyDescent="0.25">
      <c r="A8">
        <v>6.3</v>
      </c>
      <c r="B8">
        <v>3.3</v>
      </c>
      <c r="C8">
        <v>4.7</v>
      </c>
      <c r="D8">
        <v>1.6</v>
      </c>
      <c r="E8" s="2" t="s">
        <v>6</v>
      </c>
      <c r="J8">
        <v>7</v>
      </c>
      <c r="K8">
        <f t="shared" si="5"/>
        <v>3.8249999999999993</v>
      </c>
      <c r="L8">
        <f t="shared" si="0"/>
        <v>3.9749999999999992</v>
      </c>
      <c r="M8">
        <f t="shared" si="1"/>
        <v>3</v>
      </c>
      <c r="N8">
        <f t="shared" si="2"/>
        <v>0.29492999993747482</v>
      </c>
      <c r="O8">
        <f t="shared" si="3"/>
        <v>0.63306442625652404</v>
      </c>
      <c r="P8" cm="1">
        <f t="array" ref="P8">EstymacjaGaussowska((K8+L8)/2,$C$2:$C$151)</f>
        <v>0.51855908403867901</v>
      </c>
      <c r="Q8">
        <f>SUM(Q7+M8)</f>
        <v>11</v>
      </c>
      <c r="R8">
        <f t="shared" si="7"/>
        <v>0.22</v>
      </c>
      <c r="S8">
        <f t="shared" si="4"/>
        <v>0.22180764161143202</v>
      </c>
    </row>
    <row r="9" spans="1:19" x14ac:dyDescent="0.25">
      <c r="A9">
        <v>4.9000000000000004</v>
      </c>
      <c r="B9">
        <v>2.4</v>
      </c>
      <c r="C9">
        <v>3.3</v>
      </c>
      <c r="D9">
        <v>1</v>
      </c>
      <c r="E9" s="2" t="s">
        <v>6</v>
      </c>
      <c r="G9" t="s">
        <v>15</v>
      </c>
      <c r="H9">
        <f>($H$7-$H$6)/($H$5-1)</f>
        <v>0.14999999999999997</v>
      </c>
      <c r="J9">
        <v>8</v>
      </c>
      <c r="K9">
        <f t="shared" si="5"/>
        <v>3.9749999999999992</v>
      </c>
      <c r="L9">
        <f t="shared" si="0"/>
        <v>4.1249999999999991</v>
      </c>
      <c r="M9">
        <f t="shared" si="1"/>
        <v>8</v>
      </c>
      <c r="N9">
        <f t="shared" si="2"/>
        <v>0.78647999983326622</v>
      </c>
      <c r="O9">
        <f t="shared" si="3"/>
        <v>0.76829364578941428</v>
      </c>
      <c r="P9" cm="1">
        <f t="array" ref="P9">EstymacjaGaussowska((K9+L9)/2,$C$2:$C$151)</f>
        <v>0.63527121298281763</v>
      </c>
      <c r="Q9">
        <f t="shared" si="6"/>
        <v>19</v>
      </c>
      <c r="R9">
        <f t="shared" si="7"/>
        <v>0.38</v>
      </c>
      <c r="S9">
        <f t="shared" si="4"/>
        <v>0.32747610261167093</v>
      </c>
    </row>
    <row r="10" spans="1:19" x14ac:dyDescent="0.25">
      <c r="A10">
        <v>6.6</v>
      </c>
      <c r="B10">
        <v>2.9</v>
      </c>
      <c r="C10">
        <v>4.5999999999999996</v>
      </c>
      <c r="D10">
        <v>1.3</v>
      </c>
      <c r="E10" s="2" t="s">
        <v>6</v>
      </c>
      <c r="J10">
        <v>9</v>
      </c>
      <c r="K10">
        <f t="shared" si="5"/>
        <v>4.1249999999999991</v>
      </c>
      <c r="L10">
        <f t="shared" si="0"/>
        <v>4.2749999999999995</v>
      </c>
      <c r="M10">
        <f t="shared" si="1"/>
        <v>4</v>
      </c>
      <c r="N10">
        <f t="shared" si="2"/>
        <v>0.39323999991663311</v>
      </c>
      <c r="O10">
        <f t="shared" si="3"/>
        <v>0.8420818234029448</v>
      </c>
      <c r="P10" cm="1">
        <f t="array" ref="P10">EstymacjaGaussowska((K10+L10)/2,$C$2:$C$151)</f>
        <v>0.7142359361629097</v>
      </c>
      <c r="Q10">
        <f t="shared" si="6"/>
        <v>23</v>
      </c>
      <c r="R10">
        <f t="shared" si="7"/>
        <v>0.46</v>
      </c>
      <c r="S10">
        <f>_xlfn.NORM.DIST((K10+L10)/2,$H$2,$H$3,TRUE)</f>
        <v>0.44919962163456878</v>
      </c>
    </row>
    <row r="11" spans="1:19" x14ac:dyDescent="0.25">
      <c r="A11">
        <v>5.2</v>
      </c>
      <c r="B11">
        <v>2.7</v>
      </c>
      <c r="C11">
        <v>3.9</v>
      </c>
      <c r="D11">
        <v>1.4</v>
      </c>
      <c r="E11" s="2" t="s">
        <v>6</v>
      </c>
      <c r="J11">
        <v>10</v>
      </c>
      <c r="K11">
        <f t="shared" si="5"/>
        <v>4.2749999999999995</v>
      </c>
      <c r="L11">
        <f t="shared" si="0"/>
        <v>4.4249999999999998</v>
      </c>
      <c r="M11">
        <f t="shared" si="1"/>
        <v>6</v>
      </c>
      <c r="N11">
        <f t="shared" si="2"/>
        <v>0.58985999987494964</v>
      </c>
      <c r="O11">
        <f t="shared" si="3"/>
        <v>0.83354502756350068</v>
      </c>
      <c r="P11" cm="1">
        <f t="array" ref="P11">EstymacjaGaussowska((K11+L11)/2,$C$2:$C$151)</f>
        <v>0.77017954190074966</v>
      </c>
      <c r="Q11">
        <f t="shared" si="6"/>
        <v>29</v>
      </c>
      <c r="R11">
        <f t="shared" si="7"/>
        <v>0.57999999999999996</v>
      </c>
      <c r="S11">
        <f t="shared" si="4"/>
        <v>0.57594310218789357</v>
      </c>
    </row>
    <row r="12" spans="1:19" x14ac:dyDescent="0.25">
      <c r="A12">
        <v>5</v>
      </c>
      <c r="B12">
        <v>2</v>
      </c>
      <c r="C12">
        <v>3.5</v>
      </c>
      <c r="D12">
        <v>1</v>
      </c>
      <c r="E12" s="2" t="s">
        <v>6</v>
      </c>
      <c r="J12">
        <v>11</v>
      </c>
      <c r="K12">
        <f t="shared" si="5"/>
        <v>4.4249999999999998</v>
      </c>
      <c r="L12">
        <f t="shared" si="0"/>
        <v>4.5750000000000002</v>
      </c>
      <c r="M12">
        <f t="shared" si="1"/>
        <v>7</v>
      </c>
      <c r="N12">
        <f t="shared" si="2"/>
        <v>0.68816999985410798</v>
      </c>
      <c r="O12">
        <f t="shared" si="3"/>
        <v>0.74516347176063358</v>
      </c>
      <c r="P12" cm="1">
        <f t="array" ref="P12">EstymacjaGaussowska((K12+L12)/2,$C$2:$C$151)</f>
        <v>0.78405908674254088</v>
      </c>
      <c r="Q12">
        <f>SUM(Q11+M12)</f>
        <v>36</v>
      </c>
      <c r="R12">
        <f t="shared" si="7"/>
        <v>0.72</v>
      </c>
      <c r="S12">
        <f t="shared" si="4"/>
        <v>0.69523169805790674</v>
      </c>
    </row>
    <row r="13" spans="1:19" x14ac:dyDescent="0.25">
      <c r="A13">
        <v>5.9</v>
      </c>
      <c r="B13">
        <v>3</v>
      </c>
      <c r="C13">
        <v>4.2</v>
      </c>
      <c r="D13">
        <v>1.5</v>
      </c>
      <c r="E13" s="2" t="s">
        <v>6</v>
      </c>
      <c r="J13">
        <v>12</v>
      </c>
      <c r="K13">
        <f t="shared" si="5"/>
        <v>4.5750000000000002</v>
      </c>
      <c r="L13">
        <f t="shared" si="0"/>
        <v>4.7250000000000005</v>
      </c>
      <c r="M13">
        <f t="shared" si="1"/>
        <v>8</v>
      </c>
      <c r="N13">
        <f t="shared" si="2"/>
        <v>0.78647999983326622</v>
      </c>
      <c r="O13">
        <f t="shared" si="3"/>
        <v>0.60161931394853496</v>
      </c>
      <c r="P13" cm="1">
        <f t="array" ref="P13">EstymacjaGaussowska((K13+L13)/2,$C$2:$C$151)</f>
        <v>0.70877823645377103</v>
      </c>
      <c r="Q13">
        <f t="shared" si="6"/>
        <v>44</v>
      </c>
      <c r="R13">
        <f t="shared" si="7"/>
        <v>0.88</v>
      </c>
      <c r="S13">
        <f t="shared" si="4"/>
        <v>0.79671489958657071</v>
      </c>
    </row>
    <row r="14" spans="1:19" x14ac:dyDescent="0.25">
      <c r="A14">
        <v>6</v>
      </c>
      <c r="B14">
        <v>2.2000000000000002</v>
      </c>
      <c r="C14">
        <v>4</v>
      </c>
      <c r="D14">
        <v>1</v>
      </c>
      <c r="E14" s="2" t="s">
        <v>6</v>
      </c>
      <c r="J14">
        <v>13</v>
      </c>
      <c r="K14">
        <f t="shared" si="5"/>
        <v>4.7250000000000005</v>
      </c>
      <c r="L14">
        <f t="shared" si="0"/>
        <v>4.8750000000000009</v>
      </c>
      <c r="M14">
        <f t="shared" si="1"/>
        <v>2</v>
      </c>
      <c r="N14">
        <f t="shared" si="2"/>
        <v>0.19661999995831655</v>
      </c>
      <c r="O14">
        <f t="shared" si="3"/>
        <v>0.43867178619146596</v>
      </c>
      <c r="P14" cm="1">
        <f t="array" ref="P14">EstymacjaGaussowska((K14+L14)/2,$C$2:$C$151)</f>
        <v>0.54773141546263759</v>
      </c>
      <c r="Q14">
        <f t="shared" si="6"/>
        <v>46</v>
      </c>
      <c r="R14">
        <f t="shared" si="7"/>
        <v>0.92</v>
      </c>
      <c r="S14">
        <f t="shared" si="4"/>
        <v>0.87475372280634878</v>
      </c>
    </row>
    <row r="15" spans="1:19" x14ac:dyDescent="0.25">
      <c r="A15">
        <v>6.1</v>
      </c>
      <c r="B15">
        <v>2.9</v>
      </c>
      <c r="C15">
        <v>4.7</v>
      </c>
      <c r="D15">
        <v>1.4</v>
      </c>
      <c r="E15" s="2" t="s">
        <v>6</v>
      </c>
      <c r="J15">
        <v>14</v>
      </c>
      <c r="K15">
        <f t="shared" si="5"/>
        <v>4.8750000000000009</v>
      </c>
      <c r="L15">
        <f t="shared" si="0"/>
        <v>5.0250000000000012</v>
      </c>
      <c r="M15">
        <f t="shared" si="1"/>
        <v>3</v>
      </c>
      <c r="N15">
        <f t="shared" si="2"/>
        <v>0.29492999993747482</v>
      </c>
      <c r="O15">
        <f t="shared" si="3"/>
        <v>0.28887193881437689</v>
      </c>
      <c r="P15" cm="1">
        <f t="array" ref="P15">EstymacjaGaussowska((K15+L15)/2,$C$2:$C$151)</f>
        <v>0.35973451132412049</v>
      </c>
      <c r="Q15">
        <f t="shared" si="6"/>
        <v>49</v>
      </c>
      <c r="R15">
        <f t="shared" si="7"/>
        <v>0.98</v>
      </c>
      <c r="S15">
        <f t="shared" si="4"/>
        <v>0.92899720792243379</v>
      </c>
    </row>
    <row r="16" spans="1:19" x14ac:dyDescent="0.25">
      <c r="A16">
        <v>5.6</v>
      </c>
      <c r="B16">
        <v>2.9</v>
      </c>
      <c r="C16">
        <v>3.6</v>
      </c>
      <c r="D16">
        <v>1.3</v>
      </c>
      <c r="E16" s="2" t="s">
        <v>6</v>
      </c>
      <c r="J16">
        <v>15</v>
      </c>
      <c r="K16">
        <f t="shared" si="5"/>
        <v>5.0250000000000012</v>
      </c>
      <c r="L16">
        <f t="shared" si="0"/>
        <v>5.1750000000000016</v>
      </c>
      <c r="M16">
        <f t="shared" si="1"/>
        <v>1</v>
      </c>
      <c r="N16">
        <f t="shared" si="2"/>
        <v>9.8309999979158277E-2</v>
      </c>
      <c r="O16">
        <f t="shared" si="3"/>
        <v>0.17179824770554378</v>
      </c>
      <c r="P16" cm="1">
        <f t="array" ref="P16">EstymacjaGaussowska((K16+L16)/2,$C$2:$C$151)</f>
        <v>0.1999356276909334</v>
      </c>
      <c r="Q16">
        <f t="shared" si="6"/>
        <v>50</v>
      </c>
      <c r="R16">
        <f t="shared" si="7"/>
        <v>1</v>
      </c>
      <c r="S16">
        <f t="shared" si="4"/>
        <v>0.96307750748372134</v>
      </c>
    </row>
    <row r="17" spans="1:13" x14ac:dyDescent="0.25">
      <c r="A17">
        <v>6.7</v>
      </c>
      <c r="B17">
        <v>3.1</v>
      </c>
      <c r="C17">
        <v>4.4000000000000004</v>
      </c>
      <c r="D17">
        <v>1.4</v>
      </c>
      <c r="E17" s="2" t="s">
        <v>6</v>
      </c>
      <c r="J17" t="s">
        <v>26</v>
      </c>
      <c r="M17">
        <f>SUM(M2:M16)</f>
        <v>50</v>
      </c>
    </row>
    <row r="18" spans="1:13" x14ac:dyDescent="0.25">
      <c r="A18">
        <v>5.6</v>
      </c>
      <c r="B18">
        <v>3</v>
      </c>
      <c r="C18">
        <v>4.5</v>
      </c>
      <c r="D18">
        <v>1.5</v>
      </c>
      <c r="E18" s="2" t="s">
        <v>6</v>
      </c>
    </row>
    <row r="19" spans="1:13" x14ac:dyDescent="0.25">
      <c r="A19">
        <v>5.8</v>
      </c>
      <c r="B19">
        <v>2.7</v>
      </c>
      <c r="C19">
        <v>4.0999999999999996</v>
      </c>
      <c r="D19">
        <v>1</v>
      </c>
      <c r="E19" s="2" t="s">
        <v>6</v>
      </c>
    </row>
    <row r="20" spans="1:13" x14ac:dyDescent="0.25">
      <c r="A20">
        <v>6.2</v>
      </c>
      <c r="B20">
        <v>2.2000000000000002</v>
      </c>
      <c r="C20">
        <v>4.5</v>
      </c>
      <c r="D20">
        <v>1.5</v>
      </c>
      <c r="E20" s="2" t="s">
        <v>6</v>
      </c>
    </row>
    <row r="21" spans="1:13" x14ac:dyDescent="0.25">
      <c r="A21">
        <v>5.6</v>
      </c>
      <c r="B21">
        <v>2.5</v>
      </c>
      <c r="C21">
        <v>3.9</v>
      </c>
      <c r="D21">
        <v>1.1000000000000001</v>
      </c>
      <c r="E21" s="2" t="s">
        <v>6</v>
      </c>
    </row>
    <row r="22" spans="1:13" x14ac:dyDescent="0.25">
      <c r="A22">
        <v>5.9</v>
      </c>
      <c r="B22">
        <v>3.2</v>
      </c>
      <c r="C22">
        <v>4.8</v>
      </c>
      <c r="D22">
        <v>1.8</v>
      </c>
      <c r="E22" s="2" t="s">
        <v>6</v>
      </c>
    </row>
    <row r="23" spans="1:13" x14ac:dyDescent="0.25">
      <c r="A23">
        <v>6.1</v>
      </c>
      <c r="B23">
        <v>2.8</v>
      </c>
      <c r="C23">
        <v>4</v>
      </c>
      <c r="D23">
        <v>1.3</v>
      </c>
      <c r="E23" s="2" t="s">
        <v>6</v>
      </c>
    </row>
    <row r="24" spans="1:13" x14ac:dyDescent="0.25">
      <c r="A24">
        <v>6.3</v>
      </c>
      <c r="B24">
        <v>2.5</v>
      </c>
      <c r="C24">
        <v>4.9000000000000004</v>
      </c>
      <c r="D24">
        <v>1.5</v>
      </c>
      <c r="E24" s="2" t="s">
        <v>6</v>
      </c>
    </row>
    <row r="25" spans="1:13" x14ac:dyDescent="0.25">
      <c r="A25">
        <v>6.1</v>
      </c>
      <c r="B25">
        <v>2.8</v>
      </c>
      <c r="C25">
        <v>4.7</v>
      </c>
      <c r="D25">
        <v>1.2</v>
      </c>
      <c r="E25" s="2" t="s">
        <v>6</v>
      </c>
    </row>
    <row r="26" spans="1:13" x14ac:dyDescent="0.25">
      <c r="A26">
        <v>6.4</v>
      </c>
      <c r="B26">
        <v>2.9</v>
      </c>
      <c r="C26">
        <v>4.3</v>
      </c>
      <c r="D26">
        <v>1.3</v>
      </c>
      <c r="E26" s="2" t="s">
        <v>6</v>
      </c>
    </row>
    <row r="27" spans="1:13" x14ac:dyDescent="0.25">
      <c r="A27">
        <v>6.6</v>
      </c>
      <c r="B27">
        <v>3</v>
      </c>
      <c r="C27">
        <v>4.4000000000000004</v>
      </c>
      <c r="D27">
        <v>1.4</v>
      </c>
      <c r="E27" s="2" t="s">
        <v>6</v>
      </c>
    </row>
    <row r="28" spans="1:13" x14ac:dyDescent="0.25">
      <c r="A28">
        <v>6.8</v>
      </c>
      <c r="B28">
        <v>2.8</v>
      </c>
      <c r="C28">
        <v>4.8</v>
      </c>
      <c r="D28">
        <v>1.4</v>
      </c>
      <c r="E28" s="2" t="s">
        <v>6</v>
      </c>
    </row>
    <row r="29" spans="1:13" x14ac:dyDescent="0.25">
      <c r="A29">
        <v>6.7</v>
      </c>
      <c r="B29">
        <v>3</v>
      </c>
      <c r="C29">
        <v>5</v>
      </c>
      <c r="D29">
        <v>1.7</v>
      </c>
      <c r="E29" s="2" t="s">
        <v>6</v>
      </c>
    </row>
    <row r="30" spans="1:13" x14ac:dyDescent="0.25">
      <c r="A30">
        <v>6</v>
      </c>
      <c r="B30">
        <v>2.9</v>
      </c>
      <c r="C30">
        <v>4.5</v>
      </c>
      <c r="D30">
        <v>1.5</v>
      </c>
      <c r="E30" s="2" t="s">
        <v>6</v>
      </c>
    </row>
    <row r="31" spans="1:13" x14ac:dyDescent="0.25">
      <c r="A31">
        <v>5.7</v>
      </c>
      <c r="B31">
        <v>2.6</v>
      </c>
      <c r="C31">
        <v>3.5</v>
      </c>
      <c r="D31">
        <v>1</v>
      </c>
      <c r="E31" s="2" t="s">
        <v>6</v>
      </c>
    </row>
    <row r="32" spans="1:13" x14ac:dyDescent="0.25">
      <c r="A32">
        <v>5.5</v>
      </c>
      <c r="B32">
        <v>2.4</v>
      </c>
      <c r="C32">
        <v>3.8</v>
      </c>
      <c r="D32">
        <v>1.1000000000000001</v>
      </c>
      <c r="E32" s="2" t="s">
        <v>6</v>
      </c>
    </row>
    <row r="33" spans="1:5" x14ac:dyDescent="0.25">
      <c r="A33">
        <v>5.5</v>
      </c>
      <c r="B33">
        <v>2.4</v>
      </c>
      <c r="C33">
        <v>3.7</v>
      </c>
      <c r="D33">
        <v>1</v>
      </c>
      <c r="E33" s="2" t="s">
        <v>6</v>
      </c>
    </row>
    <row r="34" spans="1:5" x14ac:dyDescent="0.25">
      <c r="A34">
        <v>5.8</v>
      </c>
      <c r="B34">
        <v>2.7</v>
      </c>
      <c r="C34">
        <v>3.9</v>
      </c>
      <c r="D34">
        <v>1.2</v>
      </c>
      <c r="E34" s="2" t="s">
        <v>6</v>
      </c>
    </row>
    <row r="35" spans="1:5" x14ac:dyDescent="0.25">
      <c r="A35">
        <v>6</v>
      </c>
      <c r="B35">
        <v>2.7</v>
      </c>
      <c r="C35">
        <v>5.0999999999999996</v>
      </c>
      <c r="D35">
        <v>1.6</v>
      </c>
      <c r="E35" s="2" t="s">
        <v>6</v>
      </c>
    </row>
    <row r="36" spans="1:5" x14ac:dyDescent="0.25">
      <c r="A36">
        <v>5.4</v>
      </c>
      <c r="B36">
        <v>3</v>
      </c>
      <c r="C36">
        <v>4.5</v>
      </c>
      <c r="D36">
        <v>1.5</v>
      </c>
      <c r="E36" s="2" t="s">
        <v>6</v>
      </c>
    </row>
    <row r="37" spans="1:5" x14ac:dyDescent="0.25">
      <c r="A37">
        <v>6</v>
      </c>
      <c r="B37">
        <v>3.4</v>
      </c>
      <c r="C37">
        <v>4.5</v>
      </c>
      <c r="D37">
        <v>1.6</v>
      </c>
      <c r="E37" s="2" t="s">
        <v>6</v>
      </c>
    </row>
    <row r="38" spans="1:5" x14ac:dyDescent="0.25">
      <c r="A38">
        <v>6.7</v>
      </c>
      <c r="B38">
        <v>3.1</v>
      </c>
      <c r="C38">
        <v>4.7</v>
      </c>
      <c r="D38">
        <v>1.5</v>
      </c>
      <c r="E38" s="2" t="s">
        <v>6</v>
      </c>
    </row>
    <row r="39" spans="1:5" x14ac:dyDescent="0.25">
      <c r="A39">
        <v>6.3</v>
      </c>
      <c r="B39">
        <v>2.2999999999999998</v>
      </c>
      <c r="C39">
        <v>4.4000000000000004</v>
      </c>
      <c r="D39">
        <v>1.3</v>
      </c>
      <c r="E39" s="2" t="s">
        <v>6</v>
      </c>
    </row>
    <row r="40" spans="1:5" x14ac:dyDescent="0.25">
      <c r="A40">
        <v>5.6</v>
      </c>
      <c r="B40">
        <v>3</v>
      </c>
      <c r="C40">
        <v>4.0999999999999996</v>
      </c>
      <c r="D40">
        <v>1.3</v>
      </c>
      <c r="E40" s="2" t="s">
        <v>6</v>
      </c>
    </row>
    <row r="41" spans="1:5" x14ac:dyDescent="0.25">
      <c r="A41">
        <v>5.5</v>
      </c>
      <c r="B41">
        <v>2.5</v>
      </c>
      <c r="C41">
        <v>4</v>
      </c>
      <c r="D41">
        <v>1.3</v>
      </c>
      <c r="E41" s="2" t="s">
        <v>6</v>
      </c>
    </row>
    <row r="42" spans="1:5" x14ac:dyDescent="0.25">
      <c r="A42">
        <v>5.5</v>
      </c>
      <c r="B42">
        <v>2.6</v>
      </c>
      <c r="C42">
        <v>4.4000000000000004</v>
      </c>
      <c r="D42">
        <v>1.2</v>
      </c>
      <c r="E42" s="2" t="s">
        <v>6</v>
      </c>
    </row>
    <row r="43" spans="1:5" x14ac:dyDescent="0.25">
      <c r="A43">
        <v>6.1</v>
      </c>
      <c r="B43">
        <v>3</v>
      </c>
      <c r="C43">
        <v>4.5999999999999996</v>
      </c>
      <c r="D43">
        <v>1.4</v>
      </c>
      <c r="E43" s="2" t="s">
        <v>6</v>
      </c>
    </row>
    <row r="44" spans="1:5" x14ac:dyDescent="0.25">
      <c r="A44">
        <v>5.8</v>
      </c>
      <c r="B44">
        <v>2.6</v>
      </c>
      <c r="C44">
        <v>4</v>
      </c>
      <c r="D44">
        <v>1.2</v>
      </c>
      <c r="E44" s="2" t="s">
        <v>6</v>
      </c>
    </row>
    <row r="45" spans="1:5" x14ac:dyDescent="0.25">
      <c r="A45">
        <v>5</v>
      </c>
      <c r="B45">
        <v>2.2999999999999998</v>
      </c>
      <c r="C45">
        <v>3.3</v>
      </c>
      <c r="D45">
        <v>1</v>
      </c>
      <c r="E45" s="2" t="s">
        <v>6</v>
      </c>
    </row>
    <row r="46" spans="1:5" x14ac:dyDescent="0.25">
      <c r="A46">
        <v>5.6</v>
      </c>
      <c r="B46">
        <v>2.7</v>
      </c>
      <c r="C46">
        <v>4.2</v>
      </c>
      <c r="D46">
        <v>1.3</v>
      </c>
      <c r="E46" s="2" t="s">
        <v>6</v>
      </c>
    </row>
    <row r="47" spans="1:5" x14ac:dyDescent="0.25">
      <c r="A47">
        <v>5.7</v>
      </c>
      <c r="B47">
        <v>3</v>
      </c>
      <c r="C47">
        <v>4.2</v>
      </c>
      <c r="D47">
        <v>1.2</v>
      </c>
      <c r="E47" s="2" t="s">
        <v>6</v>
      </c>
    </row>
    <row r="48" spans="1:5" x14ac:dyDescent="0.25">
      <c r="A48">
        <v>5.7</v>
      </c>
      <c r="B48">
        <v>2.9</v>
      </c>
      <c r="C48">
        <v>4.2</v>
      </c>
      <c r="D48">
        <v>1.3</v>
      </c>
      <c r="E48" s="2" t="s">
        <v>6</v>
      </c>
    </row>
    <row r="49" spans="1:5" x14ac:dyDescent="0.25">
      <c r="A49">
        <v>6.2</v>
      </c>
      <c r="B49">
        <v>2.9</v>
      </c>
      <c r="C49">
        <v>4.3</v>
      </c>
      <c r="D49">
        <v>1.3</v>
      </c>
      <c r="E49" s="2" t="s">
        <v>6</v>
      </c>
    </row>
    <row r="50" spans="1:5" x14ac:dyDescent="0.25">
      <c r="A50">
        <v>5.0999999999999996</v>
      </c>
      <c r="B50">
        <v>2.5</v>
      </c>
      <c r="C50">
        <v>3</v>
      </c>
      <c r="D50">
        <v>1.1000000000000001</v>
      </c>
      <c r="E50" s="2" t="s">
        <v>6</v>
      </c>
    </row>
    <row r="51" spans="1:5" x14ac:dyDescent="0.25">
      <c r="A51">
        <v>5.7</v>
      </c>
      <c r="B51">
        <v>2.8</v>
      </c>
      <c r="C51">
        <v>4.0999999999999996</v>
      </c>
      <c r="D51">
        <v>1.3</v>
      </c>
      <c r="E51" s="2" t="s">
        <v>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02CE2-8B2D-4319-A145-5CF48C4778EE}">
  <sheetPr codeName="Arkusz5"/>
  <dimension ref="A1:L51"/>
  <sheetViews>
    <sheetView workbookViewId="0">
      <selection activeCell="J31" sqref="J31"/>
    </sheetView>
  </sheetViews>
  <sheetFormatPr defaultRowHeight="15" x14ac:dyDescent="0.25"/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G1" s="2" t="s">
        <v>21</v>
      </c>
      <c r="J1" t="s">
        <v>16</v>
      </c>
      <c r="K1" t="s">
        <v>33</v>
      </c>
      <c r="L1" t="s">
        <v>34</v>
      </c>
    </row>
    <row r="2" spans="1:12" x14ac:dyDescent="0.25">
      <c r="A2">
        <v>7</v>
      </c>
      <c r="B2">
        <v>3.2</v>
      </c>
      <c r="C2">
        <v>4.7</v>
      </c>
      <c r="D2">
        <v>1.4</v>
      </c>
      <c r="E2" s="2" t="s">
        <v>6</v>
      </c>
      <c r="G2" t="s">
        <v>9</v>
      </c>
      <c r="H2">
        <f>AVERAGE(C2:C151)</f>
        <v>4.26</v>
      </c>
      <c r="J2">
        <v>1</v>
      </c>
      <c r="K2">
        <f>SMALL($C$2:$C$151,J2)</f>
        <v>3</v>
      </c>
      <c r="L2">
        <f>_xlfn.NORM.INV((J2-1/2)/$H$5,$H$2,$H$3)</f>
        <v>3.1668235971093504</v>
      </c>
    </row>
    <row r="3" spans="1:12" x14ac:dyDescent="0.25">
      <c r="A3">
        <v>6.4</v>
      </c>
      <c r="B3">
        <v>3.2</v>
      </c>
      <c r="C3">
        <v>4.5</v>
      </c>
      <c r="D3">
        <v>1.5</v>
      </c>
      <c r="E3" s="2" t="s">
        <v>6</v>
      </c>
      <c r="G3" t="s">
        <v>10</v>
      </c>
      <c r="H3">
        <f>_xlfn.STDEV.S(C2:C151)</f>
        <v>0.46991097723996639</v>
      </c>
      <c r="J3">
        <v>2</v>
      </c>
      <c r="K3">
        <f t="shared" ref="K3:K51" si="0">SMALL($C$2:$C$151,J3)</f>
        <v>3.3</v>
      </c>
      <c r="L3">
        <f t="shared" ref="L3:L51" si="1">_xlfn.NORM.INV((J3-1/2)/$H$5,$H$2,$H$3)</f>
        <v>3.376194437606963</v>
      </c>
    </row>
    <row r="4" spans="1:12" x14ac:dyDescent="0.25">
      <c r="A4">
        <v>6.9</v>
      </c>
      <c r="B4">
        <v>3.1</v>
      </c>
      <c r="C4">
        <v>4.9000000000000004</v>
      </c>
      <c r="D4">
        <v>1.5</v>
      </c>
      <c r="E4" s="2" t="s">
        <v>6</v>
      </c>
      <c r="J4">
        <v>3</v>
      </c>
      <c r="K4">
        <f t="shared" si="0"/>
        <v>3.3</v>
      </c>
      <c r="L4">
        <f t="shared" si="1"/>
        <v>3.4870652247425302</v>
      </c>
    </row>
    <row r="5" spans="1:12" x14ac:dyDescent="0.25">
      <c r="A5">
        <v>5.5</v>
      </c>
      <c r="B5">
        <v>2.2999999999999998</v>
      </c>
      <c r="C5">
        <v>4</v>
      </c>
      <c r="D5">
        <v>1.3</v>
      </c>
      <c r="E5" s="2" t="s">
        <v>6</v>
      </c>
      <c r="G5" t="s">
        <v>11</v>
      </c>
      <c r="H5">
        <v>50</v>
      </c>
      <c r="J5">
        <v>4</v>
      </c>
      <c r="K5">
        <f t="shared" si="0"/>
        <v>3.5</v>
      </c>
      <c r="L5">
        <f t="shared" si="1"/>
        <v>3.5665095957463513</v>
      </c>
    </row>
    <row r="6" spans="1:12" x14ac:dyDescent="0.25">
      <c r="A6">
        <v>6.5</v>
      </c>
      <c r="B6">
        <v>2.8</v>
      </c>
      <c r="C6">
        <v>4.5999999999999996</v>
      </c>
      <c r="D6">
        <v>1.5</v>
      </c>
      <c r="E6" s="2" t="s">
        <v>6</v>
      </c>
      <c r="J6">
        <v>5</v>
      </c>
      <c r="K6">
        <f t="shared" si="0"/>
        <v>3.5</v>
      </c>
      <c r="L6">
        <f t="shared" si="1"/>
        <v>3.6299644918792264</v>
      </c>
    </row>
    <row r="7" spans="1:12" x14ac:dyDescent="0.25">
      <c r="A7">
        <v>5.7</v>
      </c>
      <c r="B7">
        <v>2.8</v>
      </c>
      <c r="C7">
        <v>4.5</v>
      </c>
      <c r="D7">
        <v>1.3</v>
      </c>
      <c r="E7" s="2" t="s">
        <v>6</v>
      </c>
      <c r="J7">
        <v>6</v>
      </c>
      <c r="K7">
        <f t="shared" si="0"/>
        <v>3.6</v>
      </c>
      <c r="L7">
        <f t="shared" si="1"/>
        <v>3.6836409725012973</v>
      </c>
    </row>
    <row r="8" spans="1:12" x14ac:dyDescent="0.25">
      <c r="A8">
        <v>6.3</v>
      </c>
      <c r="B8">
        <v>3.3</v>
      </c>
      <c r="C8">
        <v>4.7</v>
      </c>
      <c r="D8">
        <v>1.6</v>
      </c>
      <c r="E8" s="2" t="s">
        <v>6</v>
      </c>
      <c r="J8">
        <v>7</v>
      </c>
      <c r="K8">
        <f t="shared" si="0"/>
        <v>3.7</v>
      </c>
      <c r="L8">
        <f t="shared" si="1"/>
        <v>3.7306964437989478</v>
      </c>
    </row>
    <row r="9" spans="1:12" x14ac:dyDescent="0.25">
      <c r="A9">
        <v>4.9000000000000004</v>
      </c>
      <c r="B9">
        <v>2.4</v>
      </c>
      <c r="C9">
        <v>3.3</v>
      </c>
      <c r="D9">
        <v>1</v>
      </c>
      <c r="E9" s="2" t="s">
        <v>6</v>
      </c>
      <c r="J9">
        <v>8</v>
      </c>
      <c r="K9">
        <f t="shared" si="0"/>
        <v>3.8</v>
      </c>
      <c r="L9">
        <f t="shared" si="1"/>
        <v>3.7729685730988423</v>
      </c>
    </row>
    <row r="10" spans="1:12" x14ac:dyDescent="0.25">
      <c r="A10">
        <v>6.6</v>
      </c>
      <c r="B10">
        <v>2.9</v>
      </c>
      <c r="C10">
        <v>4.5999999999999996</v>
      </c>
      <c r="D10">
        <v>1.3</v>
      </c>
      <c r="E10" s="2" t="s">
        <v>6</v>
      </c>
      <c r="J10">
        <v>9</v>
      </c>
      <c r="K10">
        <f t="shared" si="0"/>
        <v>3.9</v>
      </c>
      <c r="L10">
        <f t="shared" si="1"/>
        <v>3.8116272734456511</v>
      </c>
    </row>
    <row r="11" spans="1:12" x14ac:dyDescent="0.25">
      <c r="A11">
        <v>5.2</v>
      </c>
      <c r="B11">
        <v>2.7</v>
      </c>
      <c r="C11">
        <v>3.9</v>
      </c>
      <c r="D11">
        <v>1.4</v>
      </c>
      <c r="E11" s="2" t="s">
        <v>6</v>
      </c>
      <c r="J11">
        <v>10</v>
      </c>
      <c r="K11">
        <f t="shared" si="0"/>
        <v>3.9</v>
      </c>
      <c r="L11">
        <f t="shared" si="1"/>
        <v>3.8474668940771313</v>
      </c>
    </row>
    <row r="12" spans="1:12" x14ac:dyDescent="0.25">
      <c r="A12">
        <v>5</v>
      </c>
      <c r="B12">
        <v>2</v>
      </c>
      <c r="C12">
        <v>3.5</v>
      </c>
      <c r="D12">
        <v>1</v>
      </c>
      <c r="E12" s="2" t="s">
        <v>6</v>
      </c>
      <c r="J12">
        <v>11</v>
      </c>
      <c r="K12">
        <f t="shared" si="0"/>
        <v>3.9</v>
      </c>
      <c r="L12">
        <f t="shared" si="1"/>
        <v>3.8810538037465863</v>
      </c>
    </row>
    <row r="13" spans="1:12" x14ac:dyDescent="0.25">
      <c r="A13">
        <v>5.9</v>
      </c>
      <c r="B13">
        <v>3</v>
      </c>
      <c r="C13">
        <v>4.2</v>
      </c>
      <c r="D13">
        <v>1.5</v>
      </c>
      <c r="E13" s="2" t="s">
        <v>6</v>
      </c>
      <c r="J13">
        <v>12</v>
      </c>
      <c r="K13">
        <f t="shared" si="0"/>
        <v>4</v>
      </c>
      <c r="L13">
        <f t="shared" si="1"/>
        <v>3.9128077550687057</v>
      </c>
    </row>
    <row r="14" spans="1:12" x14ac:dyDescent="0.25">
      <c r="A14">
        <v>6</v>
      </c>
      <c r="B14">
        <v>2.2000000000000002</v>
      </c>
      <c r="C14">
        <v>4</v>
      </c>
      <c r="D14">
        <v>1</v>
      </c>
      <c r="E14" s="2" t="s">
        <v>6</v>
      </c>
      <c r="J14">
        <v>13</v>
      </c>
      <c r="K14">
        <f t="shared" si="0"/>
        <v>4</v>
      </c>
      <c r="L14">
        <f t="shared" si="1"/>
        <v>3.943049862347018</v>
      </c>
    </row>
    <row r="15" spans="1:12" x14ac:dyDescent="0.25">
      <c r="A15">
        <v>6.1</v>
      </c>
      <c r="B15">
        <v>2.9</v>
      </c>
      <c r="C15">
        <v>4.7</v>
      </c>
      <c r="D15">
        <v>1.4</v>
      </c>
      <c r="E15" s="2" t="s">
        <v>6</v>
      </c>
      <c r="J15">
        <v>14</v>
      </c>
      <c r="K15">
        <f t="shared" si="0"/>
        <v>4</v>
      </c>
      <c r="L15">
        <f t="shared" si="1"/>
        <v>3.9720324485260297</v>
      </c>
    </row>
    <row r="16" spans="1:12" x14ac:dyDescent="0.25">
      <c r="A16">
        <v>5.6</v>
      </c>
      <c r="B16">
        <v>2.9</v>
      </c>
      <c r="C16">
        <v>3.6</v>
      </c>
      <c r="D16">
        <v>1.3</v>
      </c>
      <c r="E16" s="2" t="s">
        <v>6</v>
      </c>
      <c r="J16">
        <v>15</v>
      </c>
      <c r="K16">
        <f t="shared" si="0"/>
        <v>4</v>
      </c>
      <c r="L16">
        <f t="shared" si="1"/>
        <v>3.9999584456439288</v>
      </c>
    </row>
    <row r="17" spans="1:12" x14ac:dyDescent="0.25">
      <c r="A17">
        <v>6.7</v>
      </c>
      <c r="B17">
        <v>3.1</v>
      </c>
      <c r="C17">
        <v>4.4000000000000004</v>
      </c>
      <c r="D17">
        <v>1.4</v>
      </c>
      <c r="E17" s="2" t="s">
        <v>6</v>
      </c>
      <c r="J17">
        <v>16</v>
      </c>
      <c r="K17">
        <f t="shared" si="0"/>
        <v>4</v>
      </c>
      <c r="L17">
        <f t="shared" si="1"/>
        <v>4.0269944787131813</v>
      </c>
    </row>
    <row r="18" spans="1:12" x14ac:dyDescent="0.25">
      <c r="A18">
        <v>5.6</v>
      </c>
      <c r="B18">
        <v>3</v>
      </c>
      <c r="C18">
        <v>4.5</v>
      </c>
      <c r="D18">
        <v>1.5</v>
      </c>
      <c r="E18" s="2" t="s">
        <v>6</v>
      </c>
      <c r="J18">
        <v>17</v>
      </c>
      <c r="K18">
        <f t="shared" si="0"/>
        <v>4.0999999999999996</v>
      </c>
      <c r="L18">
        <f t="shared" si="1"/>
        <v>4.0532799744177632</v>
      </c>
    </row>
    <row r="19" spans="1:12" x14ac:dyDescent="0.25">
      <c r="A19">
        <v>5.8</v>
      </c>
      <c r="B19">
        <v>2.7</v>
      </c>
      <c r="C19">
        <v>4.0999999999999996</v>
      </c>
      <c r="D19">
        <v>1</v>
      </c>
      <c r="E19" s="2" t="s">
        <v>6</v>
      </c>
      <c r="J19">
        <v>18</v>
      </c>
      <c r="K19">
        <f t="shared" si="0"/>
        <v>4.0999999999999996</v>
      </c>
      <c r="L19">
        <f t="shared" si="1"/>
        <v>4.0789336830798604</v>
      </c>
    </row>
    <row r="20" spans="1:12" x14ac:dyDescent="0.25">
      <c r="A20">
        <v>6.2</v>
      </c>
      <c r="B20">
        <v>2.2000000000000002</v>
      </c>
      <c r="C20">
        <v>4.5</v>
      </c>
      <c r="D20">
        <v>1.5</v>
      </c>
      <c r="E20" s="2" t="s">
        <v>6</v>
      </c>
      <c r="J20">
        <v>19</v>
      </c>
      <c r="K20">
        <f t="shared" si="0"/>
        <v>4.0999999999999996</v>
      </c>
      <c r="L20">
        <f t="shared" si="1"/>
        <v>4.1040584696755218</v>
      </c>
    </row>
    <row r="21" spans="1:12" x14ac:dyDescent="0.25">
      <c r="A21">
        <v>5.6</v>
      </c>
      <c r="B21">
        <v>2.5</v>
      </c>
      <c r="C21">
        <v>3.9</v>
      </c>
      <c r="D21">
        <v>1.1000000000000001</v>
      </c>
      <c r="E21" s="2" t="s">
        <v>6</v>
      </c>
      <c r="J21">
        <v>20</v>
      </c>
      <c r="K21">
        <f t="shared" si="0"/>
        <v>4.2</v>
      </c>
      <c r="L21">
        <f t="shared" si="1"/>
        <v>4.1287449195610728</v>
      </c>
    </row>
    <row r="22" spans="1:12" x14ac:dyDescent="0.25">
      <c r="A22">
        <v>5.9</v>
      </c>
      <c r="B22">
        <v>3.2</v>
      </c>
      <c r="C22">
        <v>4.8</v>
      </c>
      <c r="D22">
        <v>1.8</v>
      </c>
      <c r="E22" s="2" t="s">
        <v>6</v>
      </c>
      <c r="J22">
        <v>21</v>
      </c>
      <c r="K22">
        <f t="shared" si="0"/>
        <v>4.2</v>
      </c>
      <c r="L22">
        <f t="shared" si="1"/>
        <v>4.1530741176605117</v>
      </c>
    </row>
    <row r="23" spans="1:12" x14ac:dyDescent="0.25">
      <c r="A23">
        <v>6.1</v>
      </c>
      <c r="B23">
        <v>2.8</v>
      </c>
      <c r="C23">
        <v>4</v>
      </c>
      <c r="D23">
        <v>1.3</v>
      </c>
      <c r="E23" s="2" t="s">
        <v>6</v>
      </c>
      <c r="J23">
        <v>22</v>
      </c>
      <c r="K23">
        <f t="shared" si="0"/>
        <v>4.2</v>
      </c>
      <c r="L23">
        <f t="shared" si="1"/>
        <v>4.177119843867942</v>
      </c>
    </row>
    <row r="24" spans="1:12" x14ac:dyDescent="0.25">
      <c r="A24">
        <v>6.3</v>
      </c>
      <c r="B24">
        <v>2.5</v>
      </c>
      <c r="C24">
        <v>4.9000000000000004</v>
      </c>
      <c r="D24">
        <v>1.5</v>
      </c>
      <c r="E24" s="2" t="s">
        <v>6</v>
      </c>
      <c r="J24">
        <v>23</v>
      </c>
      <c r="K24">
        <f t="shared" si="0"/>
        <v>4.2</v>
      </c>
      <c r="L24">
        <f t="shared" si="1"/>
        <v>4.2009503536980413</v>
      </c>
    </row>
    <row r="25" spans="1:12" x14ac:dyDescent="0.25">
      <c r="A25">
        <v>6.1</v>
      </c>
      <c r="B25">
        <v>2.8</v>
      </c>
      <c r="C25">
        <v>4.7</v>
      </c>
      <c r="D25">
        <v>1.2</v>
      </c>
      <c r="E25" s="2" t="s">
        <v>6</v>
      </c>
      <c r="J25">
        <v>24</v>
      </c>
      <c r="K25">
        <f t="shared" si="0"/>
        <v>4.3</v>
      </c>
      <c r="L25">
        <f t="shared" si="1"/>
        <v>4.2246298655439514</v>
      </c>
    </row>
    <row r="26" spans="1:12" x14ac:dyDescent="0.25">
      <c r="A26">
        <v>6.4</v>
      </c>
      <c r="B26">
        <v>2.9</v>
      </c>
      <c r="C26">
        <v>4.3</v>
      </c>
      <c r="D26">
        <v>1.3</v>
      </c>
      <c r="E26" s="2" t="s">
        <v>6</v>
      </c>
      <c r="J26">
        <v>25</v>
      </c>
      <c r="K26">
        <f t="shared" si="0"/>
        <v>4.3</v>
      </c>
      <c r="L26">
        <f t="shared" si="1"/>
        <v>4.2482198448218096</v>
      </c>
    </row>
    <row r="27" spans="1:12" x14ac:dyDescent="0.25">
      <c r="A27">
        <v>6.6</v>
      </c>
      <c r="B27">
        <v>3</v>
      </c>
      <c r="C27">
        <v>4.4000000000000004</v>
      </c>
      <c r="D27">
        <v>1.4</v>
      </c>
      <c r="E27" s="2" t="s">
        <v>6</v>
      </c>
      <c r="J27">
        <v>26</v>
      </c>
      <c r="K27">
        <f t="shared" si="0"/>
        <v>4.4000000000000004</v>
      </c>
      <c r="L27">
        <f t="shared" si="1"/>
        <v>4.27178015517819</v>
      </c>
    </row>
    <row r="28" spans="1:12" x14ac:dyDescent="0.25">
      <c r="A28">
        <v>6.8</v>
      </c>
      <c r="B28">
        <v>2.8</v>
      </c>
      <c r="C28">
        <v>4.8</v>
      </c>
      <c r="D28">
        <v>1.4</v>
      </c>
      <c r="E28" s="2" t="s">
        <v>6</v>
      </c>
      <c r="J28">
        <v>27</v>
      </c>
      <c r="K28">
        <f t="shared" si="0"/>
        <v>4.4000000000000004</v>
      </c>
      <c r="L28">
        <f t="shared" si="1"/>
        <v>4.2953701344560482</v>
      </c>
    </row>
    <row r="29" spans="1:12" x14ac:dyDescent="0.25">
      <c r="A29">
        <v>6.7</v>
      </c>
      <c r="B29">
        <v>3</v>
      </c>
      <c r="C29">
        <v>5</v>
      </c>
      <c r="D29">
        <v>1.7</v>
      </c>
      <c r="E29" s="2" t="s">
        <v>6</v>
      </c>
      <c r="J29">
        <v>28</v>
      </c>
      <c r="K29">
        <f t="shared" si="0"/>
        <v>4.4000000000000004</v>
      </c>
      <c r="L29">
        <f t="shared" si="1"/>
        <v>4.3190496463019583</v>
      </c>
    </row>
    <row r="30" spans="1:12" x14ac:dyDescent="0.25">
      <c r="A30">
        <v>6</v>
      </c>
      <c r="B30">
        <v>2.9</v>
      </c>
      <c r="C30">
        <v>4.5</v>
      </c>
      <c r="D30">
        <v>1.5</v>
      </c>
      <c r="E30" s="2" t="s">
        <v>6</v>
      </c>
      <c r="J30">
        <v>29</v>
      </c>
      <c r="K30">
        <f t="shared" si="0"/>
        <v>4.4000000000000004</v>
      </c>
      <c r="L30">
        <f t="shared" si="1"/>
        <v>4.3428801561320576</v>
      </c>
    </row>
    <row r="31" spans="1:12" x14ac:dyDescent="0.25">
      <c r="A31">
        <v>5.7</v>
      </c>
      <c r="B31">
        <v>2.6</v>
      </c>
      <c r="C31">
        <v>3.5</v>
      </c>
      <c r="D31">
        <v>1</v>
      </c>
      <c r="E31" s="2" t="s">
        <v>6</v>
      </c>
      <c r="J31">
        <v>30</v>
      </c>
      <c r="K31">
        <f t="shared" si="0"/>
        <v>4.5</v>
      </c>
      <c r="L31">
        <f t="shared" si="1"/>
        <v>4.3669258823394879</v>
      </c>
    </row>
    <row r="32" spans="1:12" x14ac:dyDescent="0.25">
      <c r="A32">
        <v>5.5</v>
      </c>
      <c r="B32">
        <v>2.4</v>
      </c>
      <c r="C32">
        <v>3.8</v>
      </c>
      <c r="D32">
        <v>1.1000000000000001</v>
      </c>
      <c r="E32" s="2" t="s">
        <v>6</v>
      </c>
      <c r="J32">
        <v>31</v>
      </c>
      <c r="K32">
        <f t="shared" si="0"/>
        <v>4.5</v>
      </c>
      <c r="L32">
        <f t="shared" si="1"/>
        <v>4.3912550804389268</v>
      </c>
    </row>
    <row r="33" spans="1:12" x14ac:dyDescent="0.25">
      <c r="A33">
        <v>5.5</v>
      </c>
      <c r="B33">
        <v>2.4</v>
      </c>
      <c r="C33">
        <v>3.7</v>
      </c>
      <c r="D33">
        <v>1</v>
      </c>
      <c r="E33" s="2" t="s">
        <v>6</v>
      </c>
      <c r="J33">
        <v>32</v>
      </c>
      <c r="K33">
        <f t="shared" si="0"/>
        <v>4.5</v>
      </c>
      <c r="L33">
        <f t="shared" si="1"/>
        <v>4.4159415303244778</v>
      </c>
    </row>
    <row r="34" spans="1:12" x14ac:dyDescent="0.25">
      <c r="A34">
        <v>5.8</v>
      </c>
      <c r="B34">
        <v>2.7</v>
      </c>
      <c r="C34">
        <v>3.9</v>
      </c>
      <c r="D34">
        <v>1.2</v>
      </c>
      <c r="E34" s="2" t="s">
        <v>6</v>
      </c>
      <c r="J34">
        <v>33</v>
      </c>
      <c r="K34">
        <f t="shared" si="0"/>
        <v>4.5</v>
      </c>
      <c r="L34">
        <f t="shared" si="1"/>
        <v>4.4410663169201392</v>
      </c>
    </row>
    <row r="35" spans="1:12" x14ac:dyDescent="0.25">
      <c r="A35">
        <v>6</v>
      </c>
      <c r="B35">
        <v>2.7</v>
      </c>
      <c r="C35">
        <v>5.0999999999999996</v>
      </c>
      <c r="D35">
        <v>1.6</v>
      </c>
      <c r="E35" s="2" t="s">
        <v>6</v>
      </c>
      <c r="J35">
        <v>34</v>
      </c>
      <c r="K35">
        <f t="shared" si="0"/>
        <v>4.5</v>
      </c>
      <c r="L35">
        <f t="shared" si="1"/>
        <v>4.4667200255822364</v>
      </c>
    </row>
    <row r="36" spans="1:12" x14ac:dyDescent="0.25">
      <c r="A36">
        <v>5.4</v>
      </c>
      <c r="B36">
        <v>3</v>
      </c>
      <c r="C36">
        <v>4.5</v>
      </c>
      <c r="D36">
        <v>1.5</v>
      </c>
      <c r="E36" s="2" t="s">
        <v>6</v>
      </c>
      <c r="J36">
        <v>35</v>
      </c>
      <c r="K36">
        <f t="shared" si="0"/>
        <v>4.5</v>
      </c>
      <c r="L36">
        <f t="shared" si="1"/>
        <v>4.4930055212868183</v>
      </c>
    </row>
    <row r="37" spans="1:12" x14ac:dyDescent="0.25">
      <c r="A37">
        <v>6</v>
      </c>
      <c r="B37">
        <v>3.4</v>
      </c>
      <c r="C37">
        <v>4.5</v>
      </c>
      <c r="D37">
        <v>1.6</v>
      </c>
      <c r="E37" s="2" t="s">
        <v>6</v>
      </c>
      <c r="J37">
        <v>36</v>
      </c>
      <c r="K37">
        <f t="shared" si="0"/>
        <v>4.5</v>
      </c>
      <c r="L37">
        <f t="shared" si="1"/>
        <v>4.5200415543560704</v>
      </c>
    </row>
    <row r="38" spans="1:12" x14ac:dyDescent="0.25">
      <c r="A38">
        <v>6.7</v>
      </c>
      <c r="B38">
        <v>3.1</v>
      </c>
      <c r="C38">
        <v>4.7</v>
      </c>
      <c r="D38">
        <v>1.5</v>
      </c>
      <c r="E38" s="2" t="s">
        <v>6</v>
      </c>
      <c r="J38">
        <v>37</v>
      </c>
      <c r="K38">
        <f t="shared" si="0"/>
        <v>4.5999999999999996</v>
      </c>
      <c r="L38">
        <f t="shared" si="1"/>
        <v>4.5479675514739695</v>
      </c>
    </row>
    <row r="39" spans="1:12" x14ac:dyDescent="0.25">
      <c r="A39">
        <v>6.3</v>
      </c>
      <c r="B39">
        <v>2.2999999999999998</v>
      </c>
      <c r="C39">
        <v>4.4000000000000004</v>
      </c>
      <c r="D39">
        <v>1.3</v>
      </c>
      <c r="E39" s="2" t="s">
        <v>6</v>
      </c>
      <c r="J39">
        <v>38</v>
      </c>
      <c r="K39">
        <f t="shared" si="0"/>
        <v>4.5999999999999996</v>
      </c>
      <c r="L39">
        <f t="shared" si="1"/>
        <v>4.5769501376529815</v>
      </c>
    </row>
    <row r="40" spans="1:12" x14ac:dyDescent="0.25">
      <c r="A40">
        <v>5.6</v>
      </c>
      <c r="B40">
        <v>3</v>
      </c>
      <c r="C40">
        <v>4.0999999999999996</v>
      </c>
      <c r="D40">
        <v>1.3</v>
      </c>
      <c r="E40" s="2" t="s">
        <v>6</v>
      </c>
      <c r="J40">
        <v>39</v>
      </c>
      <c r="K40">
        <f t="shared" si="0"/>
        <v>4.5999999999999996</v>
      </c>
      <c r="L40">
        <f t="shared" si="1"/>
        <v>4.6071922449312934</v>
      </c>
    </row>
    <row r="41" spans="1:12" x14ac:dyDescent="0.25">
      <c r="A41">
        <v>5.5</v>
      </c>
      <c r="B41">
        <v>2.5</v>
      </c>
      <c r="C41">
        <v>4</v>
      </c>
      <c r="D41">
        <v>1.3</v>
      </c>
      <c r="E41" s="2" t="s">
        <v>6</v>
      </c>
      <c r="J41">
        <v>40</v>
      </c>
      <c r="K41">
        <f t="shared" si="0"/>
        <v>4.7</v>
      </c>
      <c r="L41">
        <f t="shared" si="1"/>
        <v>4.6389461962534133</v>
      </c>
    </row>
    <row r="42" spans="1:12" x14ac:dyDescent="0.25">
      <c r="A42">
        <v>5.5</v>
      </c>
      <c r="B42">
        <v>2.6</v>
      </c>
      <c r="C42">
        <v>4.4000000000000004</v>
      </c>
      <c r="D42">
        <v>1.2</v>
      </c>
      <c r="E42" s="2" t="s">
        <v>6</v>
      </c>
      <c r="J42">
        <v>41</v>
      </c>
      <c r="K42">
        <f t="shared" si="0"/>
        <v>4.7</v>
      </c>
      <c r="L42">
        <f t="shared" si="1"/>
        <v>4.6725331059228683</v>
      </c>
    </row>
    <row r="43" spans="1:12" x14ac:dyDescent="0.25">
      <c r="A43">
        <v>6.1</v>
      </c>
      <c r="B43">
        <v>3</v>
      </c>
      <c r="C43">
        <v>4.5999999999999996</v>
      </c>
      <c r="D43">
        <v>1.4</v>
      </c>
      <c r="E43" s="2" t="s">
        <v>6</v>
      </c>
      <c r="J43">
        <v>42</v>
      </c>
      <c r="K43">
        <f t="shared" si="0"/>
        <v>4.7</v>
      </c>
      <c r="L43">
        <f t="shared" si="1"/>
        <v>4.708372726554348</v>
      </c>
    </row>
    <row r="44" spans="1:12" x14ac:dyDescent="0.25">
      <c r="A44">
        <v>5.8</v>
      </c>
      <c r="B44">
        <v>2.6</v>
      </c>
      <c r="C44">
        <v>4</v>
      </c>
      <c r="D44">
        <v>1.2</v>
      </c>
      <c r="E44" s="2" t="s">
        <v>6</v>
      </c>
      <c r="J44">
        <v>43</v>
      </c>
      <c r="K44">
        <f t="shared" si="0"/>
        <v>4.7</v>
      </c>
      <c r="L44">
        <f t="shared" si="1"/>
        <v>4.7470314269011569</v>
      </c>
    </row>
    <row r="45" spans="1:12" x14ac:dyDescent="0.25">
      <c r="A45">
        <v>5</v>
      </c>
      <c r="B45">
        <v>2.2999999999999998</v>
      </c>
      <c r="C45">
        <v>3.3</v>
      </c>
      <c r="D45">
        <v>1</v>
      </c>
      <c r="E45" s="2" t="s">
        <v>6</v>
      </c>
      <c r="J45">
        <v>44</v>
      </c>
      <c r="K45">
        <f t="shared" si="0"/>
        <v>4.7</v>
      </c>
      <c r="L45">
        <f t="shared" si="1"/>
        <v>4.7893035562010517</v>
      </c>
    </row>
    <row r="46" spans="1:12" x14ac:dyDescent="0.25">
      <c r="A46">
        <v>5.6</v>
      </c>
      <c r="B46">
        <v>2.7</v>
      </c>
      <c r="C46">
        <v>4.2</v>
      </c>
      <c r="D46">
        <v>1.3</v>
      </c>
      <c r="E46" s="2" t="s">
        <v>6</v>
      </c>
      <c r="J46">
        <v>45</v>
      </c>
      <c r="K46">
        <f t="shared" si="0"/>
        <v>4.8</v>
      </c>
      <c r="L46">
        <f t="shared" si="1"/>
        <v>4.8363590274987018</v>
      </c>
    </row>
    <row r="47" spans="1:12" x14ac:dyDescent="0.25">
      <c r="A47">
        <v>5.7</v>
      </c>
      <c r="B47">
        <v>3</v>
      </c>
      <c r="C47">
        <v>4.2</v>
      </c>
      <c r="D47">
        <v>1.2</v>
      </c>
      <c r="E47" s="2" t="s">
        <v>6</v>
      </c>
      <c r="J47">
        <v>46</v>
      </c>
      <c r="K47">
        <f t="shared" si="0"/>
        <v>4.8</v>
      </c>
      <c r="L47">
        <f t="shared" si="1"/>
        <v>4.8900355081207731</v>
      </c>
    </row>
    <row r="48" spans="1:12" x14ac:dyDescent="0.25">
      <c r="A48">
        <v>5.7</v>
      </c>
      <c r="B48">
        <v>2.9</v>
      </c>
      <c r="C48">
        <v>4.2</v>
      </c>
      <c r="D48">
        <v>1.3</v>
      </c>
      <c r="E48" s="2" t="s">
        <v>6</v>
      </c>
      <c r="J48">
        <v>47</v>
      </c>
      <c r="K48">
        <f t="shared" si="0"/>
        <v>4.9000000000000004</v>
      </c>
      <c r="L48">
        <f t="shared" si="1"/>
        <v>4.9534904042536487</v>
      </c>
    </row>
    <row r="49" spans="1:12" x14ac:dyDescent="0.25">
      <c r="A49">
        <v>6.2</v>
      </c>
      <c r="B49">
        <v>2.9</v>
      </c>
      <c r="C49">
        <v>4.3</v>
      </c>
      <c r="D49">
        <v>1.3</v>
      </c>
      <c r="E49" s="2" t="s">
        <v>6</v>
      </c>
      <c r="J49">
        <v>48</v>
      </c>
      <c r="K49">
        <f t="shared" si="0"/>
        <v>4.9000000000000004</v>
      </c>
      <c r="L49">
        <f t="shared" si="1"/>
        <v>5.0329347752574689</v>
      </c>
    </row>
    <row r="50" spans="1:12" x14ac:dyDescent="0.25">
      <c r="A50">
        <v>5.0999999999999996</v>
      </c>
      <c r="B50">
        <v>2.5</v>
      </c>
      <c r="C50">
        <v>3</v>
      </c>
      <c r="D50">
        <v>1.1000000000000001</v>
      </c>
      <c r="E50" s="2" t="s">
        <v>6</v>
      </c>
      <c r="J50">
        <v>49</v>
      </c>
      <c r="K50">
        <f t="shared" si="0"/>
        <v>5</v>
      </c>
      <c r="L50">
        <f t="shared" si="1"/>
        <v>5.1438055623930365</v>
      </c>
    </row>
    <row r="51" spans="1:12" x14ac:dyDescent="0.25">
      <c r="A51">
        <v>5.7</v>
      </c>
      <c r="B51">
        <v>2.8</v>
      </c>
      <c r="C51">
        <v>4.0999999999999996</v>
      </c>
      <c r="D51">
        <v>1.3</v>
      </c>
      <c r="E51" s="2" t="s">
        <v>6</v>
      </c>
      <c r="J51">
        <v>50</v>
      </c>
      <c r="K51">
        <f t="shared" si="0"/>
        <v>5.0999999999999996</v>
      </c>
      <c r="L51">
        <f t="shared" si="1"/>
        <v>5.3531764028906492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BB98-12E0-4CCF-8676-5A0E413E5028}">
  <sheetPr codeName="Arkusz6"/>
  <dimension ref="A1:T302"/>
  <sheetViews>
    <sheetView tabSelected="1" zoomScale="80" zoomScaleNormal="80" workbookViewId="0">
      <selection activeCell="Z11" sqref="Z11"/>
    </sheetView>
  </sheetViews>
  <sheetFormatPr defaultRowHeight="15" x14ac:dyDescent="0.25"/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G1" s="1" t="s">
        <v>8</v>
      </c>
      <c r="M1" t="s">
        <v>19</v>
      </c>
      <c r="R1" t="s">
        <v>20</v>
      </c>
    </row>
    <row r="2" spans="1:20" x14ac:dyDescent="0.25">
      <c r="A2">
        <v>7</v>
      </c>
      <c r="B2">
        <v>3.2</v>
      </c>
      <c r="C2">
        <v>4.7</v>
      </c>
      <c r="D2">
        <v>1.4</v>
      </c>
      <c r="E2" s="2" t="s">
        <v>6</v>
      </c>
      <c r="G2" t="s">
        <v>9</v>
      </c>
      <c r="H2">
        <f>AVERAGE(C2:C51)</f>
        <v>4.26</v>
      </c>
      <c r="J2" t="s">
        <v>16</v>
      </c>
      <c r="K2" t="s">
        <v>17</v>
      </c>
      <c r="L2" t="s">
        <v>18</v>
      </c>
      <c r="M2">
        <f>1.06*H3/H5^(1/5)</f>
        <v>0.22778622367882012</v>
      </c>
      <c r="N2">
        <v>0.05</v>
      </c>
      <c r="O2">
        <v>0.45</v>
      </c>
      <c r="P2">
        <v>5</v>
      </c>
      <c r="R2">
        <f>1.06*H3/H5^(1/5)</f>
        <v>0.22778622367882012</v>
      </c>
      <c r="S2">
        <v>0.05</v>
      </c>
      <c r="T2">
        <v>0.45</v>
      </c>
    </row>
    <row r="3" spans="1:20" x14ac:dyDescent="0.25">
      <c r="A3">
        <v>6.4</v>
      </c>
      <c r="B3">
        <v>3.2</v>
      </c>
      <c r="C3">
        <v>4.5</v>
      </c>
      <c r="D3">
        <v>1.5</v>
      </c>
      <c r="E3" s="2" t="s">
        <v>6</v>
      </c>
      <c r="G3" t="s">
        <v>10</v>
      </c>
      <c r="H3">
        <f>_xlfn.STDEV.S(C2:C51)</f>
        <v>0.46991097723996639</v>
      </c>
      <c r="J3">
        <v>1</v>
      </c>
      <c r="K3">
        <f>$H$7</f>
        <v>3</v>
      </c>
      <c r="L3">
        <f>_xlfn.NORM.DIST(K3,$H$2,$H$3,FALSE)</f>
        <v>2.3317073828917807E-2</v>
      </c>
      <c r="M3" cm="1">
        <f t="array" ref="M3">EstymacjaGaussowska($K3,$C$2:$C$151)</f>
        <v>7.2286816673830967E-2</v>
      </c>
      <c r="N3" cm="1">
        <f t="array" ref="N3">EstymacjaGaussowska($K3,$C$2:$C$151,$N$2)</f>
        <v>0.15957691702127935</v>
      </c>
      <c r="O3" cm="1">
        <f t="array" ref="O3">EstymacjaGaussowska($K3,$C$2:$C$151,$O$2)</f>
        <v>0.10266543780633337</v>
      </c>
      <c r="P3" cm="1">
        <f t="array" ref="P3">EstymacjaGaussowska($K3,$C$2:$C$151,$P$2)</f>
        <v>7.6978915165678924E-2</v>
      </c>
      <c r="R3" cm="1">
        <f t="array" ref="R3">EstymacjaEpanecznikowa($K3,$C$2:$C$151,R$2)</f>
        <v>7.0057484349638252E-2</v>
      </c>
      <c r="S3" cm="1">
        <f t="array" ref="S3">EstymacjaEpanecznikowa($K3,$C$2:$C$151,S$2)</f>
        <v>0.13416407864998736</v>
      </c>
      <c r="T3" cm="1">
        <f t="array" ref="T3">EstymacjaEpanecznikowa($K3,$C$2:$C$151,T$2)</f>
        <v>9.7172336799990849E-2</v>
      </c>
    </row>
    <row r="4" spans="1:20" x14ac:dyDescent="0.25">
      <c r="A4">
        <v>6.9</v>
      </c>
      <c r="B4">
        <v>3.1</v>
      </c>
      <c r="C4">
        <v>4.9000000000000004</v>
      </c>
      <c r="D4">
        <v>1.5</v>
      </c>
      <c r="E4" s="2" t="s">
        <v>6</v>
      </c>
      <c r="J4">
        <v>2</v>
      </c>
      <c r="K4">
        <f>K3+$H$11</f>
        <v>3.0070234113712373</v>
      </c>
      <c r="L4">
        <f t="shared" ref="L4:L67" si="0">_xlfn.NORM.DIST(K4,$H$2,$H$3,FALSE)</f>
        <v>2.4267802349751656E-2</v>
      </c>
      <c r="M4" cm="1">
        <f t="array" ref="M4">EstymacjaGaussowska($K4,$C$2:$C$151)</f>
        <v>7.4051345712255467E-2</v>
      </c>
      <c r="N4" cm="1">
        <f t="array" ref="N4">EstymacjaGaussowska($K4,$C$2:$C$151,$N$2)</f>
        <v>0.15801033198519182</v>
      </c>
      <c r="O4" cm="1">
        <f t="array" ref="O4">EstymacjaGaussowska($K4,$C$2:$C$151,$O$2)</f>
        <v>0.10444345226795215</v>
      </c>
      <c r="P4" cm="1">
        <f t="array" ref="P4">EstymacjaGaussowska($K4,$C$2:$C$151,$P$2)</f>
        <v>7.7005883410513079E-2</v>
      </c>
      <c r="R4" cm="1">
        <f t="array" ref="R4">EstymacjaEpanecznikowa($K4,$C$2:$C$151,R$2)</f>
        <v>7.2580730657368558E-2</v>
      </c>
      <c r="S4" cm="1">
        <f t="array" ref="S4">EstymacjaEpanecznikowa($K4,$C$2:$C$151,S$2)</f>
        <v>0.13363463169807729</v>
      </c>
      <c r="T4" cm="1">
        <f t="array" ref="T4">EstymacjaEpanecznikowa($K4,$C$2:$C$151,T$2)</f>
        <v>9.9518379221427478E-2</v>
      </c>
    </row>
    <row r="5" spans="1:20" x14ac:dyDescent="0.25">
      <c r="A5">
        <v>5.5</v>
      </c>
      <c r="B5">
        <v>2.2999999999999998</v>
      </c>
      <c r="C5">
        <v>4</v>
      </c>
      <c r="D5">
        <v>1.3</v>
      </c>
      <c r="E5" s="2" t="s">
        <v>6</v>
      </c>
      <c r="G5" t="s">
        <v>11</v>
      </c>
      <c r="H5">
        <v>50</v>
      </c>
      <c r="J5">
        <v>3</v>
      </c>
      <c r="K5">
        <f t="shared" ref="K5:K68" si="1">K4+$H$11</f>
        <v>3.0140468227424746</v>
      </c>
      <c r="L5">
        <f t="shared" si="0"/>
        <v>2.5251654185881645E-2</v>
      </c>
      <c r="M5" cm="1">
        <f t="array" ref="M5">EstymacjaGaussowska($K5,$C$2:$C$151)</f>
        <v>7.5836224352428191E-2</v>
      </c>
      <c r="N5" cm="1">
        <f t="array" ref="N5">EstymacjaGaussowska($K5,$C$2:$C$151,$N$2)</f>
        <v>0.1534022463284169</v>
      </c>
      <c r="O5" cm="1">
        <f t="array" ref="O5">EstymacjaGaussowska($K5,$C$2:$C$151,$O$2)</f>
        <v>0.10624227302444557</v>
      </c>
      <c r="P5" cm="1">
        <f t="array" ref="P5">EstymacjaGaussowska($K5,$C$2:$C$151,$P$2)</f>
        <v>7.7032710429897844E-2</v>
      </c>
      <c r="R5" cm="1">
        <f t="array" ref="R5">EstymacjaEpanecznikowa($K5,$C$2:$C$151,R$2)</f>
        <v>7.5047981855236964E-2</v>
      </c>
      <c r="S5" cm="1">
        <f t="array" ref="S5">EstymacjaEpanecznikowa($K5,$C$2:$C$151,S$2)</f>
        <v>0.13204629084234704</v>
      </c>
      <c r="T5" cm="1">
        <f t="array" ref="T5">EstymacjaEpanecznikowa($K5,$C$2:$C$151,T$2)</f>
        <v>0.10184118117309576</v>
      </c>
    </row>
    <row r="6" spans="1:20" x14ac:dyDescent="0.25">
      <c r="A6">
        <v>6.5</v>
      </c>
      <c r="B6">
        <v>2.8</v>
      </c>
      <c r="C6">
        <v>4.5999999999999996</v>
      </c>
      <c r="D6">
        <v>1.5</v>
      </c>
      <c r="E6" s="2" t="s">
        <v>6</v>
      </c>
      <c r="J6">
        <v>4</v>
      </c>
      <c r="K6">
        <f t="shared" si="1"/>
        <v>3.0210702341137119</v>
      </c>
      <c r="L6">
        <f t="shared" si="0"/>
        <v>2.6269523777569477E-2</v>
      </c>
      <c r="M6" cm="1">
        <f t="array" ref="M6">EstymacjaGaussowska($K6,$C$2:$C$151)</f>
        <v>7.7641416245647132E-2</v>
      </c>
      <c r="N6" cm="1">
        <f t="array" ref="N6">EstymacjaGaussowska($K6,$C$2:$C$151,$N$2)</f>
        <v>0.14601880905590478</v>
      </c>
      <c r="O6" cm="1">
        <f t="array" ref="O6">EstymacjaGaussowska($K6,$C$2:$C$151,$O$2)</f>
        <v>0.1080620027473327</v>
      </c>
      <c r="P6" cm="1">
        <f t="array" ref="P6">EstymacjaGaussowska($K6,$C$2:$C$151,$P$2)</f>
        <v>7.7059396069570407E-2</v>
      </c>
      <c r="R6" cm="1">
        <f t="array" ref="R6">EstymacjaEpanecznikowa($K6,$C$2:$C$151,R$2)</f>
        <v>7.7459237943243456E-2</v>
      </c>
      <c r="S6" cm="1">
        <f t="array" ref="S6">EstymacjaEpanecznikowa($K6,$C$2:$C$151,S$2)</f>
        <v>0.12939905608279662</v>
      </c>
      <c r="T6" cm="1">
        <f t="array" ref="T6">EstymacjaEpanecznikowa($K6,$C$2:$C$151,T$2)</f>
        <v>0.10414074265499569</v>
      </c>
    </row>
    <row r="7" spans="1:20" x14ac:dyDescent="0.25">
      <c r="A7">
        <v>5.7</v>
      </c>
      <c r="B7">
        <v>2.8</v>
      </c>
      <c r="C7">
        <v>4.5</v>
      </c>
      <c r="D7">
        <v>1.3</v>
      </c>
      <c r="E7" s="2" t="s">
        <v>6</v>
      </c>
      <c r="G7" t="s">
        <v>12</v>
      </c>
      <c r="H7">
        <f>MIN(C2:C51)</f>
        <v>3</v>
      </c>
      <c r="J7">
        <v>5</v>
      </c>
      <c r="K7">
        <f t="shared" si="1"/>
        <v>3.0280936454849492</v>
      </c>
      <c r="L7">
        <f t="shared" si="0"/>
        <v>2.7322318468520672E-2</v>
      </c>
      <c r="M7" cm="1">
        <f t="array" ref="M7">EstymacjaGaussowska($K7,$C$2:$C$151)</f>
        <v>7.9466876818004781E-2</v>
      </c>
      <c r="N7" cm="1">
        <f t="array" ref="N7">EstymacjaGaussowska($K7,$C$2:$C$151,$N$2)</f>
        <v>0.1362751927547543</v>
      </c>
      <c r="O7" cm="1">
        <f t="array" ref="O7">EstymacjaGaussowska($K7,$C$2:$C$151,$O$2)</f>
        <v>0.10990274331647223</v>
      </c>
      <c r="P7" cm="1">
        <f t="array" ref="P7">EstymacjaGaussowska($K7,$C$2:$C$151,$P$2)</f>
        <v>7.7085940176044337E-2</v>
      </c>
      <c r="R7" cm="1">
        <f t="array" ref="R7">EstymacjaEpanecznikowa($K7,$C$2:$C$151,R$2)</f>
        <v>7.9814498921387991E-2</v>
      </c>
      <c r="S7" cm="1">
        <f t="array" ref="S7">EstymacjaEpanecznikowa($K7,$C$2:$C$151,S$2)</f>
        <v>0.12569292741942603</v>
      </c>
      <c r="T7" cm="1">
        <f t="array" ref="T7">EstymacjaEpanecznikowa($K7,$C$2:$C$151,T$2)</f>
        <v>0.1064170636671273</v>
      </c>
    </row>
    <row r="8" spans="1:20" x14ac:dyDescent="0.25">
      <c r="A8">
        <v>6.3</v>
      </c>
      <c r="B8">
        <v>3.3</v>
      </c>
      <c r="C8">
        <v>4.7</v>
      </c>
      <c r="D8">
        <v>1.6</v>
      </c>
      <c r="E8" s="2" t="s">
        <v>6</v>
      </c>
      <c r="G8" t="s">
        <v>13</v>
      </c>
      <c r="H8">
        <f>MAX(C2:C51)</f>
        <v>5.0999999999999996</v>
      </c>
      <c r="J8">
        <v>6</v>
      </c>
      <c r="K8">
        <f t="shared" si="1"/>
        <v>3.0351170568561865</v>
      </c>
      <c r="L8">
        <f t="shared" si="0"/>
        <v>2.8410958199108598E-2</v>
      </c>
      <c r="M8" cm="1">
        <f t="array" ref="M8">EstymacjaGaussowska($K8,$C$2:$C$151)</f>
        <v>8.1312550880070431E-2</v>
      </c>
      <c r="N8" cm="1">
        <f t="array" ref="N8">EstymacjaGaussowska($K8,$C$2:$C$151,$N$2)</f>
        <v>0.12469696792695137</v>
      </c>
      <c r="O8" cm="1">
        <f t="array" ref="O8">EstymacjaGaussowska($K8,$C$2:$C$151,$O$2)</f>
        <v>0.11176459576568541</v>
      </c>
      <c r="P8" cm="1">
        <f t="array" ref="P8">EstymacjaGaussowska($K8,$C$2:$C$151,$P$2)</f>
        <v>7.7112342596610511E-2</v>
      </c>
      <c r="R8" cm="1">
        <f t="array" ref="R8">EstymacjaEpanecznikowa($K8,$C$2:$C$151,R$2)</f>
        <v>8.211376478967064E-2</v>
      </c>
      <c r="S8" cm="1">
        <f t="array" ref="S8">EstymacjaEpanecznikowa($K8,$C$2:$C$151,S$2)</f>
        <v>0.12092790485223527</v>
      </c>
      <c r="T8" cm="1">
        <f t="array" ref="T8">EstymacjaEpanecznikowa($K8,$C$2:$C$151,T$2)</f>
        <v>0.10867014420949055</v>
      </c>
    </row>
    <row r="9" spans="1:20" x14ac:dyDescent="0.25">
      <c r="A9">
        <v>4.9000000000000004</v>
      </c>
      <c r="B9">
        <v>2.4</v>
      </c>
      <c r="C9">
        <v>3.3</v>
      </c>
      <c r="D9">
        <v>1</v>
      </c>
      <c r="E9" s="2" t="s">
        <v>6</v>
      </c>
      <c r="J9">
        <v>7</v>
      </c>
      <c r="K9">
        <f t="shared" si="1"/>
        <v>3.0421404682274238</v>
      </c>
      <c r="L9">
        <f t="shared" si="0"/>
        <v>2.9536375172921653E-2</v>
      </c>
      <c r="M9" cm="1">
        <f t="array" ref="M9">EstymacjaGaussowska($K9,$C$2:$C$151)</f>
        <v>8.317837022209966E-2</v>
      </c>
      <c r="N9" cm="1">
        <f t="array" ref="N9">EstymacjaGaussowska($K9,$C$2:$C$151,$N$2)</f>
        <v>0.11187330062550886</v>
      </c>
      <c r="O9" cm="1">
        <f t="array" ref="O9">EstymacjaGaussowska($K9,$C$2:$C$151,$O$2)</f>
        <v>0.11364766022390062</v>
      </c>
      <c r="P9" cm="1">
        <f t="array" ref="P9">EstymacjaGaussowska($K9,$C$2:$C$151,$P$2)</f>
        <v>7.7138603179338905E-2</v>
      </c>
      <c r="R9" cm="1">
        <f t="array" ref="R9">EstymacjaEpanecznikowa($K9,$C$2:$C$151,R$2)</f>
        <v>8.4357035548091347E-2</v>
      </c>
      <c r="S9" cm="1">
        <f t="array" ref="S9">EstymacjaEpanecznikowa($K9,$C$2:$C$151,S$2)</f>
        <v>0.11510398838122435</v>
      </c>
      <c r="T9" cm="1">
        <f t="array" ref="T9">EstymacjaEpanecznikowa($K9,$C$2:$C$151,T$2)</f>
        <v>0.11089998428208546</v>
      </c>
    </row>
    <row r="10" spans="1:20" x14ac:dyDescent="0.25">
      <c r="A10">
        <v>6.6</v>
      </c>
      <c r="B10">
        <v>2.9</v>
      </c>
      <c r="C10">
        <v>4.5999999999999996</v>
      </c>
      <c r="D10">
        <v>1.3</v>
      </c>
      <c r="E10" s="2" t="s">
        <v>6</v>
      </c>
      <c r="G10" t="s">
        <v>14</v>
      </c>
      <c r="H10">
        <v>300</v>
      </c>
      <c r="J10">
        <v>8</v>
      </c>
      <c r="K10">
        <f t="shared" si="1"/>
        <v>3.0491638795986611</v>
      </c>
      <c r="L10">
        <f t="shared" si="0"/>
        <v>3.0699513496020219E-2</v>
      </c>
      <c r="M10" cm="1">
        <f t="array" ref="M10">EstymacjaGaussowska($K10,$C$2:$C$151)</f>
        <v>8.506425122300483E-2</v>
      </c>
      <c r="N10" cm="1">
        <f t="array" ref="N10">EstymacjaGaussowska($K10,$C$2:$C$151,$N$2)</f>
        <v>9.840776540988555E-2</v>
      </c>
      <c r="O10" cm="1">
        <f t="array" ref="O10">EstymacjaGaussowska($K10,$C$2:$C$151,$O$2)</f>
        <v>0.11555203585171187</v>
      </c>
      <c r="P10" cm="1">
        <f t="array" ref="P10">EstymacjaGaussowska($K10,$C$2:$C$151,$P$2)</f>
        <v>7.7164721773079842E-2</v>
      </c>
      <c r="R10" cm="1">
        <f t="array" ref="R10">EstymacjaEpanecznikowa($K10,$C$2:$C$151,R$2)</f>
        <v>8.6544311196650139E-2</v>
      </c>
      <c r="S10" cm="1">
        <f t="array" ref="S10">EstymacjaEpanecznikowa($K10,$C$2:$C$151,S$2)</f>
        <v>0.10822117800639328</v>
      </c>
      <c r="T10" cm="1">
        <f t="array" ref="T10">EstymacjaEpanecznikowa($K10,$C$2:$C$151,T$2)</f>
        <v>0.11310658388491203</v>
      </c>
    </row>
    <row r="11" spans="1:20" x14ac:dyDescent="0.25">
      <c r="A11">
        <v>5.2</v>
      </c>
      <c r="B11">
        <v>2.7</v>
      </c>
      <c r="C11">
        <v>3.9</v>
      </c>
      <c r="D11">
        <v>1.4</v>
      </c>
      <c r="E11" s="2" t="s">
        <v>6</v>
      </c>
      <c r="G11" t="s">
        <v>15</v>
      </c>
      <c r="H11">
        <f>(H8-H7)/(H10-1)</f>
        <v>7.0234113712374568E-3</v>
      </c>
      <c r="J11">
        <v>9</v>
      </c>
      <c r="K11">
        <f t="shared" si="1"/>
        <v>3.0561872909698984</v>
      </c>
      <c r="L11">
        <f t="shared" si="0"/>
        <v>3.1901328788309466E-2</v>
      </c>
      <c r="M11" cm="1">
        <f t="array" ref="M11">EstymacjaGaussowska($K11,$C$2:$C$151)</f>
        <v>8.6970092502134388E-2</v>
      </c>
      <c r="N11" cm="1">
        <f t="array" ref="N11">EstymacjaGaussowska($K11,$C$2:$C$151,$N$2)</f>
        <v>8.4872446485084255E-2</v>
      </c>
      <c r="O11" cm="1">
        <f t="array" ref="O11">EstymacjaGaussowska($K11,$C$2:$C$151,$O$2)</f>
        <v>0.1174778207732452</v>
      </c>
      <c r="P11" cm="1">
        <f t="array" ref="P11">EstymacjaGaussowska($K11,$C$2:$C$151,$P$2)</f>
        <v>7.7190698227465604E-2</v>
      </c>
      <c r="R11" cm="1">
        <f t="array" ref="R11">EstymacjaEpanecznikowa($K11,$C$2:$C$151,R$2)</f>
        <v>8.8675591735347017E-2</v>
      </c>
      <c r="S11" cm="1">
        <f t="array" ref="S11">EstymacjaEpanecznikowa($K11,$C$2:$C$151,S$2)</f>
        <v>0.10027947372774203</v>
      </c>
      <c r="T11" cm="1">
        <f t="array" ref="T11">EstymacjaEpanecznikowa($K11,$C$2:$C$151,T$2)</f>
        <v>0.11528994301797021</v>
      </c>
    </row>
    <row r="12" spans="1:20" x14ac:dyDescent="0.25">
      <c r="A12">
        <v>5</v>
      </c>
      <c r="B12">
        <v>2</v>
      </c>
      <c r="C12">
        <v>3.5</v>
      </c>
      <c r="D12">
        <v>1</v>
      </c>
      <c r="E12" s="2" t="s">
        <v>6</v>
      </c>
      <c r="J12">
        <v>10</v>
      </c>
      <c r="K12">
        <f t="shared" si="1"/>
        <v>3.0632107023411357</v>
      </c>
      <c r="L12">
        <f t="shared" si="0"/>
        <v>3.3142787766454171E-2</v>
      </c>
      <c r="M12" cm="1">
        <f t="array" ref="M12">EstymacjaGaussowska($K12,$C$2:$C$151)</f>
        <v>8.8895772643469748E-2</v>
      </c>
      <c r="N12" cm="1">
        <f t="array" ref="N12">EstymacjaGaussowska($K12,$C$2:$C$151,$N$2)</f>
        <v>7.177006089135983E-2</v>
      </c>
      <c r="O12" cm="1">
        <f t="array" ref="O12">EstymacjaGaussowska($K12,$C$2:$C$151,$O$2)</f>
        <v>0.1194251120032362</v>
      </c>
      <c r="P12" cm="1">
        <f t="array" ref="P12">EstymacjaGaussowska($K12,$C$2:$C$151,$P$2)</f>
        <v>7.7216532392911777E-2</v>
      </c>
      <c r="R12" cm="1">
        <f t="array" ref="R12">EstymacjaEpanecznikowa($K12,$C$2:$C$151,R$2)</f>
        <v>9.0750877164181981E-2</v>
      </c>
      <c r="S12" cm="1">
        <f t="array" ref="S12">EstymacjaEpanecznikowa($K12,$C$2:$C$151,S$2)</f>
        <v>9.1278875545270588E-2</v>
      </c>
      <c r="T12" cm="1">
        <f t="array" ref="T12">EstymacjaEpanecznikowa($K12,$C$2:$C$151,T$2)</f>
        <v>0.11745006168126008</v>
      </c>
    </row>
    <row r="13" spans="1:20" x14ac:dyDescent="0.25">
      <c r="A13">
        <v>5.9</v>
      </c>
      <c r="B13">
        <v>3</v>
      </c>
      <c r="C13">
        <v>4.2</v>
      </c>
      <c r="D13">
        <v>1.5</v>
      </c>
      <c r="E13" s="2" t="s">
        <v>6</v>
      </c>
      <c r="J13">
        <v>11</v>
      </c>
      <c r="K13">
        <f t="shared" si="1"/>
        <v>3.070234113712373</v>
      </c>
      <c r="L13">
        <f t="shared" si="0"/>
        <v>3.4424867797785086E-2</v>
      </c>
      <c r="M13" cm="1">
        <f t="array" ref="M13">EstymacjaGaussowska($K13,$C$2:$C$151)</f>
        <v>9.0841148022141688E-2</v>
      </c>
      <c r="N13" cm="1">
        <f t="array" ref="N13">EstymacjaGaussowska($K13,$C$2:$C$151,$N$2)</f>
        <v>5.9507310784628113E-2</v>
      </c>
      <c r="O13" cm="1">
        <f t="array" ref="O13">EstymacjaGaussowska($K13,$C$2:$C$151,$O$2)</f>
        <v>0.12139400536922895</v>
      </c>
      <c r="P13" cm="1">
        <f t="array" ref="P13">EstymacjaGaussowska($K13,$C$2:$C$151,$P$2)</f>
        <v>7.7242224120618791E-2</v>
      </c>
      <c r="R13" cm="1">
        <f t="array" ref="R13">EstymacjaEpanecznikowa($K13,$C$2:$C$151,R$2)</f>
        <v>9.2770167483155017E-2</v>
      </c>
      <c r="S13" cm="1">
        <f t="array" ref="S13">EstymacjaEpanecznikowa($K13,$C$2:$C$151,S$2)</f>
        <v>8.1219383458979E-2</v>
      </c>
      <c r="T13" cm="1">
        <f t="array" ref="T13">EstymacjaEpanecznikowa($K13,$C$2:$C$151,T$2)</f>
        <v>0.11958693987478161</v>
      </c>
    </row>
    <row r="14" spans="1:20" x14ac:dyDescent="0.25">
      <c r="A14">
        <v>6</v>
      </c>
      <c r="B14">
        <v>2.2000000000000002</v>
      </c>
      <c r="C14">
        <v>4</v>
      </c>
      <c r="D14">
        <v>1</v>
      </c>
      <c r="E14" s="2" t="s">
        <v>6</v>
      </c>
      <c r="J14">
        <v>12</v>
      </c>
      <c r="K14">
        <f t="shared" si="1"/>
        <v>3.0772575250836103</v>
      </c>
      <c r="L14">
        <f t="shared" si="0"/>
        <v>3.5748556424670661E-2</v>
      </c>
      <c r="M14" cm="1">
        <f t="array" ref="M14">EstymacjaGaussowska($K14,$C$2:$C$151)</f>
        <v>9.280605076318979E-2</v>
      </c>
      <c r="N14" cm="1">
        <f t="array" ref="N14">EstymacjaGaussowska($K14,$C$2:$C$151,$N$2)</f>
        <v>4.8380872636466829E-2</v>
      </c>
      <c r="O14" cm="1">
        <f t="array" ref="O14">EstymacjaGaussowska($K14,$C$2:$C$151,$O$2)</f>
        <v>0.12338459542881074</v>
      </c>
      <c r="P14" cm="1">
        <f t="array" ref="P14">EstymacjaGaussowska($K14,$C$2:$C$151,$P$2)</f>
        <v>7.7267773262573058E-2</v>
      </c>
      <c r="R14" cm="1">
        <f t="array" ref="R14">EstymacjaEpanecznikowa($K14,$C$2:$C$151,R$2)</f>
        <v>9.473346269226611E-2</v>
      </c>
      <c r="S14" cm="1">
        <f t="array" ref="S14">EstymacjaEpanecznikowa($K14,$C$2:$C$151,S$2)</f>
        <v>7.0100997468867249E-2</v>
      </c>
      <c r="T14" cm="1">
        <f t="array" ref="T14">EstymacjaEpanecznikowa($K14,$C$2:$C$151,T$2)</f>
        <v>0.12170057759853481</v>
      </c>
    </row>
    <row r="15" spans="1:20" x14ac:dyDescent="0.25">
      <c r="A15">
        <v>6.1</v>
      </c>
      <c r="B15">
        <v>2.9</v>
      </c>
      <c r="C15">
        <v>4.7</v>
      </c>
      <c r="D15">
        <v>1.4</v>
      </c>
      <c r="E15" s="2" t="s">
        <v>6</v>
      </c>
      <c r="J15">
        <v>13</v>
      </c>
      <c r="K15">
        <f t="shared" si="1"/>
        <v>3.0842809364548476</v>
      </c>
      <c r="L15">
        <f t="shared" si="0"/>
        <v>3.7114850858854805E-2</v>
      </c>
      <c r="M15" cm="1">
        <f t="array" ref="M15">EstymacjaGaussowska($K15,$C$2:$C$151)</f>
        <v>9.479028686223652E-2</v>
      </c>
      <c r="N15" cm="1">
        <f t="array" ref="N15">EstymacjaGaussowska($K15,$C$2:$C$151,$N$2)</f>
        <v>3.8575686948531612E-2</v>
      </c>
      <c r="O15" cm="1">
        <f t="array" ref="O15">EstymacjaGaussowska($K15,$C$2:$C$151,$O$2)</f>
        <v>0.12539697538180714</v>
      </c>
      <c r="P15" cm="1">
        <f t="array" ref="P15">EstymacjaGaussowska($K15,$C$2:$C$151,$P$2)</f>
        <v>7.7293179671548834E-2</v>
      </c>
      <c r="R15" cm="1">
        <f t="array" ref="R15">EstymacjaEpanecznikowa($K15,$C$2:$C$151,R$2)</f>
        <v>9.6640762791515303E-2</v>
      </c>
      <c r="S15" cm="1">
        <f t="array" ref="S15">EstymacjaEpanecznikowa($K15,$C$2:$C$151,S$2)</f>
        <v>5.7923717574935328E-2</v>
      </c>
      <c r="T15" cm="1">
        <f t="array" ref="T15">EstymacjaEpanecznikowa($K15,$C$2:$C$151,T$2)</f>
        <v>0.12379097485251962</v>
      </c>
    </row>
    <row r="16" spans="1:20" x14ac:dyDescent="0.25">
      <c r="A16">
        <v>5.6</v>
      </c>
      <c r="B16">
        <v>2.9</v>
      </c>
      <c r="C16">
        <v>3.6</v>
      </c>
      <c r="D16">
        <v>1.3</v>
      </c>
      <c r="E16" s="2" t="s">
        <v>6</v>
      </c>
      <c r="J16">
        <v>14</v>
      </c>
      <c r="K16">
        <f t="shared" si="1"/>
        <v>3.0913043478260849</v>
      </c>
      <c r="L16">
        <f t="shared" si="0"/>
        <v>3.852475744528925E-2</v>
      </c>
      <c r="M16" cm="1">
        <f t="array" ref="M16">EstymacjaGaussowska($K16,$C$2:$C$151)</f>
        <v>9.6793634497213649E-2</v>
      </c>
      <c r="N16" cm="1">
        <f t="array" ref="N16">EstymacjaGaussowska($K16,$C$2:$C$151,$N$2)</f>
        <v>3.0173796242726907E-2</v>
      </c>
      <c r="O16" cm="1">
        <f t="array" ref="O16">EstymacjaGaussowska($K16,$C$2:$C$151,$O$2)</f>
        <v>0.127431236977368</v>
      </c>
      <c r="P16" cm="1">
        <f t="array" ref="P16">EstymacjaGaussowska($K16,$C$2:$C$151,$P$2)</f>
        <v>7.7318443201109338E-2</v>
      </c>
      <c r="R16" cm="1">
        <f t="array" ref="R16">EstymacjaEpanecznikowa($K16,$C$2:$C$151,R$2)</f>
        <v>9.8567163960112836E-2</v>
      </c>
      <c r="S16" cm="1">
        <f t="array" ref="S16">EstymacjaEpanecznikowa($K16,$C$2:$C$151,S$2)</f>
        <v>4.4687543777183238E-2</v>
      </c>
      <c r="T16" cm="1">
        <f t="array" ref="T16">EstymacjaEpanecznikowa($K16,$C$2:$C$151,T$2)</f>
        <v>0.12585813163673615</v>
      </c>
    </row>
    <row r="17" spans="1:20" x14ac:dyDescent="0.25">
      <c r="A17">
        <v>6.7</v>
      </c>
      <c r="B17">
        <v>3.1</v>
      </c>
      <c r="C17">
        <v>4.4000000000000004</v>
      </c>
      <c r="D17">
        <v>1.4</v>
      </c>
      <c r="E17" s="2" t="s">
        <v>6</v>
      </c>
      <c r="J17">
        <v>15</v>
      </c>
      <c r="K17">
        <f t="shared" si="1"/>
        <v>3.0983277591973222</v>
      </c>
      <c r="L17">
        <f t="shared" si="0"/>
        <v>3.997929109501993E-2</v>
      </c>
      <c r="M17" cm="1">
        <f t="array" ref="M17">EstymacjaGaussowska($K17,$C$2:$C$151)</f>
        <v>9.8815842559474412E-2</v>
      </c>
      <c r="N17" cm="1">
        <f t="array" ref="N17">EstymacjaGaussowska($K17,$C$2:$C$151,$N$2)</f>
        <v>2.3171065217519795E-2</v>
      </c>
      <c r="O17" cm="1">
        <f t="array" ref="O17">EstymacjaGaussowska($K17,$C$2:$C$151,$O$2)</f>
        <v>0.12948747041588429</v>
      </c>
      <c r="P17" cm="1">
        <f t="array" ref="P17">EstymacjaGaussowska($K17,$C$2:$C$151,$P$2)</f>
        <v>7.7343563705608159E-2</v>
      </c>
      <c r="R17" cm="1">
        <f t="array" ref="R17">EstymacjaEpanecznikowa($K17,$C$2:$C$151,R$2)</f>
        <v>0.10116800349150898</v>
      </c>
      <c r="S17" cm="1">
        <f t="array" ref="S17">EstymacjaEpanecznikowa($K17,$C$2:$C$151,S$2)</f>
        <v>3.0392476075610974E-2</v>
      </c>
      <c r="T17" cm="1">
        <f t="array" ref="T17">EstymacjaEpanecznikowa($K17,$C$2:$C$151,T$2)</f>
        <v>0.12830631676270243</v>
      </c>
    </row>
    <row r="18" spans="1:20" x14ac:dyDescent="0.25">
      <c r="A18">
        <v>5.6</v>
      </c>
      <c r="B18">
        <v>3</v>
      </c>
      <c r="C18">
        <v>4.5</v>
      </c>
      <c r="D18">
        <v>1.5</v>
      </c>
      <c r="E18" s="2" t="s">
        <v>6</v>
      </c>
      <c r="J18">
        <v>16</v>
      </c>
      <c r="K18">
        <f t="shared" si="1"/>
        <v>3.1053511705685595</v>
      </c>
      <c r="L18">
        <f t="shared" si="0"/>
        <v>4.1479474686719787E-2</v>
      </c>
      <c r="M18" cm="1">
        <f t="array" ref="M18">EstymacjaGaussowska($K18,$C$2:$C$151)</f>
        <v>0.10085662943154365</v>
      </c>
      <c r="N18" cm="1">
        <f t="array" ref="N18">EstymacjaGaussowska($K18,$C$2:$C$151,$N$2)</f>
        <v>1.7498760224807411E-2</v>
      </c>
      <c r="O18" cm="1">
        <f t="array" ref="O18">EstymacjaGaussowska($K18,$C$2:$C$151,$O$2)</f>
        <v>0.13156576424568162</v>
      </c>
      <c r="P18" cm="1">
        <f t="array" ref="P18">EstymacjaGaussowska($K18,$C$2:$C$151,$P$2)</f>
        <v>7.7368541040190808E-2</v>
      </c>
      <c r="R18" cm="1">
        <f t="array" ref="R18">EstymacjaEpanecznikowa($K18,$C$2:$C$151,R$2)</f>
        <v>0.10370164889107084</v>
      </c>
      <c r="S18" cm="1">
        <f t="array" ref="S18">EstymacjaEpanecznikowa($K18,$C$2:$C$151,S$2)</f>
        <v>1.5038514470218567E-2</v>
      </c>
      <c r="T18" cm="1">
        <f t="array" ref="T18">EstymacjaEpanecznikowa($K18,$C$2:$C$151,T$2)</f>
        <v>0.13094628887545029</v>
      </c>
    </row>
    <row r="19" spans="1:20" x14ac:dyDescent="0.25">
      <c r="A19">
        <v>5.8</v>
      </c>
      <c r="B19">
        <v>2.7</v>
      </c>
      <c r="C19">
        <v>4.0999999999999996</v>
      </c>
      <c r="D19">
        <v>1</v>
      </c>
      <c r="E19" s="2" t="s">
        <v>6</v>
      </c>
      <c r="J19">
        <v>17</v>
      </c>
      <c r="K19">
        <f t="shared" si="1"/>
        <v>3.1123745819397968</v>
      </c>
      <c r="L19">
        <f t="shared" si="0"/>
        <v>4.3026338436493131E-2</v>
      </c>
      <c r="M19" cm="1">
        <f t="array" ref="M19">EstymacjaGaussowska($K19,$C$2:$C$151)</f>
        <v>0.10291568203741605</v>
      </c>
      <c r="N19" cm="1">
        <f t="array" ref="N19">EstymacjaGaussowska($K19,$C$2:$C$151,$N$2)</f>
        <v>1.3047111002011324E-2</v>
      </c>
      <c r="O19" cm="1">
        <f t="array" ref="O19">EstymacjaGaussowska($K19,$C$2:$C$151,$O$2)</f>
        <v>0.13366620525444914</v>
      </c>
      <c r="P19" cm="1">
        <f t="array" ref="P19">EstymacjaGaussowska($K19,$C$2:$C$151,$P$2)</f>
        <v>7.7393375060795869E-2</v>
      </c>
      <c r="R19" cm="1">
        <f t="array" ref="R19">EstymacjaEpanecznikowa($K19,$C$2:$C$151,R$2)</f>
        <v>0.10616810015879835</v>
      </c>
      <c r="S19" cm="1">
        <f t="array" ref="S19">EstymacjaEpanecznikowa($K19,$C$2:$C$151,S$2)</f>
        <v>0</v>
      </c>
      <c r="T19" cm="1">
        <f t="array" ref="T19">EstymacjaEpanecznikowa($K19,$C$2:$C$151,T$2)</f>
        <v>0.13355866293034827</v>
      </c>
    </row>
    <row r="20" spans="1:20" x14ac:dyDescent="0.25">
      <c r="A20">
        <v>6.2</v>
      </c>
      <c r="B20">
        <v>2.2000000000000002</v>
      </c>
      <c r="C20">
        <v>4.5</v>
      </c>
      <c r="D20">
        <v>1.5</v>
      </c>
      <c r="E20" s="2" t="s">
        <v>6</v>
      </c>
      <c r="J20">
        <v>18</v>
      </c>
      <c r="K20">
        <f t="shared" si="1"/>
        <v>3.1193979933110341</v>
      </c>
      <c r="L20">
        <f t="shared" si="0"/>
        <v>4.4620919235614787E-2</v>
      </c>
      <c r="M20" cm="1">
        <f t="array" ref="M20">EstymacjaGaussowska($K20,$C$2:$C$151)</f>
        <v>0.10499265518971168</v>
      </c>
      <c r="N20" cm="1">
        <f t="array" ref="N20">EstymacjaGaussowska($K20,$C$2:$C$151,$N$2)</f>
        <v>9.6884905787394827E-3</v>
      </c>
      <c r="O20" cm="1">
        <f t="array" ref="O20">EstymacjaGaussowska($K20,$C$2:$C$151,$O$2)</f>
        <v>0.13578887835536527</v>
      </c>
      <c r="P20" cm="1">
        <f t="array" ref="P20">EstymacjaGaussowska($K20,$C$2:$C$151,$P$2)</f>
        <v>7.741806562415679E-2</v>
      </c>
      <c r="R20" cm="1">
        <f t="array" ref="R20">EstymacjaEpanecznikowa($K20,$C$2:$C$151,R$2)</f>
        <v>0.10856735729469158</v>
      </c>
      <c r="S20" cm="1">
        <f t="array" ref="S20">EstymacjaEpanecznikowa($K20,$C$2:$C$151,S$2)</f>
        <v>0</v>
      </c>
      <c r="T20" cm="1">
        <f t="array" ref="T20">EstymacjaEpanecznikowa($K20,$C$2:$C$151,T$2)</f>
        <v>0.1361434389273963</v>
      </c>
    </row>
    <row r="21" spans="1:20" x14ac:dyDescent="0.25">
      <c r="A21">
        <v>5.6</v>
      </c>
      <c r="B21">
        <v>2.5</v>
      </c>
      <c r="C21">
        <v>3.9</v>
      </c>
      <c r="D21">
        <v>1.1000000000000001</v>
      </c>
      <c r="E21" s="2" t="s">
        <v>6</v>
      </c>
      <c r="J21">
        <v>19</v>
      </c>
      <c r="K21">
        <f t="shared" si="1"/>
        <v>3.1264214046822714</v>
      </c>
      <c r="L21">
        <f t="shared" si="0"/>
        <v>4.6264259955904857E-2</v>
      </c>
      <c r="M21" cm="1">
        <f t="array" ref="M21">EstymacjaGaussowska($K21,$C$2:$C$151)</f>
        <v>0.1070871712561523</v>
      </c>
      <c r="N21" cm="1">
        <f t="array" ref="N21">EstymacjaGaussowska($K21,$C$2:$C$151,$N$2)</f>
        <v>7.2985529775337794E-3</v>
      </c>
      <c r="O21" cm="1">
        <f t="array" ref="O21">EstymacjaGaussowska($K21,$C$2:$C$151,$O$2)</f>
        <v>0.13793386646789785</v>
      </c>
      <c r="P21" cm="1">
        <f t="array" ref="P21">EstymacjaGaussowska($K21,$C$2:$C$151,$P$2)</f>
        <v>7.74426125878028E-2</v>
      </c>
      <c r="R21" cm="1">
        <f t="array" ref="R21">EstymacjaEpanecznikowa($K21,$C$2:$C$151,R$2)</f>
        <v>0.1108994202987505</v>
      </c>
      <c r="S21" cm="1">
        <f t="array" ref="S21">EstymacjaEpanecznikowa($K21,$C$2:$C$151,S$2)</f>
        <v>0</v>
      </c>
      <c r="T21" cm="1">
        <f t="array" ref="T21">EstymacjaEpanecznikowa($K21,$C$2:$C$151,T$2)</f>
        <v>0.13870061686659452</v>
      </c>
    </row>
    <row r="22" spans="1:20" x14ac:dyDescent="0.25">
      <c r="A22">
        <v>5.9</v>
      </c>
      <c r="B22">
        <v>3.2</v>
      </c>
      <c r="C22">
        <v>4.8</v>
      </c>
      <c r="D22">
        <v>1.8</v>
      </c>
      <c r="E22" s="2" t="s">
        <v>6</v>
      </c>
      <c r="J22">
        <v>20</v>
      </c>
      <c r="K22">
        <f t="shared" si="1"/>
        <v>3.1334448160535087</v>
      </c>
      <c r="L22">
        <f t="shared" si="0"/>
        <v>4.795740872248011E-2</v>
      </c>
      <c r="M22" cm="1">
        <f t="array" ref="M22">EstymacjaGaussowska($K22,$C$2:$C$151)</f>
        <v>0.10919882016574757</v>
      </c>
      <c r="N22" cm="1">
        <f t="array" ref="N22">EstymacjaGaussowska($K22,$C$2:$C$151,$N$2)</f>
        <v>5.7743847761633675E-3</v>
      </c>
      <c r="O22" cm="1">
        <f t="array" ref="O22">EstymacjaGaussowska($K22,$C$2:$C$151,$O$2)</f>
        <v>0.14010125039325919</v>
      </c>
      <c r="P22" cm="1">
        <f t="array" ref="P22">EstymacjaGaussowska($K22,$C$2:$C$151,$P$2)</f>
        <v>7.7467015810060588E-2</v>
      </c>
      <c r="R22" cm="1">
        <f t="array" ref="R22">EstymacjaEpanecznikowa($K22,$C$2:$C$151,R$2)</f>
        <v>0.11316428917097511</v>
      </c>
      <c r="S22" cm="1">
        <f t="array" ref="S22">EstymacjaEpanecznikowa($K22,$C$2:$C$151,S$2)</f>
        <v>0</v>
      </c>
      <c r="T22" cm="1">
        <f t="array" ref="T22">EstymacjaEpanecznikowa($K22,$C$2:$C$151,T$2)</f>
        <v>0.14123019674794274</v>
      </c>
    </row>
    <row r="23" spans="1:20" x14ac:dyDescent="0.25">
      <c r="A23">
        <v>6.1</v>
      </c>
      <c r="B23">
        <v>2.8</v>
      </c>
      <c r="C23">
        <v>4</v>
      </c>
      <c r="D23">
        <v>1.3</v>
      </c>
      <c r="E23" s="2" t="s">
        <v>6</v>
      </c>
      <c r="J23">
        <v>21</v>
      </c>
      <c r="K23">
        <f t="shared" si="1"/>
        <v>3.140468227424746</v>
      </c>
      <c r="L23">
        <f t="shared" si="0"/>
        <v>4.9701418153665904E-2</v>
      </c>
      <c r="M23" cm="1">
        <f t="array" ref="M23">EstymacjaGaussowska($K23,$C$2:$C$151)</f>
        <v>0.11132715977278683</v>
      </c>
      <c r="N23" cm="1">
        <f t="array" ref="N23">EstymacjaGaussowska($K23,$C$2:$C$151,$N$2)</f>
        <v>5.0493084791159533E-3</v>
      </c>
      <c r="O23" cm="1">
        <f t="array" ref="O23">EstymacjaGaussowska($K23,$C$2:$C$151,$O$2)</f>
        <v>0.14229110868451181</v>
      </c>
      <c r="P23" cm="1">
        <f t="array" ref="P23">EstymacjaGaussowska($K23,$C$2:$C$151,$P$2)</f>
        <v>7.7491275150055522E-2</v>
      </c>
      <c r="R23" cm="1">
        <f t="array" ref="R23">EstymacjaEpanecznikowa($K23,$C$2:$C$151,R$2)</f>
        <v>0.11536196391136543</v>
      </c>
      <c r="S23" cm="1">
        <f t="array" ref="S23">EstymacjaEpanecznikowa($K23,$C$2:$C$151,S$2)</f>
        <v>0</v>
      </c>
      <c r="T23" cm="1">
        <f t="array" ref="T23">EstymacjaEpanecznikowa($K23,$C$2:$C$151,T$2)</f>
        <v>0.14373217857144102</v>
      </c>
    </row>
    <row r="24" spans="1:20" x14ac:dyDescent="0.25">
      <c r="A24">
        <v>6.3</v>
      </c>
      <c r="B24">
        <v>2.5</v>
      </c>
      <c r="C24">
        <v>4.9000000000000004</v>
      </c>
      <c r="D24">
        <v>1.5</v>
      </c>
      <c r="E24" s="2" t="s">
        <v>6</v>
      </c>
      <c r="J24">
        <v>22</v>
      </c>
      <c r="K24">
        <f t="shared" si="1"/>
        <v>3.1474916387959833</v>
      </c>
      <c r="L24">
        <f t="shared" si="0"/>
        <v>5.1497344567895863E-2</v>
      </c>
      <c r="M24" cm="1">
        <f t="array" ref="M24">EstymacjaGaussowska($K24,$C$2:$C$151)</f>
        <v>0.113471716594243</v>
      </c>
      <c r="N24" cm="1">
        <f t="array" ref="N24">EstymacjaGaussowska($K24,$C$2:$C$151,$N$2)</f>
        <v>5.1043269120000382E-3</v>
      </c>
      <c r="O24" cm="1">
        <f t="array" ref="O24">EstymacjaGaussowska($K24,$C$2:$C$151,$O$2)</f>
        <v>0.14450351751132529</v>
      </c>
      <c r="P24" cm="1">
        <f t="array" ref="P24">EstymacjaGaussowska($K24,$C$2:$C$151,$P$2)</f>
        <v>7.7515390467713052E-2</v>
      </c>
      <c r="R24" cm="1">
        <f t="array" ref="R24">EstymacjaEpanecznikowa($K24,$C$2:$C$151,R$2)</f>
        <v>0.11749244451992145</v>
      </c>
      <c r="S24" cm="1">
        <f t="array" ref="S24">EstymacjaEpanecznikowa($K24,$C$2:$C$151,S$2)</f>
        <v>0</v>
      </c>
      <c r="T24" cm="1">
        <f t="array" ref="T24">EstymacjaEpanecznikowa($K24,$C$2:$C$151,T$2)</f>
        <v>0.14620656233708951</v>
      </c>
    </row>
    <row r="25" spans="1:20" x14ac:dyDescent="0.25">
      <c r="A25">
        <v>6.1</v>
      </c>
      <c r="B25">
        <v>2.8</v>
      </c>
      <c r="C25">
        <v>4.7</v>
      </c>
      <c r="D25">
        <v>1.2</v>
      </c>
      <c r="E25" s="2" t="s">
        <v>6</v>
      </c>
      <c r="J25">
        <v>23</v>
      </c>
      <c r="K25">
        <f t="shared" si="1"/>
        <v>3.1545150501672206</v>
      </c>
      <c r="L25">
        <f t="shared" si="0"/>
        <v>5.3346247157474609E-2</v>
      </c>
      <c r="M25" cm="1">
        <f t="array" ref="M25">EstymacjaGaussowska($K25,$C$2:$C$151)</f>
        <v>0.1156319869335255</v>
      </c>
      <c r="N25" cm="1">
        <f t="array" ref="N25">EstymacjaGaussowska($K25,$C$2:$C$151,$N$2)</f>
        <v>5.976282548970948E-3</v>
      </c>
      <c r="O25" cm="1">
        <f t="array" ref="O25">EstymacjaGaussowska($K25,$C$2:$C$151,$O$2)</f>
        <v>0.14673855051940002</v>
      </c>
      <c r="P25" cm="1">
        <f t="array" ref="P25">EstymacjaGaussowska($K25,$C$2:$C$151,$P$2)</f>
        <v>7.7539361623760003E-2</v>
      </c>
      <c r="R25" cm="1">
        <f t="array" ref="R25">EstymacjaEpanecznikowa($K25,$C$2:$C$151,R$2)</f>
        <v>0.11955573099664317</v>
      </c>
      <c r="S25" cm="1">
        <f t="array" ref="S25">EstymacjaEpanecznikowa($K25,$C$2:$C$151,S$2)</f>
        <v>0</v>
      </c>
      <c r="T25" cm="1">
        <f t="array" ref="T25">EstymacjaEpanecznikowa($K25,$C$2:$C$151,T$2)</f>
        <v>0.148653348044888</v>
      </c>
    </row>
    <row r="26" spans="1:20" x14ac:dyDescent="0.25">
      <c r="A26">
        <v>6.4</v>
      </c>
      <c r="B26">
        <v>2.9</v>
      </c>
      <c r="C26">
        <v>4.3</v>
      </c>
      <c r="D26">
        <v>1.3</v>
      </c>
      <c r="E26" s="2" t="s">
        <v>6</v>
      </c>
      <c r="J26">
        <v>24</v>
      </c>
      <c r="K26">
        <f t="shared" si="1"/>
        <v>3.1615384615384579</v>
      </c>
      <c r="L26">
        <f t="shared" si="0"/>
        <v>5.5249187129124376E-2</v>
      </c>
      <c r="M26" cm="1">
        <f t="array" ref="M26">EstymacjaGaussowska($K26,$C$2:$C$151)</f>
        <v>0.11780743840069047</v>
      </c>
      <c r="N26" cm="1">
        <f t="array" ref="N26">EstymacjaGaussowska($K26,$C$2:$C$151,$N$2)</f>
        <v>7.7626471244984499E-3</v>
      </c>
      <c r="O26" cm="1">
        <f t="array" ref="O26">EstymacjaGaussowska($K26,$C$2:$C$151,$O$2)</f>
        <v>0.14899627868457882</v>
      </c>
      <c r="P26" cm="1">
        <f t="array" ref="P26">EstymacjaGaussowska($K26,$C$2:$C$151,$P$2)</f>
        <v>7.7563188479726097E-2</v>
      </c>
      <c r="R26" cm="1">
        <f t="array" ref="R26">EstymacjaEpanecznikowa($K26,$C$2:$C$151,R$2)</f>
        <v>0.12155182334153056</v>
      </c>
      <c r="S26" cm="1">
        <f t="array" ref="S26">EstymacjaEpanecznikowa($K26,$C$2:$C$151,S$2)</f>
        <v>0</v>
      </c>
      <c r="T26" cm="1">
        <f t="array" ref="T26">EstymacjaEpanecznikowa($K26,$C$2:$C$151,T$2)</f>
        <v>0.15107253569483661</v>
      </c>
    </row>
    <row r="27" spans="1:20" x14ac:dyDescent="0.25">
      <c r="A27">
        <v>6.6</v>
      </c>
      <c r="B27">
        <v>3</v>
      </c>
      <c r="C27">
        <v>4.4000000000000004</v>
      </c>
      <c r="D27">
        <v>1.4</v>
      </c>
      <c r="E27" s="2" t="s">
        <v>6</v>
      </c>
      <c r="J27">
        <v>25</v>
      </c>
      <c r="K27">
        <f t="shared" si="1"/>
        <v>3.1685618729096952</v>
      </c>
      <c r="L27">
        <f t="shared" si="0"/>
        <v>5.7207226811288661E-2</v>
      </c>
      <c r="M27" cm="1">
        <f t="array" ref="M27">EstymacjaGaussowska($K27,$C$2:$C$151)</f>
        <v>0.11999751183625273</v>
      </c>
      <c r="N27" cm="1">
        <f t="array" ref="N27">EstymacjaGaussowska($K27,$C$2:$C$151,$N$2)</f>
        <v>1.0622530088629433E-2</v>
      </c>
      <c r="O27" cm="1">
        <f t="array" ref="O27">EstymacjaGaussowska($K27,$C$2:$C$151,$O$2)</f>
        <v>0.15127677016168189</v>
      </c>
      <c r="P27" cm="1">
        <f t="array" ref="P27">EstymacjaGaussowska($K27,$C$2:$C$151,$P$2)</f>
        <v>7.7586870897945054E-2</v>
      </c>
      <c r="R27" cm="1">
        <f t="array" ref="R27">EstymacjaEpanecznikowa($K27,$C$2:$C$151,R$2)</f>
        <v>0.12348072155458367</v>
      </c>
      <c r="S27" cm="1">
        <f t="array" ref="S27">EstymacjaEpanecznikowa($K27,$C$2:$C$151,S$2)</f>
        <v>0</v>
      </c>
      <c r="T27" cm="1">
        <f t="array" ref="T27">EstymacjaEpanecznikowa($K27,$C$2:$C$151,T$2)</f>
        <v>0.15346412528693532</v>
      </c>
    </row>
    <row r="28" spans="1:20" x14ac:dyDescent="0.25">
      <c r="A28">
        <v>6.8</v>
      </c>
      <c r="B28">
        <v>2.8</v>
      </c>
      <c r="C28">
        <v>4.8</v>
      </c>
      <c r="D28">
        <v>1.4</v>
      </c>
      <c r="E28" s="2" t="s">
        <v>6</v>
      </c>
      <c r="J28">
        <v>26</v>
      </c>
      <c r="K28">
        <f t="shared" si="1"/>
        <v>3.1755852842809325</v>
      </c>
      <c r="L28">
        <f t="shared" si="0"/>
        <v>5.922142872821691E-2</v>
      </c>
      <c r="M28" cm="1">
        <f t="array" ref="M28">EstymacjaGaussowska($K28,$C$2:$C$151)</f>
        <v>0.12220162364265998</v>
      </c>
      <c r="N28" cm="1">
        <f t="array" ref="N28">EstymacjaGaussowska($K28,$C$2:$C$151,$N$2)</f>
        <v>1.4773114062957886E-2</v>
      </c>
      <c r="O28" cm="1">
        <f t="array" ref="O28">EstymacjaGaussowska($K28,$C$2:$C$151,$O$2)</f>
        <v>0.15358009012810939</v>
      </c>
      <c r="P28" cm="1">
        <f t="array" ref="P28">EstymacjaGaussowska($K28,$C$2:$C$151,$P$2)</f>
        <v>7.7610408741556031E-2</v>
      </c>
      <c r="R28" cm="1">
        <f t="array" ref="R28">EstymacjaEpanecznikowa($K28,$C$2:$C$151,R$2)</f>
        <v>0.12534242563580245</v>
      </c>
      <c r="S28" cm="1">
        <f t="array" ref="S28">EstymacjaEpanecznikowa($K28,$C$2:$C$151,S$2)</f>
        <v>0</v>
      </c>
      <c r="T28" cm="1">
        <f t="array" ref="T28">EstymacjaEpanecznikowa($K28,$C$2:$C$151,T$2)</f>
        <v>0.15582811682118414</v>
      </c>
    </row>
    <row r="29" spans="1:20" x14ac:dyDescent="0.25">
      <c r="A29">
        <v>6.7</v>
      </c>
      <c r="B29">
        <v>3</v>
      </c>
      <c r="C29">
        <v>5</v>
      </c>
      <c r="D29">
        <v>1.7</v>
      </c>
      <c r="E29" s="2" t="s">
        <v>6</v>
      </c>
      <c r="J29">
        <v>27</v>
      </c>
      <c r="K29">
        <f t="shared" si="1"/>
        <v>3.1826086956521698</v>
      </c>
      <c r="L29">
        <f t="shared" si="0"/>
        <v>6.1292854640908306E-2</v>
      </c>
      <c r="M29" cm="1">
        <f t="array" ref="M29">EstymacjaGaussowska($K29,$C$2:$C$151)</f>
        <v>0.12441916852432057</v>
      </c>
      <c r="N29" cm="1">
        <f t="array" ref="N29">EstymacjaGaussowska($K29,$C$2:$C$151,$N$2)</f>
        <v>2.0480429817770207E-2</v>
      </c>
      <c r="O29" cm="1">
        <f t="array" ref="O29">EstymacjaGaussowska($K29,$C$2:$C$151,$O$2)</f>
        <v>0.15590630062226549</v>
      </c>
      <c r="P29" cm="1">
        <f t="array" ref="P29">EstymacjaGaussowska($K29,$C$2:$C$151,$P$2)</f>
        <v>7.7633801874504915E-2</v>
      </c>
      <c r="R29" cm="1">
        <f t="array" ref="R29">EstymacjaEpanecznikowa($K29,$C$2:$C$151,R$2)</f>
        <v>0.12713693558518693</v>
      </c>
      <c r="S29" cm="1">
        <f t="array" ref="S29">EstymacjaEpanecznikowa($K29,$C$2:$C$151,S$2)</f>
        <v>0</v>
      </c>
      <c r="T29" cm="1">
        <f t="array" ref="T29">EstymacjaEpanecznikowa($K29,$C$2:$C$151,T$2)</f>
        <v>0.15816451029758297</v>
      </c>
    </row>
    <row r="30" spans="1:20" x14ac:dyDescent="0.25">
      <c r="A30">
        <v>6</v>
      </c>
      <c r="B30">
        <v>2.9</v>
      </c>
      <c r="C30">
        <v>4.5</v>
      </c>
      <c r="D30">
        <v>1.5</v>
      </c>
      <c r="E30" s="2" t="s">
        <v>6</v>
      </c>
      <c r="J30">
        <v>28</v>
      </c>
      <c r="K30">
        <f t="shared" si="1"/>
        <v>3.189632107023407</v>
      </c>
      <c r="L30">
        <f t="shared" si="0"/>
        <v>6.3422564555047425E-2</v>
      </c>
      <c r="M30" cm="1">
        <f t="array" ref="M30">EstymacjaGaussowska($K30,$C$2:$C$151)</f>
        <v>0.1266495226338335</v>
      </c>
      <c r="N30" cm="1">
        <f t="array" ref="N30">EstymacjaGaussowska($K30,$C$2:$C$151,$N$2)</f>
        <v>2.8043314609295798E-2</v>
      </c>
      <c r="O30" cm="1">
        <f t="array" ref="O30">EstymacjaGaussowska($K30,$C$2:$C$151,$O$2)</f>
        <v>0.1582554603768723</v>
      </c>
      <c r="P30" cm="1">
        <f t="array" ref="P30">EstymacjaGaussowska($K30,$C$2:$C$151,$P$2)</f>
        <v>7.7657050161545768E-2</v>
      </c>
      <c r="R30" cm="1">
        <f t="array" ref="R30">EstymacjaEpanecznikowa($K30,$C$2:$C$151,R$2)</f>
        <v>0.12886425140273713</v>
      </c>
      <c r="S30" cm="1">
        <f t="array" ref="S30">EstymacjaEpanecznikowa($K30,$C$2:$C$151,S$2)</f>
        <v>6.84619329537124E-3</v>
      </c>
      <c r="T30" cm="1">
        <f t="array" ref="T30">EstymacjaEpanecznikowa($K30,$C$2:$C$151,T$2)</f>
        <v>0.16047330571613203</v>
      </c>
    </row>
    <row r="31" spans="1:20" x14ac:dyDescent="0.25">
      <c r="A31">
        <v>5.7</v>
      </c>
      <c r="B31">
        <v>2.6</v>
      </c>
      <c r="C31">
        <v>3.5</v>
      </c>
      <c r="D31">
        <v>1</v>
      </c>
      <c r="E31" s="2" t="s">
        <v>6</v>
      </c>
      <c r="J31">
        <v>29</v>
      </c>
      <c r="K31">
        <f t="shared" si="1"/>
        <v>3.1966555183946443</v>
      </c>
      <c r="L31">
        <f t="shared" si="0"/>
        <v>6.5611615696123268E-2</v>
      </c>
      <c r="M31" cm="1">
        <f t="array" ref="M31">EstymacjaGaussowska($K31,$C$2:$C$151)</f>
        <v>0.12889204711878399</v>
      </c>
      <c r="N31" cm="1">
        <f t="array" ref="N31">EstymacjaGaussowska($K31,$C$2:$C$151,$N$2)</f>
        <v>3.7769677570228276E-2</v>
      </c>
      <c r="O31" cm="1">
        <f t="array" ref="O31">EstymacjaGaussowska($K31,$C$2:$C$151,$O$2)</f>
        <v>0.16062762464724795</v>
      </c>
      <c r="P31" cm="1">
        <f t="array" ref="P31">EstymacjaGaussowska($K31,$C$2:$C$151,$P$2)</f>
        <v>7.768015346824178E-2</v>
      </c>
      <c r="R31" cm="1">
        <f t="array" ref="R31">EstymacjaEpanecznikowa($K31,$C$2:$C$151,R$2)</f>
        <v>0.13121422192958471</v>
      </c>
      <c r="S31" cm="1">
        <f t="array" ref="S31">EstymacjaEpanecznikowa($K31,$C$2:$C$151,S$2)</f>
        <v>3.9066822083044066E-2</v>
      </c>
      <c r="T31" cm="1">
        <f t="array" ref="T31">EstymacjaEpanecznikowa($K31,$C$2:$C$151,T$2)</f>
        <v>0.16309606980247557</v>
      </c>
    </row>
    <row r="32" spans="1:20" x14ac:dyDescent="0.25">
      <c r="A32">
        <v>5.5</v>
      </c>
      <c r="B32">
        <v>2.4</v>
      </c>
      <c r="C32">
        <v>3.8</v>
      </c>
      <c r="D32">
        <v>1.1000000000000001</v>
      </c>
      <c r="E32" s="2" t="s">
        <v>6</v>
      </c>
      <c r="J32">
        <v>30</v>
      </c>
      <c r="K32">
        <f t="shared" si="1"/>
        <v>3.2036789297658816</v>
      </c>
      <c r="L32">
        <f t="shared" si="0"/>
        <v>6.7861061451980453E-2</v>
      </c>
      <c r="M32" cm="1">
        <f t="array" ref="M32">EstymacjaGaussowska($K32,$C$2:$C$151)</f>
        <v>0.13114609206016184</v>
      </c>
      <c r="N32" cm="1">
        <f t="array" ref="N32">EstymacjaGaussowska($K32,$C$2:$C$151,$N$2)</f>
        <v>4.9944897279533364E-2</v>
      </c>
      <c r="O32" cm="1">
        <f t="array" ref="O32">EstymacjaGaussowska($K32,$C$2:$C$151,$O$2)</f>
        <v>0.16302284503463887</v>
      </c>
      <c r="P32" cm="1">
        <f t="array" ref="P32">EstymacjaGaussowska($K32,$C$2:$C$151,$P$2)</f>
        <v>7.7703111660966981E-2</v>
      </c>
      <c r="R32" cm="1">
        <f t="array" ref="R32">EstymacjaEpanecznikowa($K32,$C$2:$C$151,R$2)</f>
        <v>0.13360414654716765</v>
      </c>
      <c r="S32" cm="1">
        <f t="array" ref="S32">EstymacjaEpanecznikowa($K32,$C$2:$C$151,S$2)</f>
        <v>6.9169663063076536E-2</v>
      </c>
      <c r="T32" cm="1">
        <f t="array" ref="T32">EstymacjaEpanecznikowa($K32,$C$2:$C$151,T$2)</f>
        <v>0.16617678082404466</v>
      </c>
    </row>
    <row r="33" spans="1:20" x14ac:dyDescent="0.25">
      <c r="A33">
        <v>5.5</v>
      </c>
      <c r="B33">
        <v>2.4</v>
      </c>
      <c r="C33">
        <v>3.7</v>
      </c>
      <c r="D33">
        <v>1</v>
      </c>
      <c r="E33" s="2" t="s">
        <v>6</v>
      </c>
      <c r="J33">
        <v>31</v>
      </c>
      <c r="K33">
        <f t="shared" si="1"/>
        <v>3.2107023411371189</v>
      </c>
      <c r="L33">
        <f t="shared" si="0"/>
        <v>7.0171950283113196E-2</v>
      </c>
      <c r="M33" cm="1">
        <f t="array" ref="M33">EstymacjaGaussowska($K33,$C$2:$C$151)</f>
        <v>0.13341100079015594</v>
      </c>
      <c r="N33" cm="1">
        <f t="array" ref="N33">EstymacjaGaussowska($K33,$C$2:$C$151,$N$2)</f>
        <v>6.4793296279096177E-2</v>
      </c>
      <c r="O33" cm="1">
        <f t="array" ref="O33">EstymacjaGaussowska($K33,$C$2:$C$151,$O$2)</f>
        <v>0.16544116930470468</v>
      </c>
      <c r="P33" cm="1">
        <f t="array" ref="P33">EstymacjaGaussowska($K33,$C$2:$C$151,$P$2)</f>
        <v>7.7725924606907221E-2</v>
      </c>
      <c r="R33" cm="1">
        <f t="array" ref="R33">EstymacjaEpanecznikowa($K33,$C$2:$C$151,R$2)</f>
        <v>0.13591567801094392</v>
      </c>
      <c r="S33" cm="1">
        <f t="array" ref="S33">EstymacjaEpanecznikowa($K33,$C$2:$C$151,S$2)</f>
        <v>9.7154716235468702E-2</v>
      </c>
      <c r="T33" cm="1">
        <f t="array" ref="T33">EstymacjaEpanecznikowa($K33,$C$2:$C$151,T$2)</f>
        <v>0.16922408367032166</v>
      </c>
    </row>
    <row r="34" spans="1:20" x14ac:dyDescent="0.25">
      <c r="A34">
        <v>5.8</v>
      </c>
      <c r="B34">
        <v>2.7</v>
      </c>
      <c r="C34">
        <v>3.9</v>
      </c>
      <c r="D34">
        <v>1.2</v>
      </c>
      <c r="E34" s="2" t="s">
        <v>6</v>
      </c>
      <c r="J34">
        <v>32</v>
      </c>
      <c r="K34">
        <f t="shared" si="1"/>
        <v>3.2177257525083562</v>
      </c>
      <c r="L34">
        <f t="shared" si="0"/>
        <v>7.2545324601073283E-2</v>
      </c>
      <c r="M34" cm="1">
        <f t="array" ref="M34">EstymacjaGaussowska($K34,$C$2:$C$151)</f>
        <v>0.13568611457379989</v>
      </c>
      <c r="N34" cm="1">
        <f t="array" ref="N34">EstymacjaGaussowska($K34,$C$2:$C$151,$N$2)</f>
        <v>8.243507397359251E-2</v>
      </c>
      <c r="O34" cm="1">
        <f t="array" ref="O34">EstymacjaGaussowska($K34,$C$2:$C$151,$O$2)</f>
        <v>0.167882641201265</v>
      </c>
      <c r="P34" cm="1">
        <f t="array" ref="P34">EstymacjaGaussowska($K34,$C$2:$C$151,$P$2)</f>
        <v>7.7748592174061701E-2</v>
      </c>
      <c r="R34" cm="1">
        <f t="array" ref="R34">EstymacjaEpanecznikowa($K34,$C$2:$C$151,R$2)</f>
        <v>0.13814881632091347</v>
      </c>
      <c r="S34" cm="1">
        <f t="array" ref="S34">EstymacjaEpanecznikowa($K34,$C$2:$C$151,S$2)</f>
        <v>0.12302198160022051</v>
      </c>
      <c r="T34" cm="1">
        <f t="array" ref="T34">EstymacjaEpanecznikowa($K34,$C$2:$C$151,T$2)</f>
        <v>0.17223797834130661</v>
      </c>
    </row>
    <row r="35" spans="1:20" x14ac:dyDescent="0.25">
      <c r="A35">
        <v>6</v>
      </c>
      <c r="B35">
        <v>2.7</v>
      </c>
      <c r="C35">
        <v>5.0999999999999996</v>
      </c>
      <c r="D35">
        <v>1.6</v>
      </c>
      <c r="E35" s="2" t="s">
        <v>6</v>
      </c>
      <c r="J35">
        <v>33</v>
      </c>
      <c r="K35">
        <f t="shared" si="1"/>
        <v>3.2247491638795935</v>
      </c>
      <c r="L35">
        <f t="shared" si="0"/>
        <v>7.4982219615428447E-2</v>
      </c>
      <c r="M35" cm="1">
        <f t="array" ref="M35">EstymacjaGaussowska($K35,$C$2:$C$151)</f>
        <v>0.13797077763571486</v>
      </c>
      <c r="N35" cm="1">
        <f t="array" ref="N35">EstymacjaGaussowska($K35,$C$2:$C$151,$N$2)</f>
        <v>0.10284262740154324</v>
      </c>
      <c r="O35" cm="1">
        <f t="array" ref="O35">EstymacjaGaussowska($K35,$C$2:$C$151,$O$2)</f>
        <v>0.17034730025543043</v>
      </c>
      <c r="P35" cm="1">
        <f t="array" ref="P35">EstymacjaGaussowska($K35,$C$2:$C$151,$P$2)</f>
        <v>7.7771114231243957E-2</v>
      </c>
      <c r="R35" cm="1">
        <f t="array" ref="R35">EstymacjaEpanecznikowa($K35,$C$2:$C$151,R$2)</f>
        <v>0.14030356147707632</v>
      </c>
      <c r="S35" cm="1">
        <f t="array" ref="S35">EstymacjaEpanecznikowa($K35,$C$2:$C$151,S$2)</f>
        <v>0.14677145915733197</v>
      </c>
      <c r="T35" cm="1">
        <f t="array" ref="T35">EstymacjaEpanecznikowa($K35,$C$2:$C$151,T$2)</f>
        <v>0.1752184648369996</v>
      </c>
    </row>
    <row r="36" spans="1:20" x14ac:dyDescent="0.25">
      <c r="A36">
        <v>5.4</v>
      </c>
      <c r="B36">
        <v>3</v>
      </c>
      <c r="C36">
        <v>4.5</v>
      </c>
      <c r="D36">
        <v>1.5</v>
      </c>
      <c r="E36" s="2" t="s">
        <v>6</v>
      </c>
      <c r="J36">
        <v>34</v>
      </c>
      <c r="K36">
        <f t="shared" si="1"/>
        <v>3.2317725752508308</v>
      </c>
      <c r="L36">
        <f t="shared" si="0"/>
        <v>7.748366214977094E-2</v>
      </c>
      <c r="M36" cm="1">
        <f t="array" ref="M36">EstymacjaGaussowska($K36,$C$2:$C$151)</f>
        <v>0.14026434251003514</v>
      </c>
      <c r="N36" cm="1">
        <f t="array" ref="N36">EstymacjaGaussowska($K36,$C$2:$C$151,$N$2)</f>
        <v>0.12580155456463474</v>
      </c>
      <c r="O36" cm="1">
        <f t="array" ref="O36">EstymacjaGaussowska($K36,$C$2:$C$151,$O$2)</f>
        <v>0.17283518159024955</v>
      </c>
      <c r="P36" cm="1">
        <f t="array" ref="P36">EstymacjaGaussowska($K36,$C$2:$C$151,$P$2)</f>
        <v>7.7793490648083399E-2</v>
      </c>
      <c r="R36" cm="1">
        <f t="array" ref="R36">EstymacjaEpanecznikowa($K36,$C$2:$C$151,R$2)</f>
        <v>0.14237991347943249</v>
      </c>
      <c r="S36" cm="1">
        <f t="array" ref="S36">EstymacjaEpanecznikowa($K36,$C$2:$C$151,S$2)</f>
        <v>0.16840314890680311</v>
      </c>
      <c r="T36" cm="1">
        <f t="array" ref="T36">EstymacjaEpanecznikowa($K36,$C$2:$C$151,T$2)</f>
        <v>0.17816554315740066</v>
      </c>
    </row>
    <row r="37" spans="1:20" x14ac:dyDescent="0.25">
      <c r="A37">
        <v>6</v>
      </c>
      <c r="B37">
        <v>3.4</v>
      </c>
      <c r="C37">
        <v>4.5</v>
      </c>
      <c r="D37">
        <v>1.6</v>
      </c>
      <c r="E37" s="2" t="s">
        <v>6</v>
      </c>
      <c r="J37">
        <v>35</v>
      </c>
      <c r="K37">
        <f t="shared" si="1"/>
        <v>3.2387959866220681</v>
      </c>
      <c r="L37">
        <f t="shared" si="0"/>
        <v>8.0050669427343193E-2</v>
      </c>
      <c r="M37" cm="1">
        <f t="array" ref="M37">EstymacjaGaussowska($K37,$C$2:$C$151)</f>
        <v>0.14256617568853439</v>
      </c>
      <c r="N37" cm="1">
        <f t="array" ref="N37">EstymacjaGaussowska($K37,$C$2:$C$151,$N$2)</f>
        <v>0.15088247705210017</v>
      </c>
      <c r="O37" cm="1">
        <f t="array" ref="O37">EstymacjaGaussowska($K37,$C$2:$C$151,$O$2)</f>
        <v>0.1753463157210142</v>
      </c>
      <c r="P37" cm="1">
        <f t="array" ref="P37">EstymacjaGaussowska($K37,$C$2:$C$151,$P$2)</f>
        <v>7.7815721295026355E-2</v>
      </c>
      <c r="R37" cm="1">
        <f t="array" ref="R37">EstymacjaEpanecznikowa($K37,$C$2:$C$151,R$2)</f>
        <v>0.14437787232798199</v>
      </c>
      <c r="S37" cm="1">
        <f t="array" ref="S37">EstymacjaEpanecznikowa($K37,$C$2:$C$151,S$2)</f>
        <v>0.18791705084863392</v>
      </c>
      <c r="T37" cm="1">
        <f t="array" ref="T37">EstymacjaEpanecznikowa($K37,$C$2:$C$151,T$2)</f>
        <v>0.18107921330250967</v>
      </c>
    </row>
    <row r="38" spans="1:20" x14ac:dyDescent="0.25">
      <c r="A38">
        <v>6.7</v>
      </c>
      <c r="B38">
        <v>3.1</v>
      </c>
      <c r="C38">
        <v>4.7</v>
      </c>
      <c r="D38">
        <v>1.5</v>
      </c>
      <c r="E38" s="2" t="s">
        <v>6</v>
      </c>
      <c r="J38">
        <v>36</v>
      </c>
      <c r="K38">
        <f t="shared" si="1"/>
        <v>3.2458193979933054</v>
      </c>
      <c r="L38">
        <f t="shared" si="0"/>
        <v>8.2684247826914276E-2</v>
      </c>
      <c r="M38" cm="1">
        <f t="array" ref="M38">EstymacjaGaussowska($K38,$C$2:$C$151)</f>
        <v>0.14487566353901171</v>
      </c>
      <c r="N38" cm="1">
        <f t="array" ref="N38">EstymacjaGaussowska($K38,$C$2:$C$151,$N$2)</f>
        <v>0.17742981793417756</v>
      </c>
      <c r="O38" cm="1">
        <f t="array" ref="O38">EstymacjaGaussowska($K38,$C$2:$C$151,$O$2)</f>
        <v>0.17788072835137883</v>
      </c>
      <c r="P38" cm="1">
        <f t="array" ref="P38">EstymacjaGaussowska($K38,$C$2:$C$151,$P$2)</f>
        <v>7.7837806043337565E-2</v>
      </c>
      <c r="R38" cm="1">
        <f t="array" ref="R38">EstymacjaEpanecznikowa($K38,$C$2:$C$151,R$2)</f>
        <v>0.14629743802272474</v>
      </c>
      <c r="S38" cm="1">
        <f t="array" ref="S38">EstymacjaEpanecznikowa($K38,$C$2:$C$151,S$2)</f>
        <v>0.2053131649828244</v>
      </c>
      <c r="T38" cm="1">
        <f t="array" ref="T38">EstymacjaEpanecznikowa($K38,$C$2:$C$151,T$2)</f>
        <v>0.18395947527232667</v>
      </c>
    </row>
    <row r="39" spans="1:20" x14ac:dyDescent="0.25">
      <c r="A39">
        <v>6.3</v>
      </c>
      <c r="B39">
        <v>2.2999999999999998</v>
      </c>
      <c r="C39">
        <v>4.4000000000000004</v>
      </c>
      <c r="D39">
        <v>1.3</v>
      </c>
      <c r="E39" s="2" t="s">
        <v>6</v>
      </c>
      <c r="J39">
        <v>37</v>
      </c>
      <c r="K39">
        <f t="shared" si="1"/>
        <v>3.2528428093645427</v>
      </c>
      <c r="L39">
        <f t="shared" si="0"/>
        <v>8.5385391609610006E-2</v>
      </c>
      <c r="M39" cm="1">
        <f t="array" ref="M39">EstymacjaGaussowska($K39,$C$2:$C$151)</f>
        <v>0.14719221846317146</v>
      </c>
      <c r="N39" cm="1">
        <f t="array" ref="N39">EstymacjaGaussowska($K39,$C$2:$C$151,$N$2)</f>
        <v>0.20457260846415018</v>
      </c>
      <c r="O39" cm="1">
        <f t="array" ref="O39">EstymacjaGaussowska($K39,$C$2:$C$151,$O$2)</f>
        <v>0.18043844016545704</v>
      </c>
      <c r="P39" cm="1">
        <f t="array" ref="P39">EstymacjaGaussowska($K39,$C$2:$C$151,$P$2)</f>
        <v>7.7859744765101116E-2</v>
      </c>
      <c r="R39" cm="1">
        <f t="array" ref="R39">EstymacjaEpanecznikowa($K39,$C$2:$C$151,R$2)</f>
        <v>0.1481386105636609</v>
      </c>
      <c r="S39" cm="1">
        <f t="array" ref="S39">EstymacjaEpanecznikowa($K39,$C$2:$C$151,S$2)</f>
        <v>0.22059149130937455</v>
      </c>
      <c r="T39" cm="1">
        <f t="array" ref="T39">EstymacjaEpanecznikowa($K39,$C$2:$C$151,T$2)</f>
        <v>0.18680632906685177</v>
      </c>
    </row>
    <row r="40" spans="1:20" x14ac:dyDescent="0.25">
      <c r="A40">
        <v>5.6</v>
      </c>
      <c r="B40">
        <v>3</v>
      </c>
      <c r="C40">
        <v>4.0999999999999996</v>
      </c>
      <c r="D40">
        <v>1.3</v>
      </c>
      <c r="E40" s="2" t="s">
        <v>6</v>
      </c>
      <c r="J40">
        <v>38</v>
      </c>
      <c r="K40">
        <f t="shared" si="1"/>
        <v>3.25986622073578</v>
      </c>
      <c r="L40">
        <f t="shared" si="0"/>
        <v>8.815508161746842E-2</v>
      </c>
      <c r="M40" cm="1">
        <f t="array" ref="M40">EstymacjaGaussowska($K40,$C$2:$C$151)</f>
        <v>0.14951528526054958</v>
      </c>
      <c r="N40" cm="1">
        <f t="array" ref="N40">EstymacjaGaussowska($K40,$C$2:$C$151,$N$2)</f>
        <v>0.23126023057070524</v>
      </c>
      <c r="O40" cm="1">
        <f t="array" ref="O40">EstymacjaGaussowska($K40,$C$2:$C$151,$O$2)</f>
        <v>0.18301946661607263</v>
      </c>
      <c r="P40" cm="1">
        <f t="array" ref="P40">EstymacjaGaussowska($K40,$C$2:$C$151,$P$2)</f>
        <v>7.7881537333221937E-2</v>
      </c>
      <c r="R40" cm="1">
        <f t="array" ref="R40">EstymacjaEpanecznikowa($K40,$C$2:$C$151,R$2)</f>
        <v>0.14990138995079033</v>
      </c>
      <c r="S40" cm="1">
        <f t="array" ref="S40">EstymacjaEpanecznikowa($K40,$C$2:$C$151,S$2)</f>
        <v>0.23375202982828433</v>
      </c>
      <c r="T40" cm="1">
        <f t="array" ref="T40">EstymacjaEpanecznikowa($K40,$C$2:$C$151,T$2)</f>
        <v>0.18961977468608471</v>
      </c>
    </row>
    <row r="41" spans="1:20" x14ac:dyDescent="0.25">
      <c r="A41">
        <v>5.5</v>
      </c>
      <c r="B41">
        <v>2.5</v>
      </c>
      <c r="C41">
        <v>4</v>
      </c>
      <c r="D41">
        <v>1.3</v>
      </c>
      <c r="E41" s="2" t="s">
        <v>6</v>
      </c>
      <c r="J41">
        <v>39</v>
      </c>
      <c r="K41">
        <f t="shared" si="1"/>
        <v>3.2668896321070173</v>
      </c>
      <c r="L41">
        <f t="shared" si="0"/>
        <v>9.0994283944562937E-2</v>
      </c>
      <c r="M41" cm="1">
        <f t="array" ref="M41">EstymacjaGaussowska($K41,$C$2:$C$151)</f>
        <v>0.15184434766252472</v>
      </c>
      <c r="N41" cm="1">
        <f t="array" ref="N41">EstymacjaGaussowska($K41,$C$2:$C$151,$N$2)</f>
        <v>0.25632291473961527</v>
      </c>
      <c r="O41" cm="1">
        <f t="array" ref="O41">EstymacjaGaussowska($K41,$C$2:$C$151,$O$2)</f>
        <v>0.18562381770934983</v>
      </c>
      <c r="P41" cm="1">
        <f t="array" ref="P41">EstymacjaGaussowska($K41,$C$2:$C$151,$P$2)</f>
        <v>7.7903183621426855E-2</v>
      </c>
      <c r="R41" cm="1">
        <f t="array" ref="R41">EstymacjaEpanecznikowa($K41,$C$2:$C$151,R$2)</f>
        <v>0.15158577618411306</v>
      </c>
      <c r="S41" cm="1">
        <f t="array" ref="S41">EstymacjaEpanecznikowa($K41,$C$2:$C$151,S$2)</f>
        <v>0.24479478053955381</v>
      </c>
      <c r="T41" cm="1">
        <f t="array" ref="T41">EstymacjaEpanecznikowa($K41,$C$2:$C$151,T$2)</f>
        <v>0.19239981213002585</v>
      </c>
    </row>
    <row r="42" spans="1:20" x14ac:dyDescent="0.25">
      <c r="A42">
        <v>5.5</v>
      </c>
      <c r="B42">
        <v>2.6</v>
      </c>
      <c r="C42">
        <v>4.4000000000000004</v>
      </c>
      <c r="D42">
        <v>1.2</v>
      </c>
      <c r="E42" s="2" t="s">
        <v>6</v>
      </c>
      <c r="J42">
        <v>40</v>
      </c>
      <c r="K42">
        <f t="shared" si="1"/>
        <v>3.2739130434782546</v>
      </c>
      <c r="L42">
        <f t="shared" si="0"/>
        <v>9.3903948581606916E-2</v>
      </c>
      <c r="M42" cm="1">
        <f t="array" ref="M42">EstymacjaGaussowska($K42,$C$2:$C$151)</f>
        <v>0.15417893499811836</v>
      </c>
      <c r="N42" cm="1">
        <f t="array" ref="N42">EstymacjaGaussowska($K42,$C$2:$C$151,$N$2)</f>
        <v>0.27855321740715122</v>
      </c>
      <c r="O42" cm="1">
        <f t="array" ref="O42">EstymacjaGaussowska($K42,$C$2:$C$151,$O$2)</f>
        <v>0.18825149778583947</v>
      </c>
      <c r="P42" cm="1">
        <f t="array" ref="P42">EstymacjaGaussowska($K42,$C$2:$C$151,$P$2)</f>
        <v>7.7924683504265971E-2</v>
      </c>
      <c r="R42" cm="1">
        <f t="array" ref="R42">EstymacjaEpanecznikowa($K42,$C$2:$C$151,R$2)</f>
        <v>0.1531917692636291</v>
      </c>
      <c r="S42" cm="1">
        <f t="array" ref="S42">EstymacjaEpanecznikowa($K42,$C$2:$C$151,S$2)</f>
        <v>0.25371974344318293</v>
      </c>
      <c r="T42" cm="1">
        <f t="array" ref="T42">EstymacjaEpanecznikowa($K42,$C$2:$C$151,T$2)</f>
        <v>0.19514644139867487</v>
      </c>
    </row>
    <row r="43" spans="1:20" x14ac:dyDescent="0.25">
      <c r="A43">
        <v>6.1</v>
      </c>
      <c r="B43">
        <v>3</v>
      </c>
      <c r="C43">
        <v>4.5999999999999996</v>
      </c>
      <c r="D43">
        <v>1.4</v>
      </c>
      <c r="E43" s="2" t="s">
        <v>6</v>
      </c>
      <c r="J43">
        <v>41</v>
      </c>
      <c r="K43">
        <f t="shared" si="1"/>
        <v>3.2809364548494919</v>
      </c>
      <c r="L43">
        <f t="shared" si="0"/>
        <v>9.6885008035025172E-2</v>
      </c>
      <c r="M43" cm="1">
        <f t="array" ref="M43">EstymacjaGaussowska($K43,$C$2:$C$151)</f>
        <v>0.1565186289511469</v>
      </c>
      <c r="N43" cm="1">
        <f t="array" ref="N43">EstymacjaGaussowska($K43,$C$2:$C$151,$N$2)</f>
        <v>0.29680118814598544</v>
      </c>
      <c r="O43" cm="1">
        <f t="array" ref="O43">EstymacjaGaussowska($K43,$C$2:$C$151,$O$2)</f>
        <v>0.19090250529838934</v>
      </c>
      <c r="P43" cm="1">
        <f t="array" ref="P43">EstymacjaGaussowska($K43,$C$2:$C$151,$P$2)</f>
        <v>7.7946036857113668E-2</v>
      </c>
      <c r="R43" cm="1">
        <f t="array" ref="R43">EstymacjaEpanecznikowa($K43,$C$2:$C$151,R$2)</f>
        <v>0.15471936918933848</v>
      </c>
      <c r="S43" cm="1">
        <f t="array" ref="S43">EstymacjaEpanecznikowa($K43,$C$2:$C$151,S$2)</f>
        <v>0.2605269185391717</v>
      </c>
      <c r="T43" cm="1">
        <f t="array" ref="T43">EstymacjaEpanecznikowa($K43,$C$2:$C$151,T$2)</f>
        <v>0.19785966249203191</v>
      </c>
    </row>
    <row r="44" spans="1:20" x14ac:dyDescent="0.25">
      <c r="A44">
        <v>5.8</v>
      </c>
      <c r="B44">
        <v>2.6</v>
      </c>
      <c r="C44">
        <v>4</v>
      </c>
      <c r="D44">
        <v>1.2</v>
      </c>
      <c r="E44" s="2" t="s">
        <v>6</v>
      </c>
      <c r="J44">
        <v>42</v>
      </c>
      <c r="K44">
        <f t="shared" si="1"/>
        <v>3.2879598662207292</v>
      </c>
      <c r="L44">
        <f t="shared" si="0"/>
        <v>9.9938375921550471E-2</v>
      </c>
      <c r="M44" cm="1">
        <f t="array" ref="M44">EstymacjaGaussowska($K44,$C$2:$C$151)</f>
        <v>0.15886307036635577</v>
      </c>
      <c r="N44" cm="1">
        <f t="array" ref="N44">EstymacjaGaussowska($K44,$C$2:$C$151,$N$2)</f>
        <v>0.3100731664950086</v>
      </c>
      <c r="O44" cm="1">
        <f t="array" ref="O44">EstymacjaGaussowska($K44,$C$2:$C$151,$O$2)</f>
        <v>0.19357683258697278</v>
      </c>
      <c r="P44" cm="1">
        <f t="array" ref="P44">EstymacjaGaussowska($K44,$C$2:$C$151,$P$2)</f>
        <v>7.796724355617006E-2</v>
      </c>
      <c r="R44" cm="1">
        <f t="array" ref="R44">EstymacjaEpanecznikowa($K44,$C$2:$C$151,R$2)</f>
        <v>0.15616857596124112</v>
      </c>
      <c r="S44" cm="1">
        <f t="array" ref="S44">EstymacjaEpanecznikowa($K44,$C$2:$C$151,S$2)</f>
        <v>0.26521630582752015</v>
      </c>
      <c r="T44" cm="1">
        <f t="array" ref="T44">EstymacjaEpanecznikowa($K44,$C$2:$C$151,T$2)</f>
        <v>0.20053947541009695</v>
      </c>
    </row>
    <row r="45" spans="1:20" x14ac:dyDescent="0.25">
      <c r="A45">
        <v>5</v>
      </c>
      <c r="B45">
        <v>2.2999999999999998</v>
      </c>
      <c r="C45">
        <v>3.3</v>
      </c>
      <c r="D45">
        <v>1</v>
      </c>
      <c r="E45" s="2" t="s">
        <v>6</v>
      </c>
      <c r="J45">
        <v>43</v>
      </c>
      <c r="K45">
        <f t="shared" si="1"/>
        <v>3.2949832775919665</v>
      </c>
      <c r="L45">
        <f t="shared" si="0"/>
        <v>0.10306494553947443</v>
      </c>
      <c r="M45" cm="1">
        <f t="array" ref="M45">EstymacjaGaussowska($K45,$C$2:$C$151)</f>
        <v>0.16121196606045396</v>
      </c>
      <c r="N45" cm="1">
        <f t="array" ref="N45">EstymacjaGaussowska($K45,$C$2:$C$151,$N$2)</f>
        <v>0.31762271680448939</v>
      </c>
      <c r="O45" cm="1">
        <f t="array" ref="O45">EstymacjaGaussowska($K45,$C$2:$C$151,$O$2)</f>
        <v>0.19627446565070508</v>
      </c>
      <c r="P45" cm="1">
        <f t="array" ref="P45">EstymacjaGaussowska($K45,$C$2:$C$151,$P$2)</f>
        <v>7.7988303478461946E-2</v>
      </c>
      <c r="R45" cm="1">
        <f t="array" ref="R45">EstymacjaEpanecznikowa($K45,$C$2:$C$151,R$2)</f>
        <v>0.15803782656532836</v>
      </c>
      <c r="S45" cm="1">
        <f t="array" ref="S45">EstymacjaEpanecznikowa($K45,$C$2:$C$151,S$2)</f>
        <v>0.26778790530822832</v>
      </c>
      <c r="T45" cm="1">
        <f t="array" ref="T45">EstymacjaEpanecznikowa($K45,$C$2:$C$151,T$2)</f>
        <v>0.203257769651634</v>
      </c>
    </row>
    <row r="46" spans="1:20" x14ac:dyDescent="0.25">
      <c r="A46">
        <v>5.6</v>
      </c>
      <c r="B46">
        <v>2.7</v>
      </c>
      <c r="C46">
        <v>4.2</v>
      </c>
      <c r="D46">
        <v>1.3</v>
      </c>
      <c r="E46" s="2" t="s">
        <v>6</v>
      </c>
      <c r="J46">
        <v>44</v>
      </c>
      <c r="K46">
        <f t="shared" si="1"/>
        <v>3.3020066889632038</v>
      </c>
      <c r="L46">
        <f t="shared" si="0"/>
        <v>0.106265588417759</v>
      </c>
      <c r="M46" cm="1">
        <f t="array" ref="M46">EstymacjaGaussowska($K46,$C$2:$C$151)</f>
        <v>0.16356509559248034</v>
      </c>
      <c r="N46" cm="1">
        <f t="array" ref="N46">EstymacjaGaussowska($K46,$C$2:$C$151,$N$2)</f>
        <v>0.3190225060629161</v>
      </c>
      <c r="O46" cm="1">
        <f t="array" ref="O46">EstymacjaGaussowska($K46,$C$2:$C$151,$O$2)</f>
        <v>0.19899538391727933</v>
      </c>
      <c r="P46" cm="1">
        <f t="array" ref="P46">EstymacjaGaussowska($K46,$C$2:$C$151,$P$2)</f>
        <v>7.8009216501844197E-2</v>
      </c>
      <c r="R46" cm="1">
        <f t="array" ref="R46">EstymacjaEpanecznikowa($K46,$C$2:$C$151,R$2)</f>
        <v>0.16012991052712194</v>
      </c>
      <c r="S46" cm="1">
        <f t="array" ref="S46">EstymacjaEpanecznikowa($K46,$C$2:$C$151,S$2)</f>
        <v>0.26824171698129606</v>
      </c>
      <c r="T46" cm="1">
        <f t="array" ref="T46">EstymacjaEpanecznikowa($K46,$C$2:$C$151,T$2)</f>
        <v>0.20628501375912292</v>
      </c>
    </row>
    <row r="47" spans="1:20" x14ac:dyDescent="0.25">
      <c r="A47">
        <v>5.7</v>
      </c>
      <c r="B47">
        <v>3</v>
      </c>
      <c r="C47">
        <v>4.2</v>
      </c>
      <c r="D47">
        <v>1.2</v>
      </c>
      <c r="E47" s="2" t="s">
        <v>6</v>
      </c>
      <c r="J47">
        <v>45</v>
      </c>
      <c r="K47">
        <f t="shared" si="1"/>
        <v>3.3090301003344411</v>
      </c>
      <c r="L47">
        <f t="shared" si="0"/>
        <v>0.10954115284428302</v>
      </c>
      <c r="M47" cm="1">
        <f t="array" ref="M47">EstymacjaGaussowska($K47,$C$2:$C$151)</f>
        <v>0.16592231794669635</v>
      </c>
      <c r="N47" cm="1">
        <f t="array" ref="N47">EstymacjaGaussowska($K47,$C$2:$C$151,$N$2)</f>
        <v>0.31420803102687939</v>
      </c>
      <c r="O47" cm="1">
        <f t="array" ref="O47">EstymacjaGaussowska($K47,$C$2:$C$151,$O$2)</f>
        <v>0.2017395600100719</v>
      </c>
      <c r="P47" cm="1">
        <f t="array" ref="P47">EstymacjaGaussowska($K47,$C$2:$C$151,$P$2)</f>
        <v>7.8029982505000858E-2</v>
      </c>
      <c r="R47" cm="1">
        <f t="array" ref="R47">EstymacjaEpanecznikowa($K47,$C$2:$C$151,R$2)</f>
        <v>0.1621324023131365</v>
      </c>
      <c r="S47" cm="1">
        <f t="array" ref="S47">EstymacjaEpanecznikowa($K47,$C$2:$C$151,S$2)</f>
        <v>0.26657774084672359</v>
      </c>
      <c r="T47" cm="1">
        <f t="array" ref="T47">EstymacjaEpanecznikowa($K47,$C$2:$C$151,T$2)</f>
        <v>0.20927594463259871</v>
      </c>
    </row>
    <row r="48" spans="1:20" x14ac:dyDescent="0.25">
      <c r="A48">
        <v>5.7</v>
      </c>
      <c r="B48">
        <v>2.9</v>
      </c>
      <c r="C48">
        <v>4.2</v>
      </c>
      <c r="D48">
        <v>1.3</v>
      </c>
      <c r="E48" s="2" t="s">
        <v>6</v>
      </c>
      <c r="J48">
        <v>46</v>
      </c>
      <c r="K48">
        <f t="shared" si="1"/>
        <v>3.3160535117056784</v>
      </c>
      <c r="L48">
        <f t="shared" si="0"/>
        <v>0.11289246237457541</v>
      </c>
      <c r="M48" cm="1">
        <f t="array" ref="M48">EstymacjaGaussowska($K48,$C$2:$C$151)</f>
        <v>0.1682835780801992</v>
      </c>
      <c r="N48" cm="1">
        <f t="array" ref="N48">EstymacjaGaussowska($K48,$C$2:$C$151,$N$2)</f>
        <v>0.30348772990487838</v>
      </c>
      <c r="O48" cm="1">
        <f t="array" ref="O48">EstymacjaGaussowska($K48,$C$2:$C$151,$O$2)</f>
        <v>0.20450695951316616</v>
      </c>
      <c r="P48" cm="1">
        <f t="array" ref="P48">EstymacjaGaussowska($K48,$C$2:$C$151,$P$2)</f>
        <v>7.805060136744621E-2</v>
      </c>
      <c r="R48" cm="1">
        <f t="array" ref="R48">EstymacjaEpanecznikowa($K48,$C$2:$C$151,R$2)</f>
        <v>0.16404530192337197</v>
      </c>
      <c r="S48" cm="1">
        <f t="array" ref="S48">EstymacjaEpanecznikowa($K48,$C$2:$C$151,S$2)</f>
        <v>0.26279597690451073</v>
      </c>
      <c r="T48" cm="1">
        <f t="array" ref="T48">EstymacjaEpanecznikowa($K48,$C$2:$C$151,T$2)</f>
        <v>0.2122305622720615</v>
      </c>
    </row>
    <row r="49" spans="1:20" x14ac:dyDescent="0.25">
      <c r="A49">
        <v>6.2</v>
      </c>
      <c r="B49">
        <v>2.9</v>
      </c>
      <c r="C49">
        <v>4.3</v>
      </c>
      <c r="D49">
        <v>1.3</v>
      </c>
      <c r="E49" s="2" t="s">
        <v>6</v>
      </c>
      <c r="J49">
        <v>47</v>
      </c>
      <c r="K49">
        <f t="shared" si="1"/>
        <v>3.3230769230769157</v>
      </c>
      <c r="L49">
        <f t="shared" si="0"/>
        <v>0.11632031432245835</v>
      </c>
      <c r="M49" cm="1">
        <f t="array" ref="M49">EstymacjaGaussowska($K49,$C$2:$C$151)</f>
        <v>0.170648913286718</v>
      </c>
      <c r="N49" cm="1">
        <f t="array" ref="N49">EstymacjaGaussowska($K49,$C$2:$C$151,$N$2)</f>
        <v>0.28751857791006585</v>
      </c>
      <c r="O49" cm="1">
        <f t="array" ref="O49">EstymacjaGaussowska($K49,$C$2:$C$151,$O$2)</f>
        <v>0.2072975407345618</v>
      </c>
      <c r="P49" cm="1">
        <f t="array" ref="P49">EstymacjaGaussowska($K49,$C$2:$C$151,$P$2)</f>
        <v>7.8071072969526104E-2</v>
      </c>
      <c r="R49" cm="1">
        <f t="array" ref="R49">EstymacjaEpanecznikowa($K49,$C$2:$C$151,R$2)</f>
        <v>0.16586860935782838</v>
      </c>
      <c r="S49" cm="1">
        <f t="array" ref="S49">EstymacjaEpanecznikowa($K49,$C$2:$C$151,S$2)</f>
        <v>0.25689642515465749</v>
      </c>
      <c r="T49" cm="1">
        <f t="array" ref="T49">EstymacjaEpanecznikowa($K49,$C$2:$C$151,T$2)</f>
        <v>0.21514886667751126</v>
      </c>
    </row>
    <row r="50" spans="1:20" x14ac:dyDescent="0.25">
      <c r="A50">
        <v>5.0999999999999996</v>
      </c>
      <c r="B50">
        <v>2.5</v>
      </c>
      <c r="C50">
        <v>3</v>
      </c>
      <c r="D50">
        <v>1.1000000000000001</v>
      </c>
      <c r="E50" s="2" t="s">
        <v>6</v>
      </c>
      <c r="J50">
        <v>48</v>
      </c>
      <c r="K50">
        <f t="shared" si="1"/>
        <v>3.330100334448153</v>
      </c>
      <c r="L50">
        <f t="shared" si="0"/>
        <v>0.11982547823409562</v>
      </c>
      <c r="M50" cm="1">
        <f t="array" ref="M50">EstymacjaGaussowska($K50,$C$2:$C$151)</f>
        <v>0.17301845932757881</v>
      </c>
      <c r="N50" cm="1">
        <f t="array" ref="N50">EstymacjaGaussowska($K50,$C$2:$C$151,$N$2)</f>
        <v>0.26725097105278883</v>
      </c>
      <c r="O50" cm="1">
        <f t="array" ref="O50">EstymacjaGaussowska($K50,$C$2:$C$151,$O$2)</f>
        <v>0.21011125446783505</v>
      </c>
      <c r="P50" cm="1">
        <f t="array" ref="P50">EstymacjaGaussowska($K50,$C$2:$C$151,$P$2)</f>
        <v>7.8091397192419157E-2</v>
      </c>
      <c r="R50" cm="1">
        <f t="array" ref="R50">EstymacjaEpanecznikowa($K50,$C$2:$C$151,R$2)</f>
        <v>0.16760232461650568</v>
      </c>
      <c r="S50" cm="1">
        <f t="array" ref="S50">EstymacjaEpanecznikowa($K50,$C$2:$C$151,S$2)</f>
        <v>0.24887908559716393</v>
      </c>
      <c r="T50" cm="1">
        <f t="array" ref="T50">EstymacjaEpanecznikowa($K50,$C$2:$C$151,T$2)</f>
        <v>0.21803085784894796</v>
      </c>
    </row>
    <row r="51" spans="1:20" x14ac:dyDescent="0.25">
      <c r="A51">
        <v>5.7</v>
      </c>
      <c r="B51">
        <v>2.8</v>
      </c>
      <c r="C51">
        <v>4.0999999999999996</v>
      </c>
      <c r="D51">
        <v>1.3</v>
      </c>
      <c r="E51" s="2" t="s">
        <v>6</v>
      </c>
      <c r="J51">
        <v>49</v>
      </c>
      <c r="K51">
        <f t="shared" si="1"/>
        <v>3.3371237458193903</v>
      </c>
      <c r="L51">
        <f t="shared" si="0"/>
        <v>0.1234086943470151</v>
      </c>
      <c r="M51" cm="1">
        <f t="array" ref="M51">EstymacjaGaussowska($K51,$C$2:$C$151)</f>
        <v>0.17539245628062383</v>
      </c>
      <c r="N51" cm="1">
        <f t="array" ref="N51">EstymacjaGaussowska($K51,$C$2:$C$151,$N$2)</f>
        <v>0.24385071597845415</v>
      </c>
      <c r="O51" cm="1">
        <f t="array" ref="O51">EstymacjaGaussowska($K51,$C$2:$C$151,$O$2)</f>
        <v>0.21294804375253409</v>
      </c>
      <c r="P51" cm="1">
        <f t="array" ref="P51">EstymacjaGaussowska($K51,$C$2:$C$151,$P$2)</f>
        <v>7.811157391813757E-2</v>
      </c>
      <c r="R51" cm="1">
        <f t="array" ref="R51">EstymacjaEpanecznikowa($K51,$C$2:$C$151,R$2)</f>
        <v>0.16924644769940392</v>
      </c>
      <c r="S51" cm="1">
        <f t="array" ref="S51">EstymacjaEpanecznikowa($K51,$C$2:$C$151,S$2)</f>
        <v>0.23874395823203007</v>
      </c>
      <c r="T51" cm="1">
        <f t="array" ref="T51">EstymacjaEpanecznikowa($K51,$C$2:$C$151,T$2)</f>
        <v>0.22087653578637159</v>
      </c>
    </row>
    <row r="52" spans="1:20" x14ac:dyDescent="0.25">
      <c r="J52">
        <v>50</v>
      </c>
      <c r="K52">
        <f t="shared" si="1"/>
        <v>3.3441471571906276</v>
      </c>
      <c r="L52">
        <f t="shared" si="0"/>
        <v>0.12707067203574549</v>
      </c>
      <c r="M52" cm="1">
        <f t="array" ref="M52">EstymacjaGaussowska($K52,$C$2:$C$151)</f>
        <v>0.17777125405793845</v>
      </c>
      <c r="N52" cm="1">
        <f t="array" ref="N52">EstymacjaGaussowska($K52,$C$2:$C$151,$N$2)</f>
        <v>0.21860856845012253</v>
      </c>
      <c r="O52" cm="1">
        <f t="array" ref="O52">EstymacjaGaussowska($K52,$C$2:$C$151,$O$2)</f>
        <v>0.21580784363358901</v>
      </c>
      <c r="P52" cm="1">
        <f t="array" ref="P52">EstymacjaGaussowska($K52,$C$2:$C$151,$P$2)</f>
        <v>7.8131603029528721E-2</v>
      </c>
      <c r="R52" cm="1">
        <f t="array" ref="R52">EstymacjaEpanecznikowa($K52,$C$2:$C$151,R$2)</f>
        <v>0.17080097860652305</v>
      </c>
      <c r="S52" cm="1">
        <f t="array" ref="S52">EstymacjaEpanecznikowa($K52,$C$2:$C$151,S$2)</f>
        <v>0.22649104305925583</v>
      </c>
      <c r="T52" cm="1">
        <f t="array" ref="T52">EstymacjaEpanecznikowa($K52,$C$2:$C$151,T$2)</f>
        <v>0.22368590048978226</v>
      </c>
    </row>
    <row r="53" spans="1:20" x14ac:dyDescent="0.25">
      <c r="J53">
        <v>51</v>
      </c>
      <c r="K53">
        <f t="shared" si="1"/>
        <v>3.3511705685618649</v>
      </c>
      <c r="L53">
        <f t="shared" si="0"/>
        <v>0.13081208824577728</v>
      </c>
      <c r="M53" cm="1">
        <f t="array" ref="M53">EstymacjaGaussowska($K53,$C$2:$C$151)</f>
        <v>0.18015531754359729</v>
      </c>
      <c r="N53" cm="1">
        <f t="array" ref="N53">EstymacjaGaussowska($K53,$C$2:$C$151,$N$2)</f>
        <v>0.19284858096302565</v>
      </c>
      <c r="O53" cm="1">
        <f t="array" ref="O53">EstymacjaGaussowska($K53,$C$2:$C$151,$O$2)</f>
        <v>0.21869058092003441</v>
      </c>
      <c r="P53" cm="1">
        <f t="array" ref="P53">EstymacjaGaussowska($K53,$C$2:$C$151,$P$2)</f>
        <v>7.815148441027589E-2</v>
      </c>
      <c r="R53" cm="1">
        <f t="array" ref="R53">EstymacjaEpanecznikowa($K53,$C$2:$C$151,R$2)</f>
        <v>0.17226591733786317</v>
      </c>
      <c r="S53" cm="1">
        <f t="array" ref="S53">EstymacjaEpanecznikowa($K53,$C$2:$C$151,S$2)</f>
        <v>0.21212034007884131</v>
      </c>
      <c r="T53" cm="1">
        <f t="array" ref="T53">EstymacjaEpanecznikowa($K53,$C$2:$C$151,T$2)</f>
        <v>0.22645895195917998</v>
      </c>
    </row>
    <row r="54" spans="1:20" x14ac:dyDescent="0.25">
      <c r="J54">
        <v>52</v>
      </c>
      <c r="K54">
        <f t="shared" si="1"/>
        <v>3.3581939799331022</v>
      </c>
      <c r="L54">
        <f t="shared" si="0"/>
        <v>0.13463358591762881</v>
      </c>
      <c r="M54" cm="1">
        <f t="array" ref="M54">EstymacjaGaussowska($K54,$C$2:$C$151)</f>
        <v>0.18254523130326936</v>
      </c>
      <c r="N54" cm="1">
        <f t="array" ref="N54">EstymacjaGaussowska($K54,$C$2:$C$151,$N$2)</f>
        <v>0.16784547059608532</v>
      </c>
      <c r="O54" cm="1">
        <f t="array" ref="O54">EstymacjaGaussowska($K54,$C$2:$C$151,$O$2)</f>
        <v>0.22159617394334152</v>
      </c>
      <c r="P54" cm="1">
        <f t="array" ref="P54">EstymacjaGaussowska($K54,$C$2:$C$151,$P$2)</f>
        <v>7.8171217944899785E-2</v>
      </c>
      <c r="R54" cm="1">
        <f t="array" ref="R54">EstymacjaEpanecznikowa($K54,$C$2:$C$151,R$2)</f>
        <v>0.17364126389342419</v>
      </c>
      <c r="S54" cm="1">
        <f t="array" ref="S54">EstymacjaEpanecznikowa($K54,$C$2:$C$151,S$2)</f>
        <v>0.19563184929078645</v>
      </c>
      <c r="T54" cm="1">
        <f t="array" ref="T54">EstymacjaEpanecznikowa($K54,$C$2:$C$151,T$2)</f>
        <v>0.22919569019456443</v>
      </c>
    </row>
    <row r="55" spans="1:20" x14ac:dyDescent="0.25">
      <c r="J55">
        <v>53</v>
      </c>
      <c r="K55">
        <f t="shared" si="1"/>
        <v>3.3652173913043395</v>
      </c>
      <c r="L55">
        <f t="shared" si="0"/>
        <v>0.1385357724028678</v>
      </c>
      <c r="M55" cm="1">
        <f t="array" ref="M55">EstymacjaGaussowska($K55,$C$2:$C$151)</f>
        <v>0.18494170381845007</v>
      </c>
      <c r="N55" cm="1">
        <f t="array" ref="N55">EstymacjaGaussowska($K55,$C$2:$C$151,$N$2)</f>
        <v>0.14475859837450422</v>
      </c>
      <c r="O55" cm="1">
        <f t="array" ref="O55">EstymacjaGaussowska($K55,$C$2:$C$151,$O$2)</f>
        <v>0.22452453231566452</v>
      </c>
      <c r="P55" cm="1">
        <f t="array" ref="P55">EstymacjaGaussowska($K55,$C$2:$C$151,$P$2)</f>
        <v>7.8190803518759261E-2</v>
      </c>
      <c r="R55" cm="1">
        <f t="array" ref="R55">EstymacjaEpanecznikowa($K55,$C$2:$C$151,R$2)</f>
        <v>0.17492701827320617</v>
      </c>
      <c r="S55" cm="1">
        <f t="array" ref="S55">EstymacjaEpanecznikowa($K55,$C$2:$C$151,S$2)</f>
        <v>0.1770255706950912</v>
      </c>
      <c r="T55" cm="1">
        <f t="array" ref="T55">EstymacjaEpanecznikowa($K55,$C$2:$C$151,T$2)</f>
        <v>0.23189611519593595</v>
      </c>
    </row>
    <row r="56" spans="1:20" x14ac:dyDescent="0.25">
      <c r="J56">
        <v>54</v>
      </c>
      <c r="K56">
        <f t="shared" si="1"/>
        <v>3.3722408026755768</v>
      </c>
      <c r="L56">
        <f t="shared" si="0"/>
        <v>0.14251921787400385</v>
      </c>
      <c r="M56" cm="1">
        <f t="array" ref="M56">EstymacjaGaussowska($K56,$C$2:$C$151)</f>
        <v>0.18734557119929551</v>
      </c>
      <c r="N56" cm="1">
        <f t="array" ref="N56">EstymacjaGaussowska($K56,$C$2:$C$151,$N$2)</f>
        <v>0.12458653917358166</v>
      </c>
      <c r="O56" cm="1">
        <f t="array" ref="O56">EstymacjaGaussowska($K56,$C$2:$C$151,$O$2)</f>
        <v>0.22747555668831404</v>
      </c>
      <c r="P56" cm="1">
        <f t="array" ref="P56">EstymacjaGaussowska($K56,$C$2:$C$151,$P$2)</f>
        <v>7.8210241018052587E-2</v>
      </c>
      <c r="R56" cm="1">
        <f t="array" ref="R56">EstymacjaEpanecznikowa($K56,$C$2:$C$151,R$2)</f>
        <v>0.17612318047720901</v>
      </c>
      <c r="S56" cm="1">
        <f t="array" ref="S56">EstymacjaEpanecznikowa($K56,$C$2:$C$151,S$2)</f>
        <v>0.15630150429175566</v>
      </c>
      <c r="T56" cm="1">
        <f t="array" ref="T56">EstymacjaEpanecznikowa($K56,$C$2:$C$151,T$2)</f>
        <v>0.23456022696329443</v>
      </c>
    </row>
    <row r="57" spans="1:20" x14ac:dyDescent="0.25">
      <c r="J57">
        <v>55</v>
      </c>
      <c r="K57">
        <f t="shared" si="1"/>
        <v>3.3792642140468141</v>
      </c>
      <c r="L57">
        <f t="shared" si="0"/>
        <v>0.1465844537302351</v>
      </c>
      <c r="M57" cm="1">
        <f t="array" ref="M57">EstymacjaGaussowska($K57,$C$2:$C$151)</f>
        <v>0.18975780033154058</v>
      </c>
      <c r="N57" cm="1">
        <f t="array" ref="N57">EstymacjaGaussowska($K57,$C$2:$C$151,$N$2)</f>
        <v>0.10814234674679638</v>
      </c>
      <c r="O57" cm="1">
        <f t="array" ref="O57">EstymacjaGaussowska($K57,$C$2:$C$151,$O$2)</f>
        <v>0.23044913851077192</v>
      </c>
      <c r="P57" cm="1">
        <f t="array" ref="P57">EstymacjaGaussowska($K57,$C$2:$C$151,$P$2)</f>
        <v>7.8229530329818747E-2</v>
      </c>
      <c r="R57" cm="1">
        <f t="array" ref="R57">EstymacjaEpanecznikowa($K57,$C$2:$C$151,R$2)</f>
        <v>0.17722975050543285</v>
      </c>
      <c r="S57" cm="1">
        <f t="array" ref="S57">EstymacjaEpanecznikowa($K57,$C$2:$C$151,S$2)</f>
        <v>0.13345965008077976</v>
      </c>
      <c r="T57" cm="1">
        <f t="array" ref="T57">EstymacjaEpanecznikowa($K57,$C$2:$C$151,T$2)</f>
        <v>0.23718802549663981</v>
      </c>
    </row>
    <row r="58" spans="1:20" x14ac:dyDescent="0.25">
      <c r="J58">
        <v>56</v>
      </c>
      <c r="K58">
        <f t="shared" si="1"/>
        <v>3.3862876254180514</v>
      </c>
      <c r="L58">
        <f t="shared" si="0"/>
        <v>0.15073197100109625</v>
      </c>
      <c r="M58" cm="1">
        <f t="array" ref="M58">EstymacjaGaussowska($K58,$C$2:$C$151)</f>
        <v>0.19217949141477139</v>
      </c>
      <c r="N58" cm="1">
        <f t="array" ref="N58">EstymacjaGaussowska($K58,$C$2:$C$151,$N$2)</f>
        <v>9.6046214287032611E-2</v>
      </c>
      <c r="O58" cm="1">
        <f t="array" ref="O58">EstymacjaGaussowska($K58,$C$2:$C$151,$O$2)</f>
        <v>0.23344515979057043</v>
      </c>
      <c r="P58" cm="1">
        <f t="array" ref="P58">EstymacjaGaussowska($K58,$C$2:$C$151,$P$2)</f>
        <v>7.8248671341938317E-2</v>
      </c>
      <c r="R58" cm="1">
        <f t="array" ref="R58">EstymacjaEpanecznikowa($K58,$C$2:$C$151,R$2)</f>
        <v>0.17824672835787758</v>
      </c>
      <c r="S58" cm="1">
        <f t="array" ref="S58">EstymacjaEpanecznikowa($K58,$C$2:$C$151,S$2)</f>
        <v>0.10850000806216356</v>
      </c>
      <c r="T58" cm="1">
        <f t="array" ref="T58">EstymacjaEpanecznikowa($K58,$C$2:$C$151,T$2)</f>
        <v>0.23977951079597223</v>
      </c>
    </row>
    <row r="59" spans="1:20" x14ac:dyDescent="0.25">
      <c r="J59">
        <v>57</v>
      </c>
      <c r="K59">
        <f t="shared" si="1"/>
        <v>3.3933110367892887</v>
      </c>
      <c r="L59">
        <f t="shared" si="0"/>
        <v>0.15496221875011731</v>
      </c>
      <c r="M59" cm="1">
        <f t="array" ref="M59">EstymacjaGaussowska($K59,$C$2:$C$151)</f>
        <v>0.1946118798514121</v>
      </c>
      <c r="N59" cm="1">
        <f t="array" ref="N59">EstymacjaGaussowska($K59,$C$2:$C$151,$N$2)</f>
        <v>8.8729893871851193E-2</v>
      </c>
      <c r="O59" cm="1">
        <f t="array" ref="O59">EstymacjaGaussowska($K59,$C$2:$C$151,$O$2)</f>
        <v>0.23646349285435911</v>
      </c>
      <c r="P59" cm="1">
        <f t="array" ref="P59">EstymacjaGaussowska($K59,$C$2:$C$151,$P$2)</f>
        <v>7.8267663943134488E-2</v>
      </c>
      <c r="R59" cm="1">
        <f t="array" ref="R59">EstymacjaEpanecznikowa($K59,$C$2:$C$151,R$2)</f>
        <v>0.18009328483152182</v>
      </c>
      <c r="S59" cm="1">
        <f t="array" ref="S59">EstymacjaEpanecznikowa($K59,$C$2:$C$151,S$2)</f>
        <v>0.10541036694933512</v>
      </c>
      <c r="T59" cm="1">
        <f t="array" ref="T59">EstymacjaEpanecznikowa($K59,$C$2:$C$151,T$2)</f>
        <v>0.24233468286129164</v>
      </c>
    </row>
    <row r="60" spans="1:20" x14ac:dyDescent="0.25">
      <c r="J60">
        <v>58</v>
      </c>
      <c r="K60">
        <f t="shared" si="1"/>
        <v>3.400334448160526</v>
      </c>
      <c r="L60">
        <f t="shared" si="0"/>
        <v>0.15927560248066278</v>
      </c>
      <c r="M60" cm="1">
        <f t="array" ref="M60">EstymacjaGaussowska($K60,$C$2:$C$151)</f>
        <v>0.19705633744816367</v>
      </c>
      <c r="N60" cm="1">
        <f t="array" ref="N60">EstymacjaGaussowska($K60,$C$2:$C$151,$N$2)</f>
        <v>8.6446329027928814E-2</v>
      </c>
      <c r="O60" cm="1">
        <f t="array" ref="O60">EstymacjaGaussowska($K60,$C$2:$C$151,$O$2)</f>
        <v>0.23950400011048764</v>
      </c>
      <c r="P60" cm="1">
        <f t="array" ref="P60">EstymacjaGaussowska($K60,$C$2:$C$151,$P$2)</f>
        <v>7.8286508022974349E-2</v>
      </c>
      <c r="R60" cm="1">
        <f t="array" ref="R60">EstymacjaEpanecznikowa($K60,$C$2:$C$151,R$2)</f>
        <v>0.18333806812633022</v>
      </c>
      <c r="S60" cm="1">
        <f t="array" ref="S60">EstymacjaEpanecznikowa($K60,$C$2:$C$151,S$2)</f>
        <v>0.10732646068006274</v>
      </c>
      <c r="T60" cm="1">
        <f t="array" ref="T60">EstymacjaEpanecznikowa($K60,$C$2:$C$151,T$2)</f>
        <v>0.24562908203158348</v>
      </c>
    </row>
    <row r="61" spans="1:20" x14ac:dyDescent="0.25">
      <c r="J61">
        <v>59</v>
      </c>
      <c r="K61">
        <f t="shared" si="1"/>
        <v>3.4073578595317633</v>
      </c>
      <c r="L61">
        <f t="shared" si="0"/>
        <v>0.1636724825461785</v>
      </c>
      <c r="M61" cm="1">
        <f t="array" ref="M61">EstymacjaGaussowska($K61,$C$2:$C$151)</f>
        <v>0.19951437289428892</v>
      </c>
      <c r="N61" cm="1">
        <f t="array" ref="N61">EstymacjaGaussowska($K61,$C$2:$C$151,$N$2)</f>
        <v>8.9278549089515935E-2</v>
      </c>
      <c r="O61" cm="1">
        <f t="array" ref="O61">EstymacjaGaussowska($K61,$C$2:$C$151,$O$2)</f>
        <v>0.24256653381343901</v>
      </c>
      <c r="P61" cm="1">
        <f t="array" ref="P61">EstymacjaGaussowska($K61,$C$2:$C$151,$P$2)</f>
        <v>7.8305203471869783E-2</v>
      </c>
      <c r="R61" cm="1">
        <f t="array" ref="R61">EstymacjaEpanecznikowa($K61,$C$2:$C$151,R$2)</f>
        <v>0.18645966217944238</v>
      </c>
      <c r="S61" cm="1">
        <f t="array" ref="S61">EstymacjaEpanecznikowa($K61,$C$2:$C$151,S$2)</f>
        <v>0.10500697879550974</v>
      </c>
      <c r="T61" cm="1">
        <f t="array" ref="T61">EstymacjaEpanecznikowa($K61,$C$2:$C$151,T$2)</f>
        <v>0.24893569595274598</v>
      </c>
    </row>
    <row r="62" spans="1:20" x14ac:dyDescent="0.25">
      <c r="J62">
        <v>60</v>
      </c>
      <c r="K62">
        <f t="shared" si="1"/>
        <v>3.4143812709030006</v>
      </c>
      <c r="L62">
        <f t="shared" si="0"/>
        <v>0.16815317256713197</v>
      </c>
      <c r="M62" cm="1">
        <f t="array" ref="M62">EstymacjaGaussowska($K62,$C$2:$C$151)</f>
        <v>0.2019876314841044</v>
      </c>
      <c r="N62" cm="1">
        <f t="array" ref="N62">EstymacjaGaussowska($K62,$C$2:$C$151,$N$2)</f>
        <v>9.7143766010967775E-2</v>
      </c>
      <c r="O62" cm="1">
        <f t="array" ref="O62">EstymacjaGaussowska($K62,$C$2:$C$151,$O$2)</f>
        <v>0.24565093583044487</v>
      </c>
      <c r="P62" cm="1">
        <f t="array" ref="P62">EstymacjaGaussowska($K62,$C$2:$C$151,$P$2)</f>
        <v>7.8323750181078733E-2</v>
      </c>
      <c r="R62" cm="1">
        <f t="array" ref="R62">EstymacjaEpanecznikowa($K62,$C$2:$C$151,R$2)</f>
        <v>0.18945806699085832</v>
      </c>
      <c r="S62" cm="1">
        <f t="array" ref="S62">EstymacjaEpanecznikowa($K62,$C$2:$C$151,S$2)</f>
        <v>0.11096835938438074</v>
      </c>
      <c r="T62" cm="1">
        <f t="array" ref="T62">EstymacjaEpanecznikowa($K62,$C$2:$C$151,T$2)</f>
        <v>0.25220018652245346</v>
      </c>
    </row>
    <row r="63" spans="1:20" x14ac:dyDescent="0.25">
      <c r="J63">
        <v>61</v>
      </c>
      <c r="K63">
        <f t="shared" si="1"/>
        <v>3.4214046822742379</v>
      </c>
      <c r="L63">
        <f t="shared" si="0"/>
        <v>0.17271793785698081</v>
      </c>
      <c r="M63" cm="1">
        <f t="array" ref="M63">EstymacjaGaussowska($K63,$C$2:$C$151)</f>
        <v>0.20447789405425876</v>
      </c>
      <c r="N63" cm="1">
        <f t="array" ref="N63">EstymacjaGaussowska($K63,$C$2:$C$151,$N$2)</f>
        <v>0.10979136509276519</v>
      </c>
      <c r="O63" cm="1">
        <f t="array" ref="O63">EstymacjaGaussowska($K63,$C$2:$C$151,$O$2)</f>
        <v>0.24875703741061964</v>
      </c>
      <c r="P63" cm="1">
        <f t="array" ref="P63">EstymacjaGaussowska($K63,$C$2:$C$151,$P$2)</f>
        <v>7.834214804270602E-2</v>
      </c>
      <c r="R63" cm="1">
        <f t="array" ref="R63">EstymacjaEpanecznikowa($K63,$C$2:$C$151,R$2)</f>
        <v>0.19233328256057805</v>
      </c>
      <c r="S63" cm="1">
        <f t="array" ref="S63">EstymacjaEpanecznikowa($K63,$C$2:$C$151,S$2)</f>
        <v>0.13572630732608426</v>
      </c>
      <c r="T63" cm="1">
        <f t="array" ref="T63">EstymacjaEpanecznikowa($K63,$C$2:$C$151,T$2)</f>
        <v>0.25542255374070577</v>
      </c>
    </row>
    <row r="64" spans="1:20" x14ac:dyDescent="0.25">
      <c r="J64">
        <v>62</v>
      </c>
      <c r="K64">
        <f t="shared" si="1"/>
        <v>3.4284280936454752</v>
      </c>
      <c r="L64">
        <f t="shared" si="0"/>
        <v>0.17736699385955779</v>
      </c>
      <c r="M64" cm="1">
        <f t="array" ref="M64">EstymacjaGaussowska($K64,$C$2:$C$151)</f>
        <v>0.20698707510989381</v>
      </c>
      <c r="N64" cm="1">
        <f t="array" ref="N64">EstymacjaGaussowska($K64,$C$2:$C$151,$N$2)</f>
        <v>0.12679650121141889</v>
      </c>
      <c r="O64" cm="1">
        <f t="array" ref="O64">EstymacjaGaussowska($K64,$C$2:$C$151,$O$2)</f>
        <v>0.25188465895695328</v>
      </c>
      <c r="P64" cm="1">
        <f t="array" ref="P64">EstymacjaGaussowska($K64,$C$2:$C$151,$P$2)</f>
        <v>7.8360396949704481E-2</v>
      </c>
      <c r="R64" cm="1">
        <f t="array" ref="R64">EstymacjaEpanecznikowa($K64,$C$2:$C$151,R$2)</f>
        <v>0.19508530888860151</v>
      </c>
      <c r="S64" cm="1">
        <f t="array" ref="S64">EstymacjaEpanecznikowa($K64,$C$2:$C$151,S$2)</f>
        <v>0.15836646746014746</v>
      </c>
      <c r="T64" cm="1">
        <f t="array" ref="T64">EstymacjaEpanecznikowa($K64,$C$2:$C$151,T$2)</f>
        <v>0.25860279760750293</v>
      </c>
    </row>
    <row r="65" spans="10:20" x14ac:dyDescent="0.25">
      <c r="J65">
        <v>63</v>
      </c>
      <c r="K65">
        <f t="shared" si="1"/>
        <v>3.4354515050167125</v>
      </c>
      <c r="L65">
        <f t="shared" si="0"/>
        <v>0.18210050460030772</v>
      </c>
      <c r="M65" cm="1">
        <f t="array" ref="M65">EstymacjaGaussowska($K65,$C$2:$C$151)</f>
        <v>0.20951722011756599</v>
      </c>
      <c r="N65" cm="1">
        <f t="array" ref="N65">EstymacjaGaussowska($K65,$C$2:$C$151,$N$2)</f>
        <v>0.14755366296036124</v>
      </c>
      <c r="O65" cm="1">
        <f t="array" ref="O65">EstymacjaGaussowska($K65,$C$2:$C$151,$O$2)</f>
        <v>0.25503360980149875</v>
      </c>
      <c r="P65" cm="1">
        <f t="array" ref="P65">EstymacjaGaussowska($K65,$C$2:$C$151,$P$2)</f>
        <v>7.8378496795876079E-2</v>
      </c>
      <c r="R65" cm="1">
        <f t="array" ref="R65">EstymacjaEpanecznikowa($K65,$C$2:$C$151,R$2)</f>
        <v>0.19771414597492878</v>
      </c>
      <c r="S65" cm="1">
        <f t="array" ref="S65">EstymacjaEpanecznikowa($K65,$C$2:$C$151,S$2)</f>
        <v>0.17888883978657033</v>
      </c>
      <c r="T65" cm="1">
        <f t="array" ref="T65">EstymacjaEpanecznikowa($K65,$C$2:$C$151,T$2)</f>
        <v>0.26174091812284489</v>
      </c>
    </row>
    <row r="66" spans="10:20" x14ac:dyDescent="0.25">
      <c r="J66">
        <v>64</v>
      </c>
      <c r="K66">
        <f t="shared" si="1"/>
        <v>3.4424749163879498</v>
      </c>
      <c r="L66">
        <f t="shared" si="0"/>
        <v>0.18691858115385529</v>
      </c>
      <c r="M66" cm="1">
        <f t="array" ref="M66">EstymacjaGaussowska($K66,$C$2:$C$151)</f>
        <v>0.21207050194683824</v>
      </c>
      <c r="N66" cm="1">
        <f t="array" ref="N66">EstymacjaGaussowska($K66,$C$2:$C$151,$N$2)</f>
        <v>0.17127626900253853</v>
      </c>
      <c r="O66" cm="1">
        <f t="array" ref="O66">EstymacjaGaussowska($K66,$C$2:$C$151,$O$2)</f>
        <v>0.25820368798409621</v>
      </c>
      <c r="P66" cm="1">
        <f t="array" ref="P66">EstymacjaGaussowska($K66,$C$2:$C$151,$P$2)</f>
        <v>7.8396447475872988E-2</v>
      </c>
      <c r="R66" cm="1">
        <f t="array" ref="R66">EstymacjaEpanecznikowa($K66,$C$2:$C$151,R$2)</f>
        <v>0.20021979381955979</v>
      </c>
      <c r="S66" cm="1">
        <f t="array" ref="S66">EstymacjaEpanecznikowa($K66,$C$2:$C$151,S$2)</f>
        <v>0.19729342430535288</v>
      </c>
      <c r="T66" cm="1">
        <f t="array" ref="T66">EstymacjaEpanecznikowa($K66,$C$2:$C$151,T$2)</f>
        <v>0.26483691528673176</v>
      </c>
    </row>
    <row r="67" spans="10:20" x14ac:dyDescent="0.25">
      <c r="J67">
        <v>65</v>
      </c>
      <c r="K67">
        <f t="shared" si="1"/>
        <v>3.4494983277591871</v>
      </c>
      <c r="L67">
        <f t="shared" si="0"/>
        <v>0.19182128013042413</v>
      </c>
      <c r="M67" cm="1">
        <f t="array" ref="M67">EstymacjaGaussowska($K67,$C$2:$C$151)</f>
        <v>0.21464921644675131</v>
      </c>
      <c r="N67" cm="1">
        <f t="array" ref="N67">EstymacjaGaussowska($K67,$C$2:$C$151,$N$2)</f>
        <v>0.19700869538318747</v>
      </c>
      <c r="O67" cm="1">
        <f t="array" ref="O67">EstymacjaGaussowska($K67,$C$2:$C$151,$O$2)</f>
        <v>0.26139468003497018</v>
      </c>
      <c r="P67" cm="1">
        <f t="array" ref="P67">EstymacjaGaussowska($K67,$C$2:$C$151,$P$2)</f>
        <v>7.8414248885198296E-2</v>
      </c>
      <c r="R67" cm="1">
        <f t="array" ref="R67">EstymacjaEpanecznikowa($K67,$C$2:$C$151,R$2)</f>
        <v>0.20260225242249458</v>
      </c>
      <c r="S67" cm="1">
        <f t="array" ref="S67">EstymacjaEpanecznikowa($K67,$C$2:$C$151,S$2)</f>
        <v>0.21358022101649507</v>
      </c>
      <c r="T67" cm="1">
        <f t="array" ref="T67">EstymacjaEpanecznikowa($K67,$C$2:$C$151,T$2)</f>
        <v>0.26789078909916353</v>
      </c>
    </row>
    <row r="68" spans="10:20" x14ac:dyDescent="0.25">
      <c r="J68">
        <v>66</v>
      </c>
      <c r="K68">
        <f t="shared" si="1"/>
        <v>3.4565217391304244</v>
      </c>
      <c r="L68">
        <f t="shared" ref="L68:L131" si="2">_xlfn.NORM.DIST(K68,$H$2,$H$3,FALSE)</f>
        <v>0.19680860218366539</v>
      </c>
      <c r="M68" cm="1">
        <f t="array" ref="M68">EstymacjaGaussowska($K68,$C$2:$C$151)</f>
        <v>0.2172557771479042</v>
      </c>
      <c r="N68" cm="1">
        <f t="array" ref="N68">EstymacjaGaussowska($K68,$C$2:$C$151,$N$2)</f>
        <v>0.22365592457509842</v>
      </c>
      <c r="O68" cm="1">
        <f t="array" ref="O68">EstymacjaGaussowska($K68,$C$2:$C$151,$O$2)</f>
        <v>0.26460636076154009</v>
      </c>
      <c r="P68" cm="1">
        <f t="array" ref="P68">EstymacjaGaussowska($K68,$C$2:$C$151,$P$2)</f>
        <v>7.8431900920207326E-2</v>
      </c>
      <c r="R68" cm="1">
        <f t="array" ref="R68">EstymacjaEpanecznikowa($K68,$C$2:$C$151,R$2)</f>
        <v>0.20486152178373315</v>
      </c>
      <c r="S68" cm="1">
        <f t="array" ref="S68">EstymacjaEpanecznikowa($K68,$C$2:$C$151,S$2)</f>
        <v>0.22774922991999694</v>
      </c>
      <c r="T68" cm="1">
        <f t="array" ref="T68">EstymacjaEpanecznikowa($K68,$C$2:$C$151,T$2)</f>
        <v>0.27090253956014015</v>
      </c>
    </row>
    <row r="69" spans="10:20" x14ac:dyDescent="0.25">
      <c r="J69">
        <v>67</v>
      </c>
      <c r="K69">
        <f t="shared" ref="K69:K132" si="3">K68+$H$11</f>
        <v>3.4635451505016617</v>
      </c>
      <c r="L69">
        <f t="shared" si="2"/>
        <v>0.20188049054248883</v>
      </c>
      <c r="M69" cm="1">
        <f t="array" ref="M69">EstymacjaGaussowska($K69,$C$2:$C$151)</f>
        <v>0.21989270908563138</v>
      </c>
      <c r="N69" cm="1">
        <f t="array" ref="N69">EstymacjaGaussowska($K69,$C$2:$C$151,$N$2)</f>
        <v>0.25003337386701491</v>
      </c>
      <c r="O69" cm="1">
        <f t="array" ref="O69">EstymacjaGaussowska($K69,$C$2:$C$151,$O$2)</f>
        <v>0.26783849303978036</v>
      </c>
      <c r="P69" cm="1">
        <f t="array" ref="P69">EstymacjaGaussowska($K69,$C$2:$C$151,$P$2)</f>
        <v>7.8449403478108443E-2</v>
      </c>
      <c r="R69" cm="1">
        <f t="array" ref="R69">EstymacjaEpanecznikowa($K69,$C$2:$C$151,R$2)</f>
        <v>0.20699760190327551</v>
      </c>
      <c r="S69" cm="1">
        <f t="array" ref="S69">EstymacjaEpanecznikowa($K69,$C$2:$C$151,S$2)</f>
        <v>0.23980045101585848</v>
      </c>
      <c r="T69" cm="1">
        <f t="array" ref="T69">EstymacjaEpanecznikowa($K69,$C$2:$C$151,T$2)</f>
        <v>0.27387216666966169</v>
      </c>
    </row>
    <row r="70" spans="10:20" x14ac:dyDescent="0.25">
      <c r="J70">
        <v>68</v>
      </c>
      <c r="K70">
        <f t="shared" si="3"/>
        <v>3.470568561872899</v>
      </c>
      <c r="L70">
        <f t="shared" si="2"/>
        <v>0.20703682956951772</v>
      </c>
      <c r="M70" cm="1">
        <f t="array" ref="M70">EstymacjaGaussowska($K70,$C$2:$C$151)</f>
        <v>0.22256264174472348</v>
      </c>
      <c r="N70" cm="1">
        <f t="array" ref="N70">EstymacjaGaussowska($K70,$C$2:$C$151,$N$2)</f>
        <v>0.27493581360223363</v>
      </c>
      <c r="O70" cm="1">
        <f t="array" ref="O70">EstymacjaGaussowska($K70,$C$2:$C$151,$O$2)</f>
        <v>0.27109082761046377</v>
      </c>
      <c r="P70" cm="1">
        <f t="array" ref="P70">EstymacjaGaussowska($K70,$C$2:$C$151,$P$2)</f>
        <v>7.8466756456964437E-2</v>
      </c>
      <c r="R70" cm="1">
        <f t="array" ref="R70">EstymacjaEpanecznikowa($K70,$C$2:$C$151,R$2)</f>
        <v>0.20901049278112166</v>
      </c>
      <c r="S70" cm="1">
        <f t="array" ref="S70">EstymacjaEpanecznikowa($K70,$C$2:$C$151,S$2)</f>
        <v>0.24973388430407967</v>
      </c>
      <c r="T70" cm="1">
        <f t="array" ref="T70">EstymacjaEpanecznikowa($K70,$C$2:$C$151,T$2)</f>
        <v>0.27679967042772824</v>
      </c>
    </row>
    <row r="71" spans="10:20" x14ac:dyDescent="0.25">
      <c r="J71">
        <v>69</v>
      </c>
      <c r="K71">
        <f t="shared" si="3"/>
        <v>3.4775919732441363</v>
      </c>
      <c r="L71">
        <f t="shared" si="2"/>
        <v>0.21227744334881746</v>
      </c>
      <c r="M71" cm="1">
        <f t="array" ref="M71">EstymacjaGaussowska($K71,$C$2:$C$151)</f>
        <v>0.2252683011312836</v>
      </c>
      <c r="N71" cm="1">
        <f t="array" ref="N71">EstymacjaGaussowska($K71,$C$2:$C$151,$N$2)</f>
        <v>0.29722027668921602</v>
      </c>
      <c r="O71" cm="1">
        <f t="array" ref="O71">EstymacjaGaussowska($K71,$C$2:$C$151,$O$2)</f>
        <v>0.27436310288062438</v>
      </c>
      <c r="P71" cm="1">
        <f t="array" ref="P71">EstymacjaGaussowska($K71,$C$2:$C$151,$P$2)</f>
        <v>7.8483959755692917E-2</v>
      </c>
      <c r="R71" cm="1">
        <f t="array" ref="R71">EstymacjaEpanecznikowa($K71,$C$2:$C$151,R$2)</f>
        <v>0.21090019441727156</v>
      </c>
      <c r="S71" cm="1">
        <f t="array" ref="S71">EstymacjaEpanecznikowa($K71,$C$2:$C$151,S$2)</f>
        <v>0.2575495297846605</v>
      </c>
      <c r="T71" cm="1">
        <f t="array" ref="T71">EstymacjaEpanecznikowa($K71,$C$2:$C$151,T$2)</f>
        <v>0.27968505083433925</v>
      </c>
    </row>
    <row r="72" spans="10:20" x14ac:dyDescent="0.25">
      <c r="J72">
        <v>70</v>
      </c>
      <c r="K72">
        <f t="shared" si="3"/>
        <v>3.4846153846153736</v>
      </c>
      <c r="L72">
        <f t="shared" si="2"/>
        <v>0.21760209430556834</v>
      </c>
      <c r="M72" cm="1">
        <f t="array" ref="M72">EstymacjaGaussowska($K72,$C$2:$C$151)</f>
        <v>0.22801250098263165</v>
      </c>
      <c r="N72" cm="1">
        <f t="array" ref="N72">EstymacjaGaussowska($K72,$C$2:$C$151,$N$2)</f>
        <v>0.31589427527754194</v>
      </c>
      <c r="O72" cm="1">
        <f t="array" ref="O72">EstymacjaGaussowska($K72,$C$2:$C$151,$O$2)</f>
        <v>0.27765504473056535</v>
      </c>
      <c r="P72" cm="1">
        <f t="array" ref="P72">EstymacjaGaussowska($K72,$C$2:$C$151,$P$2)</f>
        <v>7.8501013274067791E-2</v>
      </c>
      <c r="R72" cm="1">
        <f t="array" ref="R72">EstymacjaEpanecznikowa($K72,$C$2:$C$151,R$2)</f>
        <v>0.21266670681172525</v>
      </c>
      <c r="S72" cm="1">
        <f t="array" ref="S72">EstymacjaEpanecznikowa($K72,$C$2:$C$151,S$2)</f>
        <v>0.26324738745760107</v>
      </c>
      <c r="T72" cm="1">
        <f t="array" ref="T72">EstymacjaEpanecznikowa($K72,$C$2:$C$151,T$2)</f>
        <v>0.28252830788949568</v>
      </c>
    </row>
    <row r="73" spans="10:20" x14ac:dyDescent="0.25">
      <c r="J73">
        <v>71</v>
      </c>
      <c r="K73">
        <f t="shared" si="3"/>
        <v>3.4916387959866109</v>
      </c>
      <c r="L73">
        <f t="shared" si="2"/>
        <v>0.2230104818603722</v>
      </c>
      <c r="M73" cm="1">
        <f t="array" ref="M73">EstymacjaGaussowska($K73,$C$2:$C$151)</f>
        <v>0.23079813313162886</v>
      </c>
      <c r="N73" cm="1">
        <f t="array" ref="N73">EstymacjaGaussowska($K73,$C$2:$C$151,$N$2)</f>
        <v>0.3301982504903424</v>
      </c>
      <c r="O73" cm="1">
        <f t="array" ref="O73">EstymacjaGaussowska($K73,$C$2:$C$151,$O$2)</f>
        <v>0.28096636632674049</v>
      </c>
      <c r="P73" cm="1">
        <f t="array" ref="P73">EstymacjaGaussowska($K73,$C$2:$C$151,$P$2)</f>
        <v>7.8517916912719948E-2</v>
      </c>
      <c r="R73" cm="1">
        <f t="array" ref="R73">EstymacjaEpanecznikowa($K73,$C$2:$C$151,R$2)</f>
        <v>0.21487857336516603</v>
      </c>
      <c r="S73" cm="1">
        <f t="array" ref="S73">EstymacjaEpanecznikowa($K73,$C$2:$C$151,S$2)</f>
        <v>0.27496155133858685</v>
      </c>
      <c r="T73" cm="1">
        <f t="array" ref="T73">EstymacjaEpanecznikowa($K73,$C$2:$C$151,T$2)</f>
        <v>0.28532944159319668</v>
      </c>
    </row>
    <row r="74" spans="10:20" x14ac:dyDescent="0.25">
      <c r="J74">
        <v>72</v>
      </c>
      <c r="K74">
        <f t="shared" si="3"/>
        <v>3.4986622073578482</v>
      </c>
      <c r="L74">
        <f t="shared" si="2"/>
        <v>0.22850224112089423</v>
      </c>
      <c r="M74" cm="1">
        <f t="array" ref="M74">EstymacjaGaussowska($K74,$C$2:$C$151)</f>
        <v>0.23362815704737086</v>
      </c>
      <c r="N74" cm="1">
        <f t="array" ref="N74">EstymacjaGaussowska($K74,$C$2:$C$151,$N$2)</f>
        <v>0.33967058422987295</v>
      </c>
      <c r="O74" cm="1">
        <f t="array" ref="O74">EstymacjaGaussowska($K74,$C$2:$C$151,$O$2)</f>
        <v>0.28429676794083103</v>
      </c>
      <c r="P74" cm="1">
        <f t="array" ref="P74">EstymacjaGaussowska($K74,$C$2:$C$151,$P$2)</f>
        <v>7.8534670573138315E-2</v>
      </c>
      <c r="R74" cm="1">
        <f t="array" ref="R74">EstymacjaEpanecznikowa($K74,$C$2:$C$151,R$2)</f>
        <v>0.2204236891017784</v>
      </c>
      <c r="S74" cm="1">
        <f t="array" ref="S74">EstymacjaEpanecznikowa($K74,$C$2:$C$151,S$2)</f>
        <v>0.29223160667470705</v>
      </c>
      <c r="T74" cm="1">
        <f t="array" ref="T74">EstymacjaEpanecznikowa($K74,$C$2:$C$151,T$2)</f>
        <v>0.28910078709565085</v>
      </c>
    </row>
    <row r="75" spans="10:20" x14ac:dyDescent="0.25">
      <c r="J75">
        <v>73</v>
      </c>
      <c r="K75">
        <f t="shared" si="3"/>
        <v>3.5056856187290855</v>
      </c>
      <c r="L75">
        <f t="shared" si="2"/>
        <v>0.23407694161355264</v>
      </c>
      <c r="M75" cm="1">
        <f t="array" ref="M75">EstymacjaGaussowska($K75,$C$2:$C$151)</f>
        <v>0.23650558857987103</v>
      </c>
      <c r="N75" cm="1">
        <f t="array" ref="N75">EstymacjaGaussowska($K75,$C$2:$C$151,$N$2)</f>
        <v>0.34418498160506306</v>
      </c>
      <c r="O75" cm="1">
        <f t="array" ref="O75">EstymacjaGaussowska($K75,$C$2:$C$151,$O$2)</f>
        <v>0.28764593677533634</v>
      </c>
      <c r="P75" cm="1">
        <f t="array" ref="P75">EstymacjaGaussowska($K75,$C$2:$C$151,$P$2)</f>
        <v>7.8551274157671019E-2</v>
      </c>
      <c r="R75" cm="1">
        <f t="array" ref="R75">EstymacjaEpanecznikowa($K75,$C$2:$C$151,R$2)</f>
        <v>0.22578962048683257</v>
      </c>
      <c r="S75" cm="1">
        <f t="array" ref="S75">EstymacjaEpanecznikowa($K75,$C$2:$C$151,S$2)</f>
        <v>0.30632498029936667</v>
      </c>
      <c r="T75" cm="1">
        <f t="array" ref="T75">EstymacjaEpanecznikowa($K75,$C$2:$C$151,T$2)</f>
        <v>0.29326221454548024</v>
      </c>
    </row>
    <row r="76" spans="10:20" x14ac:dyDescent="0.25">
      <c r="J76">
        <v>74</v>
      </c>
      <c r="K76">
        <f t="shared" si="3"/>
        <v>3.5127090301003228</v>
      </c>
      <c r="L76">
        <f t="shared" si="2"/>
        <v>0.23973408605797186</v>
      </c>
      <c r="M76" cm="1">
        <f t="array" ref="M76">EstymacjaGaussowska($K76,$C$2:$C$151)</f>
        <v>0.23943348794208041</v>
      </c>
      <c r="N76" cm="1">
        <f t="array" ref="N76">EstymacjaGaussowska($K76,$C$2:$C$151,$N$2)</f>
        <v>0.34395347290606559</v>
      </c>
      <c r="O76" cm="1">
        <f t="array" ref="O76">EstymacjaGaussowska($K76,$C$2:$C$151,$O$2)</f>
        <v>0.2910135467959874</v>
      </c>
      <c r="P76" cm="1">
        <f t="array" ref="P76">EstymacjaGaussowska($K76,$C$2:$C$151,$P$2)</f>
        <v>7.8567727569525764E-2</v>
      </c>
      <c r="R76" cm="1">
        <f t="array" ref="R76">EstymacjaEpanecznikowa($K76,$C$2:$C$151,R$2)</f>
        <v>0.23136660213164284</v>
      </c>
      <c r="S76" cm="1">
        <f t="array" ref="S76">EstymacjaEpanecznikowa($K76,$C$2:$C$151,S$2)</f>
        <v>0.31724167221256583</v>
      </c>
      <c r="T76" cm="1">
        <f t="array" ref="T76">EstymacjaEpanecznikowa($K76,$C$2:$C$151,T$2)</f>
        <v>0.29737135093833117</v>
      </c>
    </row>
    <row r="77" spans="10:20" x14ac:dyDescent="0.25">
      <c r="J77">
        <v>75</v>
      </c>
      <c r="K77">
        <f t="shared" si="3"/>
        <v>3.5197324414715601</v>
      </c>
      <c r="L77">
        <f t="shared" si="2"/>
        <v>0.24547310918691403</v>
      </c>
      <c r="M77" cm="1">
        <f t="array" ref="M77">EstymacjaGaussowska($K77,$C$2:$C$151)</f>
        <v>0.24241494696834431</v>
      </c>
      <c r="N77" cm="1">
        <f t="array" ref="N77">EstymacjaGaussowska($K77,$C$2:$C$151,$N$2)</f>
        <v>0.33949316690246101</v>
      </c>
      <c r="O77" cm="1">
        <f t="array" ref="O77">EstymacjaGaussowska($K77,$C$2:$C$151,$O$2)</f>
        <v>0.29439925857129551</v>
      </c>
      <c r="P77" cm="1">
        <f t="array" ref="P77">EstymacjaGaussowska($K77,$C$2:$C$151,$P$2)</f>
        <v>7.8584030712771633E-2</v>
      </c>
      <c r="R77" cm="1">
        <f t="array" ref="R77">EstymacjaEpanecznikowa($K77,$C$2:$C$151,R$2)</f>
        <v>0.23719729292855093</v>
      </c>
      <c r="S77" cm="1">
        <f t="array" ref="S77">EstymacjaEpanecznikowa($K77,$C$2:$C$151,S$2)</f>
        <v>0.32498168241430453</v>
      </c>
      <c r="T77" cm="1">
        <f t="array" ref="T77">EstymacjaEpanecznikowa($K77,$C$2:$C$151,T$2)</f>
        <v>0.30142819627420292</v>
      </c>
    </row>
    <row r="78" spans="10:20" x14ac:dyDescent="0.25">
      <c r="J78">
        <v>76</v>
      </c>
      <c r="K78">
        <f t="shared" si="3"/>
        <v>3.5267558528427974</v>
      </c>
      <c r="L78">
        <f t="shared" si="2"/>
        <v>0.25129337661439899</v>
      </c>
      <c r="M78" cm="1">
        <f t="array" ref="M78">EstymacjaGaussowska($K78,$C$2:$C$151)</f>
        <v>0.24545307569414204</v>
      </c>
      <c r="N78" cm="1">
        <f t="array" ref="N78">EstymacjaGaussowska($K78,$C$2:$C$151,$N$2)</f>
        <v>0.33156037557634832</v>
      </c>
      <c r="O78" cm="1">
        <f t="array" ref="O78">EstymacjaGaussowska($K78,$C$2:$C$151,$O$2)</f>
        <v>0.29780271911953138</v>
      </c>
      <c r="P78" cm="1">
        <f t="array" ref="P78">EstymacjaGaussowska($K78,$C$2:$C$151,$P$2)</f>
        <v>7.8600183492339187E-2</v>
      </c>
      <c r="R78" cm="1">
        <f t="array" ref="R78">EstymacjaEpanecznikowa($K78,$C$2:$C$151,R$2)</f>
        <v>0.24285999839587316</v>
      </c>
      <c r="S78" cm="1">
        <f t="array" ref="S78">EstymacjaEpanecznikowa($K78,$C$2:$C$151,S$2)</f>
        <v>0.3295450109045826</v>
      </c>
      <c r="T78" cm="1">
        <f t="array" ref="T78">EstymacjaEpanecznikowa($K78,$C$2:$C$151,T$2)</f>
        <v>0.3054327505530961</v>
      </c>
    </row>
    <row r="79" spans="10:20" x14ac:dyDescent="0.25">
      <c r="J79">
        <v>77</v>
      </c>
      <c r="K79">
        <f t="shared" si="3"/>
        <v>3.5337792642140347</v>
      </c>
      <c r="L79">
        <f t="shared" si="2"/>
        <v>0.25719418375471254</v>
      </c>
      <c r="M79" cm="1">
        <f t="array" ref="M79">EstymacjaGaussowska($K79,$C$2:$C$151)</f>
        <v>0.24855098830764843</v>
      </c>
      <c r="N79" cm="1">
        <f t="array" ref="N79">EstymacjaGaussowska($K79,$C$2:$C$151,$N$2)</f>
        <v>0.32106082726312368</v>
      </c>
      <c r="O79" cm="1">
        <f t="array" ref="O79">EstymacjaGaussowska($K79,$C$2:$C$151,$O$2)</f>
        <v>0.30122356176343301</v>
      </c>
      <c r="P79" cm="1">
        <f t="array" ref="P79">EstymacjaGaussowska($K79,$C$2:$C$151,$P$2)</f>
        <v>7.8616185814021716E-2</v>
      </c>
      <c r="R79" cm="1">
        <f t="array" ref="R79">EstymacjaEpanecznikowa($K79,$C$2:$C$151,R$2)</f>
        <v>0.24835471853360985</v>
      </c>
      <c r="S79" cm="1">
        <f t="array" ref="S79">EstymacjaEpanecznikowa($K79,$C$2:$C$151,S$2)</f>
        <v>0.33093165768340022</v>
      </c>
      <c r="T79" cm="1">
        <f t="array" ref="T79">EstymacjaEpanecznikowa($K79,$C$2:$C$151,T$2)</f>
        <v>0.30938501377501049</v>
      </c>
    </row>
    <row r="80" spans="10:20" x14ac:dyDescent="0.25">
      <c r="J80">
        <v>78</v>
      </c>
      <c r="K80">
        <f t="shared" si="3"/>
        <v>3.540802675585272</v>
      </c>
      <c r="L80">
        <f t="shared" si="2"/>
        <v>0.26317475479498653</v>
      </c>
      <c r="M80" cm="1">
        <f t="array" ref="M80">EstymacjaGaussowska($K80,$C$2:$C$151)</f>
        <v>0.25171178852927067</v>
      </c>
      <c r="N80" cm="1">
        <f t="array" ref="N80">EstymacjaGaussowska($K80,$C$2:$C$151,$N$2)</f>
        <v>0.30894843398965149</v>
      </c>
      <c r="O80" cm="1">
        <f t="array" ref="O80">EstymacjaGaussowska($K80,$C$2:$C$151,$O$2)</f>
        <v>0.30466140599292768</v>
      </c>
      <c r="P80" cm="1">
        <f t="array" ref="P80">EstymacjaGaussowska($K80,$C$2:$C$151,$P$2)</f>
        <v>7.8632037584476469E-2</v>
      </c>
      <c r="R80" cm="1">
        <f t="array" ref="R80">EstymacjaEpanecznikowa($K80,$C$2:$C$151,R$2)</f>
        <v>0.25368145334176068</v>
      </c>
      <c r="S80" cm="1">
        <f t="array" ref="S80">EstymacjaEpanecznikowa($K80,$C$2:$C$151,S$2)</f>
        <v>0.32914162275075737</v>
      </c>
      <c r="T80" cm="1">
        <f t="array" ref="T80">EstymacjaEpanecznikowa($K80,$C$2:$C$151,T$2)</f>
        <v>0.31328498593994608</v>
      </c>
    </row>
    <row r="81" spans="10:20" x14ac:dyDescent="0.25">
      <c r="J81">
        <v>79</v>
      </c>
      <c r="K81">
        <f t="shared" si="3"/>
        <v>3.5478260869565093</v>
      </c>
      <c r="L81">
        <f t="shared" si="2"/>
        <v>0.26923424172401422</v>
      </c>
      <c r="M81" cm="1">
        <f t="array" ref="M81">EstymacjaGaussowska($K81,$C$2:$C$151)</f>
        <v>0.25493855448078739</v>
      </c>
      <c r="N81" cm="1">
        <f t="array" ref="N81">EstymacjaGaussowska($K81,$C$2:$C$151,$N$2)</f>
        <v>0.29612676117092218</v>
      </c>
      <c r="O81" cm="1">
        <f t="array" ref="O81">EstymacjaGaussowska($K81,$C$2:$C$151,$O$2)</f>
        <v>0.3081158573361491</v>
      </c>
      <c r="P81" cm="1">
        <f t="array" ref="P81">EstymacjaGaussowska($K81,$C$2:$C$151,$P$2)</f>
        <v>7.8647738711224977E-2</v>
      </c>
      <c r="R81" cm="1">
        <f t="array" ref="R81">EstymacjaEpanecznikowa($K81,$C$2:$C$151,R$2)</f>
        <v>0.25884020282032577</v>
      </c>
      <c r="S81" cm="1">
        <f t="array" ref="S81">EstymacjaEpanecznikowa($K81,$C$2:$C$151,S$2)</f>
        <v>0.32417490610665406</v>
      </c>
      <c r="T81" cm="1">
        <f t="array" ref="T81">EstymacjaEpanecznikowa($K81,$C$2:$C$151,T$2)</f>
        <v>0.31713266704790283</v>
      </c>
    </row>
    <row r="82" spans="10:20" x14ac:dyDescent="0.25">
      <c r="J82">
        <v>80</v>
      </c>
      <c r="K82">
        <f t="shared" si="3"/>
        <v>3.5548494983277465</v>
      </c>
      <c r="L82">
        <f t="shared" si="2"/>
        <v>0.27537172341993704</v>
      </c>
      <c r="M82" cm="1">
        <f t="array" ref="M82">EstymacjaGaussowska($K82,$C$2:$C$151)</f>
        <v>0.25823432311103206</v>
      </c>
      <c r="N82" cm="1">
        <f t="array" ref="N82">EstymacjaGaussowska($K82,$C$2:$C$151,$N$2)</f>
        <v>0.28336663408932494</v>
      </c>
      <c r="O82" cm="1">
        <f t="array" ref="O82">EstymacjaGaussowska($K82,$C$2:$C$151,$O$2)</f>
        <v>0.31158650723901932</v>
      </c>
      <c r="P82" cm="1">
        <f t="array" ref="P82">EstymacjaGaussowska($K82,$C$2:$C$151,$P$2)</f>
        <v>7.8663289102654382E-2</v>
      </c>
      <c r="R82" cm="1">
        <f t="array" ref="R82">EstymacjaEpanecznikowa($K82,$C$2:$C$151,R$2)</f>
        <v>0.26383096696930503</v>
      </c>
      <c r="S82" cm="1">
        <f t="array" ref="S82">EstymacjaEpanecznikowa($K82,$C$2:$C$151,S$2)</f>
        <v>0.31603150775109012</v>
      </c>
      <c r="T82" cm="1">
        <f t="array" ref="T82">EstymacjaEpanecznikowa($K82,$C$2:$C$151,T$2)</f>
        <v>0.320928057098881</v>
      </c>
    </row>
    <row r="83" spans="10:20" x14ac:dyDescent="0.25">
      <c r="J83">
        <v>81</v>
      </c>
      <c r="K83">
        <f t="shared" si="3"/>
        <v>3.5618729096989838</v>
      </c>
      <c r="L83">
        <f t="shared" si="2"/>
        <v>0.28158620479940949</v>
      </c>
      <c r="M83" cm="1">
        <f t="array" ref="M83">EstymacjaGaussowska($K83,$C$2:$C$151)</f>
        <v>0.26160207425015453</v>
      </c>
      <c r="N83" cm="1">
        <f t="array" ref="N83">EstymacjaGaussowska($K83,$C$2:$C$151,$N$2)</f>
        <v>0.27125033430779877</v>
      </c>
      <c r="O83" cm="1">
        <f t="array" ref="O83">EstymacjaGaussowska($K83,$C$2:$C$151,$O$2)</f>
        <v>0.31507293295366173</v>
      </c>
      <c r="P83" cm="1">
        <f t="array" ref="P83">EstymacjaGaussowska($K83,$C$2:$C$151,$P$2)</f>
        <v>7.8678688668018248E-2</v>
      </c>
      <c r="R83" cm="1">
        <f t="array" ref="R83">EstymacjaEpanecznikowa($K83,$C$2:$C$151,R$2)</f>
        <v>0.26865374578869855</v>
      </c>
      <c r="S83" cm="1">
        <f t="array" ref="S83">EstymacjaEpanecznikowa($K83,$C$2:$C$151,S$2)</f>
        <v>0.30471142768406578</v>
      </c>
      <c r="T83" cm="1">
        <f t="array" ref="T83">EstymacjaEpanecznikowa($K83,$C$2:$C$151,T$2)</f>
        <v>0.32467115609288016</v>
      </c>
    </row>
    <row r="84" spans="10:20" x14ac:dyDescent="0.25">
      <c r="J84">
        <v>82</v>
      </c>
      <c r="K84">
        <f t="shared" si="3"/>
        <v>3.5688963210702211</v>
      </c>
      <c r="L84">
        <f t="shared" si="2"/>
        <v>0.28787661603080955</v>
      </c>
      <c r="M84" cm="1">
        <f t="array" ref="M84">EstymacjaGaussowska($K84,$C$2:$C$151)</f>
        <v>0.2650447143693212</v>
      </c>
      <c r="N84" cm="1">
        <f t="array" ref="N84">EstymacjaGaussowska($K84,$C$2:$C$151,$N$2)</f>
        <v>0.26014815074979503</v>
      </c>
      <c r="O84" cm="1">
        <f t="array" ref="O84">EstymacjaGaussowska($K84,$C$2:$C$151,$O$2)</f>
        <v>0.31857469743589995</v>
      </c>
      <c r="P84" cm="1">
        <f t="array" ref="P84">EstymacjaGaussowska($K84,$C$2:$C$151,$P$2)</f>
        <v>7.8693937317437249E-2</v>
      </c>
      <c r="R84" cm="1">
        <f t="array" ref="R84">EstymacjaEpanecznikowa($K84,$C$2:$C$151,R$2)</f>
        <v>0.27330853927850635</v>
      </c>
      <c r="S84" cm="1">
        <f t="array" ref="S84">EstymacjaEpanecznikowa($K84,$C$2:$C$151,S$2)</f>
        <v>0.29021466590558087</v>
      </c>
      <c r="T84" cm="1">
        <f t="array" ref="T84">EstymacjaEpanecznikowa($K84,$C$2:$C$151,T$2)</f>
        <v>0.32836196402990059</v>
      </c>
    </row>
    <row r="85" spans="10:20" x14ac:dyDescent="0.25">
      <c r="J85">
        <v>83</v>
      </c>
      <c r="K85">
        <f t="shared" si="3"/>
        <v>3.5759197324414584</v>
      </c>
      <c r="L85">
        <f t="shared" si="2"/>
        <v>0.29424181181402181</v>
      </c>
      <c r="M85" cm="1">
        <f t="array" ref="M85">EstymacjaGaussowska($K85,$C$2:$C$151)</f>
        <v>0.2685650601272514</v>
      </c>
      <c r="N85" cm="1">
        <f t="array" ref="N85">EstymacjaGaussowska($K85,$C$2:$C$151,$N$2)</f>
        <v>0.25022753169370476</v>
      </c>
      <c r="O85" cm="1">
        <f t="array" ref="O85">EstymacjaGaussowska($K85,$C$2:$C$151,$O$2)</f>
        <v>0.32209134925208538</v>
      </c>
      <c r="P85" cm="1">
        <f t="array" ref="P85">EstymacjaGaussowska($K85,$C$2:$C$151,$P$2)</f>
        <v>7.8709034961900209E-2</v>
      </c>
      <c r="R85" cm="1">
        <f t="array" ref="R85">EstymacjaEpanecznikowa($K85,$C$2:$C$151,R$2)</f>
        <v>0.27779534743872836</v>
      </c>
      <c r="S85" cm="1">
        <f t="array" ref="S85">EstymacjaEpanecznikowa($K85,$C$2:$C$151,S$2)</f>
        <v>0.2725412224156355</v>
      </c>
      <c r="T85" cm="1">
        <f t="array" ref="T85">EstymacjaEpanecznikowa($K85,$C$2:$C$151,T$2)</f>
        <v>0.33200048090994233</v>
      </c>
    </row>
    <row r="86" spans="10:20" x14ac:dyDescent="0.25">
      <c r="J86">
        <v>84</v>
      </c>
      <c r="K86">
        <f t="shared" si="3"/>
        <v>3.5829431438126957</v>
      </c>
      <c r="L86">
        <f t="shared" si="2"/>
        <v>0.30068057072926996</v>
      </c>
      <c r="M86" cm="1">
        <f t="array" ref="M86">EstymacjaGaussowska($K86,$C$2:$C$151)</f>
        <v>0.27216582178914933</v>
      </c>
      <c r="N86" cm="1">
        <f t="array" ref="N86">EstymacjaGaussowska($K86,$C$2:$C$151,$N$2)</f>
        <v>0.24148975194017783</v>
      </c>
      <c r="O86" cm="1">
        <f t="array" ref="O86">EstymacjaGaussowska($K86,$C$2:$C$151,$O$2)</f>
        <v>0.32562242249549556</v>
      </c>
      <c r="P86" cm="1">
        <f t="array" ref="P86">EstymacjaGaussowska($K86,$C$2:$C$151,$P$2)</f>
        <v>7.872398151326504E-2</v>
      </c>
      <c r="R86" cm="1">
        <f t="array" ref="R86">EstymacjaEpanecznikowa($K86,$C$2:$C$151,R$2)</f>
        <v>0.28211417026936458</v>
      </c>
      <c r="S86" cm="1">
        <f t="array" ref="S86">EstymacjaEpanecznikowa($K86,$C$2:$C$151,S$2)</f>
        <v>0.25169109721422961</v>
      </c>
      <c r="T86" cm="1">
        <f t="array" ref="T86">EstymacjaEpanecznikowa($K86,$C$2:$C$151,T$2)</f>
        <v>0.33558670673300534</v>
      </c>
    </row>
    <row r="87" spans="10:20" x14ac:dyDescent="0.25">
      <c r="J87">
        <v>85</v>
      </c>
      <c r="K87">
        <f t="shared" si="3"/>
        <v>3.589966555183933</v>
      </c>
      <c r="L87">
        <f t="shared" si="2"/>
        <v>0.30719159465742552</v>
      </c>
      <c r="M87" cm="1">
        <f t="array" ref="M87">EstymacjaGaussowska($K87,$C$2:$C$151)</f>
        <v>0.27584958660738035</v>
      </c>
      <c r="N87" cm="1">
        <f t="array" ref="N87">EstymacjaGaussowska($K87,$C$2:$C$151,$N$2)</f>
        <v>0.23382481963174984</v>
      </c>
      <c r="O87" cm="1">
        <f t="array" ref="O87">EstymacjaGaussowska($K87,$C$2:$C$151,$O$2)</f>
        <v>0.32916743671252452</v>
      </c>
      <c r="P87" cm="1">
        <f t="array" ref="P87">EstymacjaGaussowska($K87,$C$2:$C$151,$P$2)</f>
        <v>7.8738776884259398E-2</v>
      </c>
      <c r="R87" cm="1">
        <f t="array" ref="R87">EstymacjaEpanecznikowa($K87,$C$2:$C$151,R$2)</f>
        <v>0.28626500777041519</v>
      </c>
      <c r="S87" cm="1">
        <f t="array" ref="S87">EstymacjaEpanecznikowa($K87,$C$2:$C$151,S$2)</f>
        <v>0.23187855597693752</v>
      </c>
      <c r="T87" cm="1">
        <f t="array" ref="T87">EstymacjaEpanecznikowa($K87,$C$2:$C$151,T$2)</f>
        <v>0.33912064149908955</v>
      </c>
    </row>
    <row r="88" spans="10:20" x14ac:dyDescent="0.25">
      <c r="J88">
        <v>86</v>
      </c>
      <c r="K88">
        <f t="shared" si="3"/>
        <v>3.5969899665551703</v>
      </c>
      <c r="L88">
        <f t="shared" si="2"/>
        <v>0.31377350827415562</v>
      </c>
      <c r="M88" cm="1">
        <f t="array" ref="M88">EstymacjaGaussowska($K88,$C$2:$C$151)</f>
        <v>0.27961880225656138</v>
      </c>
      <c r="N88" cm="1">
        <f t="array" ref="N88">EstymacjaGaussowska($K88,$C$2:$C$151,$N$2)</f>
        <v>0.22707301286108628</v>
      </c>
      <c r="O88" cm="1">
        <f t="array" ref="O88">EstymacjaGaussowska($K88,$C$2:$C$151,$O$2)</f>
        <v>0.33272589683888565</v>
      </c>
      <c r="P88" cm="1">
        <f t="array" ref="P88">EstymacjaGaussowska($K88,$C$2:$C$151,$P$2)</f>
        <v>7.8753420988481607E-2</v>
      </c>
      <c r="R88" cm="1">
        <f t="array" ref="R88">EstymacjaEpanecznikowa($K88,$C$2:$C$151,R$2)</f>
        <v>0.29243202502688748</v>
      </c>
      <c r="S88" cm="1">
        <f t="array" ref="S88">EstymacjaEpanecznikowa($K88,$C$2:$C$151,S$2)</f>
        <v>0.22073495822721897</v>
      </c>
      <c r="T88" cm="1">
        <f t="array" ref="T88">EstymacjaEpanecznikowa($K88,$C$2:$C$151,T$2)</f>
        <v>0.34288809876818882</v>
      </c>
    </row>
    <row r="89" spans="10:20" x14ac:dyDescent="0.25">
      <c r="J89">
        <v>87</v>
      </c>
      <c r="K89">
        <f t="shared" si="3"/>
        <v>3.6040133779264076</v>
      </c>
      <c r="L89">
        <f t="shared" si="2"/>
        <v>0.32042485862021314</v>
      </c>
      <c r="M89" cm="1">
        <f t="array" ref="M89">EstymacjaGaussowska($K89,$C$2:$C$151)</f>
        <v>0.28347576041860062</v>
      </c>
      <c r="N89" cm="1">
        <f t="array" ref="N89">EstymacjaGaussowska($K89,$C$2:$C$151,$N$2)</f>
        <v>0.22108130059693351</v>
      </c>
      <c r="O89" cm="1">
        <f t="array" ref="O89">EstymacjaGaussowska($K89,$C$2:$C$151,$O$2)</f>
        <v>0.33629729314603413</v>
      </c>
      <c r="P89" cm="1">
        <f t="array" ref="P89">EstymacjaGaussowska($K89,$C$2:$C$151,$P$2)</f>
        <v>7.8767913740401638E-2</v>
      </c>
      <c r="R89" cm="1">
        <f t="array" ref="R89">EstymacjaEpanecznikowa($K89,$C$2:$C$151,R$2)</f>
        <v>0.29863628319958874</v>
      </c>
      <c r="S89" cm="1">
        <f t="array" ref="S89">EstymacjaEpanecznikowa($K89,$C$2:$C$151,S$2)</f>
        <v>0.20535578486221973</v>
      </c>
      <c r="T89" cm="1">
        <f t="array" ref="T89">EstymacjaEpanecznikowa($K89,$C$2:$C$151,T$2)</f>
        <v>0.34693757770516098</v>
      </c>
    </row>
    <row r="90" spans="10:20" x14ac:dyDescent="0.25">
      <c r="J90">
        <v>88</v>
      </c>
      <c r="K90">
        <f t="shared" si="3"/>
        <v>3.6110367892976449</v>
      </c>
      <c r="L90">
        <f t="shared" si="2"/>
        <v>0.32714411475009858</v>
      </c>
      <c r="M90" cm="1">
        <f t="array" ref="M90">EstymacjaGaussowska($K90,$C$2:$C$151)</f>
        <v>0.28742258061553533</v>
      </c>
      <c r="N90" cm="1">
        <f t="array" ref="N90">EstymacjaGaussowska($K90,$C$2:$C$151,$N$2)</f>
        <v>0.21574488804747718</v>
      </c>
      <c r="O90" cm="1">
        <f t="array" ref="O90">EstymacjaGaussowska($K90,$C$2:$C$151,$O$2)</f>
        <v>0.3398811011980028</v>
      </c>
      <c r="P90" cm="1">
        <f t="array" ref="P90">EstymacjaGaussowska($K90,$C$2:$C$151,$P$2)</f>
        <v>7.8782255055361808E-2</v>
      </c>
      <c r="R90" cm="1">
        <f t="array" ref="R90">EstymacjaEpanecznikowa($K90,$C$2:$C$151,R$2)</f>
        <v>0.30463895897678717</v>
      </c>
      <c r="S90" cm="1">
        <f t="array" ref="S90">EstymacjaEpanecznikowa($K90,$C$2:$C$151,S$2)</f>
        <v>0.1857410358819398</v>
      </c>
      <c r="T90" cm="1">
        <f t="array" ref="T90">EstymacjaEpanecznikowa($K90,$C$2:$C$151,T$2)</f>
        <v>0.3509304079970727</v>
      </c>
    </row>
    <row r="91" spans="10:20" x14ac:dyDescent="0.25">
      <c r="J91">
        <v>89</v>
      </c>
      <c r="K91">
        <f t="shared" si="3"/>
        <v>3.6180602006688822</v>
      </c>
      <c r="L91">
        <f t="shared" si="2"/>
        <v>0.33392966746124869</v>
      </c>
      <c r="M91" cm="1">
        <f t="array" ref="M91">EstymacjaGaussowska($K91,$C$2:$C$151)</f>
        <v>0.29146119438977552</v>
      </c>
      <c r="N91" cm="1">
        <f t="array" ref="N91">EstymacjaGaussowska($K91,$C$2:$C$151,$N$2)</f>
        <v>0.21102776638157883</v>
      </c>
      <c r="O91" cm="1">
        <f t="array" ref="O91">EstymacjaGaussowska($K91,$C$2:$C$151,$O$2)</f>
        <v>0.34347678181883717</v>
      </c>
      <c r="P91" cm="1">
        <f t="array" ref="P91">EstymacjaGaussowska($K91,$C$2:$C$151,$P$2)</f>
        <v>7.8796444849577485E-2</v>
      </c>
      <c r="R91" cm="1">
        <f t="array" ref="R91">EstymacjaEpanecznikowa($K91,$C$2:$C$151,R$2)</f>
        <v>0.31044005235848265</v>
      </c>
      <c r="S91" cm="1">
        <f t="array" ref="S91">EstymacjaEpanecznikowa($K91,$C$2:$C$151,S$2)</f>
        <v>0.19276371149457172</v>
      </c>
      <c r="T91" cm="1">
        <f t="array" ref="T91">EstymacjaEpanecznikowa($K91,$C$2:$C$151,T$2)</f>
        <v>0.35486658964392415</v>
      </c>
    </row>
    <row r="92" spans="10:20" x14ac:dyDescent="0.25">
      <c r="J92">
        <v>90</v>
      </c>
      <c r="K92">
        <f t="shared" si="3"/>
        <v>3.6250836120401195</v>
      </c>
      <c r="L92">
        <f t="shared" si="2"/>
        <v>0.3407798291058256</v>
      </c>
      <c r="M92" cm="1">
        <f t="array" ref="M92">EstymacjaGaussowska($K92,$C$2:$C$151)</f>
        <v>0.29559332993252618</v>
      </c>
      <c r="N92" cm="1">
        <f t="array" ref="N92">EstymacjaGaussowska($K92,$C$2:$C$151,$N$2)</f>
        <v>0.20696068756146993</v>
      </c>
      <c r="O92" cm="1">
        <f t="array" ref="O92">EstymacjaGaussowska($K92,$C$2:$C$151,$O$2)</f>
        <v>0.34708378107080801</v>
      </c>
      <c r="P92" cm="1">
        <f t="array" ref="P92">EstymacjaGaussowska($K92,$C$2:$C$151,$P$2)</f>
        <v>7.8810483040138268E-2</v>
      </c>
      <c r="R92" cm="1">
        <f t="array" ref="R92">EstymacjaEpanecznikowa($K92,$C$2:$C$151,R$2)</f>
        <v>0.31603956334467531</v>
      </c>
      <c r="S92" cm="1">
        <f t="array" ref="S92">EstymacjaEpanecznikowa($K92,$C$2:$C$151,S$2)</f>
        <v>0.20133570976359658</v>
      </c>
      <c r="T92" cm="1">
        <f t="array" ref="T92">EstymacjaEpanecznikowa($K92,$C$2:$C$151,T$2)</f>
        <v>0.35874612264571532</v>
      </c>
    </row>
    <row r="93" spans="10:20" x14ac:dyDescent="0.25">
      <c r="J93">
        <v>91</v>
      </c>
      <c r="K93">
        <f t="shared" si="3"/>
        <v>3.6321070234113568</v>
      </c>
      <c r="L93">
        <f t="shared" si="2"/>
        <v>0.34769283348709235</v>
      </c>
      <c r="M93" cm="1">
        <f t="array" ref="M93">EstymacjaGaussowska($K93,$C$2:$C$151)</f>
        <v>0.29982049726166948</v>
      </c>
      <c r="N93" cm="1">
        <f t="array" ref="N93">EstymacjaGaussowska($K93,$C$2:$C$151,$N$2)</f>
        <v>0.20361953944858943</v>
      </c>
      <c r="O93" cm="1">
        <f t="array" ref="O93">EstymacjaGaussowska($K93,$C$2:$C$151,$O$2)</f>
        <v>0.35070153024355949</v>
      </c>
      <c r="P93" cm="1">
        <f t="array" ref="P93">EstymacjaGaussowska($K93,$C$2:$C$151,$P$2)</f>
        <v>7.8824369545008308E-2</v>
      </c>
      <c r="R93" cm="1">
        <f t="array" ref="R93">EstymacjaEpanecznikowa($K93,$C$2:$C$151,R$2)</f>
        <v>0.32143749193536492</v>
      </c>
      <c r="S93" cm="1">
        <f t="array" ref="S93">EstymacjaEpanecznikowa($K93,$C$2:$C$151,S$2)</f>
        <v>0.20778992022498119</v>
      </c>
      <c r="T93" cm="1">
        <f t="array" ref="T93">EstymacjaEpanecznikowa($K93,$C$2:$C$151,T$2)</f>
        <v>0.3625690070024461</v>
      </c>
    </row>
    <row r="94" spans="10:20" x14ac:dyDescent="0.25">
      <c r="J94">
        <v>92</v>
      </c>
      <c r="K94">
        <f t="shared" si="3"/>
        <v>3.6391304347825941</v>
      </c>
      <c r="L94">
        <f t="shared" si="2"/>
        <v>0.3546668358422716</v>
      </c>
      <c r="M94" cm="1">
        <f t="array" ref="M94">EstymacjaGaussowska($K94,$C$2:$C$151)</f>
        <v>0.30414397405025773</v>
      </c>
      <c r="N94" cm="1">
        <f t="array" ref="N94">EstymacjaGaussowska($K94,$C$2:$C$151,$N$2)</f>
        <v>0.20109081252148178</v>
      </c>
      <c r="O94" cm="1">
        <f t="array" ref="O94">EstymacjaGaussowska($K94,$C$2:$C$151,$O$2)</f>
        <v>0.35432944585434833</v>
      </c>
      <c r="P94" cm="1">
        <f t="array" ref="P94">EstymacjaGaussowska($K94,$C$2:$C$151,$P$2)</f>
        <v>7.8838104283027649E-2</v>
      </c>
      <c r="R94" cm="1">
        <f t="array" ref="R94">EstymacjaEpanecznikowa($K94,$C$2:$C$151,R$2)</f>
        <v>0.32663383813055175</v>
      </c>
      <c r="S94" cm="1">
        <f t="array" ref="S94">EstymacjaEpanecznikowa($K94,$C$2:$C$151,S$2)</f>
        <v>0.21212634287872545</v>
      </c>
      <c r="T94" cm="1">
        <f t="array" ref="T94">EstymacjaEpanecznikowa($K94,$C$2:$C$151,T$2)</f>
        <v>0.36633524271411655</v>
      </c>
    </row>
    <row r="95" spans="10:20" x14ac:dyDescent="0.25">
      <c r="J95">
        <v>93</v>
      </c>
      <c r="K95">
        <f t="shared" si="3"/>
        <v>3.6461538461538314</v>
      </c>
      <c r="L95">
        <f t="shared" si="2"/>
        <v>0.36169991291368181</v>
      </c>
      <c r="M95" cm="1">
        <f t="array" ref="M95">EstymacjaGaussowska($K95,$C$2:$C$151)</f>
        <v>0.30856479220592342</v>
      </c>
      <c r="N95" cm="1">
        <f t="array" ref="N95">EstymacjaGaussowska($K95,$C$2:$C$151,$N$2)</f>
        <v>0.19943306734586469</v>
      </c>
      <c r="O95" cm="1">
        <f t="array" ref="O95">EstymacjaGaussowska($K95,$C$2:$C$151,$O$2)</f>
        <v>0.35796692965951588</v>
      </c>
      <c r="P95" cm="1">
        <f t="array" ref="P95">EstymacjaGaussowska($K95,$C$2:$C$151,$P$2)</f>
        <v>7.8851687173912527E-2</v>
      </c>
      <c r="R95" cm="1">
        <f t="array" ref="R95">EstymacjaEpanecznikowa($K95,$C$2:$C$151,R$2)</f>
        <v>0.33162860193023552</v>
      </c>
      <c r="S95" cm="1">
        <f t="array" ref="S95">EstymacjaEpanecznikowa($K95,$C$2:$C$151,S$2)</f>
        <v>0.21434497772482936</v>
      </c>
      <c r="T95" cm="1">
        <f t="array" ref="T95">EstymacjaEpanecznikowa($K95,$C$2:$C$151,T$2)</f>
        <v>0.37004482978072656</v>
      </c>
    </row>
    <row r="96" spans="10:20" x14ac:dyDescent="0.25">
      <c r="J96">
        <v>94</v>
      </c>
      <c r="K96">
        <f t="shared" si="3"/>
        <v>3.6531772575250687</v>
      </c>
      <c r="L96">
        <f t="shared" si="2"/>
        <v>0.36879006310984674</v>
      </c>
      <c r="M96" cm="1">
        <f t="array" ref="M96">EstymacjaGaussowska($K96,$C$2:$C$151)</f>
        <v>0.31308372529997802</v>
      </c>
      <c r="N96" cm="1">
        <f t="array" ref="N96">EstymacjaGaussowska($K96,$C$2:$C$151,$N$2)</f>
        <v>0.19864367739836306</v>
      </c>
      <c r="O96" cm="1">
        <f t="array" ref="O96">EstymacjaGaussowska($K96,$C$2:$C$151,$O$2)</f>
        <v>0.36161336867731803</v>
      </c>
      <c r="P96" cm="1">
        <f t="array" ref="P96">EstymacjaGaussowska($K96,$C$2:$C$151,$P$2)</f>
        <v>7.8865118138256474E-2</v>
      </c>
      <c r="R96" cm="1">
        <f t="array" ref="R96">EstymacjaEpanecznikowa($K96,$C$2:$C$151,R$2)</f>
        <v>0.33642178333441641</v>
      </c>
      <c r="S96" cm="1">
        <f t="array" ref="S96">EstymacjaEpanecznikowa($K96,$C$2:$C$151,S$2)</f>
        <v>0.21444582476329294</v>
      </c>
      <c r="T96" cm="1">
        <f t="array" ref="T96">EstymacjaEpanecznikowa($K96,$C$2:$C$151,T$2)</f>
        <v>0.37369776820227651</v>
      </c>
    </row>
    <row r="97" spans="10:20" x14ac:dyDescent="0.25">
      <c r="J97">
        <v>95</v>
      </c>
      <c r="K97">
        <f t="shared" si="3"/>
        <v>3.660200668896306</v>
      </c>
      <c r="L97">
        <f t="shared" si="2"/>
        <v>0.37593520675816533</v>
      </c>
      <c r="M97" cm="1">
        <f t="array" ref="M97">EstymacjaGaussowska($K97,$C$2:$C$151)</f>
        <v>0.31770127694269462</v>
      </c>
      <c r="N97" cm="1">
        <f t="array" ref="N97">EstymacjaGaussowska($K97,$C$2:$C$151,$N$2)</f>
        <v>0.19863864144916871</v>
      </c>
      <c r="O97" cm="1">
        <f t="array" ref="O97">EstymacjaGaussowska($K97,$C$2:$C$151,$O$2)</f>
        <v>0.36526813522223617</v>
      </c>
      <c r="P97" cm="1">
        <f t="array" ref="P97">EstymacjaGaussowska($K97,$C$2:$C$151,$P$2)</f>
        <v>7.8878397097530903E-2</v>
      </c>
      <c r="R97" cm="1">
        <f t="array" ref="R97">EstymacjaEpanecznikowa($K97,$C$2:$C$151,R$2)</f>
        <v>0.34101338234309453</v>
      </c>
      <c r="S97" cm="1">
        <f t="array" ref="S97">EstymacjaEpanecznikowa($K97,$C$2:$C$151,S$2)</f>
        <v>0.21242888399411616</v>
      </c>
      <c r="T97" cm="1">
        <f t="array" ref="T97">EstymacjaEpanecznikowa($K97,$C$2:$C$151,T$2)</f>
        <v>0.37729405797876597</v>
      </c>
    </row>
    <row r="98" spans="10:20" x14ac:dyDescent="0.25">
      <c r="J98">
        <v>96</v>
      </c>
      <c r="K98">
        <f t="shared" si="3"/>
        <v>3.6672240802675433</v>
      </c>
      <c r="L98">
        <f t="shared" si="2"/>
        <v>0.38313318645061351</v>
      </c>
      <c r="M98" cm="1">
        <f t="array" ref="M98">EstymacjaGaussowska($K98,$C$2:$C$151)</f>
        <v>0.32241767019826895</v>
      </c>
      <c r="N98" cm="1">
        <f t="array" ref="N98">EstymacjaGaussowska($K98,$C$2:$C$151,$N$2)</f>
        <v>0.19925028705073713</v>
      </c>
      <c r="O98" cm="1">
        <f t="array" ref="O98">EstymacjaGaussowska($K98,$C$2:$C$151,$O$2)</f>
        <v>0.3689305869508715</v>
      </c>
      <c r="P98" cm="1">
        <f t="array" ref="P98">EstymacjaGaussowska($K98,$C$2:$C$151,$P$2)</f>
        <v>7.8891523974085984E-2</v>
      </c>
      <c r="R98" cm="1">
        <f t="array" ref="R98">EstymacjaEpanecznikowa($K98,$C$2:$C$151,R$2)</f>
        <v>0.34540339895626959</v>
      </c>
      <c r="S98" cm="1">
        <f t="array" ref="S98">EstymacjaEpanecznikowa($K98,$C$2:$C$151,S$2)</f>
        <v>0.20829415541729904</v>
      </c>
      <c r="T98" cm="1">
        <f t="array" ref="T98">EstymacjaEpanecznikowa($K98,$C$2:$C$151,T$2)</f>
        <v>0.3808336991101951</v>
      </c>
    </row>
    <row r="99" spans="10:20" x14ac:dyDescent="0.25">
      <c r="J99">
        <v>97</v>
      </c>
      <c r="K99">
        <f t="shared" si="3"/>
        <v>3.6742474916387806</v>
      </c>
      <c r="L99">
        <f t="shared" si="2"/>
        <v>0.39038176748383524</v>
      </c>
      <c r="M99" cm="1">
        <f t="array" ref="M99">EstymacjaGaussowska($K99,$C$2:$C$151)</f>
        <v>0.32723283812920362</v>
      </c>
      <c r="N99" cm="1">
        <f t="array" ref="N99">EstymacjaGaussowska($K99,$C$2:$C$151,$N$2)</f>
        <v>0.20024384625402855</v>
      </c>
      <c r="O99" cm="1">
        <f t="array" ref="O99">EstymacjaGaussowska($K99,$C$2:$C$151,$O$2)</f>
        <v>0.37260006691951919</v>
      </c>
      <c r="P99" cm="1">
        <f t="array" ref="P99">EstymacjaGaussowska($K99,$C$2:$C$151,$P$2)</f>
        <v>7.8904498691151445E-2</v>
      </c>
      <c r="R99" cm="1">
        <f t="array" ref="R99">EstymacjaEpanecznikowa($K99,$C$2:$C$151,R$2)</f>
        <v>0.34959183317394177</v>
      </c>
      <c r="S99" cm="1">
        <f t="array" ref="S99">EstymacjaEpanecznikowa($K99,$C$2:$C$151,S$2)</f>
        <v>0.20204163903284167</v>
      </c>
      <c r="T99" cm="1">
        <f t="array" ref="T99">EstymacjaEpanecznikowa($K99,$C$2:$C$151,T$2)</f>
        <v>0.38431669159656401</v>
      </c>
    </row>
    <row r="100" spans="10:20" x14ac:dyDescent="0.25">
      <c r="J100">
        <v>98</v>
      </c>
      <c r="K100">
        <f t="shared" si="3"/>
        <v>3.6812709030100179</v>
      </c>
      <c r="L100">
        <f t="shared" si="2"/>
        <v>0.39767863839485545</v>
      </c>
      <c r="M100" cm="1">
        <f t="array" ref="M100">EstymacjaGaussowska($K100,$C$2:$C$151)</f>
        <v>0.33214641555537422</v>
      </c>
      <c r="N100" cm="1">
        <f t="array" ref="N100">EstymacjaGaussowska($K100,$C$2:$C$151,$N$2)</f>
        <v>0.20134994824586355</v>
      </c>
      <c r="O100" cm="1">
        <f t="array" ref="O100">EstymacjaGaussowska($K100,$C$2:$C$151,$O$2)</f>
        <v>0.37627590365350416</v>
      </c>
      <c r="P100" cm="1">
        <f t="array" ref="P100">EstymacjaGaussowska($K100,$C$2:$C$151,$P$2)</f>
        <v>7.8917321172837174E-2</v>
      </c>
      <c r="R100" cm="1">
        <f t="array" ref="R100">EstymacjaEpanecznikowa($K100,$C$2:$C$151,R$2)</f>
        <v>0.35357868499611117</v>
      </c>
      <c r="S100" cm="1">
        <f t="array" ref="S100">EstymacjaEpanecznikowa($K100,$C$2:$C$151,S$2)</f>
        <v>0.19367133484074386</v>
      </c>
      <c r="T100" cm="1">
        <f t="array" ref="T100">EstymacjaEpanecznikowa($K100,$C$2:$C$151,T$2)</f>
        <v>0.38774303543787236</v>
      </c>
    </row>
    <row r="101" spans="10:20" x14ac:dyDescent="0.25">
      <c r="J101">
        <v>99</v>
      </c>
      <c r="K101">
        <f t="shared" si="3"/>
        <v>3.6882943143812552</v>
      </c>
      <c r="L101">
        <f t="shared" si="2"/>
        <v>0.40502141159352056</v>
      </c>
      <c r="M101" cm="1">
        <f t="array" ref="M101">EstymacjaGaussowska($K101,$C$2:$C$151)</f>
        <v>0.33715773210782285</v>
      </c>
      <c r="N101" cm="1">
        <f t="array" ref="N101">EstymacjaGaussowska($K101,$C$2:$C$151,$N$2)</f>
        <v>0.20230681245855303</v>
      </c>
      <c r="O101" cm="1">
        <f t="array" ref="O101">EstymacjaGaussowska($K101,$C$2:$C$151,$O$2)</f>
        <v>0.37995741122835242</v>
      </c>
      <c r="P101" cm="1">
        <f t="array" ref="P101">EstymacjaGaussowska($K101,$C$2:$C$151,$P$2)</f>
        <v>7.8929991344134004E-2</v>
      </c>
      <c r="R101" cm="1">
        <f t="array" ref="R101">EstymacjaEpanecznikowa($K101,$C$2:$C$151,R$2)</f>
        <v>0.35736395442277746</v>
      </c>
      <c r="S101" cm="1">
        <f t="array" ref="S101">EstymacjaEpanecznikowa($K101,$C$2:$C$151,S$2)</f>
        <v>0.18341765217738679</v>
      </c>
      <c r="T101" cm="1">
        <f t="array" ref="T101">EstymacjaEpanecznikowa($K101,$C$2:$C$151,T$2)</f>
        <v>0.39111273063412028</v>
      </c>
    </row>
    <row r="102" spans="10:20" x14ac:dyDescent="0.25">
      <c r="J102">
        <v>100</v>
      </c>
      <c r="K102">
        <f t="shared" si="3"/>
        <v>3.6953177257524925</v>
      </c>
      <c r="L102">
        <f t="shared" si="2"/>
        <v>0.41240762409264131</v>
      </c>
      <c r="M102" cm="1">
        <f t="array" ref="M102">EstymacjaGaussowska($K102,$C$2:$C$151)</f>
        <v>0.34226580665138928</v>
      </c>
      <c r="N102" cm="1">
        <f t="array" ref="N102">EstymacjaGaussowska($K102,$C$2:$C$151,$N$2)</f>
        <v>0.202903965819766</v>
      </c>
      <c r="O102" cm="1">
        <f t="array" ref="O102">EstymacjaGaussowska($K102,$C$2:$C$151,$O$2)</f>
        <v>0.38364388936285321</v>
      </c>
      <c r="P102" cm="1">
        <f t="array" ref="P102">EstymacjaGaussowska($K102,$C$2:$C$151,$P$2)</f>
        <v>7.8942509130914482E-2</v>
      </c>
      <c r="R102" cm="1">
        <f t="array" ref="R102">EstymacjaEpanecznikowa($K102,$C$2:$C$151,R$2)</f>
        <v>0.36309472203887483</v>
      </c>
      <c r="S102" cm="1">
        <f t="array" ref="S102">EstymacjaEpanecznikowa($K102,$C$2:$C$151,S$2)</f>
        <v>0.18712378084076461</v>
      </c>
      <c r="T102" cm="1">
        <f t="array" ref="T102">EstymacjaEpanecznikowa($K102,$C$2:$C$151,T$2)</f>
        <v>0.39465498080141953</v>
      </c>
    </row>
    <row r="103" spans="10:20" x14ac:dyDescent="0.25">
      <c r="J103">
        <v>101</v>
      </c>
      <c r="K103">
        <f t="shared" si="3"/>
        <v>3.7023411371237298</v>
      </c>
      <c r="L103">
        <f t="shared" si="2"/>
        <v>0.41983473833667539</v>
      </c>
      <c r="M103" cm="1">
        <f t="array" ref="M103">EstymacjaGaussowska($K103,$C$2:$C$151)</f>
        <v>0.34746934314365591</v>
      </c>
      <c r="N103" cm="1">
        <f t="array" ref="N103">EstymacjaGaussowska($K103,$C$2:$C$151,$N$2)</f>
        <v>0.20301901405267664</v>
      </c>
      <c r="O103" cm="1">
        <f t="array" ref="O103">EstymacjaGaussowska($K103,$C$2:$C$151,$O$2)</f>
        <v>0.3873346235240655</v>
      </c>
      <c r="P103" cm="1">
        <f t="array" ref="P103">EstymacjaGaussowska($K103,$C$2:$C$151,$P$2)</f>
        <v>7.8954874459933669E-2</v>
      </c>
      <c r="R103" cm="1">
        <f t="array" ref="R103">EstymacjaEpanecznikowa($K103,$C$2:$C$151,R$2)</f>
        <v>0.36967334751751035</v>
      </c>
      <c r="S103" cm="1">
        <f t="array" ref="S103">EstymacjaEpanecznikowa($K103,$C$2:$C$151,S$2)</f>
        <v>0.18765322779268193</v>
      </c>
      <c r="T103" cm="1">
        <f t="array" ref="T103">EstymacjaEpanecznikowa($K103,$C$2:$C$151,T$2)</f>
        <v>0.39894665171724242</v>
      </c>
    </row>
    <row r="104" spans="10:20" x14ac:dyDescent="0.25">
      <c r="J104">
        <v>102</v>
      </c>
      <c r="K104">
        <f t="shared" si="3"/>
        <v>3.7093645484949671</v>
      </c>
      <c r="L104">
        <f t="shared" si="2"/>
        <v>0.42730014312965031</v>
      </c>
      <c r="M104" cm="1">
        <f t="array" ref="M104">EstymacjaGaussowska($K104,$C$2:$C$151)</f>
        <v>0.35276672799039427</v>
      </c>
      <c r="N104" cm="1">
        <f t="array" ref="N104">EstymacjaGaussowska($K104,$C$2:$C$151,$N$2)</f>
        <v>0.20264040705373618</v>
      </c>
      <c r="O104" cm="1">
        <f t="array" ref="O104">EstymacjaGaussowska($K104,$C$2:$C$151,$O$2)</f>
        <v>0.39102888504430289</v>
      </c>
      <c r="P104" cm="1">
        <f t="array" ref="P104">EstymacjaGaussowska($K104,$C$2:$C$151,$P$2)</f>
        <v>7.8967087258829546E-2</v>
      </c>
      <c r="R104" cm="1">
        <f t="array" ref="R104">EstymacjaEpanecznikowa($K104,$C$2:$C$151,R$2)</f>
        <v>0.37600559451275345</v>
      </c>
      <c r="S104" cm="1">
        <f t="array" ref="S104">EstymacjaEpanecznikowa($K104,$C$2:$C$151,S$2)</f>
        <v>0.18500599303313872</v>
      </c>
      <c r="T104" cm="1">
        <f t="array" ref="T104">EstymacjaEpanecznikowa($K104,$C$2:$C$151,T$2)</f>
        <v>0.40317441134120235</v>
      </c>
    </row>
    <row r="105" spans="10:20" x14ac:dyDescent="0.25">
      <c r="J105">
        <v>103</v>
      </c>
      <c r="K105">
        <f t="shared" si="3"/>
        <v>3.7163879598662044</v>
      </c>
      <c r="L105">
        <f t="shared" si="2"/>
        <v>0.43480115466288016</v>
      </c>
      <c r="M105" cm="1">
        <f t="array" ref="M105">EstymacjaGaussowska($K105,$C$2:$C$151)</f>
        <v>0.35815602894975962</v>
      </c>
      <c r="N105" cm="1">
        <f t="array" ref="N105">EstymacjaGaussowska($K105,$C$2:$C$151,$N$2)</f>
        <v>0.20187195850238485</v>
      </c>
      <c r="O105" cm="1">
        <f t="array" ref="O105">EstymacjaGaussowska($K105,$C$2:$C$151,$O$2)</f>
        <v>0.39472593125012057</v>
      </c>
      <c r="P105" cm="1">
        <f t="array" ref="P105">EstymacjaGaussowska($K105,$C$2:$C$151,$P$2)</f>
        <v>7.8979147456124249E-2</v>
      </c>
      <c r="R105" cm="1">
        <f t="array" ref="R105">EstymacjaEpanecznikowa($K105,$C$2:$C$151,R$2)</f>
        <v>0.38209146302460412</v>
      </c>
      <c r="S105" cm="1">
        <f t="array" ref="S105">EstymacjaEpanecznikowa($K105,$C$2:$C$151,S$2)</f>
        <v>0.19041061393052325</v>
      </c>
      <c r="T105" cm="1">
        <f t="array" ref="T105">EstymacjaEpanecznikowa($K105,$C$2:$C$151,T$2)</f>
        <v>0.4073382596732994</v>
      </c>
    </row>
    <row r="106" spans="10:20" x14ac:dyDescent="0.25">
      <c r="J106">
        <v>104</v>
      </c>
      <c r="K106">
        <f t="shared" si="3"/>
        <v>3.7234113712374417</v>
      </c>
      <c r="L106">
        <f t="shared" si="2"/>
        <v>0.44233501764288241</v>
      </c>
      <c r="M106" cm="1">
        <f t="array" ref="M106">EstymacjaGaussowska($K106,$C$2:$C$151)</f>
        <v>0.36363499562895046</v>
      </c>
      <c r="N106" cm="1">
        <f t="array" ref="N106">EstymacjaGaussowska($K106,$C$2:$C$151,$N$2)</f>
        <v>0.20091854211099763</v>
      </c>
      <c r="O106" cm="1">
        <f t="array" ref="O106">EstymacjaGaussowska($K106,$C$2:$C$151,$O$2)</f>
        <v>0.39842500560332578</v>
      </c>
      <c r="P106" cm="1">
        <f t="array" ref="P106">EstymacjaGaussowska($K106,$C$2:$C$151,$P$2)</f>
        <v>7.899105498122419E-2</v>
      </c>
      <c r="R106" cm="1">
        <f t="array" ref="R106">EstymacjaEpanecznikowa($K106,$C$2:$C$151,R$2)</f>
        <v>0.38793095305306236</v>
      </c>
      <c r="S106" cm="1">
        <f t="array" ref="S106">EstymacjaEpanecznikowa($K106,$C$2:$C$151,S$2)</f>
        <v>0.19948684739184408</v>
      </c>
      <c r="T106" cm="1">
        <f t="array" ref="T106">EstymacjaEpanecznikowa($K106,$C$2:$C$151,T$2)</f>
        <v>0.4114381967135336</v>
      </c>
    </row>
    <row r="107" spans="10:20" x14ac:dyDescent="0.25">
      <c r="J107">
        <v>105</v>
      </c>
      <c r="K107">
        <f t="shared" si="3"/>
        <v>3.730434782608679</v>
      </c>
      <c r="L107">
        <f t="shared" si="2"/>
        <v>0.44989890651975484</v>
      </c>
      <c r="M107" cm="1">
        <f t="array" ref="M107">EstymacjaGaussowska($K107,$C$2:$C$151)</f>
        <v>0.36920106160798644</v>
      </c>
      <c r="N107" cm="1">
        <f t="array" ref="N107">EstymacjaGaussowska($K107,$C$2:$C$151,$N$2)</f>
        <v>0.20005615839130092</v>
      </c>
      <c r="O107" cm="1">
        <f t="array" ref="O107">EstymacjaGaussowska($K107,$C$2:$C$151,$O$2)</f>
        <v>0.40212533785400484</v>
      </c>
      <c r="P107" cm="1">
        <f t="array" ref="P107">EstymacjaGaussowska($K107,$C$2:$C$151,$P$2)</f>
        <v>7.9002809764421159E-2</v>
      </c>
      <c r="R107" cm="1">
        <f t="array" ref="R107">EstymacjaEpanecznikowa($K107,$C$2:$C$151,R$2)</f>
        <v>0.39352406459812789</v>
      </c>
      <c r="S107" cm="1">
        <f t="array" ref="S107">EstymacjaEpanecznikowa($K107,$C$2:$C$151,S$2)</f>
        <v>0.20644529304552464</v>
      </c>
      <c r="T107" cm="1">
        <f t="array" ref="T107">EstymacjaEpanecznikowa($K107,$C$2:$C$151,T$2)</f>
        <v>0.41547422246190463</v>
      </c>
    </row>
    <row r="108" spans="10:20" x14ac:dyDescent="0.25">
      <c r="J108">
        <v>106</v>
      </c>
      <c r="K108">
        <f t="shared" si="3"/>
        <v>3.7374581939799163</v>
      </c>
      <c r="L108">
        <f t="shared" si="2"/>
        <v>0.457489926816112</v>
      </c>
      <c r="M108" cm="1">
        <f t="array" ref="M108">EstymacjaGaussowska($K108,$C$2:$C$151)</f>
        <v>0.37485134821567373</v>
      </c>
      <c r="N108" cm="1">
        <f t="array" ref="N108">EstymacjaGaussowska($K108,$C$2:$C$151,$N$2)</f>
        <v>0.19959268881436834</v>
      </c>
      <c r="O108" cm="1">
        <f t="array" ref="O108">EstymacjaGaussowska($K108,$C$2:$C$151,$O$2)</f>
        <v>0.40582614420557123</v>
      </c>
      <c r="P108" cm="1">
        <f t="array" ref="P108">EstymacjaGaussowska($K108,$C$2:$C$151,$P$2)</f>
        <v>7.9014411736892748E-2</v>
      </c>
      <c r="R108" cm="1">
        <f t="array" ref="R108">EstymacjaEpanecznikowa($K108,$C$2:$C$151,R$2)</f>
        <v>0.3988707976598011</v>
      </c>
      <c r="S108" cm="1">
        <f t="array" ref="S108">EstymacjaEpanecznikowa($K108,$C$2:$C$151,S$2)</f>
        <v>0.21128595089156482</v>
      </c>
      <c r="T108" cm="1">
        <f t="array" ref="T108">EstymacjaEpanecznikowa($K108,$C$2:$C$151,T$2)</f>
        <v>0.41944633691841327</v>
      </c>
    </row>
    <row r="109" spans="10:20" x14ac:dyDescent="0.25">
      <c r="J109">
        <v>107</v>
      </c>
      <c r="K109">
        <f t="shared" si="3"/>
        <v>3.7444816053511536</v>
      </c>
      <c r="L109">
        <f t="shared" si="2"/>
        <v>0.46510511655653053</v>
      </c>
      <c r="M109" cm="1">
        <f t="array" ref="M109">EstymacjaGaussowska($K109,$C$2:$C$151)</f>
        <v>0.38058266997282364</v>
      </c>
      <c r="N109" cm="1">
        <f t="array" ref="N109">EstymacjaGaussowska($K109,$C$2:$C$151,$N$2)</f>
        <v>0.19982749200660593</v>
      </c>
      <c r="O109" cm="1">
        <f t="array" ref="O109">EstymacjaGaussowska($K109,$C$2:$C$151,$O$2)</f>
        <v>0.40952662749180513</v>
      </c>
      <c r="P109" cm="1">
        <f t="array" ref="P109">EstymacjaGaussowska($K109,$C$2:$C$151,$P$2)</f>
        <v>7.902586083070326E-2</v>
      </c>
      <c r="R109" cm="1">
        <f t="array" ref="R109">EstymacjaEpanecznikowa($K109,$C$2:$C$151,R$2)</f>
        <v>0.40397115223808194</v>
      </c>
      <c r="S109" cm="1">
        <f t="array" ref="S109">EstymacjaEpanecznikowa($K109,$C$2:$C$151,S$2)</f>
        <v>0.21400882092996473</v>
      </c>
      <c r="T109" cm="1">
        <f t="array" ref="T109">EstymacjaEpanecznikowa($K109,$C$2:$C$151,T$2)</f>
        <v>0.42335454008305823</v>
      </c>
    </row>
    <row r="110" spans="10:20" x14ac:dyDescent="0.25">
      <c r="J110">
        <v>108</v>
      </c>
      <c r="K110">
        <f t="shared" si="3"/>
        <v>3.7515050167223909</v>
      </c>
      <c r="L110">
        <f t="shared" si="2"/>
        <v>0.47274144779728566</v>
      </c>
      <c r="M110" cm="1">
        <f t="array" ref="M110">EstymacjaGaussowska($K110,$C$2:$C$151)</f>
        <v>0.38639154170741402</v>
      </c>
      <c r="N110" cm="1">
        <f t="array" ref="N110">EstymacjaGaussowska($K110,$C$2:$C$151,$N$2)</f>
        <v>0.20101815752322574</v>
      </c>
      <c r="O110" cm="1">
        <f t="array" ref="O110">EstymacjaGaussowska($K110,$C$2:$C$151,$O$2)</f>
        <v>0.41322597736586469</v>
      </c>
      <c r="P110" cm="1">
        <f t="array" ref="P110">EstymacjaGaussowska($K110,$C$2:$C$151,$P$2)</f>
        <v>7.9037156978804118E-2</v>
      </c>
      <c r="R110" cm="1">
        <f t="array" ref="R110">EstymacjaEpanecznikowa($K110,$C$2:$C$151,R$2)</f>
        <v>0.40882512833297013</v>
      </c>
      <c r="S110" cm="1">
        <f t="array" ref="S110">EstymacjaEpanecznikowa($K110,$C$2:$C$151,S$2)</f>
        <v>0.21461390316072423</v>
      </c>
      <c r="T110" cm="1">
        <f t="array" ref="T110">EstymacjaEpanecznikowa($K110,$C$2:$C$151,T$2)</f>
        <v>0.42719883195584057</v>
      </c>
    </row>
    <row r="111" spans="10:20" x14ac:dyDescent="0.25">
      <c r="J111">
        <v>109</v>
      </c>
      <c r="K111">
        <f t="shared" si="3"/>
        <v>3.7585284280936282</v>
      </c>
      <c r="L111">
        <f t="shared" si="2"/>
        <v>0.48039582825600896</v>
      </c>
      <c r="M111" cm="1">
        <f t="array" ref="M111">EstymacjaGaussowska($K111,$C$2:$C$151)</f>
        <v>0.39227418733568692</v>
      </c>
      <c r="N111" cm="1">
        <f t="array" ref="N111">EstymacjaGaussowska($K111,$C$2:$C$151,$N$2)</f>
        <v>0.20336115004347927</v>
      </c>
      <c r="O111" cm="1">
        <f t="array" ref="O111">EstymacjaGaussowska($K111,$C$2:$C$151,$O$2)</f>
        <v>0.41692337050122508</v>
      </c>
      <c r="P111" cm="1">
        <f t="array" ref="P111">EstymacjaGaussowska($K111,$C$2:$C$151,$P$2)</f>
        <v>7.904830011503472E-2</v>
      </c>
      <c r="R111" cm="1">
        <f t="array" ref="R111">EstymacjaEpanecznikowa($K111,$C$2:$C$151,R$2)</f>
        <v>0.41343272594446601</v>
      </c>
      <c r="S111" cm="1">
        <f t="array" ref="S111">EstymacjaEpanecznikowa($K111,$C$2:$C$151,S$2)</f>
        <v>0.21310119758384344</v>
      </c>
      <c r="T111" cm="1">
        <f t="array" ref="T111">EstymacjaEpanecznikowa($K111,$C$2:$C$151,T$2)</f>
        <v>0.43097921253676008</v>
      </c>
    </row>
    <row r="112" spans="10:20" x14ac:dyDescent="0.25">
      <c r="J112">
        <v>110</v>
      </c>
      <c r="K112">
        <f t="shared" si="3"/>
        <v>3.7655518394648655</v>
      </c>
      <c r="L112">
        <f t="shared" si="2"/>
        <v>0.48806510304072437</v>
      </c>
      <c r="M112" cm="1">
        <f t="array" ref="M112">EstymacjaGaussowska($K112,$C$2:$C$151)</f>
        <v>0.39822655029226761</v>
      </c>
      <c r="N112" cm="1">
        <f t="array" ref="N112">EstymacjaGaussowska($K112,$C$2:$C$151,$N$2)</f>
        <v>0.20699002895207305</v>
      </c>
      <c r="O112" cm="1">
        <f t="array" ref="O112">EstymacjaGaussowska($K112,$C$2:$C$151,$O$2)</f>
        <v>0.42061797080449792</v>
      </c>
      <c r="P112" cm="1">
        <f t="array" ref="P112">EstymacjaGaussowska($K112,$C$2:$C$151,$P$2)</f>
        <v>7.9059290174123012E-2</v>
      </c>
      <c r="R112" cm="1">
        <f t="array" ref="R112">EstymacjaEpanecznikowa($K112,$C$2:$C$151,R$2)</f>
        <v>0.41779394507256962</v>
      </c>
      <c r="S112" cm="1">
        <f t="array" ref="S112">EstymacjaEpanecznikowa($K112,$C$2:$C$151,S$2)</f>
        <v>0.20947070419932232</v>
      </c>
      <c r="T112" cm="1">
        <f t="array" ref="T112">EstymacjaEpanecznikowa($K112,$C$2:$C$151,T$2)</f>
        <v>0.43469568182581658</v>
      </c>
    </row>
    <row r="113" spans="10:20" x14ac:dyDescent="0.25">
      <c r="J113">
        <v>111</v>
      </c>
      <c r="K113">
        <f t="shared" si="3"/>
        <v>3.7725752508361028</v>
      </c>
      <c r="L113">
        <f t="shared" si="2"/>
        <v>0.49574605647756043</v>
      </c>
      <c r="M113" cm="1">
        <f t="array" ref="M113">EstymacjaGaussowska($K113,$C$2:$C$151)</f>
        <v>0.40424430558131208</v>
      </c>
      <c r="N113" cm="1">
        <f t="array" ref="N113">EstymacjaGaussowska($K113,$C$2:$C$151,$N$2)</f>
        <v>0.21199099494477708</v>
      </c>
      <c r="O113" cm="1">
        <f t="array" ref="O113">EstymacjaGaussowska($K113,$C$2:$C$151,$O$2)</f>
        <v>0.42430892964007366</v>
      </c>
      <c r="P113" cm="1">
        <f t="array" ref="P113">EstymacjaGaussowska($K113,$C$2:$C$151,$P$2)</f>
        <v>7.9070127091686038E-2</v>
      </c>
      <c r="R113" cm="1">
        <f t="array" ref="R113">EstymacjaEpanecznikowa($K113,$C$2:$C$151,R$2)</f>
        <v>0.42190878571728063</v>
      </c>
      <c r="S113" cm="1">
        <f t="array" ref="S113">EstymacjaEpanecznikowa($K113,$C$2:$C$151,S$2)</f>
        <v>0.20372242300716084</v>
      </c>
      <c r="T113" cm="1">
        <f t="array" ref="T113">EstymacjaEpanecznikowa($K113,$C$2:$C$151,T$2)</f>
        <v>0.43834823982301002</v>
      </c>
    </row>
    <row r="114" spans="10:20" x14ac:dyDescent="0.25">
      <c r="J114">
        <v>112</v>
      </c>
      <c r="K114">
        <f t="shared" si="3"/>
        <v>3.7795986622073401</v>
      </c>
      <c r="L114">
        <f t="shared" si="2"/>
        <v>0.50343541403626491</v>
      </c>
      <c r="M114" cm="1">
        <f t="array" ref="M114">EstymacjaGaussowska($K114,$C$2:$C$151)</f>
        <v>0.41032287340954254</v>
      </c>
      <c r="N114" cm="1">
        <f t="array" ref="N114">EstymacjaGaussowska($K114,$C$2:$C$151,$N$2)</f>
        <v>0.21843147632943588</v>
      </c>
      <c r="O114" cm="1">
        <f t="array" ref="O114">EstymacjaGaussowska($K114,$C$2:$C$151,$O$2)</f>
        <v>0.4279953860665151</v>
      </c>
      <c r="P114" cm="1">
        <f t="array" ref="P114">EstymacjaGaussowska($K114,$C$2:$C$151,$P$2)</f>
        <v>7.9080810804230739E-2</v>
      </c>
      <c r="R114" cm="1">
        <f t="array" ref="R114">EstymacjaEpanecznikowa($K114,$C$2:$C$151,R$2)</f>
        <v>0.42577724787859905</v>
      </c>
      <c r="S114" cm="1">
        <f t="array" ref="S114">EstymacjaEpanecznikowa($K114,$C$2:$C$151,S$2)</f>
        <v>0.19585635400735907</v>
      </c>
      <c r="T114" cm="1">
        <f t="array" ref="T114">EstymacjaEpanecznikowa($K114,$C$2:$C$151,T$2)</f>
        <v>0.44193688652834068</v>
      </c>
    </row>
    <row r="115" spans="10:20" x14ac:dyDescent="0.25">
      <c r="J115">
        <v>113</v>
      </c>
      <c r="K115">
        <f t="shared" si="3"/>
        <v>3.7866220735785774</v>
      </c>
      <c r="L115">
        <f t="shared" si="2"/>
        <v>0.51112984435248643</v>
      </c>
      <c r="M115" cm="1">
        <f t="array" ref="M115">EstymacjaGaussowska($K115,$C$2:$C$151)</f>
        <v>0.41645743435089666</v>
      </c>
      <c r="N115" cm="1">
        <f t="array" ref="N115">EstymacjaGaussowska($K115,$C$2:$C$151,$N$2)</f>
        <v>0.22639416090213721</v>
      </c>
      <c r="O115" cm="1">
        <f t="array" ref="O115">EstymacjaGaussowska($K115,$C$2:$C$151,$O$2)</f>
        <v>0.43167646708462842</v>
      </c>
      <c r="P115" cm="1">
        <f t="array" ref="P115">EstymacjaGaussowska($K115,$C$2:$C$151,$P$2)</f>
        <v>7.9091341249154401E-2</v>
      </c>
      <c r="R115" cm="1">
        <f t="array" ref="R115">EstymacjaEpanecznikowa($K115,$C$2:$C$151,R$2)</f>
        <v>0.42939933155652532</v>
      </c>
      <c r="S115" cm="1">
        <f t="array" ref="S115">EstymacjaEpanecznikowa($K115,$C$2:$C$151,S$2)</f>
        <v>0.18587249719991686</v>
      </c>
      <c r="T115" cm="1">
        <f t="array" ref="T115">EstymacjaEpanecznikowa($K115,$C$2:$C$151,T$2)</f>
        <v>0.44546162194180827</v>
      </c>
    </row>
    <row r="116" spans="10:20" x14ac:dyDescent="0.25">
      <c r="J116">
        <v>114</v>
      </c>
      <c r="K116">
        <f t="shared" si="3"/>
        <v>3.7936454849498147</v>
      </c>
      <c r="L116">
        <f t="shared" si="2"/>
        <v>0.51882596134560999</v>
      </c>
      <c r="M116" cm="1">
        <f t="array" ref="M116">EstymacjaGaussowska($K116,$C$2:$C$151)</f>
        <v>0.42264294598146623</v>
      </c>
      <c r="N116" cm="1">
        <f t="array" ref="N116">EstymacjaGaussowska($K116,$C$2:$C$151,$N$2)</f>
        <v>0.23600704152649243</v>
      </c>
      <c r="O116" cm="1">
        <f t="array" ref="O116">EstymacjaGaussowska($K116,$C$2:$C$151,$O$2)</f>
        <v>0.4353512878971228</v>
      </c>
      <c r="P116" cm="1">
        <f t="array" ref="P116">EstymacjaGaussowska($K116,$C$2:$C$151,$P$2)</f>
        <v>7.9101718364745527E-2</v>
      </c>
      <c r="R116" cm="1">
        <f t="array" ref="R116">EstymacjaEpanecznikowa($K116,$C$2:$C$151,R$2)</f>
        <v>0.43346473754893899</v>
      </c>
      <c r="S116" cm="1">
        <f t="array" ref="S116">EstymacjaEpanecznikowa($K116,$C$2:$C$151,S$2)</f>
        <v>0.21204680577985871</v>
      </c>
      <c r="T116" cm="1">
        <f t="array" ref="T116">EstymacjaEpanecznikowa($K116,$C$2:$C$151,T$2)</f>
        <v>0.44892244606341275</v>
      </c>
    </row>
    <row r="117" spans="10:20" x14ac:dyDescent="0.25">
      <c r="J117">
        <v>115</v>
      </c>
      <c r="K117">
        <f t="shared" si="3"/>
        <v>3.800668896321052</v>
      </c>
      <c r="L117">
        <f t="shared" si="2"/>
        <v>0.52652032643076996</v>
      </c>
      <c r="M117" cm="1">
        <f t="array" ref="M117">EstymacjaGaussowska($K117,$C$2:$C$151)</f>
        <v>0.42887416091253372</v>
      </c>
      <c r="N117" cm="1">
        <f t="array" ref="N117">EstymacjaGaussowska($K117,$C$2:$C$151,$N$2)</f>
        <v>0.24746016237454668</v>
      </c>
      <c r="O117" cm="1">
        <f t="array" ref="O117">EstymacjaGaussowska($K117,$C$2:$C$151,$O$2)</f>
        <v>0.43901895217976178</v>
      </c>
      <c r="P117" cm="1">
        <f t="array" ref="P117">EstymacjaGaussowska($K117,$C$2:$C$151,$P$2)</f>
        <v>7.9111942090184087E-2</v>
      </c>
      <c r="R117" cm="1">
        <f t="array" ref="R117">EstymacjaEpanecznikowa($K117,$C$2:$C$151,R$2)</f>
        <v>0.43819765754917345</v>
      </c>
      <c r="S117" cm="1">
        <f t="array" ref="S117">EstymacjaEpanecznikowa($K117,$C$2:$C$151,S$2)</f>
        <v>0.24434306984638821</v>
      </c>
      <c r="T117" cm="1">
        <f t="array" ref="T117">EstymacjaEpanecznikowa($K117,$C$2:$C$151,T$2)</f>
        <v>0.45272681561137201</v>
      </c>
    </row>
    <row r="118" spans="10:20" x14ac:dyDescent="0.25">
      <c r="J118">
        <v>116</v>
      </c>
      <c r="K118">
        <f t="shared" si="3"/>
        <v>3.8076923076922893</v>
      </c>
      <c r="L118">
        <f t="shared" si="2"/>
        <v>0.53420945082349669</v>
      </c>
      <c r="M118" cm="1">
        <f t="array" ref="M118">EstymacjaGaussowska($K118,$C$2:$C$151)</f>
        <v>0.43514564613892154</v>
      </c>
      <c r="N118" cm="1">
        <f t="array" ref="N118">EstymacjaGaussowska($K118,$C$2:$C$151,$N$2)</f>
        <v>0.26100195555056671</v>
      </c>
      <c r="O118" cm="1">
        <f t="array" ref="O118">EstymacjaGaussowska($K118,$C$2:$C$151,$O$2)</f>
        <v>0.4426785523639053</v>
      </c>
      <c r="P118" cm="1">
        <f t="array" ref="P118">EstymacjaGaussowska($K118,$C$2:$C$151,$P$2)</f>
        <v>7.912201236554231E-2</v>
      </c>
      <c r="R118" cm="1">
        <f t="array" ref="R118">EstymacjaEpanecznikowa($K118,$C$2:$C$151,R$2)</f>
        <v>0.44266180102207092</v>
      </c>
      <c r="S118" cm="1">
        <f t="array" ref="S118">EstymacjaEpanecznikowa($K118,$C$2:$C$151,S$2)</f>
        <v>0.27134486439381683</v>
      </c>
      <c r="T118" cm="1">
        <f t="array" ref="T118">EstymacjaEpanecznikowa($K118,$C$2:$C$151,T$2)</f>
        <v>0.45647171297505568</v>
      </c>
    </row>
    <row r="119" spans="10:20" x14ac:dyDescent="0.25">
      <c r="J119">
        <v>117</v>
      </c>
      <c r="K119">
        <f t="shared" si="3"/>
        <v>3.8147157190635266</v>
      </c>
      <c r="L119">
        <f t="shared" si="2"/>
        <v>0.54188979793527281</v>
      </c>
      <c r="M119" cm="1">
        <f t="array" ref="M119">EstymacjaGaussowska($K119,$C$2:$C$151)</f>
        <v>0.44145180360960851</v>
      </c>
      <c r="N119" cm="1">
        <f t="array" ref="N119">EstymacjaGaussowska($K119,$C$2:$C$151,$N$2)</f>
        <v>0.27691206046929429</v>
      </c>
      <c r="O119" cm="1">
        <f t="array" ref="O119">EstymacjaGaussowska($K119,$C$2:$C$151,$O$2)</f>
        <v>0.44632916993032928</v>
      </c>
      <c r="P119" cm="1">
        <f t="array" ref="P119">EstymacjaGaussowska($K119,$C$2:$C$151,$P$2)</f>
        <v>7.9131929131785281E-2</v>
      </c>
      <c r="R119" cm="1">
        <f t="array" ref="R119">EstymacjaEpanecznikowa($K119,$C$2:$C$151,R$2)</f>
        <v>0.44810571059840976</v>
      </c>
      <c r="S119" cm="1">
        <f t="array" ref="S119">EstymacjaEpanecznikowa($K119,$C$2:$C$151,S$2)</f>
        <v>0.30013279205390764</v>
      </c>
      <c r="T119" cm="1">
        <f t="array" ref="T119">EstymacjaEpanecznikowa($K119,$C$2:$C$151,T$2)</f>
        <v>0.4601497939881557</v>
      </c>
    </row>
    <row r="120" spans="10:20" x14ac:dyDescent="0.25">
      <c r="J120">
        <v>118</v>
      </c>
      <c r="K120">
        <f t="shared" si="3"/>
        <v>3.8217391304347639</v>
      </c>
      <c r="L120">
        <f t="shared" si="2"/>
        <v>0.54955778585811987</v>
      </c>
      <c r="M120" cm="1">
        <f t="array" ref="M120">EstymacjaGaussowska($K120,$C$2:$C$151)</f>
        <v>0.44778689191776944</v>
      </c>
      <c r="N120" cm="1">
        <f t="array" ref="N120">EstymacjaGaussowska($K120,$C$2:$C$151,$N$2)</f>
        <v>0.29545264763305001</v>
      </c>
      <c r="O120" cm="1">
        <f t="array" ref="O120">EstymacjaGaussowska($K120,$C$2:$C$151,$O$2)</f>
        <v>0.44996987571419989</v>
      </c>
      <c r="P120" cm="1">
        <f t="array" ref="P120">EstymacjaGaussowska($K120,$C$2:$C$151,$P$2)</f>
        <v>7.9141692330771563E-2</v>
      </c>
      <c r="R120" cm="1">
        <f t="array" ref="R120">EstymacjaEpanecznikowa($K120,$C$2:$C$151,R$2)</f>
        <v>0.45368495668770009</v>
      </c>
      <c r="S120" cm="1">
        <f t="array" ref="S120">EstymacjaEpanecznikowa($K120,$C$2:$C$151,S$2)</f>
        <v>0.33437036161077166</v>
      </c>
      <c r="T120" cm="1">
        <f t="array" ref="T120">EstymacjaEpanecznikowa($K120,$C$2:$C$151,T$2)</f>
        <v>0.46376105865067146</v>
      </c>
    </row>
    <row r="121" spans="10:20" x14ac:dyDescent="0.25">
      <c r="J121">
        <v>119</v>
      </c>
      <c r="K121">
        <f t="shared" si="3"/>
        <v>3.8287625418060012</v>
      </c>
      <c r="L121">
        <f t="shared" si="2"/>
        <v>0.55720978993615922</v>
      </c>
      <c r="M121" cm="1">
        <f t="array" ref="M121">EstymacjaGaussowska($K121,$C$2:$C$151)</f>
        <v>0.4541450489980916</v>
      </c>
      <c r="N121" cm="1">
        <f t="array" ref="N121">EstymacjaGaussowska($K121,$C$2:$C$151,$N$2)</f>
        <v>0.31680555974488878</v>
      </c>
      <c r="O121" cm="1">
        <f t="array" ref="O121">EstymacjaGaussowska($K121,$C$2:$C$151,$O$2)</f>
        <v>0.45359973022107747</v>
      </c>
      <c r="P121" cm="1">
        <f t="array" ref="P121">EstymacjaGaussowska($K121,$C$2:$C$151,$P$2)</f>
        <v>7.9151301905253629E-2</v>
      </c>
      <c r="R121" cm="1">
        <f t="array" ref="R121">EstymacjaEpanecznikowa($K121,$C$2:$C$151,R$2)</f>
        <v>0.459017824293598</v>
      </c>
      <c r="S121" cm="1">
        <f t="array" ref="S121">EstymacjaEpanecznikowa($K121,$C$2:$C$151,S$2)</f>
        <v>0.36437235555235509</v>
      </c>
      <c r="T121" cm="1">
        <f t="array" ref="T121">EstymacjaEpanecznikowa($K121,$C$2:$C$151,T$2)</f>
        <v>0.46730550696260326</v>
      </c>
    </row>
    <row r="122" spans="10:20" x14ac:dyDescent="0.25">
      <c r="J122">
        <v>120</v>
      </c>
      <c r="K122">
        <f t="shared" si="3"/>
        <v>3.8357859531772385</v>
      </c>
      <c r="L122">
        <f t="shared" si="2"/>
        <v>0.5648421454219249</v>
      </c>
      <c r="M122" cm="1">
        <f t="array" ref="M122">EstymacjaGaussowska($K122,$C$2:$C$151)</f>
        <v>0.46052031571054197</v>
      </c>
      <c r="N122" cm="1">
        <f t="array" ref="N122">EstymacjaGaussowska($K122,$C$2:$C$151,$N$2)</f>
        <v>0.34100694337923165</v>
      </c>
      <c r="O122" cm="1">
        <f t="array" ref="O122">EstymacjaGaussowska($K122,$C$2:$C$151,$O$2)</f>
        <v>0.45721778395381041</v>
      </c>
      <c r="P122" cm="1">
        <f t="array" ref="P122">EstymacjaGaussowska($K122,$C$2:$C$151,$P$2)</f>
        <v>7.9160757798878392E-2</v>
      </c>
      <c r="R122" cm="1">
        <f t="array" ref="R122">EstymacjaEpanecznikowa($K122,$C$2:$C$151,R$2)</f>
        <v>0.46410431341610375</v>
      </c>
      <c r="S122" cm="1">
        <f t="array" ref="S122">EstymacjaEpanecznikowa($K122,$C$2:$C$151,S$2)</f>
        <v>0.39013877387865775</v>
      </c>
      <c r="T122" cm="1">
        <f t="array" ref="T122">EstymacjaEpanecznikowa($K122,$C$2:$C$151,T$2)</f>
        <v>0.47078313892395113</v>
      </c>
    </row>
    <row r="123" spans="10:20" x14ac:dyDescent="0.25">
      <c r="J123">
        <v>121</v>
      </c>
      <c r="K123">
        <f t="shared" si="3"/>
        <v>3.8428093645484758</v>
      </c>
      <c r="L123">
        <f t="shared" si="2"/>
        <v>0.57245115021504778</v>
      </c>
      <c r="M123" cm="1">
        <f t="array" ref="M123">EstymacjaGaussowska($K123,$C$2:$C$151)</f>
        <v>0.46690666018174415</v>
      </c>
      <c r="N123" cm="1">
        <f t="array" ref="N123">EstymacjaGaussowska($K123,$C$2:$C$151,$N$2)</f>
        <v>0.3678934565853984</v>
      </c>
      <c r="O123" cm="1">
        <f t="array" ref="O123">EstymacjaGaussowska($K123,$C$2:$C$151,$O$2)</f>
        <v>0.4608230777501871</v>
      </c>
      <c r="P123" cm="1">
        <f t="array" ref="P123">EstymacjaGaussowska($K123,$C$2:$C$151,$P$2)</f>
        <v>7.9170059956187991E-2</v>
      </c>
      <c r="R123" cm="1">
        <f t="array" ref="R123">EstymacjaEpanecznikowa($K123,$C$2:$C$151,R$2)</f>
        <v>0.46894442405521664</v>
      </c>
      <c r="S123" cm="1">
        <f t="array" ref="S123">EstymacjaEpanecznikowa($K123,$C$2:$C$151,S$2)</f>
        <v>0.41166961658967977</v>
      </c>
      <c r="T123" cm="1">
        <f t="array" ref="T123">EstymacjaEpanecznikowa($K123,$C$2:$C$151,T$2)</f>
        <v>0.47419395453471508</v>
      </c>
    </row>
    <row r="124" spans="10:20" x14ac:dyDescent="0.25">
      <c r="J124">
        <v>122</v>
      </c>
      <c r="K124">
        <f t="shared" si="3"/>
        <v>3.8498327759197131</v>
      </c>
      <c r="L124">
        <f t="shared" si="2"/>
        <v>0.58003306768075624</v>
      </c>
      <c r="M124" cm="1">
        <f t="array" ref="M124">EstymacjaGaussowska($K124,$C$2:$C$151)</f>
        <v>0.47329800276786499</v>
      </c>
      <c r="N124" cm="1">
        <f t="array" ref="N124">EstymacjaGaussowska($K124,$C$2:$C$151,$N$2)</f>
        <v>0.39707387209488942</v>
      </c>
      <c r="O124" cm="1">
        <f t="array" ref="O124">EstymacjaGaussowska($K124,$C$2:$C$151,$O$2)</f>
        <v>0.46441464313117697</v>
      </c>
      <c r="P124" cm="1">
        <f t="array" ref="P124">EstymacjaGaussowska($K124,$C$2:$C$151,$P$2)</f>
        <v>7.9179208322620015E-2</v>
      </c>
      <c r="R124" cm="1">
        <f t="array" ref="R124">EstymacjaEpanecznikowa($K124,$C$2:$C$151,R$2)</f>
        <v>0.47353815621093731</v>
      </c>
      <c r="S124" cm="1">
        <f t="array" ref="S124">EstymacjaEpanecznikowa($K124,$C$2:$C$151,S$2)</f>
        <v>0.42896488368542113</v>
      </c>
      <c r="T124" cm="1">
        <f t="array" ref="T124">EstymacjaEpanecznikowa($K124,$C$2:$C$151,T$2)</f>
        <v>0.47753795379489494</v>
      </c>
    </row>
    <row r="125" spans="10:20" x14ac:dyDescent="0.25">
      <c r="J125">
        <v>123</v>
      </c>
      <c r="K125">
        <f t="shared" si="3"/>
        <v>3.8568561872909504</v>
      </c>
      <c r="L125">
        <f t="shared" si="2"/>
        <v>0.58758412954549033</v>
      </c>
      <c r="M125" cm="1">
        <f t="array" ref="M125">EstymacjaGaussowska($K125,$C$2:$C$151)</f>
        <v>0.47968824149648609</v>
      </c>
      <c r="N125" cm="1">
        <f t="array" ref="N125">EstymacjaGaussowska($K125,$C$2:$C$151,$N$2)</f>
        <v>0.42793668825848702</v>
      </c>
      <c r="O125" cm="1">
        <f t="array" ref="O125">EstymacjaGaussowska($K125,$C$2:$C$151,$O$2)</f>
        <v>0.46799150265962591</v>
      </c>
      <c r="P125" cm="1">
        <f t="array" ref="P125">EstymacjaGaussowska($K125,$C$2:$C$151,$P$2)</f>
        <v>7.9188202844508421E-2</v>
      </c>
      <c r="R125" cm="1">
        <f t="array" ref="R125">EstymacjaEpanecznikowa($K125,$C$2:$C$151,R$2)</f>
        <v>0.47788550988326567</v>
      </c>
      <c r="S125" cm="1">
        <f t="array" ref="S125">EstymacjaEpanecznikowa($K125,$C$2:$C$151,S$2)</f>
        <v>0.44202457516588189</v>
      </c>
      <c r="T125" cm="1">
        <f t="array" ref="T125">EstymacjaEpanecznikowa($K125,$C$2:$C$151,T$2)</f>
        <v>0.48081513670449078</v>
      </c>
    </row>
    <row r="126" spans="10:20" x14ac:dyDescent="0.25">
      <c r="J126">
        <v>124</v>
      </c>
      <c r="K126">
        <f t="shared" si="3"/>
        <v>3.8638795986621877</v>
      </c>
      <c r="L126">
        <f t="shared" si="2"/>
        <v>0.59510053886675673</v>
      </c>
      <c r="M126" cm="1">
        <f t="array" ref="M126">EstymacjaGaussowska($K126,$C$2:$C$151)</f>
        <v>0.48607127783937082</v>
      </c>
      <c r="N126" cm="1">
        <f t="array" ref="N126">EstymacjaGaussowska($K126,$C$2:$C$151,$N$2)</f>
        <v>0.45969851794126054</v>
      </c>
      <c r="O126" cm="1">
        <f t="array" ref="O126">EstymacjaGaussowska($K126,$C$2:$C$151,$O$2)</f>
        <v>0.47155267030922726</v>
      </c>
      <c r="P126" cm="1">
        <f t="array" ref="P126">EstymacjaGaussowska($K126,$C$2:$C$151,$P$2)</f>
        <v>7.9197043469083669E-2</v>
      </c>
      <c r="R126" cm="1">
        <f t="array" ref="R126">EstymacjaEpanecznikowa($K126,$C$2:$C$151,R$2)</f>
        <v>0.48198648507220115</v>
      </c>
      <c r="S126" cm="1">
        <f t="array" ref="S126">EstymacjaEpanecznikowa($K126,$C$2:$C$151,S$2)</f>
        <v>0.45084869103106179</v>
      </c>
      <c r="T126" cm="1">
        <f t="array" ref="T126">EstymacjaEpanecznikowa($K126,$C$2:$C$151,T$2)</f>
        <v>0.48402550326350285</v>
      </c>
    </row>
    <row r="127" spans="10:20" x14ac:dyDescent="0.25">
      <c r="J127">
        <v>125</v>
      </c>
      <c r="K127">
        <f t="shared" si="3"/>
        <v>3.870903010033425</v>
      </c>
      <c r="L127">
        <f t="shared" si="2"/>
        <v>0.60257847307420376</v>
      </c>
      <c r="M127" cm="1">
        <f t="array" ref="M127">EstymacjaGaussowska($K127,$C$2:$C$151)</f>
        <v>0.4924410426634423</v>
      </c>
      <c r="N127" cm="1">
        <f t="array" ref="N127">EstymacjaGaussowska($K127,$C$2:$C$151,$N$2)</f>
        <v>0.4914904308051839</v>
      </c>
      <c r="O127" cm="1">
        <f t="array" ref="O127">EstymacjaGaussowska($K127,$C$2:$C$151,$O$2)</f>
        <v>0.47509715184360751</v>
      </c>
      <c r="P127" cm="1">
        <f t="array" ref="P127">EstymacjaGaussowska($K127,$C$2:$C$151,$P$2)</f>
        <v>7.9205730144473477E-2</v>
      </c>
      <c r="R127" cm="1">
        <f t="array" ref="R127">EstymacjaEpanecznikowa($K127,$C$2:$C$151,R$2)</f>
        <v>0.48584108177774454</v>
      </c>
      <c r="S127" cm="1">
        <f t="array" ref="S127">EstymacjaEpanecznikowa($K127,$C$2:$C$151,S$2)</f>
        <v>0.45543723128096114</v>
      </c>
      <c r="T127" cm="1">
        <f t="array" ref="T127">EstymacjaEpanecznikowa($K127,$C$2:$C$151,T$2)</f>
        <v>0.48716905347193074</v>
      </c>
    </row>
    <row r="128" spans="10:20" x14ac:dyDescent="0.25">
      <c r="J128">
        <v>126</v>
      </c>
      <c r="K128">
        <f t="shared" si="3"/>
        <v>3.8779264214046623</v>
      </c>
      <c r="L128">
        <f t="shared" si="2"/>
        <v>0.61001408707874327</v>
      </c>
      <c r="M128" cm="1">
        <f t="array" ref="M128">EstymacjaGaussowska($K128,$C$2:$C$151)</f>
        <v>0.49879152220366629</v>
      </c>
      <c r="N128" cm="1">
        <f t="array" ref="N128">EstymacjaGaussowska($K128,$C$2:$C$151,$N$2)</f>
        <v>0.52247141764565042</v>
      </c>
      <c r="O128" cm="1">
        <f t="array" ref="O128">EstymacjaGaussowska($K128,$C$2:$C$151,$O$2)</f>
        <v>0.47862394520535045</v>
      </c>
      <c r="P128" cm="1">
        <f t="array" ref="P128">EstymacjaGaussowska($K128,$C$2:$C$151,$P$2)</f>
        <v>7.9214262819703299E-2</v>
      </c>
      <c r="R128" cm="1">
        <f t="array" ref="R128">EstymacjaEpanecznikowa($K128,$C$2:$C$151,R$2)</f>
        <v>0.48944929999989523</v>
      </c>
      <c r="S128" cm="1">
        <f t="array" ref="S128">EstymacjaEpanecznikowa($K128,$C$2:$C$151,S$2)</f>
        <v>0.45579019591557995</v>
      </c>
      <c r="T128" cm="1">
        <f t="array" ref="T128">EstymacjaEpanecznikowa($K128,$C$2:$C$151,T$2)</f>
        <v>0.49024578732977442</v>
      </c>
    </row>
    <row r="129" spans="10:20" x14ac:dyDescent="0.25">
      <c r="J129">
        <v>127</v>
      </c>
      <c r="K129">
        <f t="shared" si="3"/>
        <v>3.8849498327758996</v>
      </c>
      <c r="L129">
        <f t="shared" si="2"/>
        <v>0.61740351644639369</v>
      </c>
      <c r="M129" cm="1">
        <f t="array" ref="M129">EstymacjaGaussowska($K129,$C$2:$C$151)</f>
        <v>0.50511678389895498</v>
      </c>
      <c r="N129" cm="1">
        <f t="array" ref="N129">EstymacjaGaussowska($K129,$C$2:$C$151,$N$2)</f>
        <v>0.55195130454619046</v>
      </c>
      <c r="O129" cm="1">
        <f t="array" ref="O129">EstymacjaGaussowska($K129,$C$2:$C$151,$O$2)</f>
        <v>0.48213204091477735</v>
      </c>
      <c r="P129" cm="1">
        <f t="array" ref="P129">EstymacjaGaussowska($K129,$C$2:$C$151,$P$2)</f>
        <v>7.9222641444696762E-2</v>
      </c>
      <c r="R129" cm="1">
        <f t="array" ref="R129">EstymacjaEpanecznikowa($K129,$C$2:$C$151,R$2)</f>
        <v>0.4928111397386537</v>
      </c>
      <c r="S129" cm="1">
        <f t="array" ref="S129">EstymacjaEpanecznikowa($K129,$C$2:$C$151,S$2)</f>
        <v>0.45190758493491789</v>
      </c>
      <c r="T129" cm="1">
        <f t="array" ref="T129">EstymacjaEpanecznikowa($K129,$C$2:$C$151,T$2)</f>
        <v>0.49325570483703468</v>
      </c>
    </row>
    <row r="130" spans="10:20" x14ac:dyDescent="0.25">
      <c r="J130">
        <v>128</v>
      </c>
      <c r="K130">
        <f t="shared" si="3"/>
        <v>3.8919732441471369</v>
      </c>
      <c r="L130">
        <f t="shared" si="2"/>
        <v>0.62474288063338124</v>
      </c>
      <c r="M130" cm="1">
        <f t="array" ref="M130">EstymacjaGaussowska($K130,$C$2:$C$151)</f>
        <v>0.51141100193071132</v>
      </c>
      <c r="N130" cm="1">
        <f t="array" ref="N130">EstymacjaGaussowska($K130,$C$2:$C$151,$N$2)</f>
        <v>0.57950128680428259</v>
      </c>
      <c r="O130" cm="1">
        <f t="array" ref="O130">EstymacjaGaussowska($K130,$C$2:$C$151,$O$2)</f>
        <v>0.4856204224782994</v>
      </c>
      <c r="P130" cm="1">
        <f t="array" ref="P130">EstymacjaGaussowska($K130,$C$2:$C$151,$P$2)</f>
        <v>7.9230865970276107E-2</v>
      </c>
      <c r="R130" cm="1">
        <f t="array" ref="R130">EstymacjaEpanecznikowa($K130,$C$2:$C$151,R$2)</f>
        <v>0.49653578413984112</v>
      </c>
      <c r="S130" cm="1">
        <f t="array" ref="S130">EstymacjaEpanecznikowa($K130,$C$2:$C$151,S$2)</f>
        <v>0.48834367995795491</v>
      </c>
      <c r="T130" cm="1">
        <f t="array" ref="T130">EstymacjaEpanecznikowa($K130,$C$2:$C$151,T$2)</f>
        <v>0.49619880599371058</v>
      </c>
    </row>
    <row r="131" spans="10:20" x14ac:dyDescent="0.25">
      <c r="J131">
        <v>129</v>
      </c>
      <c r="K131">
        <f t="shared" si="3"/>
        <v>3.8989966555183742</v>
      </c>
      <c r="L131">
        <f t="shared" si="2"/>
        <v>0.63202828627888996</v>
      </c>
      <c r="M131" cm="1">
        <f t="array" ref="M131">EstymacjaGaussowska($K131,$C$2:$C$151)</f>
        <v>0.5176684823032196</v>
      </c>
      <c r="N131" cm="1">
        <f t="array" ref="N131">EstymacjaGaussowska($K131,$C$2:$C$151,$N$2)</f>
        <v>0.60502991596033584</v>
      </c>
      <c r="O131" cm="1">
        <f t="array" ref="O131">EstymacjaGaussowska($K131,$C$2:$C$151,$O$2)</f>
        <v>0.4890880668061498</v>
      </c>
      <c r="P131" cm="1">
        <f t="array" ref="P131">EstymacjaGaussowska($K131,$C$2:$C$151,$P$2)</f>
        <v>7.9238936348162994E-2</v>
      </c>
      <c r="R131" cm="1">
        <f t="array" ref="R131">EstymacjaEpanecznikowa($K131,$C$2:$C$151,R$2)</f>
        <v>0.50262271922521329</v>
      </c>
      <c r="S131" cm="1">
        <f t="array" ref="S131">EstymacjaEpanecznikowa($K131,$C$2:$C$151,S$2)</f>
        <v>0.55477666654289204</v>
      </c>
      <c r="T131" cm="1">
        <f t="array" ref="T131">EstymacjaEpanecznikowa($K131,$C$2:$C$151,T$2)</f>
        <v>0.49938404890004606</v>
      </c>
    </row>
    <row r="132" spans="10:20" x14ac:dyDescent="0.25">
      <c r="J132">
        <v>130</v>
      </c>
      <c r="K132">
        <f t="shared" si="3"/>
        <v>3.9060200668896115</v>
      </c>
      <c r="L132">
        <f t="shared" ref="L132:L195" si="4">_xlfn.NORM.DIST(K132,$H$2,$H$3,FALSE)</f>
        <v>0.6392558305517233</v>
      </c>
      <c r="M132" cm="1">
        <f t="array" ref="M132">EstymacjaGaussowska($K132,$C$2:$C$151)</f>
        <v>0.5238836873058117</v>
      </c>
      <c r="N132" cm="1">
        <f t="array" ref="N132">EstymacjaGaussowska($K132,$C$2:$C$151,$N$2)</f>
        <v>0.62880634252387968</v>
      </c>
      <c r="O132" cm="1">
        <f t="array" ref="O132">EstymacjaGaussowska($K132,$C$2:$C$151,$O$2)</f>
        <v>0.49253394463930178</v>
      </c>
      <c r="P132" cm="1">
        <f t="array" ref="P132">EstymacjaGaussowska($K132,$C$2:$C$151,$P$2)</f>
        <v>7.9246852530978337E-2</v>
      </c>
      <c r="R132" cm="1">
        <f t="array" ref="R132">EstymacjaEpanecznikowa($K132,$C$2:$C$151,R$2)</f>
        <v>0.50841847973930332</v>
      </c>
      <c r="S132" cm="1">
        <f t="array" ref="S132">EstymacjaEpanecznikowa($K132,$C$2:$C$151,S$2)</f>
        <v>0.61167960799344789</v>
      </c>
      <c r="T132" cm="1">
        <f t="array" ref="T132">EstymacjaEpanecznikowa($K132,$C$2:$C$151,T$2)</f>
        <v>0.50260610486200674</v>
      </c>
    </row>
    <row r="133" spans="10:20" x14ac:dyDescent="0.25">
      <c r="J133">
        <v>131</v>
      </c>
      <c r="K133">
        <f t="shared" ref="K133:K196" si="5">K132+$H$11</f>
        <v>3.9130434782608488</v>
      </c>
      <c r="L133">
        <f t="shared" si="4"/>
        <v>0.64642160454700337</v>
      </c>
      <c r="M133" cm="1">
        <f t="array" ref="M133">EstymacjaGaussowska($K133,$C$2:$C$151)</f>
        <v>0.53005125919858598</v>
      </c>
      <c r="N133" cm="1">
        <f t="array" ref="N133">EstymacjaGaussowska($K133,$C$2:$C$151,$N$2)</f>
        <v>0.65142055682044953</v>
      </c>
      <c r="O133" cm="1">
        <f t="array" ref="O133">EstymacjaGaussowska($K133,$C$2:$C$151,$O$2)</f>
        <v>0.49595702098536465</v>
      </c>
      <c r="P133" cm="1">
        <f t="array" ref="P133">EstymacjaGaussowska($K133,$C$2:$C$151,$P$2)</f>
        <v>7.9254614472243481E-2</v>
      </c>
      <c r="R133" cm="1">
        <f t="array" ref="R133">EstymacjaEpanecznikowa($K133,$C$2:$C$151,R$2)</f>
        <v>0.51392306568211132</v>
      </c>
      <c r="S133" cm="1">
        <f t="array" ref="S133">EstymacjaEpanecznikowa($K133,$C$2:$C$151,S$2)</f>
        <v>0.66204520020384405</v>
      </c>
      <c r="T133" cm="1">
        <f t="array" ref="T133">EstymacjaEpanecznikowa($K133,$C$2:$C$151,T$2)</f>
        <v>0.5057584394146627</v>
      </c>
    </row>
    <row r="134" spans="10:20" x14ac:dyDescent="0.25">
      <c r="J134">
        <v>132</v>
      </c>
      <c r="K134">
        <f t="shared" si="5"/>
        <v>3.920066889632086</v>
      </c>
      <c r="L134">
        <f t="shared" si="4"/>
        <v>0.65352169672891625</v>
      </c>
      <c r="M134" cm="1">
        <f t="array" ref="M134">EstymacjaGaussowska($K134,$C$2:$C$151)</f>
        <v>0.53616604296644177</v>
      </c>
      <c r="N134" cm="1">
        <f t="array" ref="N134">EstymacjaGaussowska($K134,$C$2:$C$151,$N$2)</f>
        <v>0.67368111344769799</v>
      </c>
      <c r="O134" cm="1">
        <f t="array" ref="O134">EstymacjaGaussowska($K134,$C$2:$C$151,$O$2)</f>
        <v>0.4993562555632643</v>
      </c>
      <c r="P134" cm="1">
        <f t="array" ref="P134">EstymacjaGaussowska($K134,$C$2:$C$151,$P$2)</f>
        <v>7.9262222126380302E-2</v>
      </c>
      <c r="R134" cm="1">
        <f t="array" ref="R134">EstymacjaEpanecznikowa($K134,$C$2:$C$151,R$2)</f>
        <v>0.51913647705363752</v>
      </c>
      <c r="S134" cm="1">
        <f t="array" ref="S134">EstymacjaEpanecznikowa($K134,$C$2:$C$151,S$2)</f>
        <v>0.71746064783712593</v>
      </c>
      <c r="T134" cm="1">
        <f t="array" ref="T134">EstymacjaEpanecznikowa($K134,$C$2:$C$151,T$2)</f>
        <v>0.5088410525580136</v>
      </c>
    </row>
    <row r="135" spans="10:20" x14ac:dyDescent="0.25">
      <c r="J135">
        <v>133</v>
      </c>
      <c r="K135">
        <f t="shared" si="5"/>
        <v>3.9270903010033233</v>
      </c>
      <c r="L135">
        <f t="shared" si="4"/>
        <v>0.66055219641538809</v>
      </c>
      <c r="M135" cm="1">
        <f t="array" ref="M135">EstymacjaGaussowska($K135,$C$2:$C$151)</f>
        <v>0.5422231079903016</v>
      </c>
      <c r="N135" cm="1">
        <f t="array" ref="N135">EstymacjaGaussowska($K135,$C$2:$C$151,$N$2)</f>
        <v>0.69646253228399513</v>
      </c>
      <c r="O135" cm="1">
        <f t="array" ref="O135">EstymacjaGaussowska($K135,$C$2:$C$151,$O$2)</f>
        <v>0.50273060325647845</v>
      </c>
      <c r="P135" cm="1">
        <f t="array" ref="P135">EstymacjaGaussowska($K135,$C$2:$C$151,$P$2)</f>
        <v>7.9269675448711482E-2</v>
      </c>
      <c r="R135" cm="1">
        <f t="array" ref="R135">EstymacjaEpanecznikowa($K135,$C$2:$C$151,R$2)</f>
        <v>0.5240587138538817</v>
      </c>
      <c r="S135" cm="1">
        <f t="array" ref="S135">EstymacjaEpanecznikowa($K135,$C$2:$C$151,S$2)</f>
        <v>0.76440494423984651</v>
      </c>
      <c r="T135" cm="1">
        <f t="array" ref="T135">EstymacjaEpanecznikowa($K135,$C$2:$C$151,T$2)</f>
        <v>0.51185394429205933</v>
      </c>
    </row>
    <row r="136" spans="10:20" x14ac:dyDescent="0.25">
      <c r="J136">
        <v>134</v>
      </c>
      <c r="K136">
        <f t="shared" si="5"/>
        <v>3.9341137123745606</v>
      </c>
      <c r="L136">
        <f t="shared" si="4"/>
        <v>0.66750919730046632</v>
      </c>
      <c r="M136" cm="1">
        <f t="array" ref="M136">EstymacjaGaussowska($K136,$C$2:$C$151)</f>
        <v>0.54821776848962256</v>
      </c>
      <c r="N136" cm="1">
        <f t="array" ref="N136">EstymacjaGaussowska($K136,$C$2:$C$151,$N$2)</f>
        <v>0.72052504544565188</v>
      </c>
      <c r="O136" cm="1">
        <f t="array" ref="O136">EstymacjaGaussowska($K136,$C$2:$C$151,$O$2)</f>
        <v>0.50607901457463511</v>
      </c>
      <c r="P136" cm="1">
        <f t="array" ref="P136">EstymacjaGaussowska($K136,$C$2:$C$151,$P$2)</f>
        <v>7.9276974395461261E-2</v>
      </c>
      <c r="R136" cm="1">
        <f t="array" ref="R136">EstymacjaEpanecznikowa($K136,$C$2:$C$151,R$2)</f>
        <v>0.52868977608284362</v>
      </c>
      <c r="S136" cm="1">
        <f t="array" ref="S136">EstymacjaEpanecznikowa($K136,$C$2:$C$151,S$2)</f>
        <v>0.80287808941200545</v>
      </c>
      <c r="T136" cm="1">
        <f t="array" ref="T136">EstymacjaEpanecznikowa($K136,$C$2:$C$151,T$2)</f>
        <v>0.5147971146168</v>
      </c>
    </row>
    <row r="137" spans="10:20" x14ac:dyDescent="0.25">
      <c r="J137">
        <v>135</v>
      </c>
      <c r="K137">
        <f t="shared" si="5"/>
        <v>3.9411371237457979</v>
      </c>
      <c r="L137">
        <f t="shared" si="4"/>
        <v>0.67438880101007703</v>
      </c>
      <c r="M137" cm="1">
        <f t="array" ref="M137">EstymacjaGaussowska($K137,$C$2:$C$151)</f>
        <v>0.55414560259660595</v>
      </c>
      <c r="N137" cm="1">
        <f t="array" ref="N137">EstymacjaGaussowska($K137,$C$2:$C$151,$N$2)</f>
        <v>0.74633646923435848</v>
      </c>
      <c r="O137" cm="1">
        <f t="array" ref="O137">EstymacjaGaussowska($K137,$C$2:$C$151,$O$2)</f>
        <v>0.50940043612323271</v>
      </c>
      <c r="P137" cm="1">
        <f t="array" ref="P137">EstymacjaGaussowska($K137,$C$2:$C$151,$P$2)</f>
        <v>7.9284118923755934E-2</v>
      </c>
      <c r="R137" cm="1">
        <f t="array" ref="R137">EstymacjaEpanecznikowa($K137,$C$2:$C$151,R$2)</f>
        <v>0.53302966374052374</v>
      </c>
      <c r="S137" cm="1">
        <f t="array" ref="S137">EstymacjaEpanecznikowa($K137,$C$2:$C$151,S$2)</f>
        <v>0.83288008335360342</v>
      </c>
      <c r="T137" cm="1">
        <f t="array" ref="T137">EstymacjaEpanecznikowa($K137,$C$2:$C$151,T$2)</f>
        <v>0.51767056353223584</v>
      </c>
    </row>
    <row r="138" spans="10:20" x14ac:dyDescent="0.25">
      <c r="J138">
        <v>136</v>
      </c>
      <c r="K138">
        <f t="shared" si="5"/>
        <v>3.9481605351170352</v>
      </c>
      <c r="L138">
        <f t="shared" si="4"/>
        <v>0.68118712068672227</v>
      </c>
      <c r="M138" cm="1">
        <f t="array" ref="M138">EstymacjaGaussowska($K138,$C$2:$C$151)</f>
        <v>0.56000246992989</v>
      </c>
      <c r="N138" cm="1">
        <f t="array" ref="N138">EstymacjaGaussowska($K138,$C$2:$C$151,$N$2)</f>
        <v>0.77392808430340354</v>
      </c>
      <c r="O138" cm="1">
        <f t="array" ref="O138">EstymacjaGaussowska($K138,$C$2:$C$151,$O$2)</f>
        <v>0.51269381108127365</v>
      </c>
      <c r="P138" cm="1">
        <f t="array" ref="P138">EstymacjaGaussowska($K138,$C$2:$C$151,$P$2)</f>
        <v>7.929110899162381E-2</v>
      </c>
      <c r="R138" cm="1">
        <f t="array" ref="R138">EstymacjaEpanecznikowa($K138,$C$2:$C$151,R$2)</f>
        <v>0.53707837682692194</v>
      </c>
      <c r="S138" cm="1">
        <f t="array" ref="S138">EstymacjaEpanecznikowa($K138,$C$2:$C$151,S$2)</f>
        <v>0.85441092606463986</v>
      </c>
      <c r="T138" cm="1">
        <f t="array" ref="T138">EstymacjaEpanecznikowa($K138,$C$2:$C$151,T$2)</f>
        <v>0.5204742910383664</v>
      </c>
    </row>
    <row r="139" spans="10:20" x14ac:dyDescent="0.25">
      <c r="J139">
        <v>137</v>
      </c>
      <c r="K139">
        <f t="shared" si="5"/>
        <v>3.9551839464882725</v>
      </c>
      <c r="L139">
        <f t="shared" si="4"/>
        <v>0.68790028459859842</v>
      </c>
      <c r="M139" cm="1">
        <f t="array" ref="M139">EstymacjaGaussowska($K139,$C$2:$C$151)</f>
        <v>0.5657845275438933</v>
      </c>
      <c r="N139" cm="1">
        <f t="array" ref="N139">EstymacjaGaussowska($K139,$C$2:$C$151,$N$2)</f>
        <v>0.80281273281063947</v>
      </c>
      <c r="O139" cm="1">
        <f t="array" ref="O139">EstymacjaGaussowska($K139,$C$2:$C$151,$O$2)</f>
        <v>0.51595807968657392</v>
      </c>
      <c r="P139" cm="1">
        <f t="array" ref="P139">EstymacjaGaussowska($K139,$C$2:$C$151,$P$2)</f>
        <v>7.9297944557996047E-2</v>
      </c>
      <c r="R139" cm="1">
        <f t="array" ref="R139">EstymacjaEpanecznikowa($K139,$C$2:$C$151,R$2)</f>
        <v>0.54083591534203801</v>
      </c>
      <c r="S139" cm="1">
        <f t="array" ref="S139">EstymacjaEpanecznikowa($K139,$C$2:$C$151,S$2)</f>
        <v>0.8674706175451149</v>
      </c>
      <c r="T139" cm="1">
        <f t="array" ref="T139">EstymacjaEpanecznikowa($K139,$C$2:$C$151,T$2)</f>
        <v>0.52320829713519235</v>
      </c>
    </row>
    <row r="140" spans="10:20" x14ac:dyDescent="0.25">
      <c r="J140">
        <v>138</v>
      </c>
      <c r="K140">
        <f t="shared" si="5"/>
        <v>3.9622073578595098</v>
      </c>
      <c r="L140">
        <f t="shared" si="4"/>
        <v>0.69452443976852141</v>
      </c>
      <c r="M140" cm="1">
        <f t="array" ref="M140">EstymacjaGaussowska($K140,$C$2:$C$151)</f>
        <v>0.57148824413932042</v>
      </c>
      <c r="N140" cm="1">
        <f t="array" ref="N140">EstymacjaGaussowska($K140,$C$2:$C$151,$N$2)</f>
        <v>0.83198419686901748</v>
      </c>
      <c r="O140" cm="1">
        <f t="array" ref="O140">EstymacjaGaussowska($K140,$C$2:$C$151,$O$2)</f>
        <v>0.51919217972852316</v>
      </c>
      <c r="P140" cm="1">
        <f t="array" ref="P140">EstymacjaGaussowska($K140,$C$2:$C$151,$P$2)</f>
        <v>7.9304625582706789E-2</v>
      </c>
      <c r="R140" cm="1">
        <f t="array" ref="R140">EstymacjaEpanecznikowa($K140,$C$2:$C$151,R$2)</f>
        <v>0.54430227928587227</v>
      </c>
      <c r="S140" cm="1">
        <f t="array" ref="S140">EstymacjaEpanecznikowa($K140,$C$2:$C$151,S$2)</f>
        <v>0.87205915779502885</v>
      </c>
      <c r="T140" cm="1">
        <f t="array" ref="T140">EstymacjaEpanecznikowa($K140,$C$2:$C$151,T$2)</f>
        <v>0.52587258182271257</v>
      </c>
    </row>
    <row r="141" spans="10:20" x14ac:dyDescent="0.25">
      <c r="J141">
        <v>139</v>
      </c>
      <c r="K141">
        <f t="shared" si="5"/>
        <v>3.9692307692307471</v>
      </c>
      <c r="L141">
        <f t="shared" si="4"/>
        <v>0.70105575561797506</v>
      </c>
      <c r="M141" cm="1">
        <f t="array" ref="M141">EstymacjaGaussowska($K141,$C$2:$C$151)</f>
        <v>0.57711041243060379</v>
      </c>
      <c r="N141" cm="1">
        <f t="array" ref="N141">EstymacjaGaussowska($K141,$C$2:$C$151,$N$2)</f>
        <v>0.86000370700216189</v>
      </c>
      <c r="O141" cm="1">
        <f t="array" ref="O141">EstymacjaGaussowska($K141,$C$2:$C$151,$O$2)</f>
        <v>0.52239504704805617</v>
      </c>
      <c r="P141" cm="1">
        <f t="array" ref="P141">EstymacjaGaussowska($K141,$C$2:$C$151,$P$2)</f>
        <v>7.9311152026493942E-2</v>
      </c>
      <c r="R141" cm="1">
        <f t="array" ref="R141">EstymacjaEpanecznikowa($K141,$C$2:$C$151,R$2)</f>
        <v>0.5474774686584245</v>
      </c>
      <c r="S141" cm="1">
        <f t="array" ref="S141">EstymacjaEpanecznikowa($K141,$C$2:$C$151,S$2)</f>
        <v>0.86817654681438128</v>
      </c>
      <c r="T141" cm="1">
        <f t="array" ref="T141">EstymacjaEpanecznikowa($K141,$C$2:$C$151,T$2)</f>
        <v>0.5284671451009284</v>
      </c>
    </row>
    <row r="142" spans="10:20" x14ac:dyDescent="0.25">
      <c r="J142">
        <v>140</v>
      </c>
      <c r="K142">
        <f t="shared" si="5"/>
        <v>3.9762541806019844</v>
      </c>
      <c r="L142">
        <f t="shared" si="4"/>
        <v>0.70749042762152226</v>
      </c>
      <c r="M142" cm="1">
        <f t="array" ref="M142">EstymacjaGaussowska($K142,$C$2:$C$151)</f>
        <v>0.58264815957714866</v>
      </c>
      <c r="N142" cm="1">
        <f t="array" ref="N142">EstymacjaGaussowska($K142,$C$2:$C$151,$N$2)</f>
        <v>0.88516441648723354</v>
      </c>
      <c r="O142" cm="1">
        <f t="array" ref="O142">EstymacjaGaussowska($K142,$C$2:$C$151,$O$2)</f>
        <v>0.52556561604459107</v>
      </c>
      <c r="P142" cm="1">
        <f t="array" ref="P142">EstymacjaGaussowska($K142,$C$2:$C$151,$P$2)</f>
        <v>7.9317523850998981E-2</v>
      </c>
      <c r="R142" cm="1">
        <f t="array" ref="R142">EstymacjaEpanecznikowa($K142,$C$2:$C$151,R$2)</f>
        <v>0.5503614834596946</v>
      </c>
      <c r="S142" cm="1">
        <f t="array" ref="S142">EstymacjaEpanecznikowa($K142,$C$2:$C$151,S$2)</f>
        <v>0.85582278460317252</v>
      </c>
      <c r="T142" cm="1">
        <f t="array" ref="T142">EstymacjaEpanecznikowa($K142,$C$2:$C$151,T$2)</f>
        <v>0.53099198696983863</v>
      </c>
    </row>
    <row r="143" spans="10:20" x14ac:dyDescent="0.25">
      <c r="J143">
        <v>141</v>
      </c>
      <c r="K143">
        <f t="shared" si="5"/>
        <v>3.9832775919732217</v>
      </c>
      <c r="L143">
        <f t="shared" si="4"/>
        <v>0.71382468096675777</v>
      </c>
      <c r="M143" cm="1">
        <f t="array" ref="M143">EstymacjaGaussowska($K143,$C$2:$C$151)</f>
        <v>0.58809895559711722</v>
      </c>
      <c r="N143" cm="1">
        <f t="array" ref="N143">EstymacjaGaussowska($K143,$C$2:$C$151,$N$2)</f>
        <v>0.90571060913838952</v>
      </c>
      <c r="O143" cm="1">
        <f t="array" ref="O143">EstymacjaGaussowska($K143,$C$2:$C$151,$O$2)</f>
        <v>0.52870282018970116</v>
      </c>
      <c r="P143" cm="1">
        <f t="array" ref="P143">EstymacjaGaussowska($K143,$C$2:$C$151,$P$2)</f>
        <v>7.9323741018767935E-2</v>
      </c>
      <c r="R143" cm="1">
        <f t="array" ref="R143">EstymacjaEpanecznikowa($K143,$C$2:$C$151,R$2)</f>
        <v>0.552954323689683</v>
      </c>
      <c r="S143" cm="1">
        <f t="array" ref="S143">EstymacjaEpanecznikowa($K143,$C$2:$C$151,S$2)</f>
        <v>0.83499787116140223</v>
      </c>
      <c r="T143" cm="1">
        <f t="array" ref="T143">EstymacjaEpanecznikowa($K143,$C$2:$C$151,T$2)</f>
        <v>0.53344710742944479</v>
      </c>
    </row>
    <row r="144" spans="10:20" x14ac:dyDescent="0.25">
      <c r="J144">
        <v>142</v>
      </c>
      <c r="K144">
        <f t="shared" si="5"/>
        <v>3.990301003344459</v>
      </c>
      <c r="L144">
        <f t="shared" si="4"/>
        <v>0.72005477421493036</v>
      </c>
      <c r="M144" cm="1">
        <f t="array" ref="M144">EstymacjaGaussowska($K144,$C$2:$C$151)</f>
        <v>0.59346061969504527</v>
      </c>
      <c r="N144" cm="1">
        <f t="array" ref="N144">EstymacjaGaussowska($K144,$C$2:$C$151,$N$2)</f>
        <v>0.92007796882602155</v>
      </c>
      <c r="O144" cm="1">
        <f t="array" ref="O144">EstymacjaGaussowska($K144,$C$2:$C$151,$O$2)</f>
        <v>0.53180559254726112</v>
      </c>
      <c r="P144" cm="1">
        <f t="array" ref="P144">EstymacjaGaussowska($K144,$C$2:$C$151,$P$2)</f>
        <v>7.9329803493251194E-2</v>
      </c>
      <c r="R144" cm="1">
        <f t="array" ref="R144">EstymacjaEpanecznikowa($K144,$C$2:$C$151,R$2)</f>
        <v>0.55525598934838905</v>
      </c>
      <c r="S144" cm="1">
        <f t="array" ref="S144">EstymacjaEpanecznikowa($K144,$C$2:$C$151,S$2)</f>
        <v>0.82071090723957629</v>
      </c>
      <c r="T144" cm="1">
        <f t="array" ref="T144">EstymacjaEpanecznikowa($K144,$C$2:$C$151,T$2)</f>
        <v>0.53583250647974512</v>
      </c>
    </row>
    <row r="145" spans="10:20" x14ac:dyDescent="0.25">
      <c r="J145">
        <v>143</v>
      </c>
      <c r="K145">
        <f t="shared" si="5"/>
        <v>3.9973244147156963</v>
      </c>
      <c r="L145">
        <f t="shared" si="4"/>
        <v>0.72617700295730825</v>
      </c>
      <c r="M145" cm="1">
        <f t="array" ref="M145">EstymacjaGaussowska($K145,$C$2:$C$151)</f>
        <v>0.59873132444774868</v>
      </c>
      <c r="N145" cm="1">
        <f t="array" ref="N145">EstymacjaGaussowska($K145,$C$2:$C$151,$N$2)</f>
        <v>0.92711651788322602</v>
      </c>
      <c r="O145" cm="1">
        <f t="array" ref="O145">EstymacjaGaussowska($K145,$C$2:$C$151,$O$2)</f>
        <v>0.53487286629982012</v>
      </c>
      <c r="P145" cm="1">
        <f t="array" ref="P145">EstymacjaGaussowska($K145,$C$2:$C$151,$P$2)</f>
        <v>7.9335711238804313E-2</v>
      </c>
      <c r="R145" cm="1">
        <f t="array" ref="R145">EstymacjaEpanecznikowa($K145,$C$2:$C$151,R$2)</f>
        <v>0.56263013118233896</v>
      </c>
      <c r="S145" cm="1">
        <f t="array" ref="S145">EstymacjaEpanecznikowa($K145,$C$2:$C$151,S$2)</f>
        <v>0.83097209340282363</v>
      </c>
      <c r="T145" cm="1">
        <f t="array" ref="T145">EstymacjaEpanecznikowa($K145,$C$2:$C$151,T$2)</f>
        <v>0.53825333151894106</v>
      </c>
    </row>
    <row r="146" spans="10:20" x14ac:dyDescent="0.25">
      <c r="J146">
        <v>144</v>
      </c>
      <c r="K146">
        <f t="shared" si="5"/>
        <v>4.0043478260869341</v>
      </c>
      <c r="L146">
        <f t="shared" si="4"/>
        <v>0.7321877034623322</v>
      </c>
      <c r="M146" cm="1">
        <f t="array" ref="M146">EstymacjaGaussowska($K146,$C$2:$C$151)</f>
        <v>0.60390959780665809</v>
      </c>
      <c r="N146" cm="1">
        <f t="array" ref="N146">EstymacjaGaussowska($K146,$C$2:$C$151,$N$2)</f>
        <v>0.92625988298975948</v>
      </c>
      <c r="O146" cm="1">
        <f t="array" ref="O146">EstymacjaGaussowska($K146,$C$2:$C$151,$O$2)</f>
        <v>0.53790357528094568</v>
      </c>
      <c r="P146" cm="1">
        <f t="array" ref="P146">EstymacjaGaussowska($K146,$C$2:$C$151,$P$2)</f>
        <v>7.9341464220688135E-2</v>
      </c>
      <c r="R146" cm="1">
        <f t="array" ref="R146">EstymacjaEpanecznikowa($K146,$C$2:$C$151,R$2)</f>
        <v>0.569920961129743</v>
      </c>
      <c r="S146" cm="1">
        <f t="array" ref="S146">EstymacjaEpanecznikowa($K146,$C$2:$C$151,S$2)</f>
        <v>0.82958544662404854</v>
      </c>
      <c r="T146" cm="1">
        <f t="array" ref="T146">EstymacjaEpanecznikowa($K146,$C$2:$C$151,T$2)</f>
        <v>0.54070592734418221</v>
      </c>
    </row>
    <row r="147" spans="10:20" x14ac:dyDescent="0.25">
      <c r="J147">
        <v>145</v>
      </c>
      <c r="K147">
        <f t="shared" si="5"/>
        <v>4.0113712374581718</v>
      </c>
      <c r="L147">
        <f t="shared" si="4"/>
        <v>0.73808325630856486</v>
      </c>
      <c r="M147" cm="1">
        <f t="array" ref="M147">EstymacjaGaussowska($K147,$C$2:$C$151)</f>
        <v>0.60899432288881605</v>
      </c>
      <c r="N147" cm="1">
        <f t="array" ref="N147">EstymacjaGaussowska($K147,$C$2:$C$151,$N$2)</f>
        <v>0.91761314812125605</v>
      </c>
      <c r="O147" cm="1">
        <f t="array" ref="O147">EstymacjaGaussowska($K147,$C$2:$C$151,$O$2)</f>
        <v>0.54089665451327673</v>
      </c>
      <c r="P147" cm="1">
        <f t="array" ref="P147">EstymacjaGaussowska($K147,$C$2:$C$151,$P$2)</f>
        <v>7.9347062405069127E-2</v>
      </c>
      <c r="R147" cm="1">
        <f t="array" ref="R147">EstymacjaEpanecznikowa($K147,$C$2:$C$151,R$2)</f>
        <v>0.57731165942022233</v>
      </c>
      <c r="S147" cm="1">
        <f t="array" ref="S147">EstymacjaEpanecznikowa($K147,$C$2:$C$151,S$2)</f>
        <v>0.81655096690325035</v>
      </c>
      <c r="T147" cm="1">
        <f t="array" ref="T147">EstymacjaEpanecznikowa($K147,$C$2:$C$151,T$2)</f>
        <v>0.54324005379064588</v>
      </c>
    </row>
    <row r="148" spans="10:20" x14ac:dyDescent="0.25">
      <c r="J148">
        <v>146</v>
      </c>
      <c r="K148">
        <f t="shared" si="5"/>
        <v>4.0183946488294096</v>
      </c>
      <c r="L148">
        <f t="shared" si="4"/>
        <v>0.74386008999842801</v>
      </c>
      <c r="M148" cm="1">
        <f t="array" ref="M148">EstymacjaGaussowska($K148,$C$2:$C$151)</f>
        <v>0.61398473554320521</v>
      </c>
      <c r="N148" cm="1">
        <f t="array" ref="N148">EstymacjaGaussowska($K148,$C$2:$C$151,$N$2)</f>
        <v>0.9019452156345622</v>
      </c>
      <c r="O148" cm="1">
        <f t="array" ref="O148">EstymacjaGaussowska($K148,$C$2:$C$151,$O$2)</f>
        <v>0.54385104075201895</v>
      </c>
      <c r="P148" cm="1">
        <f t="array" ref="P148">EstymacjaGaussowska($K148,$C$2:$C$151,$P$2)</f>
        <v>7.9352505759019851E-2</v>
      </c>
      <c r="R148" cm="1">
        <f t="array" ref="R148">EstymacjaEpanecznikowa($K148,$C$2:$C$151,R$2)</f>
        <v>0.58550534385330477</v>
      </c>
      <c r="S148" cm="1">
        <f t="array" ref="S148">EstymacjaEpanecznikowa($K148,$C$2:$C$151,S$2)</f>
        <v>0.84072454227374993</v>
      </c>
      <c r="T148" cm="1">
        <f t="array" ref="T148">EstymacjaEpanecznikowa($K148,$C$2:$C$151,T$2)</f>
        <v>0.5457601922311508</v>
      </c>
    </row>
    <row r="149" spans="10:20" x14ac:dyDescent="0.25">
      <c r="J149">
        <v>147</v>
      </c>
      <c r="K149">
        <f t="shared" si="5"/>
        <v>4.0254180602006473</v>
      </c>
      <c r="L149">
        <f t="shared" si="4"/>
        <v>0.74951468454770542</v>
      </c>
      <c r="M149" cm="1">
        <f t="array" ref="M149">EstymacjaGaussowska($K149,$C$2:$C$151)</f>
        <v>0.61888041969370411</v>
      </c>
      <c r="N149" cm="1">
        <f t="array" ref="N149">EstymacjaGaussowska($K149,$C$2:$C$151,$N$2)</f>
        <v>0.88058783402643503</v>
      </c>
      <c r="O149" cm="1">
        <f t="array" ref="O149">EstymacjaGaussowska($K149,$C$2:$C$151,$O$2)</f>
        <v>0.54676567303361834</v>
      </c>
      <c r="P149" cm="1">
        <f t="array" ref="P149">EstymacjaGaussowska($K149,$C$2:$C$151,$P$2)</f>
        <v>7.9357794250519115E-2</v>
      </c>
      <c r="R149" cm="1">
        <f t="array" ref="R149">EstymacjaEpanecznikowa($K149,$C$2:$C$151,R$2)</f>
        <v>0.59335185860524353</v>
      </c>
      <c r="S149" cm="1">
        <f t="array" ref="S149">EstymacjaEpanecznikowa($K149,$C$2:$C$151,S$2)</f>
        <v>0.85953251494639293</v>
      </c>
      <c r="T149" cm="1">
        <f t="array" ref="T149">EstymacjaEpanecznikowa($K149,$C$2:$C$151,T$2)</f>
        <v>0.54821060926235099</v>
      </c>
    </row>
    <row r="150" spans="10:20" x14ac:dyDescent="0.25">
      <c r="J150">
        <v>148</v>
      </c>
      <c r="K150">
        <f t="shared" si="5"/>
        <v>4.032441471571885</v>
      </c>
      <c r="L150">
        <f t="shared" si="4"/>
        <v>0.75504357504578756</v>
      </c>
      <c r="M150" cm="1">
        <f t="array" ref="M150">EstymacjaGaussowska($K150,$C$2:$C$151)</f>
        <v>0.62368130047474091</v>
      </c>
      <c r="N150" cm="1">
        <f t="array" ref="N150">EstymacjaGaussowska($K150,$C$2:$C$151,$N$2)</f>
        <v>0.85525926264623364</v>
      </c>
      <c r="O150" cm="1">
        <f t="array" ref="O150">EstymacjaGaussowska($K150,$C$2:$C$151,$O$2)</f>
        <v>0.54963949322933259</v>
      </c>
      <c r="P150" cm="1">
        <f t="array" ref="P150">EstymacjaGaussowska($K150,$C$2:$C$151,$P$2)</f>
        <v>7.9362927848452405E-2</v>
      </c>
      <c r="R150" cm="1">
        <f t="array" ref="R150">EstymacjaEpanecznikowa($K150,$C$2:$C$151,R$2)</f>
        <v>0.60085120367603817</v>
      </c>
      <c r="S150" cm="1">
        <f t="array" ref="S150">EstymacjaEpanecznikowa($K150,$C$2:$C$151,S$2)</f>
        <v>0.8698693363884733</v>
      </c>
      <c r="T150" cm="1">
        <f t="array" ref="T150">EstymacjaEpanecznikowa($K150,$C$2:$C$151,T$2)</f>
        <v>0.55059130488424635</v>
      </c>
    </row>
    <row r="151" spans="10:20" x14ac:dyDescent="0.25">
      <c r="J151">
        <v>149</v>
      </c>
      <c r="K151">
        <f t="shared" si="5"/>
        <v>4.0394648829431228</v>
      </c>
      <c r="L151">
        <f t="shared" si="4"/>
        <v>0.76044335518163897</v>
      </c>
      <c r="M151" cm="1">
        <f t="array" ref="M151">EstymacjaGaussowska($K151,$C$2:$C$151)</f>
        <v>0.62838763519048157</v>
      </c>
      <c r="N151" cm="1">
        <f t="array" ref="N151">EstymacjaGaussowska($K151,$C$2:$C$151,$N$2)</f>
        <v>0.82784299890598656</v>
      </c>
      <c r="O151" cm="1">
        <f t="array" ref="O151">EstymacjaGaussowska($K151,$C$2:$C$151,$O$2)</f>
        <v>0.55247144660343028</v>
      </c>
      <c r="P151" cm="1">
        <f t="array" ref="P151">EstymacjaGaussowska($K151,$C$2:$C$151,$P$2)</f>
        <v>7.9367906522612233E-2</v>
      </c>
      <c r="R151" cm="1">
        <f t="array" ref="R151">EstymacjaEpanecznikowa($K151,$C$2:$C$151,R$2)</f>
        <v>0.60800337906568891</v>
      </c>
      <c r="S151" cm="1">
        <f t="array" ref="S151">EstymacjaEpanecznikowa($K151,$C$2:$C$151,S$2)</f>
        <v>0.87173500659999181</v>
      </c>
      <c r="T151" cm="1">
        <f t="array" ref="T151">EstymacjaEpanecznikowa($K151,$C$2:$C$151,T$2)</f>
        <v>0.55290227909683631</v>
      </c>
    </row>
    <row r="152" spans="10:20" x14ac:dyDescent="0.25">
      <c r="J152">
        <v>150</v>
      </c>
      <c r="K152">
        <f t="shared" si="5"/>
        <v>4.0464882943143605</v>
      </c>
      <c r="L152">
        <f t="shared" si="4"/>
        <v>0.76571068073048576</v>
      </c>
      <c r="M152" cm="1">
        <f t="array" ref="M152">EstymacjaGaussowska($K152,$C$2:$C$151)</f>
        <v>0.63300000214305352</v>
      </c>
      <c r="N152" cm="1">
        <f t="array" ref="N152">EstymacjaGaussowska($K152,$C$2:$C$151,$N$2)</f>
        <v>0.80015880827716568</v>
      </c>
      <c r="O152" cm="1">
        <f t="array" ref="O152">EstymacjaGaussowska($K152,$C$2:$C$151,$O$2)</f>
        <v>0.55526048237572656</v>
      </c>
      <c r="P152" cm="1">
        <f t="array" ref="P152">EstymacjaGaussowska($K152,$C$2:$C$151,$P$2)</f>
        <v>7.9372730243698245E-2</v>
      </c>
      <c r="R152" cm="1">
        <f t="array" ref="R152">EstymacjaEpanecznikowa($K152,$C$2:$C$151,R$2)</f>
        <v>0.61480838477419542</v>
      </c>
      <c r="S152" cm="1">
        <f t="array" ref="S152">EstymacjaEpanecznikowa($K152,$C$2:$C$151,S$2)</f>
        <v>0.86512952558094747</v>
      </c>
      <c r="T152" cm="1">
        <f t="array" ref="T152">EstymacjaEpanecznikowa($K152,$C$2:$C$151,T$2)</f>
        <v>0.55514353190012145</v>
      </c>
    </row>
    <row r="153" spans="10:20" x14ac:dyDescent="0.25">
      <c r="J153">
        <v>151</v>
      </c>
      <c r="K153">
        <f t="shared" si="5"/>
        <v>4.0535117056855983</v>
      </c>
      <c r="L153">
        <f t="shared" si="4"/>
        <v>0.77084227299624297</v>
      </c>
      <c r="M153" cm="1">
        <f t="array" ref="M153">EstymacjaGaussowska($K153,$C$2:$C$151)</f>
        <v>0.63751928738978991</v>
      </c>
      <c r="N153" cm="1">
        <f t="array" ref="N153">EstymacjaGaussowska($K153,$C$2:$C$151,$N$2)</f>
        <v>0.7737632781951721</v>
      </c>
      <c r="O153" cm="1">
        <f t="array" ref="O153">EstymacjaGaussowska($K153,$C$2:$C$151,$O$2)</f>
        <v>0.55800555428817589</v>
      </c>
      <c r="P153" cm="1">
        <f t="array" ref="P153">EstymacjaGaussowska($K153,$C$2:$C$151,$P$2)</f>
        <v>7.9377398983317637E-2</v>
      </c>
      <c r="R153" cm="1">
        <f t="array" ref="R153">EstymacjaEpanecznikowa($K153,$C$2:$C$151,R$2)</f>
        <v>0.62126622080155824</v>
      </c>
      <c r="S153" cm="1">
        <f t="array" ref="S153">EstymacjaEpanecznikowa($K153,$C$2:$C$151,S$2)</f>
        <v>0.85005289333134093</v>
      </c>
      <c r="T153" cm="1">
        <f t="array" ref="T153">EstymacjaEpanecznikowa($K153,$C$2:$C$151,T$2)</f>
        <v>0.55731506329410141</v>
      </c>
    </row>
    <row r="154" spans="10:20" x14ac:dyDescent="0.25">
      <c r="J154">
        <v>152</v>
      </c>
      <c r="K154">
        <f t="shared" si="5"/>
        <v>4.060535117056836</v>
      </c>
      <c r="L154">
        <f t="shared" si="4"/>
        <v>0.77583492220473815</v>
      </c>
      <c r="M154" cm="1">
        <f t="array" ref="M154">EstymacjaGaussowska($K154,$C$2:$C$151)</f>
        <v>0.64194666950363521</v>
      </c>
      <c r="N154" cm="1">
        <f t="array" ref="N154">EstymacjaGaussowska($K154,$C$2:$C$151,$N$2)</f>
        <v>0.74981038315703963</v>
      </c>
      <c r="O154" cm="1">
        <f t="array" ref="O154">EstymacjaGaussowska($K154,$C$2:$C$151,$O$2)</f>
        <v>0.56070562117522116</v>
      </c>
      <c r="P154" cm="1">
        <f t="array" ref="P154">EstymacjaGaussowska($K154,$C$2:$C$151,$P$2)</f>
        <v>7.9381912713985467E-2</v>
      </c>
      <c r="R154" cm="1">
        <f t="array" ref="R154">EstymacjaEpanecznikowa($K154,$C$2:$C$151,R$2)</f>
        <v>0.62737688714777717</v>
      </c>
      <c r="S154" cm="1">
        <f t="array" ref="S154">EstymacjaEpanecznikowa($K154,$C$2:$C$151,S$2)</f>
        <v>0.82650510985117176</v>
      </c>
      <c r="T154" cm="1">
        <f t="array" ref="T154">EstymacjaEpanecznikowa($K154,$C$2:$C$151,T$2)</f>
        <v>0.55941687327877643</v>
      </c>
    </row>
    <row r="155" spans="10:20" x14ac:dyDescent="0.25">
      <c r="J155">
        <v>153</v>
      </c>
      <c r="K155">
        <f t="shared" si="5"/>
        <v>4.0675585284280737</v>
      </c>
      <c r="L155">
        <f t="shared" si="4"/>
        <v>0.78068549084282368</v>
      </c>
      <c r="M155" cm="1">
        <f t="array" ref="M155">EstymacjaGaussowska($K155,$C$2:$C$151)</f>
        <v>0.64628360242458915</v>
      </c>
      <c r="N155" cm="1">
        <f t="array" ref="N155">EstymacjaGaussowska($K155,$C$2:$C$151,$N$2)</f>
        <v>0.72899049028968099</v>
      </c>
      <c r="O155" cm="1">
        <f t="array" ref="O155">EstymacjaGaussowska($K155,$C$2:$C$151,$O$2)</f>
        <v>0.56335964753761014</v>
      </c>
      <c r="P155" cm="1">
        <f t="array" ref="P155">EstymacjaGaussowska($K155,$C$2:$C$151,$P$2)</f>
        <v>7.9386271409124881E-2</v>
      </c>
      <c r="R155" cm="1">
        <f t="array" ref="R155">EstymacjaEpanecznikowa($K155,$C$2:$C$151,R$2)</f>
        <v>0.6331403838128522</v>
      </c>
      <c r="S155" cm="1">
        <f t="array" ref="S155">EstymacjaEpanecznikowa($K155,$C$2:$C$151,S$2)</f>
        <v>0.79448617514044051</v>
      </c>
      <c r="T155" cm="1">
        <f t="array" ref="T155">EstymacjaEpanecznikowa($K155,$C$2:$C$151,T$2)</f>
        <v>0.56144896185414639</v>
      </c>
    </row>
    <row r="156" spans="10:20" x14ac:dyDescent="0.25">
      <c r="J156">
        <v>154</v>
      </c>
      <c r="K156">
        <f t="shared" si="5"/>
        <v>4.0745819397993115</v>
      </c>
      <c r="L156">
        <f t="shared" si="4"/>
        <v>0.7853909169385308</v>
      </c>
      <c r="M156" cm="1">
        <f t="array" ref="M156">EstymacjaGaussowska($K156,$C$2:$C$151)</f>
        <v>0.65053179650331805</v>
      </c>
      <c r="N156" cm="1">
        <f t="array" ref="N156">EstymacjaGaussowska($K156,$C$2:$C$151,$N$2)</f>
        <v>0.71155122383839975</v>
      </c>
      <c r="O156" cm="1">
        <f t="array" ref="O156">EstymacjaGaussowska($K156,$C$2:$C$151,$O$2)</f>
        <v>0.56596660411937483</v>
      </c>
      <c r="P156" cm="1">
        <f t="array" ref="P156">EstymacjaGaussowska($K156,$C$2:$C$151,$P$2)</f>
        <v>7.9390475043067288E-2</v>
      </c>
      <c r="R156" cm="1">
        <f t="array" ref="R156">EstymacjaEpanecznikowa($K156,$C$2:$C$151,R$2)</f>
        <v>0.638556710796783</v>
      </c>
      <c r="S156" cm="1">
        <f t="array" ref="S156">EstymacjaEpanecznikowa($K156,$C$2:$C$151,S$2)</f>
        <v>0.75399608919914674</v>
      </c>
      <c r="T156" cm="1">
        <f t="array" ref="T156">EstymacjaEpanecznikowa($K156,$C$2:$C$151,T$2)</f>
        <v>0.5634113290202114</v>
      </c>
    </row>
    <row r="157" spans="10:20" x14ac:dyDescent="0.25">
      <c r="J157">
        <v>155</v>
      </c>
      <c r="K157">
        <f t="shared" si="5"/>
        <v>4.0816053511705492</v>
      </c>
      <c r="L157">
        <f t="shared" si="4"/>
        <v>0.78994821727746967</v>
      </c>
      <c r="M157" cm="1">
        <f t="array" ref="M157">EstymacjaGaussowska($K157,$C$2:$C$151)</f>
        <v>0.65469319785066171</v>
      </c>
      <c r="N157" cm="1">
        <f t="array" ref="N157">EstymacjaGaussowska($K157,$C$2:$C$151,$N$2)</f>
        <v>0.69738852100532878</v>
      </c>
      <c r="O157" cm="1">
        <f t="array" ref="O157">EstymacjaGaussowska($K157,$C$2:$C$151,$O$2)</f>
        <v>0.56852546848765606</v>
      </c>
      <c r="P157" cm="1">
        <f t="array" ref="P157">EstymacjaGaussowska($K157,$C$2:$C$151,$P$2)</f>
        <v>7.9394523591052701E-2</v>
      </c>
      <c r="R157" cm="1">
        <f t="array" ref="R157">EstymacjaEpanecznikowa($K157,$C$2:$C$151,R$2)</f>
        <v>0.64362586809957012</v>
      </c>
      <c r="S157" cm="1">
        <f t="array" ref="S157">EstymacjaEpanecznikowa($K157,$C$2:$C$151,S$2)</f>
        <v>0.70503485202729044</v>
      </c>
      <c r="T157" cm="1">
        <f t="array" ref="T157">EstymacjaEpanecznikowa($K157,$C$2:$C$151,T$2)</f>
        <v>0.56530397477697114</v>
      </c>
    </row>
    <row r="158" spans="10:20" x14ac:dyDescent="0.25">
      <c r="J158">
        <v>156</v>
      </c>
      <c r="K158">
        <f t="shared" si="5"/>
        <v>4.088628762541787</v>
      </c>
      <c r="L158">
        <f t="shared" si="4"/>
        <v>0.79435449055075569</v>
      </c>
      <c r="M158" cm="1">
        <f t="array" ref="M158">EstymacjaGaussowska($K158,$C$2:$C$151)</f>
        <v>0.65876996611868599</v>
      </c>
      <c r="N158" cm="1">
        <f t="array" ref="N158">EstymacjaGaussowska($K158,$C$2:$C$151,$N$2)</f>
        <v>0.68618387454287511</v>
      </c>
      <c r="O158" cm="1">
        <f t="array" ref="O158">EstymacjaGaussowska($K158,$C$2:$C$151,$O$2)</f>
        <v>0.57103522561507825</v>
      </c>
      <c r="P158" cm="1">
        <f t="array" ref="P158">EstymacjaGaussowska($K158,$C$2:$C$151,$P$2)</f>
        <v>7.9398417029230103E-2</v>
      </c>
      <c r="R158" cm="1">
        <f t="array" ref="R158">EstymacjaEpanecznikowa($K158,$C$2:$C$151,R$2)</f>
        <v>0.64834785572121301</v>
      </c>
      <c r="S158" cm="1">
        <f t="array" ref="S158">EstymacjaEpanecznikowa($K158,$C$2:$C$151,S$2)</f>
        <v>0.65174319500141797</v>
      </c>
      <c r="T158" cm="1">
        <f t="array" ref="T158">EstymacjaEpanecznikowa($K158,$C$2:$C$151,T$2)</f>
        <v>0.56712689912442593</v>
      </c>
    </row>
    <row r="159" spans="10:20" x14ac:dyDescent="0.25">
      <c r="J159">
        <v>157</v>
      </c>
      <c r="K159">
        <f t="shared" si="5"/>
        <v>4.0956521739130247</v>
      </c>
      <c r="L159">
        <f t="shared" si="4"/>
        <v>0.79860692042981718</v>
      </c>
      <c r="M159" cm="1">
        <f t="array" ref="M159">EstymacjaGaussowska($K159,$C$2:$C$151)</f>
        <v>0.66276445085003166</v>
      </c>
      <c r="N159" cm="1">
        <f t="array" ref="N159">EstymacjaGaussowska($K159,$C$2:$C$151,$N$2)</f>
        <v>0.67755640663473948</v>
      </c>
      <c r="O159" cm="1">
        <f t="array" ref="O159">EstymacjaGaussowska($K159,$C$2:$C$151,$O$2)</f>
        <v>0.57349486846433895</v>
      </c>
      <c r="P159" cm="1">
        <f t="array" ref="P159">EstymacjaGaussowska($K159,$C$2:$C$151,$P$2)</f>
        <v>7.9402155334657373E-2</v>
      </c>
      <c r="R159" cm="1">
        <f t="array" ref="R159">EstymacjaEpanecznikowa($K159,$C$2:$C$151,R$2)</f>
        <v>0.65444790739731884</v>
      </c>
      <c r="S159" cm="1">
        <f t="array" ref="S159">EstymacjaEpanecznikowa($K159,$C$2:$C$151,S$2)</f>
        <v>0.65088599517455004</v>
      </c>
      <c r="T159" cm="1">
        <f t="array" ref="T159">EstymacjaEpanecznikowa($K159,$C$2:$C$151,T$2)</f>
        <v>0.56893583546592108</v>
      </c>
    </row>
    <row r="160" spans="10:20" x14ac:dyDescent="0.25">
      <c r="J160">
        <v>158</v>
      </c>
      <c r="K160">
        <f t="shared" si="5"/>
        <v>4.1026755852842625</v>
      </c>
      <c r="L160">
        <f t="shared" si="4"/>
        <v>0.80270277856352945</v>
      </c>
      <c r="M160" cm="1">
        <f t="array" ref="M160">EstymacjaGaussowska($K160,$C$2:$C$151)</f>
        <v>0.66667916654254866</v>
      </c>
      <c r="N160" cm="1">
        <f t="array" ref="N160">EstymacjaGaussowska($K160,$C$2:$C$151,$N$2)</f>
        <v>0.67119729727612099</v>
      </c>
      <c r="O160" cm="1">
        <f t="array" ref="O160">EstymacjaGaussowska($K160,$C$2:$C$151,$O$2)</f>
        <v>0.57590339857469575</v>
      </c>
      <c r="P160" cm="1">
        <f t="array" ref="P160">EstymacjaGaussowska($K160,$C$2:$C$151,$P$2)</f>
        <v>7.9405738485301774E-2</v>
      </c>
      <c r="R160" cm="1">
        <f t="array" ref="R160">EstymacjaEpanecznikowa($K160,$C$2:$C$151,R$2)</f>
        <v>0.66087134642862355</v>
      </c>
      <c r="S160" cm="1">
        <f t="array" ref="S160">EstymacjaEpanecznikowa($K160,$C$2:$C$151,S$2)</f>
        <v>0.63732206850183837</v>
      </c>
      <c r="T160" cm="1">
        <f t="array" ref="T160">EstymacjaEpanecznikowa($K160,$C$2:$C$151,T$2)</f>
        <v>0.57082630242864008</v>
      </c>
    </row>
    <row r="161" spans="10:20" x14ac:dyDescent="0.25">
      <c r="J161">
        <v>159</v>
      </c>
      <c r="K161">
        <f t="shared" si="5"/>
        <v>4.1096989966555002</v>
      </c>
      <c r="L161">
        <f t="shared" si="4"/>
        <v>0.80663942749321238</v>
      </c>
      <c r="M161" cm="1">
        <f t="array" ref="M161">EstymacjaGaussowska($K161,$C$2:$C$151)</f>
        <v>0.67051676658546522</v>
      </c>
      <c r="N161" cm="1">
        <f t="array" ref="N161">EstymacjaGaussowska($K161,$C$2:$C$151,$N$2)</f>
        <v>0.66695924009434748</v>
      </c>
      <c r="O161" cm="1">
        <f t="array" ref="O161">EstymacjaGaussowska($K161,$C$2:$C$151,$O$2)</f>
        <v>0.57825982665002307</v>
      </c>
      <c r="P161" cm="1">
        <f t="array" ref="P161">EstymacjaGaussowska($K161,$C$2:$C$151,$P$2)</f>
        <v>7.940916646004012E-2</v>
      </c>
      <c r="R161" cm="1">
        <f t="array" ref="R161">EstymacjaEpanecznikowa($K161,$C$2:$C$151,R$2)</f>
        <v>0.66695491240408311</v>
      </c>
      <c r="S161" cm="1">
        <f t="array" ref="S161">EstymacjaEpanecznikowa($K161,$C$2:$C$151,S$2)</f>
        <v>0.61105141498328319</v>
      </c>
      <c r="T161" cm="1">
        <f t="array" ref="T161">EstymacjaEpanecznikowa($K161,$C$2:$C$151,T$2)</f>
        <v>0.57264559545269367</v>
      </c>
    </row>
    <row r="162" spans="10:20" x14ac:dyDescent="0.25">
      <c r="J162">
        <v>160</v>
      </c>
      <c r="K162">
        <f t="shared" si="5"/>
        <v>4.1167224080267379</v>
      </c>
      <c r="L162">
        <f t="shared" si="4"/>
        <v>0.81041432348113807</v>
      </c>
      <c r="M162" cm="1">
        <f t="array" ref="M162">EstymacjaGaussowska($K162,$C$2:$C$151)</f>
        <v>0.67428001623157363</v>
      </c>
      <c r="N162" cm="1">
        <f t="array" ref="N162">EstymacjaGaussowska($K162,$C$2:$C$151,$N$2)</f>
        <v>0.66488388074021443</v>
      </c>
      <c r="O162" cm="1">
        <f t="array" ref="O162">EstymacjaGaussowska($K162,$C$2:$C$151,$O$2)</f>
        <v>0.58056317314809303</v>
      </c>
      <c r="P162" cm="1">
        <f t="array" ref="P162">EstymacjaGaussowska($K162,$C$2:$C$151,$P$2)</f>
        <v>7.9412439238658844E-2</v>
      </c>
      <c r="R162" cm="1">
        <f t="array" ref="R162">EstymacjaEpanecznikowa($K162,$C$2:$C$151,R$2)</f>
        <v>0.67343514647539027</v>
      </c>
      <c r="S162" cm="1">
        <f t="array" ref="S162">EstymacjaEpanecznikowa($K162,$C$2:$C$151,S$2)</f>
        <v>0.63240067299687563</v>
      </c>
      <c r="T162" cm="1">
        <f t="array" ref="T162">EstymacjaEpanecznikowa($K162,$C$2:$C$151,T$2)</f>
        <v>0.57439371453808152</v>
      </c>
    </row>
    <row r="163" spans="10:20" x14ac:dyDescent="0.25">
      <c r="J163">
        <v>161</v>
      </c>
      <c r="K163">
        <f t="shared" si="5"/>
        <v>4.1237458193979757</v>
      </c>
      <c r="L163">
        <f t="shared" si="4"/>
        <v>0.81402501924830251</v>
      </c>
      <c r="M163" cm="1">
        <f t="array" ref="M163">EstymacjaGaussowska($K163,$C$2:$C$151)</f>
        <v>0.67797176477706733</v>
      </c>
      <c r="N163" cm="1">
        <f t="array" ref="N163">EstymacjaGaussowska($K163,$C$2:$C$151,$N$2)</f>
        <v>0.66516352875974927</v>
      </c>
      <c r="O163" cm="1">
        <f t="array" ref="O163">EstymacjaGaussowska($K163,$C$2:$C$151,$O$2)</f>
        <v>0.58281246887074756</v>
      </c>
      <c r="P163" cm="1">
        <f t="array" ref="P163">EstymacjaGaussowska($K163,$C$2:$C$151,$P$2)</f>
        <v>7.9415556801854387E-2</v>
      </c>
      <c r="R163" cm="1">
        <f t="array" ref="R163">EstymacjaEpanecznikowa($K163,$C$2:$C$151,R$2)</f>
        <v>0.6795458128216092</v>
      </c>
      <c r="S163" cm="1">
        <f t="array" ref="S163">EstymacjaEpanecznikowa($K163,$C$2:$C$151,S$2)</f>
        <v>0.67135284160171083</v>
      </c>
      <c r="T163" cm="1">
        <f t="array" ref="T163">EstymacjaEpanecznikowa($K163,$C$2:$C$151,T$2)</f>
        <v>0.57607065968480409</v>
      </c>
    </row>
    <row r="164" spans="10:20" x14ac:dyDescent="0.25">
      <c r="J164">
        <v>162</v>
      </c>
      <c r="K164">
        <f t="shared" si="5"/>
        <v>4.1307692307692134</v>
      </c>
      <c r="L164">
        <f t="shared" si="4"/>
        <v>0.81746916661734037</v>
      </c>
      <c r="M164" cm="1">
        <f t="array" ref="M164">EstymacjaGaussowska($K164,$C$2:$C$151)</f>
        <v>0.68159491712663511</v>
      </c>
      <c r="N164" cm="1">
        <f t="array" ref="N164">EstymacjaGaussowska($K164,$C$2:$C$151,$N$2)</f>
        <v>0.66804721138550138</v>
      </c>
      <c r="O164" cm="1">
        <f t="array" ref="O164">EstymacjaGaussowska($K164,$C$2:$C$151,$O$2)</f>
        <v>0.58500675555460713</v>
      </c>
      <c r="P164" cm="1">
        <f t="array" ref="P164">EstymacjaGaussowska($K164,$C$2:$C$151,$P$2)</f>
        <v>7.9418519131233212E-2</v>
      </c>
      <c r="R164" cm="1">
        <f t="array" ref="R164">EstymacjaEpanecznikowa($K164,$C$2:$C$151,R$2)</f>
        <v>0.68528691144273923</v>
      </c>
      <c r="S164" cm="1">
        <f t="array" ref="S164">EstymacjaEpanecznikowa($K164,$C$2:$C$151,S$2)</f>
        <v>0.70289275287980413</v>
      </c>
      <c r="T164" cm="1">
        <f t="array" ref="T164">EstymacjaEpanecznikowa($K164,$C$2:$C$151,T$2)</f>
        <v>0.57767643089286091</v>
      </c>
    </row>
    <row r="165" spans="10:20" x14ac:dyDescent="0.25">
      <c r="J165">
        <v>163</v>
      </c>
      <c r="K165">
        <f t="shared" si="5"/>
        <v>4.1377926421404512</v>
      </c>
      <c r="L165">
        <f t="shared" si="4"/>
        <v>0.82074451905658785</v>
      </c>
      <c r="M165" cm="1">
        <f t="array" ref="M165">EstymacjaGaussowska($K165,$C$2:$C$151)</f>
        <v>0.68515240492620966</v>
      </c>
      <c r="N165" cm="1">
        <f t="array" ref="N165">EstymacjaGaussowska($K165,$C$2:$C$151,$N$2)</f>
        <v>0.67371270865841748</v>
      </c>
      <c r="O165" cm="1">
        <f t="array" ref="O165">EstymacjaGaussowska($K165,$C$2:$C$151,$O$2)</f>
        <v>0.58714508646195951</v>
      </c>
      <c r="P165" cm="1">
        <f t="array" ref="P165">EstymacjaGaussowska($K165,$C$2:$C$151,$P$2)</f>
        <v>7.9421326209312179E-2</v>
      </c>
      <c r="R165" cm="1">
        <f t="array" ref="R165">EstymacjaEpanecznikowa($K165,$C$2:$C$151,R$2)</f>
        <v>0.69065844233878038</v>
      </c>
      <c r="S165" cm="1">
        <f t="array" ref="S165">EstymacjaEpanecznikowa($K165,$C$2:$C$151,S$2)</f>
        <v>0.72702040683115532</v>
      </c>
      <c r="T165" cm="1">
        <f t="array" ref="T165">EstymacjaEpanecznikowa($K165,$C$2:$C$151,T$2)</f>
        <v>0.57921102816225212</v>
      </c>
    </row>
    <row r="166" spans="10:20" x14ac:dyDescent="0.25">
      <c r="J166">
        <v>164</v>
      </c>
      <c r="K166">
        <f t="shared" si="5"/>
        <v>4.1448160535116889</v>
      </c>
      <c r="L166">
        <f t="shared" si="4"/>
        <v>0.82384893412143823</v>
      </c>
      <c r="M166" cm="1">
        <f t="array" ref="M166">EstymacjaGaussowska($K166,$C$2:$C$151)</f>
        <v>0.68864715744932314</v>
      </c>
      <c r="N166" cm="1">
        <f t="array" ref="N166">EstymacjaGaussowska($K166,$C$2:$C$151,$N$2)</f>
        <v>0.68213338303922988</v>
      </c>
      <c r="O166" cm="1">
        <f t="array" ref="O166">EstymacjaGaussowska($K166,$C$2:$C$151,$O$2)</f>
        <v>0.58922652697147326</v>
      </c>
      <c r="P166" cm="1">
        <f t="array" ref="P166">EstymacjaGaussowska($K166,$C$2:$C$151,$P$2)</f>
        <v>7.9423978019518532E-2</v>
      </c>
      <c r="R166" cm="1">
        <f t="array" ref="R166">EstymacjaEpanecznikowa($K166,$C$2:$C$151,R$2)</f>
        <v>0.69566040550973318</v>
      </c>
      <c r="S166" cm="1">
        <f t="array" ref="S166">EstymacjaEpanecznikowa($K166,$C$2:$C$151,S$2)</f>
        <v>0.74373580345576429</v>
      </c>
      <c r="T166" cm="1">
        <f t="array" ref="T166">EstymacjaEpanecznikowa($K166,$C$2:$C$151,T$2)</f>
        <v>0.58067445149297769</v>
      </c>
    </row>
    <row r="167" spans="10:20" x14ac:dyDescent="0.25">
      <c r="J167">
        <v>165</v>
      </c>
      <c r="K167">
        <f t="shared" si="5"/>
        <v>4.1518394648829267</v>
      </c>
      <c r="L167">
        <f t="shared" si="4"/>
        <v>0.82678037578927566</v>
      </c>
      <c r="M167" cm="1">
        <f t="array" ref="M167">EstymacjaGaussowska($K167,$C$2:$C$151)</f>
        <v>0.69208207242528808</v>
      </c>
      <c r="N167" cm="1">
        <f t="array" ref="N167">EstymacjaGaussowska($K167,$C$2:$C$151,$N$2)</f>
        <v>0.69297006277298989</v>
      </c>
      <c r="O167" cm="1">
        <f t="array" ref="O167">EstymacjaGaussowska($K167,$C$2:$C$151,$O$2)</f>
        <v>0.591250155168356</v>
      </c>
      <c r="P167" cm="1">
        <f t="array" ref="P167">EstymacjaGaussowska($K167,$C$2:$C$151,$P$2)</f>
        <v>7.9426474546190201E-2</v>
      </c>
      <c r="R167" cm="1">
        <f t="array" ref="R167">EstymacjaEpanecznikowa($K167,$C$2:$C$151,R$2)</f>
        <v>0.70029280095559698</v>
      </c>
      <c r="S167" cm="1">
        <f t="array" ref="S167">EstymacjaEpanecznikowa($K167,$C$2:$C$151,S$2)</f>
        <v>0.75303894275363126</v>
      </c>
      <c r="T167" cm="1">
        <f t="array" ref="T167">EstymacjaEpanecznikowa($K167,$C$2:$C$151,T$2)</f>
        <v>0.58206670088503809</v>
      </c>
    </row>
    <row r="168" spans="10:20" x14ac:dyDescent="0.25">
      <c r="J168">
        <v>166</v>
      </c>
      <c r="K168">
        <f t="shared" si="5"/>
        <v>4.1588628762541644</v>
      </c>
      <c r="L168">
        <f t="shared" si="4"/>
        <v>0.82953691668442664</v>
      </c>
      <c r="M168" cm="1">
        <f t="array" ref="M168">EstymacjaGaussowska($K168,$C$2:$C$151)</f>
        <v>0.69545998699842126</v>
      </c>
      <c r="N168" cm="1">
        <f t="array" ref="N168">EstymacjaGaussowska($K168,$C$2:$C$151,$N$2)</f>
        <v>0.7055137259104175</v>
      </c>
      <c r="O168" cm="1">
        <f t="array" ref="O168">EstymacjaGaussowska($K168,$C$2:$C$151,$O$2)</f>
        <v>0.59321506243359645</v>
      </c>
      <c r="P168" cm="1">
        <f t="array" ref="P168">EstymacjaGaussowska($K168,$C$2:$C$151,$P$2)</f>
        <v>7.9428815774575751E-2</v>
      </c>
      <c r="R168" cm="1">
        <f t="array" ref="R168">EstymacjaEpanecznikowa($K168,$C$2:$C$151,R$2)</f>
        <v>0.70455562867637189</v>
      </c>
      <c r="S168" cm="1">
        <f t="array" ref="S168">EstymacjaEpanecznikowa($K168,$C$2:$C$151,S$2)</f>
        <v>0.75492982472475612</v>
      </c>
      <c r="T168" cm="1">
        <f t="array" ref="T168">EstymacjaEpanecznikowa($K168,$C$2:$C$151,T$2)</f>
        <v>0.58338777633843253</v>
      </c>
    </row>
    <row r="169" spans="10:20" x14ac:dyDescent="0.25">
      <c r="J169">
        <v>167</v>
      </c>
      <c r="K169">
        <f t="shared" si="5"/>
        <v>4.1658862876254021</v>
      </c>
      <c r="L169">
        <f t="shared" si="4"/>
        <v>0.83211674018972481</v>
      </c>
      <c r="M169" cm="1">
        <f t="array" ref="M169">EstymacjaGaussowska($K169,$C$2:$C$151)</f>
        <v>0.69878364900721013</v>
      </c>
      <c r="N169" cm="1">
        <f t="array" ref="N169">EstymacjaGaussowska($K169,$C$2:$C$151,$N$2)</f>
        <v>0.71869516345994977</v>
      </c>
      <c r="O169" cm="1">
        <f t="array" ref="O169">EstymacjaGaussowska($K169,$C$2:$C$151,$O$2)</f>
        <v>0.59512035403189278</v>
      </c>
      <c r="P169" cm="1">
        <f t="array" ref="P169">EstymacjaGaussowska($K169,$C$2:$C$151,$P$2)</f>
        <v>7.9431001690834849E-2</v>
      </c>
      <c r="R169" cm="1">
        <f t="array" ref="R169">EstymacjaEpanecznikowa($K169,$C$2:$C$151,R$2)</f>
        <v>0.70844888867205857</v>
      </c>
      <c r="S169" cm="1">
        <f t="array" ref="S169">EstymacjaEpanecznikowa($K169,$C$2:$C$151,S$2)</f>
        <v>0.74940844936913864</v>
      </c>
      <c r="T169" cm="1">
        <f t="array" ref="T169">EstymacjaEpanecznikowa($K169,$C$2:$C$151,T$2)</f>
        <v>0.58463767785316156</v>
      </c>
    </row>
    <row r="170" spans="10:20" x14ac:dyDescent="0.25">
      <c r="J170">
        <v>168</v>
      </c>
      <c r="K170">
        <f t="shared" si="5"/>
        <v>4.1729096989966399</v>
      </c>
      <c r="L170">
        <f t="shared" si="4"/>
        <v>0.83451814244145406</v>
      </c>
      <c r="M170" cm="1">
        <f t="array" ref="M170">EstymacjaGaussowska($K170,$C$2:$C$151)</f>
        <v>0.70205568877071156</v>
      </c>
      <c r="N170" cm="1">
        <f t="array" ref="N170">EstymacjaGaussowska($K170,$C$2:$C$151,$N$2)</f>
        <v>0.73116503333386018</v>
      </c>
      <c r="O170" cm="1">
        <f t="array" ref="O170">EstymacjaGaussowska($K170,$C$2:$C$151,$O$2)</f>
        <v>0.59696514969789138</v>
      </c>
      <c r="P170" cm="1">
        <f t="array" ref="P170">EstymacjaGaussowska($K170,$C$2:$C$151,$P$2)</f>
        <v>7.9433032282038185E-2</v>
      </c>
      <c r="R170" cm="1">
        <f t="array" ref="R170">EstymacjaEpanecznikowa($K170,$C$2:$C$151,R$2)</f>
        <v>0.71197258094265636</v>
      </c>
      <c r="S170" cm="1">
        <f t="array" ref="S170">EstymacjaEpanecznikowa($K170,$C$2:$C$151,S$2)</f>
        <v>0.73647481668677917</v>
      </c>
      <c r="T170" cm="1">
        <f t="array" ref="T170">EstymacjaEpanecznikowa($K170,$C$2:$C$151,T$2)</f>
        <v>0.58581640542922497</v>
      </c>
    </row>
    <row r="171" spans="10:20" x14ac:dyDescent="0.25">
      <c r="J171">
        <v>169</v>
      </c>
      <c r="K171">
        <f t="shared" si="5"/>
        <v>4.1799331103678776</v>
      </c>
      <c r="L171">
        <f t="shared" si="4"/>
        <v>0.83673953420459946</v>
      </c>
      <c r="M171" cm="1">
        <f t="array" ref="M171">EstymacjaGaussowska($K171,$C$2:$C$151)</f>
        <v>0.70527859156656381</v>
      </c>
      <c r="N171" cm="1">
        <f t="array" ref="N171">EstymacjaGaussowska($K171,$C$2:$C$151,$N$2)</f>
        <v>0.74143420754825973</v>
      </c>
      <c r="O171" cm="1">
        <f t="array" ref="O171">EstymacjaGaussowska($K171,$C$2:$C$151,$O$2)</f>
        <v>0.59874858422033084</v>
      </c>
      <c r="P171" cm="1">
        <f t="array" ref="P171">EstymacjaGaussowska($K171,$C$2:$C$151,$P$2)</f>
        <v>7.943490753616754E-2</v>
      </c>
      <c r="R171" cm="1">
        <f t="array" ref="R171">EstymacjaEpanecznikowa($K171,$C$2:$C$151,R$2)</f>
        <v>0.71512670548816526</v>
      </c>
      <c r="S171" cm="1">
        <f t="array" ref="S171">EstymacjaEpanecznikowa($K171,$C$2:$C$151,S$2)</f>
        <v>0.7161289266776778</v>
      </c>
      <c r="T171" cm="1">
        <f t="array" ref="T171">EstymacjaEpanecznikowa($K171,$C$2:$C$151,T$2)</f>
        <v>0.58692395906662298</v>
      </c>
    </row>
    <row r="172" spans="10:20" x14ac:dyDescent="0.25">
      <c r="J172">
        <v>170</v>
      </c>
      <c r="K172">
        <f t="shared" si="5"/>
        <v>4.1869565217391154</v>
      </c>
      <c r="L172">
        <f t="shared" si="4"/>
        <v>0.83877944262552073</v>
      </c>
      <c r="M172" cm="1">
        <f t="array" ref="M172">EstymacjaGaussowska($K172,$C$2:$C$151)</f>
        <v>0.70845467098081416</v>
      </c>
      <c r="N172" cm="1">
        <f t="array" ref="N172">EstymacjaGaussowska($K172,$C$2:$C$151,$N$2)</f>
        <v>0.74805264770542512</v>
      </c>
      <c r="O172" cm="1">
        <f t="array" ref="O172">EstymacjaGaussowska($K172,$C$2:$C$151,$O$2)</f>
        <v>0.60046980802369265</v>
      </c>
      <c r="P172" cm="1">
        <f t="array" ref="P172">EstymacjaGaussowska($K172,$C$2:$C$151,$P$2)</f>
        <v>7.9436627442116048E-2</v>
      </c>
      <c r="R172" cm="1">
        <f t="array" ref="R172">EstymacjaEpanecznikowa($K172,$C$2:$C$151,R$2)</f>
        <v>0.71791126230858548</v>
      </c>
      <c r="S172" cm="1">
        <f t="array" ref="S172">EstymacjaEpanecznikowa($K172,$C$2:$C$151,S$2)</f>
        <v>0.68837077934183422</v>
      </c>
      <c r="T172" cm="1">
        <f t="array" ref="T172">EstymacjaEpanecznikowa($K172,$C$2:$C$151,T$2)</f>
        <v>0.58796033876535536</v>
      </c>
    </row>
    <row r="173" spans="10:20" x14ac:dyDescent="0.25">
      <c r="J173">
        <v>171</v>
      </c>
      <c r="K173">
        <f t="shared" si="5"/>
        <v>4.1939799331103531</v>
      </c>
      <c r="L173">
        <f t="shared" si="4"/>
        <v>0.84063651285933882</v>
      </c>
      <c r="M173" cm="1">
        <f t="array" ref="M173">EstymacjaGaussowska($K173,$C$2:$C$151)</f>
        <v>0.71158604330433217</v>
      </c>
      <c r="N173" cm="1">
        <f t="array" ref="N173">EstymacjaGaussowska($K173,$C$2:$C$151,$N$2)</f>
        <v>0.74979743566627366</v>
      </c>
      <c r="O173" cm="1">
        <f t="array" ref="O173">EstymacjaGaussowska($K173,$C$2:$C$151,$O$2)</f>
        <v>0.60212798774694809</v>
      </c>
      <c r="P173" cm="1">
        <f t="array" ref="P173">EstymacjaGaussowska($K173,$C$2:$C$151,$P$2)</f>
        <v>7.943819198968835E-2</v>
      </c>
      <c r="R173" cm="1">
        <f t="array" ref="R173">EstymacjaEpanecznikowa($K173,$C$2:$C$151,R$2)</f>
        <v>0.72224267709198897</v>
      </c>
      <c r="S173" cm="1">
        <f t="array" ref="S173">EstymacjaEpanecznikowa($K173,$C$2:$C$151,S$2)</f>
        <v>0.68024238798598291</v>
      </c>
      <c r="T173" cm="1">
        <f t="array" ref="T173">EstymacjaEpanecznikowa($K173,$C$2:$C$151,T$2)</f>
        <v>0.5889255445254219</v>
      </c>
    </row>
    <row r="174" spans="10:20" x14ac:dyDescent="0.25">
      <c r="J174">
        <v>172</v>
      </c>
      <c r="K174">
        <f t="shared" si="5"/>
        <v>4.2010033444815909</v>
      </c>
      <c r="L174">
        <f t="shared" si="4"/>
        <v>0.84230950956952344</v>
      </c>
      <c r="M174" cm="1">
        <f t="array" ref="M174">EstymacjaGaussowska($K174,$C$2:$C$151)</f>
        <v>0.71467460314394471</v>
      </c>
      <c r="N174" cm="1">
        <f t="array" ref="N174">EstymacjaGaussowska($K174,$C$2:$C$151,$N$2)</f>
        <v>0.74583846396333231</v>
      </c>
      <c r="O174" cm="1">
        <f t="array" ref="O174">EstymacjaGaussowska($K174,$C$2:$C$151,$O$2)</f>
        <v>0.60372230681898431</v>
      </c>
      <c r="P174" cm="1">
        <f t="array" ref="P174">EstymacjaGaussowska($K174,$C$2:$C$151,$P$2)</f>
        <v>7.9439601169600443E-2</v>
      </c>
      <c r="R174" cm="1">
        <f t="array" ref="R174">EstymacjaEpanecznikowa($K174,$C$2:$C$151,R$2)</f>
        <v>0.72829441525116256</v>
      </c>
      <c r="S174" cm="1">
        <f t="array" ref="S174">EstymacjaEpanecznikowa($K174,$C$2:$C$151,S$2)</f>
        <v>0.66856934328436501</v>
      </c>
      <c r="T174" cm="1">
        <f t="array" ref="T174">EstymacjaEpanecznikowa($K174,$C$2:$C$151,T$2)</f>
        <v>0.58981957634682303</v>
      </c>
    </row>
    <row r="175" spans="10:20" x14ac:dyDescent="0.25">
      <c r="J175">
        <v>173</v>
      </c>
      <c r="K175">
        <f t="shared" si="5"/>
        <v>4.2080267558528286</v>
      </c>
      <c r="L175">
        <f t="shared" si="4"/>
        <v>0.84379731829735183</v>
      </c>
      <c r="M175" cm="1">
        <f t="array" ref="M175">EstymacjaGaussowska($K175,$C$2:$C$151)</f>
        <v>0.71772200040862588</v>
      </c>
      <c r="N175" cm="1">
        <f t="array" ref="N175">EstymacjaGaussowska($K175,$C$2:$C$151,$N$2)</f>
        <v>0.73585401847017295</v>
      </c>
      <c r="O175" cm="1">
        <f t="array" ref="O175">EstymacjaGaussowska($K175,$C$2:$C$151,$O$2)</f>
        <v>0.60525196603028553</v>
      </c>
      <c r="P175" cm="1">
        <f t="array" ref="P175">EstymacjaGaussowska($K175,$C$2:$C$151,$P$2)</f>
        <v>7.9440854973480093E-2</v>
      </c>
      <c r="R175" cm="1">
        <f t="array" ref="R175">EstymacjaEpanecznikowa($K175,$C$2:$C$151,R$2)</f>
        <v>0.7339205905753855</v>
      </c>
      <c r="S175" cm="1">
        <f t="array" ref="S175">EstymacjaEpanecznikowa($K175,$C$2:$C$151,S$2)</f>
        <v>0.6473662534483644</v>
      </c>
      <c r="T175" cm="1">
        <f t="array" ref="T175">EstymacjaEpanecznikowa($K175,$C$2:$C$151,T$2)</f>
        <v>0.59064243422955898</v>
      </c>
    </row>
    <row r="176" spans="10:20" x14ac:dyDescent="0.25">
      <c r="J176">
        <v>174</v>
      </c>
      <c r="K176">
        <f t="shared" si="5"/>
        <v>4.2150501672240663</v>
      </c>
      <c r="L176">
        <f t="shared" si="4"/>
        <v>0.84509894669911978</v>
      </c>
      <c r="M176" cm="1">
        <f t="array" ref="M176">EstymacjaGaussowska($K176,$C$2:$C$151)</f>
        <v>0.72072961882216435</v>
      </c>
      <c r="N176" cm="1">
        <f t="array" ref="N176">EstymacjaGaussowska($K176,$C$2:$C$151,$N$2)</f>
        <v>0.72007730401266856</v>
      </c>
      <c r="O176" cm="1">
        <f t="array" ref="O176">EstymacjaGaussowska($K176,$C$2:$C$151,$O$2)</f>
        <v>0.60671618410044192</v>
      </c>
      <c r="P176" cm="1">
        <f t="array" ref="P176">EstymacjaGaussowska($K176,$C$2:$C$151,$P$2)</f>
        <v>7.9441953393866657E-2</v>
      </c>
      <c r="R176" cm="1">
        <f t="array" ref="R176">EstymacjaEpanecznikowa($K176,$C$2:$C$151,R$2)</f>
        <v>0.73978456937852011</v>
      </c>
      <c r="S176" cm="1">
        <f t="array" ref="S176">EstymacjaEpanecznikowa($K176,$C$2:$C$151,S$2)</f>
        <v>0.64034928049550033</v>
      </c>
      <c r="T176" cm="1">
        <f t="array" ref="T176">EstymacjaEpanecznikowa($K176,$C$2:$C$151,T$2)</f>
        <v>0.59139411817362864</v>
      </c>
    </row>
    <row r="177" spans="10:20" x14ac:dyDescent="0.25">
      <c r="J177">
        <v>175</v>
      </c>
      <c r="K177">
        <f t="shared" si="5"/>
        <v>4.2220735785953041</v>
      </c>
      <c r="L177">
        <f t="shared" si="4"/>
        <v>0.84621352564917796</v>
      </c>
      <c r="M177" cm="1">
        <f t="array" ref="M177">EstymacjaGaussowska($K177,$C$2:$C$151)</f>
        <v>0.72369855610378853</v>
      </c>
      <c r="N177" cm="1">
        <f t="array" ref="N177">EstymacjaGaussowska($K177,$C$2:$C$151,$N$2)</f>
        <v>0.69926714560840963</v>
      </c>
      <c r="O177" cm="1">
        <f t="array" ref="O177">EstymacjaGaussowska($K177,$C$2:$C$151,$O$2)</f>
        <v>0.60811419824104629</v>
      </c>
      <c r="P177" cm="1">
        <f t="array" ref="P177">EstymacjaGaussowska($K177,$C$2:$C$151,$P$2)</f>
        <v>7.9442896424211179E-2</v>
      </c>
      <c r="R177" cm="1">
        <f t="array" ref="R177">EstymacjaEpanecznikowa($K177,$C$2:$C$151,R$2)</f>
        <v>0.74538648015513631</v>
      </c>
      <c r="S177" cm="1">
        <f t="array" ref="S177">EstymacjaEpanecznikowa($K177,$C$2:$C$151,S$2)</f>
        <v>0.6537115130913399</v>
      </c>
      <c r="T177" cm="1">
        <f t="array" ref="T177">EstymacjaEpanecznikowa($K177,$C$2:$C$151,T$2)</f>
        <v>0.59207462817903367</v>
      </c>
    </row>
    <row r="178" spans="10:20" x14ac:dyDescent="0.25">
      <c r="J178">
        <v>176</v>
      </c>
      <c r="K178">
        <f t="shared" si="5"/>
        <v>4.2290969899665418</v>
      </c>
      <c r="L178">
        <f t="shared" si="4"/>
        <v>0.8471403102070787</v>
      </c>
      <c r="M178" cm="1">
        <f t="array" ref="M178">EstymacjaGaussowska($K178,$C$2:$C$151)</f>
        <v>0.72662960594728709</v>
      </c>
      <c r="N178" cm="1">
        <f t="array" ref="N178">EstymacjaGaussowska($K178,$C$2:$C$151,$N$2)</f>
        <v>0.67460929892021104</v>
      </c>
      <c r="O178" cm="1">
        <f t="array" ref="O178">EstymacjaGaussowska($K178,$C$2:$C$151,$O$2)</f>
        <v>0.60944526471353866</v>
      </c>
      <c r="P178" cm="1">
        <f t="array" ref="P178">EstymacjaGaussowska($K178,$C$2:$C$151,$P$2)</f>
        <v>7.9443684058876834E-2</v>
      </c>
      <c r="R178" cm="1">
        <f t="array" ref="R178">EstymacjaEpanecznikowa($K178,$C$2:$C$151,R$2)</f>
        <v>0.75057402711877419</v>
      </c>
      <c r="S178" cm="1">
        <f t="array" ref="S178">EstymacjaEpanecznikowa($K178,$C$2:$C$151,S$2)</f>
        <v>0.66072038226425767</v>
      </c>
      <c r="T178" cm="1">
        <f t="array" ref="T178">EstymacjaEpanecznikowa($K178,$C$2:$C$151,T$2)</f>
        <v>0.59268396424577208</v>
      </c>
    </row>
    <row r="179" spans="10:20" x14ac:dyDescent="0.25">
      <c r="J179">
        <v>177</v>
      </c>
      <c r="K179">
        <f t="shared" si="5"/>
        <v>4.2361204013377796</v>
      </c>
      <c r="L179">
        <f t="shared" si="4"/>
        <v>0.84787868044732628</v>
      </c>
      <c r="M179" cm="1">
        <f t="array" ref="M179">EstymacjaGaussowska($K179,$C$2:$C$151)</f>
        <v>0.72952324191737905</v>
      </c>
      <c r="N179" cm="1">
        <f t="array" ref="N179">EstymacjaGaussowska($K179,$C$2:$C$151,$N$2)</f>
        <v>0.6475665255929921</v>
      </c>
      <c r="O179" cm="1">
        <f t="array" ref="O179">EstymacjaGaussowska($K179,$C$2:$C$151,$O$2)</f>
        <v>0.61070865938154473</v>
      </c>
      <c r="P179" cm="1">
        <f t="array" ref="P179">EstymacjaGaussowska($K179,$C$2:$C$151,$P$2)</f>
        <v>7.9444316293138292E-2</v>
      </c>
      <c r="R179" cm="1">
        <f t="array" ref="R179">EstymacjaEpanecznikowa($K179,$C$2:$C$151,R$2)</f>
        <v>0.75534721026943352</v>
      </c>
      <c r="S179" cm="1">
        <f t="array" ref="S179">EstymacjaEpanecznikowa($K179,$C$2:$C$151,S$2)</f>
        <v>0.66137588801425351</v>
      </c>
      <c r="T179" cm="1">
        <f t="array" ref="T179">EstymacjaEpanecznikowa($K179,$C$2:$C$151,T$2)</f>
        <v>0.59322212637384586</v>
      </c>
    </row>
    <row r="180" spans="10:20" x14ac:dyDescent="0.25">
      <c r="J180">
        <v>178</v>
      </c>
      <c r="K180">
        <f t="shared" si="5"/>
        <v>4.2431438127090173</v>
      </c>
      <c r="L180">
        <f t="shared" si="4"/>
        <v>0.84842814215043816</v>
      </c>
      <c r="M180" cm="1">
        <f t="array" ref="M180">EstymacjaGaussowska($K180,$C$2:$C$151)</f>
        <v>0.73237960336943031</v>
      </c>
      <c r="N180" cm="1">
        <f t="array" ref="N180">EstymacjaGaussowska($K180,$C$2:$C$151,$N$2)</f>
        <v>0.61970367034537788</v>
      </c>
      <c r="O180" cm="1">
        <f t="array" ref="O180">EstymacjaGaussowska($K180,$C$2:$C$151,$O$2)</f>
        <v>0.61190367825725955</v>
      </c>
      <c r="P180" cm="1">
        <f t="array" ref="P180">EstymacjaGaussowska($K180,$C$2:$C$151,$P$2)</f>
        <v>7.9444793123182506E-2</v>
      </c>
      <c r="R180" cm="1">
        <f t="array" ref="R180">EstymacjaEpanecznikowa($K180,$C$2:$C$151,R$2)</f>
        <v>0.75970602960711475</v>
      </c>
      <c r="S180" cm="1">
        <f t="array" ref="S180">EstymacjaEpanecznikowa($K180,$C$2:$C$151,S$2)</f>
        <v>0.65567803034132788</v>
      </c>
      <c r="T180" cm="1">
        <f t="array" ref="T180">EstymacjaEpanecznikowa($K180,$C$2:$C$151,T$2)</f>
        <v>0.59368911456325379</v>
      </c>
    </row>
    <row r="181" spans="10:20" x14ac:dyDescent="0.25">
      <c r="J181">
        <v>179</v>
      </c>
      <c r="K181">
        <f t="shared" si="5"/>
        <v>4.250167224080255</v>
      </c>
      <c r="L181">
        <f t="shared" si="4"/>
        <v>0.84878832735423726</v>
      </c>
      <c r="M181" cm="1">
        <f t="array" ref="M181">EstymacjaGaussowska($K181,$C$2:$C$151)</f>
        <v>0.73519848348531536</v>
      </c>
      <c r="N181" cm="1">
        <f t="array" ref="N181">EstymacjaGaussowska($K181,$C$2:$C$151,$N$2)</f>
        <v>0.59251700271869312</v>
      </c>
      <c r="O181" cm="1">
        <f t="array" ref="O181">EstymacjaGaussowska($K181,$C$2:$C$151,$O$2)</f>
        <v>0.61302963804140997</v>
      </c>
      <c r="P181" cm="1">
        <f t="array" ref="P181">EstymacjaGaussowska($K181,$C$2:$C$151,$P$2)</f>
        <v>7.9445114546108156E-2</v>
      </c>
      <c r="R181" cm="1">
        <f t="array" ref="R181">EstymacjaEpanecznikowa($K181,$C$2:$C$151,R$2)</f>
        <v>0.76365048513181766</v>
      </c>
      <c r="S181" cm="1">
        <f t="array" ref="S181">EstymacjaEpanecznikowa($K181,$C$2:$C$151,S$2)</f>
        <v>0.6436268092454801</v>
      </c>
      <c r="T181" cm="1">
        <f t="array" ref="T181">EstymacjaEpanecznikowa($K181,$C$2:$C$151,T$2)</f>
        <v>0.59408492881399599</v>
      </c>
    </row>
    <row r="182" spans="10:20" x14ac:dyDescent="0.25">
      <c r="J182">
        <v>180</v>
      </c>
      <c r="K182">
        <f t="shared" si="5"/>
        <v>4.2571906354514928</v>
      </c>
      <c r="L182">
        <f t="shared" si="4"/>
        <v>0.8489589947645132</v>
      </c>
      <c r="M182" cm="1">
        <f t="array" ref="M182">EstymacjaGaussowska($K182,$C$2:$C$151)</f>
        <v>0.73797931950424744</v>
      </c>
      <c r="N182" cm="1">
        <f t="array" ref="N182">EstymacjaGaussowska($K182,$C$2:$C$151,$N$2)</f>
        <v>0.56729464555967024</v>
      </c>
      <c r="O182" cm="1">
        <f t="array" ref="O182">EstymacjaGaussowska($K182,$C$2:$C$151,$O$2)</f>
        <v>0.61408587665633085</v>
      </c>
      <c r="P182" cm="1">
        <f t="array" ref="P182">EstymacjaGaussowska($K182,$C$2:$C$151,$P$2)</f>
        <v>7.9445280559926001E-2</v>
      </c>
      <c r="R182" cm="1">
        <f t="array" ref="R182">EstymacjaEpanecznikowa($K182,$C$2:$C$151,R$2)</f>
        <v>0.76718057684354224</v>
      </c>
      <c r="S182" cm="1">
        <f t="array" ref="S182">EstymacjaEpanecznikowa($K182,$C$2:$C$151,S$2)</f>
        <v>0.62522222472671063</v>
      </c>
      <c r="T182" cm="1">
        <f t="array" ref="T182">EstymacjaEpanecznikowa($K182,$C$2:$C$151,T$2)</f>
        <v>0.59440956912607257</v>
      </c>
    </row>
    <row r="183" spans="10:20" x14ac:dyDescent="0.25">
      <c r="J183">
        <v>181</v>
      </c>
      <c r="K183">
        <f t="shared" si="5"/>
        <v>4.2642140468227305</v>
      </c>
      <c r="L183">
        <f t="shared" si="4"/>
        <v>0.8489400300244162</v>
      </c>
      <c r="M183" cm="1">
        <f t="array" ref="M183">EstymacjaGaussowska($K183,$C$2:$C$151)</f>
        <v>0.74072118521296437</v>
      </c>
      <c r="N183" cm="1">
        <f t="array" ref="N183">EstymacjaGaussowska($K183,$C$2:$C$151,$N$2)</f>
        <v>0.54502764697820949</v>
      </c>
      <c r="O183" cm="1">
        <f t="array" ref="O183">EstymacjaGaussowska($K183,$C$2:$C$151,$O$2)</f>
        <v>0.61507175377168344</v>
      </c>
      <c r="P183" cm="1">
        <f t="array" ref="P183">EstymacjaGaussowska($K183,$C$2:$C$151,$P$2)</f>
        <v>7.9445291163558959E-2</v>
      </c>
      <c r="R183" cm="1">
        <f t="array" ref="R183">EstymacjaEpanecznikowa($K183,$C$2:$C$151,R$2)</f>
        <v>0.77029630474228861</v>
      </c>
      <c r="S183" cm="1">
        <f t="array" ref="S183">EstymacjaEpanecznikowa($K183,$C$2:$C$151,S$2)</f>
        <v>0.60046427678501946</v>
      </c>
      <c r="T183" cm="1">
        <f t="array" ref="T183">EstymacjaEpanecznikowa($K183,$C$2:$C$151,T$2)</f>
        <v>0.59466303549948352</v>
      </c>
    </row>
    <row r="184" spans="10:20" x14ac:dyDescent="0.25">
      <c r="J184">
        <v>182</v>
      </c>
      <c r="K184">
        <f t="shared" si="5"/>
        <v>4.2712374581939683</v>
      </c>
      <c r="L184">
        <f t="shared" si="4"/>
        <v>0.84873144584215499</v>
      </c>
      <c r="M184" cm="1">
        <f t="array" ref="M184">EstymacjaGaussowska($K184,$C$2:$C$151)</f>
        <v>0.74342278574477205</v>
      </c>
      <c r="N184" cm="1">
        <f t="array" ref="N184">EstymacjaGaussowska($K184,$C$2:$C$151,$N$2)</f>
        <v>0.52638070428384287</v>
      </c>
      <c r="O184" cm="1">
        <f t="array" ref="O184">EstymacjaGaussowska($K184,$C$2:$C$151,$O$2)</f>
        <v>0.61598665132233976</v>
      </c>
      <c r="P184" cm="1">
        <f t="array" ref="P184">EstymacjaGaussowska($K184,$C$2:$C$151,$P$2)</f>
        <v>7.9445146356841745E-2</v>
      </c>
      <c r="R184" cm="1">
        <f t="array" ref="R184">EstymacjaEpanecznikowa($K184,$C$2:$C$151,R$2)</f>
        <v>0.77299766882805676</v>
      </c>
      <c r="S184" cm="1">
        <f t="array" ref="S184">EstymacjaEpanecznikowa($K184,$C$2:$C$151,S$2)</f>
        <v>0.56935296542040648</v>
      </c>
      <c r="T184" cm="1">
        <f t="array" ref="T184">EstymacjaEpanecznikowa($K184,$C$2:$C$151,T$2)</f>
        <v>0.59484532793422928</v>
      </c>
    </row>
    <row r="185" spans="10:20" x14ac:dyDescent="0.25">
      <c r="J185">
        <v>183</v>
      </c>
      <c r="K185">
        <f t="shared" si="5"/>
        <v>4.278260869565206</v>
      </c>
      <c r="L185">
        <f t="shared" si="4"/>
        <v>0.84833338197680652</v>
      </c>
      <c r="M185" cm="1">
        <f t="array" ref="M185">EstymacjaGaussowska($K185,$C$2:$C$151)</f>
        <v>0.74608245472180268</v>
      </c>
      <c r="N185" cm="1">
        <f t="array" ref="N185">EstymacjaGaussowska($K185,$C$2:$C$151,$N$2)</f>
        <v>0.51171983582315617</v>
      </c>
      <c r="O185" cm="1">
        <f t="array" ref="O185">EstymacjaGaussowska($K185,$C$2:$C$151,$O$2)</f>
        <v>0.61682997401794937</v>
      </c>
      <c r="P185" cm="1">
        <f t="array" ref="P185">EstymacjaGaussowska($K185,$C$2:$C$151,$P$2)</f>
        <v>7.9444846140521275E-2</v>
      </c>
      <c r="R185" cm="1">
        <f t="array" ref="R185">EstymacjaEpanecznikowa($K185,$C$2:$C$151,R$2)</f>
        <v>0.77528466910084681</v>
      </c>
      <c r="S185" cm="1">
        <f t="array" ref="S185">EstymacjaEpanecznikowa($K185,$C$2:$C$151,S$2)</f>
        <v>0.53188829063287169</v>
      </c>
      <c r="T185" cm="1">
        <f t="array" ref="T185">EstymacjaEpanecznikowa($K185,$C$2:$C$151,T$2)</f>
        <v>0.59495644643030954</v>
      </c>
    </row>
    <row r="186" spans="10:20" x14ac:dyDescent="0.25">
      <c r="J186">
        <v>184</v>
      </c>
      <c r="K186">
        <f t="shared" si="5"/>
        <v>4.2852842809364438</v>
      </c>
      <c r="L186">
        <f t="shared" si="4"/>
        <v>0.84774610508225334</v>
      </c>
      <c r="M186" cm="1">
        <f t="array" ref="M186">EstymacjaGaussowska($K186,$C$2:$C$151)</f>
        <v>0.74869815375949633</v>
      </c>
      <c r="N186" cm="1">
        <f t="array" ref="N186">EstymacjaGaussowska($K186,$C$2:$C$151,$N$2)</f>
        <v>0.50118369489866765</v>
      </c>
      <c r="O186" cm="1">
        <f t="array" ref="O186">EstymacjaGaussowska($K186,$C$2:$C$151,$O$2)</f>
        <v>0.61760114984370695</v>
      </c>
      <c r="P186" cm="1">
        <f t="array" ref="P186">EstymacjaGaussowska($K186,$C$2:$C$151,$P$2)</f>
        <v>7.9444390516256333E-2</v>
      </c>
      <c r="R186" cm="1">
        <f t="array" ref="R186">EstymacjaEpanecznikowa($K186,$C$2:$C$151,R$2)</f>
        <v>0.77715730556065821</v>
      </c>
      <c r="S186" cm="1">
        <f t="array" ref="S186">EstymacjaEpanecznikowa($K186,$C$2:$C$151,S$2)</f>
        <v>0.48807025242241492</v>
      </c>
      <c r="T186" cm="1">
        <f t="array" ref="T186">EstymacjaEpanecznikowa($K186,$C$2:$C$151,T$2)</f>
        <v>0.59499639098772394</v>
      </c>
    </row>
    <row r="187" spans="10:20" x14ac:dyDescent="0.25">
      <c r="J187">
        <v>185</v>
      </c>
      <c r="K187">
        <f t="shared" si="5"/>
        <v>4.2923076923076815</v>
      </c>
      <c r="L187">
        <f t="shared" si="4"/>
        <v>0.84697000840949788</v>
      </c>
      <c r="M187" cm="1">
        <f t="array" ref="M187">EstymacjaGaussowska($K187,$C$2:$C$151)</f>
        <v>0.75126747433689578</v>
      </c>
      <c r="N187" cm="1">
        <f t="array" ref="N187">EstymacjaGaussowska($K187,$C$2:$C$151,$N$2)</f>
        <v>0.49477772655100394</v>
      </c>
      <c r="O187" cm="1">
        <f t="array" ref="O187">EstymacjaGaussowska($K187,$C$2:$C$151,$O$2)</f>
        <v>0.61829963055182646</v>
      </c>
      <c r="P187" cm="1">
        <f t="array" ref="P187">EstymacjaGaussowska($K187,$C$2:$C$151,$P$2)</f>
        <v>7.9443779486617974E-2</v>
      </c>
      <c r="R187" cm="1">
        <f t="array" ref="R187">EstymacjaEpanecznikowa($K187,$C$2:$C$151,R$2)</f>
        <v>0.77899729320382916</v>
      </c>
      <c r="S187" cm="1">
        <f t="array" ref="S187">EstymacjaEpanecznikowa($K187,$C$2:$C$151,S$2)</f>
        <v>0.47663972083697698</v>
      </c>
      <c r="T187" cm="1">
        <f t="array" ref="T187">EstymacjaEpanecznikowa($K187,$C$2:$C$151,T$2)</f>
        <v>0.59496516160647273</v>
      </c>
    </row>
    <row r="188" spans="10:20" x14ac:dyDescent="0.25">
      <c r="J188">
        <v>186</v>
      </c>
      <c r="K188">
        <f t="shared" si="5"/>
        <v>4.2993311036789192</v>
      </c>
      <c r="L188">
        <f t="shared" si="4"/>
        <v>0.84600561136781482</v>
      </c>
      <c r="M188" cm="1">
        <f t="array" ref="M188">EstymacjaGaussowska($K188,$C$2:$C$151)</f>
        <v>0.75378764202097304</v>
      </c>
      <c r="N188" cm="1">
        <f t="array" ref="N188">EstymacjaGaussowska($K188,$C$2:$C$151,$N$2)</f>
        <v>0.49246733560394618</v>
      </c>
      <c r="O188" cm="1">
        <f t="array" ref="O188">EstymacjaGaussowska($K188,$C$2:$C$151,$O$2)</f>
        <v>0.61892489214323765</v>
      </c>
      <c r="P188" cm="1">
        <f t="array" ref="P188">EstymacjaGaussowska($K188,$C$2:$C$151,$P$2)</f>
        <v>7.9443013055089079E-2</v>
      </c>
      <c r="R188" cm="1">
        <f t="array" ref="R188">EstymacjaEpanecznikowa($K188,$C$2:$C$151,R$2)</f>
        <v>0.78164906162086256</v>
      </c>
      <c r="S188" cm="1">
        <f t="array" ref="S188">EstymacjaEpanecznikowa($K188,$C$2:$C$151,S$2)</f>
        <v>0.4829426607406852</v>
      </c>
      <c r="T188" cm="1">
        <f t="array" ref="T188">EstymacjaEpanecznikowa($K188,$C$2:$C$151,T$2)</f>
        <v>0.59486275828655566</v>
      </c>
    </row>
    <row r="189" spans="10:20" x14ac:dyDescent="0.25">
      <c r="J189">
        <v>187</v>
      </c>
      <c r="K189">
        <f t="shared" si="5"/>
        <v>4.306354515050157</v>
      </c>
      <c r="L189">
        <f t="shared" si="4"/>
        <v>0.84485355894542991</v>
      </c>
      <c r="M189" cm="1">
        <f t="array" ref="M189">EstymacjaGaussowska($K189,$C$2:$C$151)</f>
        <v>0.7562555230180027</v>
      </c>
      <c r="N189" cm="1">
        <f t="array" ref="N189">EstymacjaGaussowska($K189,$C$2:$C$151,$N$2)</f>
        <v>0.49424813431144982</v>
      </c>
      <c r="O189" cm="1">
        <f t="array" ref="O189">EstymacjaGaussowska($K189,$C$2:$C$151,$O$2)</f>
        <v>0.6194764353389971</v>
      </c>
      <c r="P189" cm="1">
        <f t="array" ref="P189">EstymacjaGaussowska($K189,$C$2:$C$151,$P$2)</f>
        <v>7.9442091226064437E-2</v>
      </c>
      <c r="R189" cm="1">
        <f t="array" ref="R189">EstymacjaEpanecznikowa($K189,$C$2:$C$151,R$2)</f>
        <v>0.78386406818097265</v>
      </c>
      <c r="S189" cm="1">
        <f t="array" ref="S189">EstymacjaEpanecznikowa($K189,$C$2:$C$151,S$2)</f>
        <v>0.47865666160619058</v>
      </c>
      <c r="T189" cm="1">
        <f t="array" ref="T189">EstymacjaEpanecznikowa($K189,$C$2:$C$151,T$2)</f>
        <v>0.59469652519428073</v>
      </c>
    </row>
    <row r="190" spans="10:20" x14ac:dyDescent="0.25">
      <c r="J190">
        <v>188</v>
      </c>
      <c r="K190">
        <f t="shared" si="5"/>
        <v>4.3133779264213947</v>
      </c>
      <c r="L190">
        <f t="shared" si="4"/>
        <v>0.84351462099062824</v>
      </c>
      <c r="M190" cm="1">
        <f t="array" ref="M190">EstymacjaGaussowska($K190,$C$2:$C$151)</f>
        <v>0.75866763301002049</v>
      </c>
      <c r="N190" cm="1">
        <f t="array" ref="N190">EstymacjaGaussowska($K190,$C$2:$C$151,$N$2)</f>
        <v>0.50017769053059058</v>
      </c>
      <c r="O190" cm="1">
        <f t="array" ref="O190">EstymacjaGaussowska($K190,$C$2:$C$151,$O$2)</f>
        <v>0.61995378604093376</v>
      </c>
      <c r="P190" cm="1">
        <f t="array" ref="P190">EstymacjaGaussowska($K190,$C$2:$C$151,$P$2)</f>
        <v>7.9441014004850846E-2</v>
      </c>
      <c r="R190" cm="1">
        <f t="array" ref="R190">EstymacjaEpanecznikowa($K190,$C$2:$C$151,R$2)</f>
        <v>0.78611045815173552</v>
      </c>
      <c r="S190" cm="1">
        <f t="array" ref="S190">EstymacjaEpanecznikowa($K190,$C$2:$C$151,S$2)</f>
        <v>0.47900362344080533</v>
      </c>
      <c r="T190" cm="1">
        <f t="array" ref="T190">EstymacjaEpanecznikowa($K190,$C$2:$C$151,T$2)</f>
        <v>0.59486947994028017</v>
      </c>
    </row>
    <row r="191" spans="10:20" x14ac:dyDescent="0.25">
      <c r="J191">
        <v>189</v>
      </c>
      <c r="K191">
        <f t="shared" si="5"/>
        <v>4.3204013377926325</v>
      </c>
      <c r="L191">
        <f t="shared" si="4"/>
        <v>0.84198969135441293</v>
      </c>
      <c r="M191" cm="1">
        <f t="array" ref="M191">EstymacjaGaussowska($K191,$C$2:$C$151)</f>
        <v>0.76102014821985831</v>
      </c>
      <c r="N191" cm="1">
        <f t="array" ref="N191">EstymacjaGaussowska($K191,$C$2:$C$151,$N$2)</f>
        <v>0.51036267496612875</v>
      </c>
      <c r="O191" cm="1">
        <f t="array" ref="O191">EstymacjaGaussowska($K191,$C$2:$C$151,$O$2)</f>
        <v>0.62035649578101415</v>
      </c>
      <c r="P191" cm="1">
        <f t="array" ref="P191">EstymacjaGaussowska($K191,$C$2:$C$151,$P$2)</f>
        <v>7.9439781397666928E-2</v>
      </c>
      <c r="R191" cm="1">
        <f t="array" ref="R191">EstymacjaEpanecznikowa($K191,$C$2:$C$151,R$2)</f>
        <v>0.78827613568649113</v>
      </c>
      <c r="S191" cm="1">
        <f t="array" ref="S191">EstymacjaEpanecznikowa($K191,$C$2:$C$151,S$2)</f>
        <v>0.52403182611278998</v>
      </c>
      <c r="T191" cm="1">
        <f t="array" ref="T191">EstymacjaEpanecznikowa($K191,$C$2:$C$151,T$2)</f>
        <v>0.594974165806335</v>
      </c>
    </row>
    <row r="192" spans="10:20" x14ac:dyDescent="0.25">
      <c r="J192">
        <v>190</v>
      </c>
      <c r="K192">
        <f t="shared" si="5"/>
        <v>4.3274247491638702</v>
      </c>
      <c r="L192">
        <f t="shared" si="4"/>
        <v>0.84027978689605498</v>
      </c>
      <c r="M192" cm="1">
        <f t="array" ref="M192">EstymacjaGaussowska($K192,$C$2:$C$151)</f>
        <v>0.76330891863412753</v>
      </c>
      <c r="N192" cm="1">
        <f t="array" ref="N192">EstymacjaGaussowska($K192,$C$2:$C$151,$N$2)</f>
        <v>0.52490598595324478</v>
      </c>
      <c r="O192" cm="1">
        <f t="array" ref="O192">EstymacjaGaussowska($K192,$C$2:$C$151,$O$2)</f>
        <v>0.62068414215893952</v>
      </c>
      <c r="P192" cm="1">
        <f t="array" ref="P192">EstymacjaGaussowska($K192,$C$2:$C$151,$P$2)</f>
        <v>7.9438393411643243E-2</v>
      </c>
      <c r="R192" cm="1">
        <f t="array" ref="R192">EstymacjaEpanecznikowa($K192,$C$2:$C$151,R$2)</f>
        <v>0.79001625038629619</v>
      </c>
      <c r="S192" cm="1">
        <f t="array" ref="S192">EstymacjaEpanecznikowa($K192,$C$2:$C$151,S$2)</f>
        <v>0.5627066653618531</v>
      </c>
      <c r="T192" cm="1">
        <f t="array" ref="T192">EstymacjaEpanecznikowa($K192,$C$2:$C$151,T$2)</f>
        <v>0.59501058279244545</v>
      </c>
    </row>
    <row r="193" spans="10:20" x14ac:dyDescent="0.25">
      <c r="J193">
        <v>191</v>
      </c>
      <c r="K193">
        <f t="shared" si="5"/>
        <v>4.334448160535108</v>
      </c>
      <c r="L193">
        <f t="shared" si="4"/>
        <v>0.8383860463530759</v>
      </c>
      <c r="M193" cm="1">
        <f t="array" ref="M193">EstymacjaGaussowska($K193,$C$2:$C$151)</f>
        <v>0.76552948330001647</v>
      </c>
      <c r="N193" cm="1">
        <f t="array" ref="N193">EstymacjaGaussowska($K193,$C$2:$C$151,$N$2)</f>
        <v>0.54382815133278606</v>
      </c>
      <c r="O193" cm="1">
        <f t="array" ref="O193">EstymacjaGaussowska($K193,$C$2:$C$151,$O$2)</f>
        <v>0.62093632926746689</v>
      </c>
      <c r="P193" cm="1">
        <f t="array" ref="P193">EstymacjaGaussowska($K193,$C$2:$C$151,$P$2)</f>
        <v>7.9436850054821789E-2</v>
      </c>
      <c r="R193" cm="1">
        <f t="array" ref="R193">EstymacjaEpanecznikowa($K193,$C$2:$C$151,R$2)</f>
        <v>0.79133080225115071</v>
      </c>
      <c r="S193" cm="1">
        <f t="array" ref="S193">EstymacjaEpanecznikowa($K193,$C$2:$C$151,S$2)</f>
        <v>0.59502814118799419</v>
      </c>
      <c r="T193" cm="1">
        <f t="array" ref="T193">EstymacjaEpanecznikowa($K193,$C$2:$C$151,T$2)</f>
        <v>0.59497873089861097</v>
      </c>
    </row>
    <row r="194" spans="10:20" x14ac:dyDescent="0.25">
      <c r="J194">
        <v>192</v>
      </c>
      <c r="K194">
        <f t="shared" si="5"/>
        <v>4.3414715719063457</v>
      </c>
      <c r="L194">
        <f t="shared" si="4"/>
        <v>0.83630972907742884</v>
      </c>
      <c r="M194" cm="1">
        <f t="array" ref="M194">EstymacjaGaussowska($K194,$C$2:$C$151)</f>
        <v>0.76767708759893849</v>
      </c>
      <c r="N194" cm="1">
        <f t="array" ref="N194">EstymacjaGaussowska($K194,$C$2:$C$151,$N$2)</f>
        <v>0.56698406956052683</v>
      </c>
      <c r="O194" cm="1">
        <f t="array" ref="O194">EstymacjaGaussowska($K194,$C$2:$C$151,$O$2)</f>
        <v>0.6211126881049589</v>
      </c>
      <c r="P194" cm="1">
        <f t="array" ref="P194">EstymacjaGaussowska($K194,$C$2:$C$151,$P$2)</f>
        <v>7.9435151336156556E-2</v>
      </c>
      <c r="R194" cm="1">
        <f t="array" ref="R194">EstymacjaEpanecznikowa($K194,$C$2:$C$151,R$2)</f>
        <v>0.79221979128105446</v>
      </c>
      <c r="S194" cm="1">
        <f t="array" ref="S194">EstymacjaEpanecznikowa($K194,$C$2:$C$151,S$2)</f>
        <v>0.62099625359121369</v>
      </c>
      <c r="T194" cm="1">
        <f t="array" ref="T194">EstymacjaEpanecznikowa($K194,$C$2:$C$151,T$2)</f>
        <v>0.5948786101248319</v>
      </c>
    </row>
    <row r="195" spans="10:20" x14ac:dyDescent="0.25">
      <c r="J195">
        <v>193</v>
      </c>
      <c r="K195">
        <f t="shared" si="5"/>
        <v>4.3484949832775834</v>
      </c>
      <c r="L195">
        <f t="shared" si="4"/>
        <v>0.83405221363983606</v>
      </c>
      <c r="M195" cm="1">
        <f t="array" ref="M195">EstymacjaGaussowska($K195,$C$2:$C$151)</f>
        <v>0.76974670238796605</v>
      </c>
      <c r="N195" cm="1">
        <f t="array" ref="N195">EstymacjaGaussowska($K195,$C$2:$C$151,$N$2)</f>
        <v>0.59399849413722761</v>
      </c>
      <c r="O195" cm="1">
        <f t="array" ref="O195">EstymacjaGaussowska($K195,$C$2:$C$151,$O$2)</f>
        <v>0.62121287697466598</v>
      </c>
      <c r="P195" cm="1">
        <f t="array" ref="P195">EstymacjaGaussowska($K195,$C$2:$C$151,$P$2)</f>
        <v>7.9433297265512876E-2</v>
      </c>
      <c r="R195" cm="1">
        <f t="array" ref="R195">EstymacjaEpanecznikowa($K195,$C$2:$C$151,R$2)</f>
        <v>0.79268321747600723</v>
      </c>
      <c r="S195" cm="1">
        <f t="array" ref="S195">EstymacjaEpanecznikowa($K195,$C$2:$C$151,S$2)</f>
        <v>0.64061100257151116</v>
      </c>
      <c r="T195" cm="1">
        <f t="array" ref="T195">EstymacjaEpanecznikowa($K195,$C$2:$C$151,T$2)</f>
        <v>0.59471022047110911</v>
      </c>
    </row>
    <row r="196" spans="10:20" x14ac:dyDescent="0.25">
      <c r="J196">
        <v>194</v>
      </c>
      <c r="K196">
        <f t="shared" si="5"/>
        <v>4.3555183946488212</v>
      </c>
      <c r="L196">
        <f t="shared" ref="L196:L259" si="6">_xlfn.NORM.DIST(K196,$H$2,$H$3,FALSE)</f>
        <v>0.83161499630445068</v>
      </c>
      <c r="M196" cm="1">
        <f t="array" ref="M196">EstymacjaGaussowska($K196,$C$2:$C$151)</f>
        <v>0.77173304488879646</v>
      </c>
      <c r="N196" cm="1">
        <f t="array" ref="N196">EstymacjaGaussowska($K196,$C$2:$C$151,$N$2)</f>
        <v>0.62424095045116434</v>
      </c>
      <c r="O196" cm="1">
        <f t="array" ref="O196">EstymacjaGaussowska($K196,$C$2:$C$151,$O$2)</f>
        <v>0.62123658187023445</v>
      </c>
      <c r="P196" cm="1">
        <f t="array" ref="P196">EstymacjaGaussowska($K196,$C$2:$C$151,$P$2)</f>
        <v>7.9431287853667612E-2</v>
      </c>
      <c r="R196" cm="1">
        <f t="array" ref="R196">EstymacjaEpanecznikowa($K196,$C$2:$C$151,R$2)</f>
        <v>0.79272108083600989</v>
      </c>
      <c r="S196" cm="1">
        <f t="array" ref="S196">EstymacjaEpanecznikowa($K196,$C$2:$C$151,S$2)</f>
        <v>0.65387238812888682</v>
      </c>
      <c r="T196" cm="1">
        <f t="array" ref="T196">EstymacjaEpanecznikowa($K196,$C$2:$C$151,T$2)</f>
        <v>0.59447356193744127</v>
      </c>
    </row>
    <row r="197" spans="10:20" x14ac:dyDescent="0.25">
      <c r="J197">
        <v>195</v>
      </c>
      <c r="K197">
        <f t="shared" ref="K197:K260" si="7">K196+$H$11</f>
        <v>4.3625418060200589</v>
      </c>
      <c r="L197">
        <f t="shared" si="6"/>
        <v>0.82899968937620405</v>
      </c>
      <c r="M197" cm="1">
        <f t="array" ref="M197">EstymacjaGaussowska($K197,$C$2:$C$151)</f>
        <v>0.77363060119366256</v>
      </c>
      <c r="N197" cm="1">
        <f t="array" ref="N197">EstymacjaGaussowska($K197,$C$2:$C$151,$N$2)</f>
        <v>0.65685334021730846</v>
      </c>
      <c r="O197" cm="1">
        <f t="array" ref="O197">EstymacjaGaussowska($K197,$C$2:$C$151,$O$2)</f>
        <v>0.62118351684696027</v>
      </c>
      <c r="P197" cm="1">
        <f t="array" ref="P197">EstymacjaGaussowska($K197,$C$2:$C$151,$P$2)</f>
        <v>7.9429123112309097E-2</v>
      </c>
      <c r="R197" cm="1">
        <f t="array" ref="R197">EstymacjaEpanecznikowa($K197,$C$2:$C$151,R$2)</f>
        <v>0.79233338136106157</v>
      </c>
      <c r="S197" cm="1">
        <f t="array" ref="S197">EstymacjaEpanecznikowa($K197,$C$2:$C$151,S$2)</f>
        <v>0.66078041026334078</v>
      </c>
      <c r="T197" cm="1">
        <f t="array" ref="T197">EstymacjaEpanecznikowa($K197,$C$2:$C$151,T$2)</f>
        <v>0.59416863452382895</v>
      </c>
    </row>
    <row r="198" spans="10:20" x14ac:dyDescent="0.25">
      <c r="J198">
        <v>196</v>
      </c>
      <c r="K198">
        <f t="shared" si="7"/>
        <v>4.3695652173912967</v>
      </c>
      <c r="L198">
        <f t="shared" si="6"/>
        <v>0.82620801942339561</v>
      </c>
      <c r="M198" cm="1">
        <f t="array" ref="M198">EstymacjaGaussowska($K198,$C$2:$C$151)</f>
        <v>0.77543365024831856</v>
      </c>
      <c r="N198" cm="1">
        <f t="array" ref="N198">EstymacjaGaussowska($K198,$C$2:$C$151,$N$2)</f>
        <v>0.69083262483945163</v>
      </c>
      <c r="O198" cm="1">
        <f t="array" ref="O198">EstymacjaGaussowska($K198,$C$2:$C$151,$O$2)</f>
        <v>0.62105342437828559</v>
      </c>
      <c r="P198" cm="1">
        <f t="array" ref="P198">EstymacjaGaussowska($K198,$C$2:$C$151,$P$2)</f>
        <v>7.9426803054036821E-2</v>
      </c>
      <c r="R198" cm="1">
        <f t="array" ref="R198">EstymacjaEpanecznikowa($K198,$C$2:$C$151,R$2)</f>
        <v>0.79152011905116226</v>
      </c>
      <c r="S198" cm="1">
        <f t="array" ref="S198">EstymacjaEpanecznikowa($K198,$C$2:$C$151,S$2)</f>
        <v>0.66133506897487293</v>
      </c>
      <c r="T198" cm="1">
        <f t="array" ref="T198">EstymacjaEpanecznikowa($K198,$C$2:$C$151,T$2)</f>
        <v>0.59379543823027248</v>
      </c>
    </row>
    <row r="199" spans="10:20" x14ac:dyDescent="0.25">
      <c r="J199">
        <v>197</v>
      </c>
      <c r="K199">
        <f t="shared" si="7"/>
        <v>4.3765886287625344</v>
      </c>
      <c r="L199">
        <f t="shared" si="6"/>
        <v>0.8232418253782654</v>
      </c>
      <c r="M199" cm="1">
        <f t="array" ref="M199">EstymacjaGaussowska($K199,$C$2:$C$151)</f>
        <v>0.77713628916396127</v>
      </c>
      <c r="N199" cm="1">
        <f t="array" ref="N199">EstymacjaGaussowska($K199,$C$2:$C$151,$N$2)</f>
        <v>0.72515872443879936</v>
      </c>
      <c r="O199" cm="1">
        <f t="array" ref="O199">EstymacjaGaussowska($K199,$C$2:$C$151,$O$2)</f>
        <v>0.62084607569705508</v>
      </c>
      <c r="P199" cm="1">
        <f t="array" ref="P199">EstymacjaGaussowska($K199,$C$2:$C$151,$P$2)</f>
        <v>7.9424327692361435E-2</v>
      </c>
      <c r="R199" cm="1">
        <f t="array" ref="R199">EstymacjaEpanecznikowa($K199,$C$2:$C$151,R$2)</f>
        <v>0.79028129390631296</v>
      </c>
      <c r="S199" cm="1">
        <f t="array" ref="S199">EstymacjaEpanecznikowa($K199,$C$2:$C$151,S$2)</f>
        <v>0.65553636426348327</v>
      </c>
      <c r="T199" cm="1">
        <f t="array" ref="T199">EstymacjaEpanecznikowa($K199,$C$2:$C$151,T$2)</f>
        <v>0.59335397305677107</v>
      </c>
    </row>
    <row r="200" spans="10:20" x14ac:dyDescent="0.25">
      <c r="J200">
        <v>198</v>
      </c>
      <c r="K200">
        <f t="shared" si="7"/>
        <v>4.3836120401337721</v>
      </c>
      <c r="L200">
        <f t="shared" si="6"/>
        <v>0.8201030565184767</v>
      </c>
      <c r="M200" cm="1">
        <f t="array" ref="M200">EstymacjaGaussowska($K200,$C$2:$C$151)</f>
        <v>0.77873245970279314</v>
      </c>
      <c r="N200" cm="1">
        <f t="array" ref="N200">EstymacjaGaussowska($K200,$C$2:$C$151,$N$2)</f>
        <v>0.75894656044219033</v>
      </c>
      <c r="O200" cm="1">
        <f t="array" ref="O200">EstymacjaGaussowska($K200,$C$2:$C$151,$O$2)</f>
        <v>0.6205612711210563</v>
      </c>
      <c r="P200" cm="1">
        <f t="array" ref="P200">EstymacjaGaussowska($K200,$C$2:$C$151,$P$2)</f>
        <v>7.9421697041704625E-2</v>
      </c>
      <c r="R200" cm="1">
        <f t="array" ref="R200">EstymacjaEpanecznikowa($K200,$C$2:$C$151,R$2)</f>
        <v>0.78861690592651246</v>
      </c>
      <c r="S200" cm="1">
        <f t="array" ref="S200">EstymacjaEpanecznikowa($K200,$C$2:$C$151,S$2)</f>
        <v>0.64338429612917192</v>
      </c>
      <c r="T200" cm="1">
        <f t="array" ref="T200">EstymacjaEpanecznikowa($K200,$C$2:$C$151,T$2)</f>
        <v>0.59284423900332506</v>
      </c>
    </row>
    <row r="201" spans="10:20" x14ac:dyDescent="0.25">
      <c r="J201">
        <v>199</v>
      </c>
      <c r="K201">
        <f t="shared" si="7"/>
        <v>4.3906354515050099</v>
      </c>
      <c r="L201">
        <f t="shared" si="6"/>
        <v>0.81679377033260914</v>
      </c>
      <c r="M201" cm="1">
        <f t="array" ref="M201">EstymacjaGaussowska($K201,$C$2:$C$151)</f>
        <v>0.78021597577592916</v>
      </c>
      <c r="N201" cm="1">
        <f t="array" ref="N201">EstymacjaGaussowska($K201,$C$2:$C$151,$N$2)</f>
        <v>0.79159338927822098</v>
      </c>
      <c r="O201" cm="1">
        <f t="array" ref="O201">EstymacjaGaussowska($K201,$C$2:$C$151,$O$2)</f>
        <v>0.62019884036235473</v>
      </c>
      <c r="P201" cm="1">
        <f t="array" ref="P201">EstymacjaGaussowska($K201,$C$2:$C$151,$P$2)</f>
        <v>7.9418911117398863E-2</v>
      </c>
      <c r="R201" cm="1">
        <f t="array" ref="R201">EstymacjaEpanecznikowa($K201,$C$2:$C$151,R$2)</f>
        <v>0.78652695511176174</v>
      </c>
      <c r="S201" cm="1">
        <f t="array" ref="S201">EstymacjaEpanecznikowa($K201,$C$2:$C$151,S$2)</f>
        <v>0.66540466717259628</v>
      </c>
      <c r="T201" cm="1">
        <f t="array" ref="T201">EstymacjaEpanecznikowa($K201,$C$2:$C$151,T$2)</f>
        <v>0.59226623606993467</v>
      </c>
    </row>
    <row r="202" spans="10:20" x14ac:dyDescent="0.25">
      <c r="J202">
        <v>200</v>
      </c>
      <c r="K202">
        <f t="shared" si="7"/>
        <v>4.3976588628762476</v>
      </c>
      <c r="L202">
        <f t="shared" si="6"/>
        <v>0.8133161302729337</v>
      </c>
      <c r="M202" cm="1">
        <f t="array" ref="M202">EstymacjaGaussowska($K202,$C$2:$C$151)</f>
        <v>0.78158055178750152</v>
      </c>
      <c r="N202" cm="1">
        <f t="array" ref="N202">EstymacjaGaussowska($K202,$C$2:$C$151,$N$2)</f>
        <v>0.82289008090675853</v>
      </c>
      <c r="O202" cm="1">
        <f t="array" ref="O202">EstymacjaGaussowska($K202,$C$2:$C$151,$O$2)</f>
        <v>0.61975864281996751</v>
      </c>
      <c r="P202" cm="1">
        <f t="array" ref="P202">EstymacjaGaussowska($K202,$C$2:$C$151,$P$2)</f>
        <v>7.9415969935687419E-2</v>
      </c>
      <c r="R202" cm="1">
        <f t="array" ref="R202">EstymacjaEpanecznikowa($K202,$C$2:$C$151,R$2)</f>
        <v>0.78562022389990771</v>
      </c>
      <c r="S202" cm="1">
        <f t="array" ref="S202">EstymacjaEpanecznikowa($K202,$C$2:$C$151,S$2)</f>
        <v>0.75225917904548545</v>
      </c>
      <c r="T202" cm="1">
        <f t="array" ref="T202">EstymacjaEpanecznikowa($K202,$C$2:$C$151,T$2)</f>
        <v>0.59161996425659991</v>
      </c>
    </row>
    <row r="203" spans="10:20" x14ac:dyDescent="0.25">
      <c r="J203">
        <v>201</v>
      </c>
      <c r="K203">
        <f t="shared" si="7"/>
        <v>4.4046822742474854</v>
      </c>
      <c r="L203">
        <f t="shared" si="6"/>
        <v>0.80967240339890334</v>
      </c>
      <c r="M203" cm="1">
        <f t="array" ref="M203">EstymacjaGaussowska($K203,$C$2:$C$151)</f>
        <v>0.78281983165518276</v>
      </c>
      <c r="N203" cm="1">
        <f t="array" ref="N203">EstymacjaGaussowska($K203,$C$2:$C$151,$N$2)</f>
        <v>0.85306871966646503</v>
      </c>
      <c r="O203" cm="1">
        <f t="array" ref="O203">EstymacjaGaussowska($K203,$C$2:$C$151,$O$2)</f>
        <v>0.61924056785540882</v>
      </c>
      <c r="P203" cm="1">
        <f t="array" ref="P203">EstymacjaGaussowska($K203,$C$2:$C$151,$P$2)</f>
        <v>7.9412873513724128E-2</v>
      </c>
      <c r="R203" cm="1">
        <f t="array" ref="R203">EstymacjaEpanecznikowa($K203,$C$2:$C$151,R$2)</f>
        <v>0.78426994182209497</v>
      </c>
      <c r="S203" cm="1">
        <f t="array" ref="S203">EstymacjaEpanecznikowa($K203,$C$2:$C$151,S$2)</f>
        <v>0.8253480701687107</v>
      </c>
      <c r="T203" cm="1">
        <f t="array" ref="T203">EstymacjaEpanecznikowa($K203,$C$2:$C$151,T$2)</f>
        <v>0.59090542356332043</v>
      </c>
    </row>
    <row r="204" spans="10:20" x14ac:dyDescent="0.25">
      <c r="J204">
        <v>202</v>
      </c>
      <c r="K204">
        <f t="shared" si="7"/>
        <v>4.4117056856187231</v>
      </c>
      <c r="L204">
        <f t="shared" si="6"/>
        <v>0.80586495791495627</v>
      </c>
      <c r="M204" cm="1">
        <f t="array" ref="M204">EstymacjaGaussowska($K204,$C$2:$C$151)</f>
        <v>0.78392741833489943</v>
      </c>
      <c r="N204" cm="1">
        <f t="array" ref="N204">EstymacjaGaussowska($K204,$C$2:$C$151,$N$2)</f>
        <v>0.88276860117047951</v>
      </c>
      <c r="O204" cm="1">
        <f t="array" ref="O204">EstymacjaGaussowska($K204,$C$2:$C$151,$O$2)</f>
        <v>0.61864453505064521</v>
      </c>
      <c r="P204" cm="1">
        <f t="array" ref="P204">EstymacjaGaussowska($K204,$C$2:$C$151,$P$2)</f>
        <v>7.940962186957308E-2</v>
      </c>
      <c r="R204" cm="1">
        <f t="array" ref="R204">EstymacjaEpanecznikowa($K204,$C$2:$C$151,R$2)</f>
        <v>0.78329237612482694</v>
      </c>
      <c r="S204" cm="1">
        <f t="array" ref="S204">EstymacjaEpanecznikowa($K204,$C$2:$C$151,S$2)</f>
        <v>0.88467134054227237</v>
      </c>
      <c r="T204" cm="1">
        <f t="array" ref="T204">EstymacjaEpanecznikowa($K204,$C$2:$C$151,T$2)</f>
        <v>0.59012261399009658</v>
      </c>
    </row>
    <row r="205" spans="10:20" x14ac:dyDescent="0.25">
      <c r="J205">
        <v>203</v>
      </c>
      <c r="K205">
        <f t="shared" si="7"/>
        <v>4.4187290969899609</v>
      </c>
      <c r="L205">
        <f t="shared" si="6"/>
        <v>0.80189626060636821</v>
      </c>
      <c r="M205" cm="1">
        <f t="array" ref="M205">EstymacjaGaussowska($K205,$C$2:$C$151)</f>
        <v>0.78489690367629039</v>
      </c>
      <c r="N205" cm="1">
        <f t="array" ref="N205">EstymacjaGaussowska($K205,$C$2:$C$151,$N$2)</f>
        <v>0.91291691191382807</v>
      </c>
      <c r="O205" cm="1">
        <f t="array" ref="O205">EstymacjaGaussowska($K205,$C$2:$C$151,$O$2)</f>
        <v>0.61797049444803331</v>
      </c>
      <c r="P205" cm="1">
        <f t="array" ref="P205">EstymacjaGaussowska($K205,$C$2:$C$151,$P$2)</f>
        <v>7.9406215022208765E-2</v>
      </c>
      <c r="R205" cm="1">
        <f t="array" ref="R205">EstymacjaEpanecznikowa($K205,$C$2:$C$151,R$2)</f>
        <v>0.78351075705328888</v>
      </c>
      <c r="S205" cm="1">
        <f t="array" ref="S205">EstymacjaEpanecznikowa($K205,$C$2:$C$151,S$2)</f>
        <v>0.96450197624245415</v>
      </c>
      <c r="T205" cm="1">
        <f t="array" ref="T205">EstymacjaEpanecznikowa($K205,$C$2:$C$151,T$2)</f>
        <v>0.58927153553692813</v>
      </c>
    </row>
    <row r="206" spans="10:20" x14ac:dyDescent="0.25">
      <c r="J206">
        <v>204</v>
      </c>
      <c r="K206">
        <f t="shared" si="7"/>
        <v>4.4257525083611986</v>
      </c>
      <c r="L206">
        <f t="shared" si="6"/>
        <v>0.79776887417704279</v>
      </c>
      <c r="M206" cm="1">
        <f t="array" ref="M206">EstymacjaGaussowska($K206,$C$2:$C$151)</f>
        <v>0.78572189843543028</v>
      </c>
      <c r="N206" cm="1">
        <f t="array" ref="N206">EstymacjaGaussowska($K206,$C$2:$C$151,$N$2)</f>
        <v>0.94453664551394045</v>
      </c>
      <c r="O206" cm="1">
        <f t="array" ref="O206">EstymacjaGaussowska($K206,$C$2:$C$151,$O$2)</f>
        <v>0.61721842677178862</v>
      </c>
      <c r="P206" cm="1">
        <f t="array" ref="P206">EstymacjaGaussowska($K206,$C$2:$C$151,$P$2)</f>
        <v>7.9402652991515721E-2</v>
      </c>
      <c r="R206" cm="1">
        <f t="array" ref="R206">EstymacjaEpanecznikowa($K206,$C$2:$C$151,R$2)</f>
        <v>0.78331477416877238</v>
      </c>
      <c r="S206" cm="1">
        <f t="array" ref="S206">EstymacjaEpanecznikowa($K206,$C$2:$C$151,S$2)</f>
        <v>1.0331535976734769</v>
      </c>
      <c r="T206" cm="1">
        <f t="array" ref="T206">EstymacjaEpanecznikowa($K206,$C$2:$C$151,T$2)</f>
        <v>0.58835218820381541</v>
      </c>
    </row>
    <row r="207" spans="10:20" x14ac:dyDescent="0.25">
      <c r="J207">
        <v>205</v>
      </c>
      <c r="K207">
        <f t="shared" si="7"/>
        <v>4.4327759197324363</v>
      </c>
      <c r="L207">
        <f t="shared" si="6"/>
        <v>0.79348545449325913</v>
      </c>
      <c r="M207" cm="1">
        <f t="array" ref="M207">EstymacjaGaussowska($K207,$C$2:$C$151)</f>
        <v>0.78639606227250114</v>
      </c>
      <c r="N207" cm="1">
        <f t="array" ref="N207">EstymacjaGaussowska($K207,$C$2:$C$151,$N$2)</f>
        <v>0.97850958254279452</v>
      </c>
      <c r="O207" cm="1">
        <f t="array" ref="O207">EstymacjaGaussowska($K207,$C$2:$C$151,$O$2)</f>
        <v>0.6163883436305756</v>
      </c>
      <c r="P207" cm="1">
        <f t="array" ref="P207">EstymacjaGaussowska($K207,$C$2:$C$151,$P$2)</f>
        <v>7.9398935798288051E-2</v>
      </c>
      <c r="R207" cm="1">
        <f t="array" ref="R207">EstymacjaEpanecznikowa($K207,$C$2:$C$151,R$2)</f>
        <v>0.78270442747127777</v>
      </c>
      <c r="S207" cm="1">
        <f t="array" ref="S207">EstymacjaEpanecznikowa($K207,$C$2:$C$151,S$2)</f>
        <v>1.0901573861624763</v>
      </c>
      <c r="T207" cm="1">
        <f t="array" ref="T207">EstymacjaEpanecznikowa($K207,$C$2:$C$151,T$2)</f>
        <v>0.58736457199075753</v>
      </c>
    </row>
    <row r="208" spans="10:20" x14ac:dyDescent="0.25">
      <c r="J208">
        <v>206</v>
      </c>
      <c r="K208">
        <f t="shared" si="7"/>
        <v>4.4397993311036741</v>
      </c>
      <c r="L208">
        <f t="shared" si="6"/>
        <v>0.7890487477375232</v>
      </c>
      <c r="M208" cm="1">
        <f t="array" ref="M208">EstymacjaGaussowska($K208,$C$2:$C$151)</f>
        <v>0.78691313356438386</v>
      </c>
      <c r="N208" cm="1">
        <f t="array" ref="N208">EstymacjaGaussowska($K208,$C$2:$C$151,$N$2)</f>
        <v>1.0153333729398291</v>
      </c>
      <c r="O208" cm="1">
        <f t="array" ref="O208">EstymacjaGaussowska($K208,$C$2:$C$151,$O$2)</f>
        <v>0.61548028770079977</v>
      </c>
      <c r="P208" cm="1">
        <f t="array" ref="P208">EstymacjaGaussowska($K208,$C$2:$C$151,$P$2)</f>
        <v>7.939506346422967E-2</v>
      </c>
      <c r="R208" cm="1">
        <f t="array" ref="R208">EstymacjaEpanecznikowa($K208,$C$2:$C$151,R$2)</f>
        <v>0.78167971696080485</v>
      </c>
      <c r="S208" cm="1">
        <f t="array" ref="S208">EstymacjaEpanecznikowa($K208,$C$2:$C$151,S$2)</f>
        <v>1.1355133417094525</v>
      </c>
      <c r="T208" cm="1">
        <f t="array" ref="T208">EstymacjaEpanecznikowa($K208,$C$2:$C$151,T$2)</f>
        <v>0.58630868689775573</v>
      </c>
    </row>
    <row r="209" spans="10:20" x14ac:dyDescent="0.25">
      <c r="J209">
        <v>207</v>
      </c>
      <c r="K209">
        <f t="shared" si="7"/>
        <v>4.4468227424749118</v>
      </c>
      <c r="L209">
        <f t="shared" si="6"/>
        <v>0.78446158747679007</v>
      </c>
      <c r="M209" cm="1">
        <f t="array" ref="M209">EstymacjaGaussowska($K209,$C$2:$C$151)</f>
        <v>0.78726695886560172</v>
      </c>
      <c r="N209" cm="1">
        <f t="array" ref="N209">EstymacjaGaussowska($K209,$C$2:$C$151,$N$2)</f>
        <v>1.0549164367777111</v>
      </c>
      <c r="O209" cm="1">
        <f t="array" ref="O209">EstymacjaGaussowska($K209,$C$2:$C$151,$O$2)</f>
        <v>0.61449433289020727</v>
      </c>
      <c r="P209" cm="1">
        <f t="array" ref="P209">EstymacjaGaussowska($K209,$C$2:$C$151,$P$2)</f>
        <v>7.9391036011954075E-2</v>
      </c>
      <c r="R209" cm="1">
        <f t="array" ref="R209">EstymacjaEpanecznikowa($K209,$C$2:$C$151,R$2)</f>
        <v>0.78024064263735371</v>
      </c>
      <c r="S209" cm="1">
        <f t="array" ref="S209">EstymacjaEpanecznikowa($K209,$C$2:$C$151,S$2)</f>
        <v>1.1692214643144057</v>
      </c>
      <c r="T209" cm="1">
        <f t="array" ref="T209">EstymacjaEpanecznikowa($K209,$C$2:$C$151,T$2)</f>
        <v>0.58518453292480921</v>
      </c>
    </row>
    <row r="210" spans="10:20" x14ac:dyDescent="0.25">
      <c r="J210">
        <v>208</v>
      </c>
      <c r="K210">
        <f t="shared" si="7"/>
        <v>4.4538461538461496</v>
      </c>
      <c r="L210">
        <f t="shared" si="6"/>
        <v>0.77972689164943632</v>
      </c>
      <c r="M210" cm="1">
        <f t="array" ref="M210">EstymacjaGaussowska($K210,$C$2:$C$151)</f>
        <v>0.7874515218555237</v>
      </c>
      <c r="N210" cm="1">
        <f t="array" ref="N210">EstymacjaGaussowska($K210,$C$2:$C$151,$N$2)</f>
        <v>1.0964511908137089</v>
      </c>
      <c r="O210" cm="1">
        <f t="array" ref="O210">EstymacjaGaussowska($K210,$C$2:$C$151,$O$2)</f>
        <v>0.6134305844814093</v>
      </c>
      <c r="P210" cm="1">
        <f t="array" ref="P210">EstymacjaGaussowska($K210,$C$2:$C$151,$P$2)</f>
        <v>7.9386853464983725E-2</v>
      </c>
      <c r="R210" cm="1">
        <f t="array" ref="R210">EstymacjaEpanecznikowa($K210,$C$2:$C$151,R$2)</f>
        <v>0.77838720450092425</v>
      </c>
      <c r="S210" cm="1">
        <f t="array" ref="S210">EstymacjaEpanecznikowa($K210,$C$2:$C$151,S$2)</f>
        <v>1.191281753977335</v>
      </c>
      <c r="T210" cm="1">
        <f t="array" ref="T210">EstymacjaEpanecznikowa($K210,$C$2:$C$151,T$2)</f>
        <v>0.58399211007191831</v>
      </c>
    </row>
    <row r="211" spans="10:20" x14ac:dyDescent="0.25">
      <c r="J211">
        <v>209</v>
      </c>
      <c r="K211">
        <f t="shared" si="7"/>
        <v>4.4608695652173873</v>
      </c>
      <c r="L211">
        <f t="shared" si="6"/>
        <v>0.77484765947545986</v>
      </c>
      <c r="M211" cm="1">
        <f t="array" ref="M211">EstymacjaGaussowska($K211,$C$2:$C$151)</f>
        <v>0.78746097161527329</v>
      </c>
      <c r="N211" cm="1">
        <f t="array" ref="N211">EstymacjaGaussowska($K211,$C$2:$C$151,$N$2)</f>
        <v>1.1383951275173299</v>
      </c>
      <c r="O211" cm="1">
        <f t="array" ref="O211">EstymacjaGaussowska($K211,$C$2:$C$151,$O$2)</f>
        <v>0.61228917925495807</v>
      </c>
      <c r="P211" cm="1">
        <f t="array" ref="P211">EstymacjaGaussowska($K211,$C$2:$C$151,$P$2)</f>
        <v>7.9382515847750121E-2</v>
      </c>
      <c r="R211" cm="1">
        <f t="array" ref="R211">EstymacjaEpanecznikowa($K211,$C$2:$C$151,R$2)</f>
        <v>0.77611940255151646</v>
      </c>
      <c r="S211" cm="1">
        <f t="array" ref="S211">EstymacjaEpanecznikowa($K211,$C$2:$C$151,S$2)</f>
        <v>1.2016942106982416</v>
      </c>
      <c r="T211" cm="1">
        <f t="array" ref="T211">EstymacjaEpanecznikowa($K211,$C$2:$C$151,T$2)</f>
        <v>0.58273141833908271</v>
      </c>
    </row>
    <row r="212" spans="10:20" x14ac:dyDescent="0.25">
      <c r="J212">
        <v>210</v>
      </c>
      <c r="K212">
        <f t="shared" si="7"/>
        <v>4.4678929765886251</v>
      </c>
      <c r="L212">
        <f t="shared" si="6"/>
        <v>0.76982696829448627</v>
      </c>
      <c r="M212" cm="1">
        <f t="array" ref="M212">EstymacjaGaussowska($K212,$C$2:$C$151)</f>
        <v>0.7872896500842792</v>
      </c>
      <c r="N212" cm="1">
        <f t="array" ref="N212">EstymacjaGaussowska($K212,$C$2:$C$151,$N$2)</f>
        <v>1.1785721574714181</v>
      </c>
      <c r="O212" cm="1">
        <f t="array" ref="O212">EstymacjaGaussowska($K212,$C$2:$C$151,$O$2)</f>
        <v>0.61107028559162635</v>
      </c>
      <c r="P212" cm="1">
        <f t="array" ref="P212">EstymacjaGaussowska($K212,$C$2:$C$151,$P$2)</f>
        <v>7.9378023185593588E-2</v>
      </c>
      <c r="R212" cm="1">
        <f t="array" ref="R212">EstymacjaEpanecznikowa($K212,$C$2:$C$151,R$2)</f>
        <v>0.77343723678913068</v>
      </c>
      <c r="S212" cm="1">
        <f t="array" ref="S212">EstymacjaEpanecznikowa($K212,$C$2:$C$151,S$2)</f>
        <v>1.2004588344771245</v>
      </c>
      <c r="T212" cm="1">
        <f t="array" ref="T212">EstymacjaEpanecznikowa($K212,$C$2:$C$151,T$2)</f>
        <v>0.58140245772630272</v>
      </c>
    </row>
    <row r="213" spans="10:20" x14ac:dyDescent="0.25">
      <c r="J213">
        <v>211</v>
      </c>
      <c r="K213">
        <f t="shared" si="7"/>
        <v>4.4749163879598628</v>
      </c>
      <c r="L213">
        <f t="shared" si="6"/>
        <v>0.7646679703362359</v>
      </c>
      <c r="M213" cm="1">
        <f t="array" ref="M213">EstymacjaGaussowska($K213,$C$2:$C$151)</f>
        <v>0.78693211855378042</v>
      </c>
      <c r="N213" cm="1">
        <f t="array" ref="N213">EstymacjaGaussowska($K213,$C$2:$C$151,$N$2)</f>
        <v>1.2143862926165225</v>
      </c>
      <c r="O213" cm="1">
        <f t="array" ref="O213">EstymacjaGaussowska($K213,$C$2:$C$151,$O$2)</f>
        <v>0.60977410355354777</v>
      </c>
      <c r="P213" cm="1">
        <f t="array" ref="P213">EstymacjaGaussowska($K213,$C$2:$C$151,$P$2)</f>
        <v>7.9373375504762783E-2</v>
      </c>
      <c r="R213" cm="1">
        <f t="array" ref="R213">EstymacjaEpanecznikowa($K213,$C$2:$C$151,R$2)</f>
        <v>0.77034070721376646</v>
      </c>
      <c r="S213" cm="1">
        <f t="array" ref="S213">EstymacjaEpanecznikowa($K213,$C$2:$C$151,S$2)</f>
        <v>1.187575625313984</v>
      </c>
      <c r="T213" cm="1">
        <f t="array" ref="T213">EstymacjaEpanecznikowa($K213,$C$2:$C$151,T$2)</f>
        <v>0.58000522823357781</v>
      </c>
    </row>
    <row r="214" spans="10:20" x14ac:dyDescent="0.25">
      <c r="J214">
        <v>212</v>
      </c>
      <c r="K214">
        <f t="shared" si="7"/>
        <v>4.4819397993311005</v>
      </c>
      <c r="L214">
        <f t="shared" si="6"/>
        <v>0.75937388942819528</v>
      </c>
      <c r="M214" cm="1">
        <f t="array" ref="M214">EstymacjaGaussowska($K214,$C$2:$C$151)</f>
        <v>0.78638318306280663</v>
      </c>
      <c r="N214" cm="1">
        <f t="array" ref="N214">EstymacjaGaussowska($K214,$C$2:$C$151,$N$2)</f>
        <v>1.243119875465329</v>
      </c>
      <c r="O214" cm="1">
        <f t="array" ref="O214">EstymacjaGaussowska($K214,$C$2:$C$151,$O$2)</f>
        <v>0.60840086494390522</v>
      </c>
      <c r="P214" cm="1">
        <f t="array" ref="P214">EstymacjaGaussowska($K214,$C$2:$C$151,$P$2)</f>
        <v>7.9368572832414774E-2</v>
      </c>
      <c r="R214" cm="1">
        <f t="array" ref="R214">EstymacjaEpanecznikowa($K214,$C$2:$C$151,R$2)</f>
        <v>0.76682981382542337</v>
      </c>
      <c r="S214" cm="1">
        <f t="array" ref="S214">EstymacjaEpanecznikowa($K214,$C$2:$C$151,S$2)</f>
        <v>1.1630445832088203</v>
      </c>
      <c r="T214" cm="1">
        <f t="array" ref="T214">EstymacjaEpanecznikowa($K214,$C$2:$C$151,T$2)</f>
        <v>0.57853972986090885</v>
      </c>
    </row>
    <row r="215" spans="10:20" x14ac:dyDescent="0.25">
      <c r="J215">
        <v>213</v>
      </c>
      <c r="K215">
        <f t="shared" si="7"/>
        <v>4.4889632107023383</v>
      </c>
      <c r="L215">
        <f t="shared" si="6"/>
        <v>0.75394801764528974</v>
      </c>
      <c r="M215" cm="1">
        <f t="array" ref="M215">EstymacjaGaussowska($K215,$C$2:$C$151)</f>
        <v>0.78563791857111498</v>
      </c>
      <c r="N215" cm="1">
        <f t="array" ref="N215">EstymacjaGaussowska($K215,$C$2:$C$151,$N$2)</f>
        <v>1.2622728882452519</v>
      </c>
      <c r="O215" cm="1">
        <f t="array" ref="O215">EstymacjaGaussowska($K215,$C$2:$C$151,$O$2)</f>
        <v>0.60695083334486044</v>
      </c>
      <c r="P215" cm="1">
        <f t="array" ref="P215">EstymacjaGaussowska($K215,$C$2:$C$151,$P$2)</f>
        <v>7.9363615196614487E-2</v>
      </c>
      <c r="R215" cm="1">
        <f t="array" ref="R215">EstymacjaEpanecznikowa($K215,$C$2:$C$151,R$2)</f>
        <v>0.76290455662410295</v>
      </c>
      <c r="S215" cm="1">
        <f t="array" ref="S215">EstymacjaEpanecznikowa($K215,$C$2:$C$151,S$2)</f>
        <v>1.1323663738575662</v>
      </c>
      <c r="T215" cm="1">
        <f t="array" ref="T215">EstymacjaEpanecznikowa($K215,$C$2:$C$151,T$2)</f>
        <v>0.57700596260829518</v>
      </c>
    </row>
    <row r="216" spans="10:20" x14ac:dyDescent="0.25">
      <c r="J216">
        <v>214</v>
      </c>
      <c r="K216">
        <f t="shared" si="7"/>
        <v>4.495986622073576</v>
      </c>
      <c r="L216">
        <f t="shared" si="6"/>
        <v>0.74839371190642778</v>
      </c>
      <c r="M216" cm="1">
        <f t="array" ref="M216">EstymacjaGaussowska($K216,$C$2:$C$151)</f>
        <v>0.78469169179315879</v>
      </c>
      <c r="N216" cm="1">
        <f t="array" ref="N216">EstymacjaGaussowska($K216,$C$2:$C$151,$N$2)</f>
        <v>1.269891464059252</v>
      </c>
      <c r="O216" cm="1">
        <f t="array" ref="O216">EstymacjaGaussowska($K216,$C$2:$C$151,$O$2)</f>
        <v>0.6054243041334495</v>
      </c>
      <c r="P216" cm="1">
        <f t="array" ref="P216">EstymacjaGaussowska($K216,$C$2:$C$151,$P$2)</f>
        <v>7.9358502626334579E-2</v>
      </c>
      <c r="R216" cm="1">
        <f t="array" ref="R216">EstymacjaEpanecznikowa($K216,$C$2:$C$151,R$2)</f>
        <v>0.7591782958927028</v>
      </c>
      <c r="S216" cm="1">
        <f t="array" ref="S216">EstymacjaEpanecznikowa($K216,$C$2:$C$151,S$2)</f>
        <v>1.1331731501652447</v>
      </c>
      <c r="T216" cm="1">
        <f t="array" ref="T216">EstymacjaEpanecznikowa($K216,$C$2:$C$151,T$2)</f>
        <v>0.57540392647573735</v>
      </c>
    </row>
    <row r="217" spans="10:20" x14ac:dyDescent="0.25">
      <c r="J217">
        <v>215</v>
      </c>
      <c r="K217">
        <f t="shared" si="7"/>
        <v>4.5030100334448138</v>
      </c>
      <c r="L217">
        <f t="shared" si="6"/>
        <v>0.74271439052282373</v>
      </c>
      <c r="M217" cm="1">
        <f t="array" ref="M217">EstymacjaGaussowska($K217,$C$2:$C$151)</f>
        <v>0.78354018258738467</v>
      </c>
      <c r="N217" cm="1">
        <f t="array" ref="N217">EstymacjaGaussowska($K217,$C$2:$C$151,$N$2)</f>
        <v>1.2648343140118314</v>
      </c>
      <c r="O217" cm="1">
        <f t="array" ref="O217">EstymacjaGaussowska($K217,$C$2:$C$151,$O$2)</f>
        <v>0.60382160447517808</v>
      </c>
      <c r="P217" cm="1">
        <f t="array" ref="P217">EstymacjaGaussowska($K217,$C$2:$C$151,$P$2)</f>
        <v>7.935323515145512E-2</v>
      </c>
      <c r="R217" cm="1">
        <f t="array" ref="R217">EstymacjaEpanecznikowa($K217,$C$2:$C$151,R$2)</f>
        <v>0.75522237470264797</v>
      </c>
      <c r="S217" cm="1">
        <f t="array" ref="S217">EstymacjaEpanecznikowa($K217,$C$2:$C$151,S$2)</f>
        <v>1.1191554118194385</v>
      </c>
      <c r="T217" cm="1">
        <f t="array" ref="T217">EstymacjaEpanecznikowa($K217,$C$2:$C$151,T$2)</f>
        <v>0.57373362146323437</v>
      </c>
    </row>
    <row r="218" spans="10:20" x14ac:dyDescent="0.25">
      <c r="J218">
        <v>216</v>
      </c>
      <c r="K218">
        <f t="shared" si="7"/>
        <v>4.5100334448160515</v>
      </c>
      <c r="L218">
        <f t="shared" si="6"/>
        <v>0.73691352970305446</v>
      </c>
      <c r="M218" cm="1">
        <f t="array" ref="M218">EstymacjaGaussowska($K218,$C$2:$C$151)</f>
        <v>0.7821794038058052</v>
      </c>
      <c r="N218" cm="1">
        <f t="array" ref="N218">EstymacjaGaussowska($K218,$C$2:$C$151,$N$2)</f>
        <v>1.2469354288657377</v>
      </c>
      <c r="O218" cm="1">
        <f t="array" ref="O218">EstymacjaGaussowska($K218,$C$2:$C$151,$O$2)</f>
        <v>0.60214309329507942</v>
      </c>
      <c r="P218" cm="1">
        <f t="array" ref="P218">EstymacjaGaussowska($K218,$C$2:$C$151,$P$2)</f>
        <v>7.9347812802763332E-2</v>
      </c>
      <c r="R218" cm="1">
        <f t="array" ref="R218">EstymacjaEpanecznikowa($K218,$C$2:$C$151,R$2)</f>
        <v>0.75123892953052063</v>
      </c>
      <c r="S218" cm="1">
        <f t="array" ref="S218">EstymacjaEpanecznikowa($K218,$C$2:$C$151,S$2)</f>
        <v>1.0903131588201482</v>
      </c>
      <c r="T218" cm="1">
        <f t="array" ref="T218">EstymacjaEpanecznikowa($K218,$C$2:$C$151,T$2)</f>
        <v>0.57222082777940875</v>
      </c>
    </row>
    <row r="219" spans="10:20" x14ac:dyDescent="0.25">
      <c r="J219">
        <v>217</v>
      </c>
      <c r="K219">
        <f t="shared" si="7"/>
        <v>4.5170568561872892</v>
      </c>
      <c r="L219">
        <f t="shared" si="6"/>
        <v>0.73099466001983693</v>
      </c>
      <c r="M219" cm="1">
        <f t="array" ref="M219">EstymacjaGaussowska($K219,$C$2:$C$151)</f>
        <v>0.78060571951989854</v>
      </c>
      <c r="N219" cm="1">
        <f t="array" ref="N219">EstymacjaGaussowska($K219,$C$2:$C$151,$N$2)</f>
        <v>1.2170384225991424</v>
      </c>
      <c r="O219" cm="1">
        <f t="array" ref="O219">EstymacjaGaussowska($K219,$C$2:$C$151,$O$2)</f>
        <v>0.60038916122601582</v>
      </c>
      <c r="P219" cm="1">
        <f t="array" ref="P219">EstymacjaGaussowska($K219,$C$2:$C$151,$P$2)</f>
        <v>7.9342235611953207E-2</v>
      </c>
      <c r="R219" cm="1">
        <f t="array" ref="R219">EstymacjaEpanecznikowa($K219,$C$2:$C$151,R$2)</f>
        <v>0.75052619177499236</v>
      </c>
      <c r="S219" cm="1">
        <f t="array" ref="S219">EstymacjaEpanecznikowa($K219,$C$2:$C$151,S$2)</f>
        <v>1.0982644675786348</v>
      </c>
      <c r="T219" cm="1">
        <f t="array" ref="T219">EstymacjaEpanecznikowa($K219,$C$2:$C$151,T$2)</f>
        <v>0.57083321264768938</v>
      </c>
    </row>
    <row r="220" spans="10:20" x14ac:dyDescent="0.25">
      <c r="J220">
        <v>218</v>
      </c>
      <c r="K220">
        <f t="shared" si="7"/>
        <v>4.524080267558527</v>
      </c>
      <c r="L220">
        <f t="shared" si="6"/>
        <v>0.72496136284352908</v>
      </c>
      <c r="M220" cm="1">
        <f t="array" ref="M220">EstymacjaGaussowska($K220,$C$2:$C$151)</f>
        <v>0.77881586155024918</v>
      </c>
      <c r="N220" cm="1">
        <f t="array" ref="N220">EstymacjaGaussowska($K220,$C$2:$C$151,$N$2)</f>
        <v>1.1768991466891483</v>
      </c>
      <c r="O220" cm="1">
        <f t="array" ref="O220">EstymacjaGaussowska($K220,$C$2:$C$151,$O$2)</f>
        <v>0.59856023053402774</v>
      </c>
      <c r="P220" cm="1">
        <f t="array" ref="P220">EstymacjaGaussowska($K220,$C$2:$C$151,$P$2)</f>
        <v>7.9336503611625309E-2</v>
      </c>
      <c r="R220" cm="1">
        <f t="array" ref="R220">EstymacjaEpanecznikowa($K220,$C$2:$C$151,R$2)</f>
        <v>0.74944388629437542</v>
      </c>
      <c r="S220" cm="1">
        <f t="array" ref="S220">EstymacjaEpanecznikowa($K220,$C$2:$C$151,S$2)</f>
        <v>1.112483900001366</v>
      </c>
      <c r="T220" cm="1">
        <f t="array" ref="T220">EstymacjaEpanecznikowa($K220,$C$2:$C$151,T$2)</f>
        <v>0.56938023369474644</v>
      </c>
    </row>
    <row r="221" spans="10:20" x14ac:dyDescent="0.25">
      <c r="J221">
        <v>219</v>
      </c>
      <c r="K221">
        <f t="shared" si="7"/>
        <v>4.5311036789297647</v>
      </c>
      <c r="L221">
        <f t="shared" si="6"/>
        <v>0.71881726674737867</v>
      </c>
      <c r="M221" cm="1">
        <f t="array" ref="M221">EstymacjaGaussowska($K221,$C$2:$C$151)</f>
        <v>0.77680694423897023</v>
      </c>
      <c r="N221" cm="1">
        <f t="array" ref="N221">EstymacjaGaussowska($K221,$C$2:$C$151,$N$2)</f>
        <v>1.1289747937708918</v>
      </c>
      <c r="O221" cm="1">
        <f t="array" ref="O221">EstymacjaGaussowska($K221,$C$2:$C$151,$O$2)</f>
        <v>0.59665675502055759</v>
      </c>
      <c r="P221" cm="1">
        <f t="array" ref="P221">EstymacjaGaussowska($K221,$C$2:$C$151,$P$2)</f>
        <v>7.9330616835286305E-2</v>
      </c>
      <c r="R221" cm="1">
        <f t="array" ref="R221">EstymacjaEpanecznikowa($K221,$C$2:$C$151,R$2)</f>
        <v>0.74799201308867003</v>
      </c>
      <c r="S221" cm="1">
        <f t="array" ref="S221">EstymacjaEpanecznikowa($K221,$C$2:$C$151,S$2)</f>
        <v>1.1161143933858941</v>
      </c>
      <c r="T221" cm="1">
        <f t="array" ref="T221">EstymacjaEpanecznikowa($K221,$C$2:$C$151,T$2)</f>
        <v>0.56786189092058048</v>
      </c>
    </row>
    <row r="222" spans="10:20" x14ac:dyDescent="0.25">
      <c r="J222">
        <v>220</v>
      </c>
      <c r="K222">
        <f t="shared" si="7"/>
        <v>4.5381270903010025</v>
      </c>
      <c r="L222">
        <f t="shared" si="6"/>
        <v>0.71256604388954226</v>
      </c>
      <c r="M222" cm="1">
        <f t="array" ref="M222">EstymacjaGaussowska($K222,$C$2:$C$151)</f>
        <v>0.77457647741564672</v>
      </c>
      <c r="N222" cm="1">
        <f t="array" ref="N222">EstymacjaGaussowska($K222,$C$2:$C$151,$N$2)</f>
        <v>1.0761356683984236</v>
      </c>
      <c r="O222" cm="1">
        <f t="array" ref="O222">EstymacjaGaussowska($K222,$C$2:$C$151,$O$2)</f>
        <v>0.59467921990140415</v>
      </c>
      <c r="P222" cm="1">
        <f t="array" ref="P222">EstymacjaGaussowska($K222,$C$2:$C$151,$P$2)</f>
        <v>7.9324575317348905E-2</v>
      </c>
      <c r="R222" cm="1">
        <f t="array" ref="R222">EstymacjaEpanecznikowa($K222,$C$2:$C$151,R$2)</f>
        <v>0.74617057215787574</v>
      </c>
      <c r="S222" cm="1">
        <f t="array" ref="S222">EstymacjaEpanecznikowa($K222,$C$2:$C$151,S$2)</f>
        <v>1.1091559477322201</v>
      </c>
      <c r="T222" cm="1">
        <f t="array" ref="T222">EstymacjaEpanecznikowa($K222,$C$2:$C$151,T$2)</f>
        <v>0.56627818432519095</v>
      </c>
    </row>
    <row r="223" spans="10:20" x14ac:dyDescent="0.25">
      <c r="J223">
        <v>221</v>
      </c>
      <c r="K223">
        <f t="shared" si="7"/>
        <v>4.5451505016722402</v>
      </c>
      <c r="L223">
        <f t="shared" si="6"/>
        <v>0.70621140637689395</v>
      </c>
      <c r="M223" cm="1">
        <f t="array" ref="M223">EstymacjaGaussowska($K223,$C$2:$C$151)</f>
        <v>0.77212237751933399</v>
      </c>
      <c r="N223" cm="1">
        <f t="array" ref="N223">EstymacjaGaussowska($K223,$C$2:$C$151,$N$2)</f>
        <v>1.0213469171995733</v>
      </c>
      <c r="O223" cm="1">
        <f t="array" ref="O223">EstymacjaGaussowska($K223,$C$2:$C$151,$O$2)</f>
        <v>0.59262814166227595</v>
      </c>
      <c r="P223" cm="1">
        <f t="array" ref="P223">EstymacjaGaussowska($K223,$C$2:$C$151,$P$2)</f>
        <v>7.9318379093131178E-2</v>
      </c>
      <c r="R223" cm="1">
        <f t="array" ref="R223">EstymacjaEpanecznikowa($K223,$C$2:$C$151,R$2)</f>
        <v>0.7439795635019929</v>
      </c>
      <c r="S223" cm="1">
        <f t="array" ref="S223">EstymacjaEpanecznikowa($K223,$C$2:$C$151,S$2)</f>
        <v>1.091608563040342</v>
      </c>
      <c r="T223" cm="1">
        <f t="array" ref="T223">EstymacjaEpanecznikowa($K223,$C$2:$C$151,T$2)</f>
        <v>0.56462911390857762</v>
      </c>
    </row>
    <row r="224" spans="10:20" x14ac:dyDescent="0.25">
      <c r="J224">
        <v>222</v>
      </c>
      <c r="K224">
        <f t="shared" si="7"/>
        <v>4.552173913043478</v>
      </c>
      <c r="L224">
        <f t="shared" si="6"/>
        <v>0.69975710261563295</v>
      </c>
      <c r="M224" cm="1">
        <f t="array" ref="M224">EstymacjaGaussowska($K224,$C$2:$C$151)</f>
        <v>0.76944297685081497</v>
      </c>
      <c r="N224" cm="1">
        <f t="array" ref="N224">EstymacjaGaussowska($K224,$C$2:$C$151,$N$2)</f>
        <v>0.96736993014411354</v>
      </c>
      <c r="O224" cm="1">
        <f t="array" ref="O224">EstymacjaGaussowska($K224,$C$2:$C$151,$O$2)</f>
        <v>0.59050406789085441</v>
      </c>
      <c r="P224" cm="1">
        <f t="array" ref="P224">EstymacjaGaussowska($K224,$C$2:$C$151,$P$2)</f>
        <v>7.9312028198856521E-2</v>
      </c>
      <c r="R224" cm="1">
        <f t="array" ref="R224">EstymacjaEpanecznikowa($K224,$C$2:$C$151,R$2)</f>
        <v>0.74141898712102094</v>
      </c>
      <c r="S224" cm="1">
        <f t="array" ref="S224">EstymacjaEpanecznikowa($K224,$C$2:$C$151,S$2)</f>
        <v>1.0634722393102618</v>
      </c>
      <c r="T224" cm="1">
        <f t="array" ref="T224">EstymacjaEpanecznikowa($K224,$C$2:$C$151,T$2)</f>
        <v>0.56291467967074094</v>
      </c>
    </row>
    <row r="225" spans="10:20" x14ac:dyDescent="0.25">
      <c r="J225">
        <v>223</v>
      </c>
      <c r="K225">
        <f t="shared" si="7"/>
        <v>4.5591973244147157</v>
      </c>
      <c r="L225">
        <f t="shared" si="6"/>
        <v>0.69320691365366904</v>
      </c>
      <c r="M225" cm="1">
        <f t="array" ref="M225">EstymacjaGaussowska($K225,$C$2:$C$151)</f>
        <v>0.7665370309409365</v>
      </c>
      <c r="N225" cm="1">
        <f t="array" ref="N225">EstymacjaGaussowska($K225,$C$2:$C$151,$N$2)</f>
        <v>0.91652669092345129</v>
      </c>
      <c r="O225" cm="1">
        <f t="array" ref="O225">EstymacjaGaussowska($K225,$C$2:$C$151,$O$2)</f>
        <v>0.58830757708528802</v>
      </c>
      <c r="P225" cm="1">
        <f t="array" ref="P225">EstymacjaGaussowska($K225,$C$2:$C$151,$P$2)</f>
        <v>7.9305522671653028E-2</v>
      </c>
      <c r="R225" cm="1">
        <f t="array" ref="R225">EstymacjaEpanecznikowa($K225,$C$2:$C$151,R$2)</f>
        <v>0.73848884301496032</v>
      </c>
      <c r="S225" cm="1">
        <f t="array" ref="S225">EstymacjaEpanecznikowa($K225,$C$2:$C$151,S$2)</f>
        <v>1.0247469765419779</v>
      </c>
      <c r="T225" cm="1">
        <f t="array" ref="T225">EstymacjaEpanecznikowa($K225,$C$2:$C$151,T$2)</f>
        <v>0.5611348816116809</v>
      </c>
    </row>
    <row r="226" spans="10:20" x14ac:dyDescent="0.25">
      <c r="J226">
        <v>224</v>
      </c>
      <c r="K226">
        <f t="shared" si="7"/>
        <v>4.5662207357859534</v>
      </c>
      <c r="L226">
        <f t="shared" si="6"/>
        <v>0.68656464951974461</v>
      </c>
      <c r="M226" cm="1">
        <f t="array" ref="M226">EstymacjaGaussowska($K226,$C$2:$C$151)</f>
        <v>0.76340372403217494</v>
      </c>
      <c r="N226" cm="1">
        <f t="array" ref="N226">EstymacjaGaussowska($K226,$C$2:$C$151,$N$2)</f>
        <v>0.87055658374992806</v>
      </c>
      <c r="O226" cm="1">
        <f t="array" ref="O226">EstymacjaGaussowska($K226,$C$2:$C$151,$O$2)</f>
        <v>0.58603927843907722</v>
      </c>
      <c r="P226" cm="1">
        <f t="array" ref="P226">EstymacjaGaussowska($K226,$C$2:$C$151,$P$2)</f>
        <v>7.9298862549553414E-2</v>
      </c>
      <c r="R226" cm="1">
        <f t="array" ref="R226">EstymacjaEpanecznikowa($K226,$C$2:$C$151,R$2)</f>
        <v>0.73518913118381146</v>
      </c>
      <c r="S226" cm="1">
        <f t="array" ref="S226">EstymacjaEpanecznikowa($K226,$C$2:$C$151,S$2)</f>
        <v>0.97543277473549139</v>
      </c>
      <c r="T226" cm="1">
        <f t="array" ref="T226">EstymacjaEpanecznikowa($K226,$C$2:$C$151,T$2)</f>
        <v>0.55928971973139741</v>
      </c>
    </row>
    <row r="227" spans="10:20" x14ac:dyDescent="0.25">
      <c r="J227">
        <v>225</v>
      </c>
      <c r="K227">
        <f t="shared" si="7"/>
        <v>4.5732441471571912</v>
      </c>
      <c r="L227">
        <f t="shared" si="6"/>
        <v>0.67983414556419952</v>
      </c>
      <c r="M227" cm="1">
        <f t="array" ref="M227">EstymacjaGaussowska($K227,$C$2:$C$151)</f>
        <v>0.76004267268166159</v>
      </c>
      <c r="N227" cm="1">
        <f t="array" ref="N227">EstymacjaGaussowska($K227,$C$2:$C$151,$N$2)</f>
        <v>0.83057689742902563</v>
      </c>
      <c r="O227" cm="1">
        <f t="array" ref="O227">EstymacjaGaussowska($K227,$C$2:$C$151,$O$2)</f>
        <v>0.58369981160232431</v>
      </c>
      <c r="P227" cm="1">
        <f t="array" ref="P227">EstymacjaGaussowska($K227,$C$2:$C$151,$P$2)</f>
        <v>7.9292047871494464E-2</v>
      </c>
      <c r="R227" cm="1">
        <f t="array" ref="R227">EstymacjaEpanecznikowa($K227,$C$2:$C$151,R$2)</f>
        <v>0.73151985162757338</v>
      </c>
      <c r="S227" cm="1">
        <f t="array" ref="S227">EstymacjaEpanecznikowa($K227,$C$2:$C$151,S$2)</f>
        <v>0.91552963389080178</v>
      </c>
      <c r="T227" cm="1">
        <f t="array" ref="T227">EstymacjaEpanecznikowa($K227,$C$2:$C$151,T$2)</f>
        <v>0.55737919402989033</v>
      </c>
    </row>
    <row r="228" spans="10:20" x14ac:dyDescent="0.25">
      <c r="J228">
        <v>226</v>
      </c>
      <c r="K228">
        <f t="shared" si="7"/>
        <v>4.5802675585284289</v>
      </c>
      <c r="L228">
        <f t="shared" si="6"/>
        <v>0.67301925880624958</v>
      </c>
      <c r="M228" cm="1">
        <f t="array" ref="M228">EstymacjaGaussowska($K228,$C$2:$C$151)</f>
        <v>0.7564539275045955</v>
      </c>
      <c r="N228" cm="1">
        <f t="array" ref="N228">EstymacjaGaussowska($K228,$C$2:$C$151,$N$2)</f>
        <v>0.79713907738143863</v>
      </c>
      <c r="O228" cm="1">
        <f t="array" ref="O228">EstymacjaGaussowska($K228,$C$2:$C$151,$O$2)</f>
        <v>0.58128984641936854</v>
      </c>
      <c r="P228" cm="1">
        <f t="array" ref="P228">EstymacjaGaussowska($K228,$C$2:$C$151,$P$2)</f>
        <v>7.9285078677316601E-2</v>
      </c>
      <c r="R228" cm="1">
        <f t="array" ref="R228">EstymacjaEpanecznikowa($K228,$C$2:$C$151,R$2)</f>
        <v>0.72748100434624663</v>
      </c>
      <c r="S228" cm="1">
        <f t="array" ref="S228">EstymacjaEpanecznikowa($K228,$C$2:$C$151,S$2)</f>
        <v>0.84503755400790892</v>
      </c>
      <c r="T228" cm="1">
        <f t="array" ref="T228">EstymacjaEpanecznikowa($K228,$C$2:$C$151,T$2)</f>
        <v>0.55540330450715969</v>
      </c>
    </row>
    <row r="229" spans="10:20" x14ac:dyDescent="0.25">
      <c r="J229">
        <v>227</v>
      </c>
      <c r="K229">
        <f t="shared" si="7"/>
        <v>4.5872909698996667</v>
      </c>
      <c r="L229">
        <f t="shared" si="6"/>
        <v>0.66612386429258474</v>
      </c>
      <c r="M229" cm="1">
        <f t="array" ref="M229">EstymacjaGaussowska($K229,$C$2:$C$151)</f>
        <v>0.75263797308725477</v>
      </c>
      <c r="N229" cm="1">
        <f t="array" ref="N229">EstymacjaGaussowska($K229,$C$2:$C$151,$N$2)</f>
        <v>0.77035625689113441</v>
      </c>
      <c r="O229" cm="1">
        <f t="array" ref="O229">EstymacjaGaussowska($K229,$C$2:$C$151,$O$2)</f>
        <v>0.57881008264283196</v>
      </c>
      <c r="P229" cm="1">
        <f t="array" ref="P229">EstymacjaGaussowska($K229,$C$2:$C$151,$P$2)</f>
        <v>7.927795500776369E-2</v>
      </c>
      <c r="R229" cm="1">
        <f t="array" ref="R229">EstymacjaEpanecznikowa($K229,$C$2:$C$151,R$2)</f>
        <v>0.72307258933983121</v>
      </c>
      <c r="S229" cm="1">
        <f t="array" ref="S229">EstymacjaEpanecznikowa($K229,$C$2:$C$151,S$2)</f>
        <v>0.76395653508681305</v>
      </c>
      <c r="T229" cm="1">
        <f t="array" ref="T229">EstymacjaEpanecznikowa($K229,$C$2:$C$151,T$2)</f>
        <v>0.5533620511632058</v>
      </c>
    </row>
    <row r="230" spans="10:20" x14ac:dyDescent="0.25">
      <c r="J230">
        <v>228</v>
      </c>
      <c r="K230">
        <f t="shared" si="7"/>
        <v>4.5943143812709044</v>
      </c>
      <c r="L230">
        <f t="shared" si="6"/>
        <v>0.65915185147203192</v>
      </c>
      <c r="M230" cm="1">
        <f t="array" ref="M230">EstymacjaGaussowska($K230,$C$2:$C$151)</f>
        <v>0.74859572610859382</v>
      </c>
      <c r="N230" cm="1">
        <f t="array" ref="N230">EstymacjaGaussowska($K230,$C$2:$C$151,$N$2)</f>
        <v>0.75006668922675901</v>
      </c>
      <c r="O230" cm="1">
        <f t="array" ref="O230">EstymacjaGaussowska($K230,$C$2:$C$151,$O$2)</f>
        <v>0.57626124962414604</v>
      </c>
      <c r="P230" cm="1">
        <f t="array" ref="P230">EstymacjaGaussowska($K230,$C$2:$C$151,$P$2)</f>
        <v>7.927067690448257E-2</v>
      </c>
      <c r="R230" cm="1">
        <f t="array" ref="R230">EstymacjaEpanecznikowa($K230,$C$2:$C$151,R$2)</f>
        <v>0.71871630109000983</v>
      </c>
      <c r="S230" cm="1">
        <f t="array" ref="S230">EstymacjaEpanecznikowa($K230,$C$2:$C$151,S$2)</f>
        <v>0.74369138273647084</v>
      </c>
      <c r="T230" cm="1">
        <f t="array" ref="T230">EstymacjaEpanecznikowa($K230,$C$2:$C$151,T$2)</f>
        <v>0.55125543399802834</v>
      </c>
    </row>
    <row r="231" spans="10:20" x14ac:dyDescent="0.25">
      <c r="J231">
        <v>229</v>
      </c>
      <c r="K231">
        <f t="shared" si="7"/>
        <v>4.6013377926421422</v>
      </c>
      <c r="L231">
        <f t="shared" si="6"/>
        <v>0.65210712059095532</v>
      </c>
      <c r="M231" cm="1">
        <f t="array" ref="M231">EstymacjaGaussowska($K231,$C$2:$C$151)</f>
        <v>0.74432853171866109</v>
      </c>
      <c r="N231" cm="1">
        <f t="array" ref="N231">EstymacjaGaussowska($K231,$C$2:$C$151,$N$2)</f>
        <v>0.73599416599997447</v>
      </c>
      <c r="O231" cm="1">
        <f t="array" ref="O231">EstymacjaGaussowska($K231,$C$2:$C$151,$O$2)</f>
        <v>0.57364410598065896</v>
      </c>
      <c r="P231" cm="1">
        <f t="array" ref="P231">EstymacjaGaussowska($K231,$C$2:$C$151,$P$2)</f>
        <v>7.9263244410022429E-2</v>
      </c>
      <c r="R231" cm="1">
        <f t="array" ref="R231">EstymacjaEpanecznikowa($K231,$C$2:$C$151,R$2)</f>
        <v>0.71436948070444273</v>
      </c>
      <c r="S231" cm="1">
        <f t="array" ref="S231">EstymacjaEpanecznikowa($K231,$C$2:$C$151,S$2)</f>
        <v>0.71845441136208421</v>
      </c>
      <c r="T231" cm="1">
        <f t="array" ref="T231">EstymacjaEpanecznikowa($K231,$C$2:$C$151,T$2)</f>
        <v>0.54908345301162753</v>
      </c>
    </row>
    <row r="232" spans="10:20" x14ac:dyDescent="0.25">
      <c r="J232">
        <v>230</v>
      </c>
      <c r="K232">
        <f t="shared" si="7"/>
        <v>4.6083612040133799</v>
      </c>
      <c r="L232">
        <f t="shared" si="6"/>
        <v>0.64499357911398703</v>
      </c>
      <c r="M232" cm="1">
        <f t="array" ref="M232">EstymacjaGaussowska($K232,$C$2:$C$151)</f>
        <v>0.73983815823072241</v>
      </c>
      <c r="N232" cm="1">
        <f t="array" ref="N232">EstymacjaGaussowska($K232,$C$2:$C$151,$N$2)</f>
        <v>0.72787065764148862</v>
      </c>
      <c r="O232" cm="1">
        <f t="array" ref="O232">EstymacjaGaussowska($K232,$C$2:$C$151,$O$2)</f>
        <v>0.57095943923943648</v>
      </c>
      <c r="P232" cm="1">
        <f t="array" ref="P232">EstymacjaGaussowska($K232,$C$2:$C$151,$P$2)</f>
        <v>7.9255657567834772E-2</v>
      </c>
      <c r="R232" cm="1">
        <f t="array" ref="R232">EstymacjaEpanecznikowa($K232,$C$2:$C$151,R$2)</f>
        <v>0.70964189357181406</v>
      </c>
      <c r="S232" cm="1">
        <f t="array" ref="S232">EstymacjaEpanecznikowa($K232,$C$2:$C$151,S$2)</f>
        <v>0.67733403143039328</v>
      </c>
      <c r="T232" cm="1">
        <f t="array" ref="T232">EstymacjaEpanecznikowa($K232,$C$2:$C$151,T$2)</f>
        <v>0.54690930434748186</v>
      </c>
    </row>
    <row r="233" spans="10:20" x14ac:dyDescent="0.25">
      <c r="J233">
        <v>231</v>
      </c>
      <c r="K233">
        <f t="shared" si="7"/>
        <v>4.6153846153846176</v>
      </c>
      <c r="L233">
        <f t="shared" si="6"/>
        <v>0.63781513817459479</v>
      </c>
      <c r="M233" cm="1">
        <f t="array" ref="M233">EstymacjaGaussowska($K233,$C$2:$C$151)</f>
        <v>0.73512679019197924</v>
      </c>
      <c r="N233" cm="1">
        <f t="array" ref="N233">EstymacjaGaussowska($K233,$C$2:$C$151,$N$2)</f>
        <v>0.72549711778676862</v>
      </c>
      <c r="O233" cm="1">
        <f t="array" ref="O233">EstymacjaGaussowska($K233,$C$2:$C$151,$O$2)</f>
        <v>0.56820806545791469</v>
      </c>
      <c r="P233" cm="1">
        <f t="array" ref="P233">EstymacjaGaussowska($K233,$C$2:$C$151,$P$2)</f>
        <v>7.9247916422272691E-2</v>
      </c>
      <c r="R233" cm="1">
        <f t="array" ref="R233">EstymacjaEpanecznikowa($K233,$C$2:$C$151,R$2)</f>
        <v>0.7066409998129598</v>
      </c>
      <c r="S233" cm="1">
        <f t="array" ref="S233">EstymacjaEpanecznikowa($K233,$C$2:$C$151,S$2)</f>
        <v>0.68145825510740787</v>
      </c>
      <c r="T233" cm="1">
        <f t="array" ref="T233">EstymacjaEpanecznikowa($K233,$C$2:$C$151,T$2)</f>
        <v>0.54481586369864632</v>
      </c>
    </row>
    <row r="234" spans="10:20" x14ac:dyDescent="0.25">
      <c r="J234">
        <v>232</v>
      </c>
      <c r="K234">
        <f t="shared" si="7"/>
        <v>4.6224080267558554</v>
      </c>
      <c r="L234">
        <f t="shared" si="6"/>
        <v>0.63057570905989779</v>
      </c>
      <c r="M234" cm="1">
        <f t="array" ref="M234">EstymacjaGaussowska($K234,$C$2:$C$151)</f>
        <v>0.73019701990514452</v>
      </c>
      <c r="N234" cm="1">
        <f t="array" ref="N234">EstymacjaGaussowska($K234,$C$2:$C$151,$N$2)</f>
        <v>0.72873334545476598</v>
      </c>
      <c r="O234" cm="1">
        <f t="array" ref="O234">EstymacjaGaussowska($K234,$C$2:$C$151,$O$2)</f>
        <v>0.56539082882158709</v>
      </c>
      <c r="P234" cm="1">
        <f t="array" ref="P234">EstymacjaGaussowska($K234,$C$2:$C$151,$P$2)</f>
        <v>7.9240021018590664E-2</v>
      </c>
      <c r="R234" cm="1">
        <f t="array" ref="R234">EstymacjaEpanecznikowa($K234,$C$2:$C$151,R$2)</f>
        <v>0.70363406241337401</v>
      </c>
      <c r="S234" cm="1">
        <f t="array" ref="S234">EstymacjaEpanecznikowa($K234,$C$2:$C$151,S$2)</f>
        <v>0.73404998566381108</v>
      </c>
      <c r="T234" cm="1">
        <f t="array" ref="T234">EstymacjaEpanecznikowa($K234,$C$2:$C$151,T$2)</f>
        <v>0.54265851175794788</v>
      </c>
    </row>
    <row r="235" spans="10:20" x14ac:dyDescent="0.25">
      <c r="J235">
        <v>233</v>
      </c>
      <c r="K235">
        <f t="shared" si="7"/>
        <v>4.6294314381270931</v>
      </c>
      <c r="L235">
        <f t="shared" si="6"/>
        <v>0.62327919973404255</v>
      </c>
      <c r="M235" cm="1">
        <f t="array" ref="M235">EstymacjaGaussowska($K235,$C$2:$C$151)</f>
        <v>0.72505183747976065</v>
      </c>
      <c r="N235" cm="1">
        <f t="array" ref="N235">EstymacjaGaussowska($K235,$C$2:$C$151,$N$2)</f>
        <v>0.7374239769806995</v>
      </c>
      <c r="O235" cm="1">
        <f t="array" ref="O235">EstymacjaGaussowska($K235,$C$2:$C$151,$O$2)</f>
        <v>0.56250860121893365</v>
      </c>
      <c r="P235" cm="1">
        <f t="array" ref="P235">EstymacjaGaussowska($K235,$C$2:$C$151,$P$2)</f>
        <v>7.9231971402943802E-2</v>
      </c>
      <c r="R235" cm="1">
        <f t="array" ref="R235">EstymacjaEpanecznikowa($K235,$C$2:$C$151,R$2)</f>
        <v>0.70027995533264487</v>
      </c>
      <c r="S235" cm="1">
        <f t="array" ref="S235">EstymacjaEpanecznikowa($K235,$C$2:$C$151,S$2)</f>
        <v>0.77817056498965165</v>
      </c>
      <c r="T235" cm="1">
        <f t="array" ref="T235">EstymacjaEpanecznikowa($K235,$C$2:$C$151,T$2)</f>
        <v>0.54043724852538622</v>
      </c>
    </row>
    <row r="236" spans="10:20" x14ac:dyDescent="0.25">
      <c r="J236">
        <v>234</v>
      </c>
      <c r="K236">
        <f t="shared" si="7"/>
        <v>4.6364548494983309</v>
      </c>
      <c r="L236">
        <f t="shared" si="6"/>
        <v>0.6159295114043406</v>
      </c>
      <c r="M236" cm="1">
        <f t="array" ref="M236">EstymacjaGaussowska($K236,$C$2:$C$151)</f>
        <v>0.71969461949810654</v>
      </c>
      <c r="N236" cm="1">
        <f t="array" ref="N236">EstymacjaGaussowska($K236,$C$2:$C$151,$N$2)</f>
        <v>0.75128192794563919</v>
      </c>
      <c r="O236" cm="1">
        <f t="array" ref="O236">EstymacjaGaussowska($K236,$C$2:$C$151,$O$2)</f>
        <v>0.55956228179383305</v>
      </c>
      <c r="P236" cm="1">
        <f t="array" ref="P236">EstymacjaGaussowska($K236,$C$2:$C$151,$P$2)</f>
        <v>7.9223767622387753E-2</v>
      </c>
      <c r="R236" cm="1">
        <f t="array" ref="R236">EstymacjaEpanecznikowa($K236,$C$2:$C$151,R$2)</f>
        <v>0.69657867857077116</v>
      </c>
      <c r="S236" cm="1">
        <f t="array" ref="S236">EstymacjaEpanecznikowa($K236,$C$2:$C$151,S$2)</f>
        <v>0.81381999308493014</v>
      </c>
      <c r="T236" cm="1">
        <f t="array" ref="T236">EstymacjaEpanecznikowa($K236,$C$2:$C$151,T$2)</f>
        <v>0.53815207400096188</v>
      </c>
    </row>
    <row r="237" spans="10:20" x14ac:dyDescent="0.25">
      <c r="J237">
        <v>235</v>
      </c>
      <c r="K237">
        <f t="shared" si="7"/>
        <v>4.6434782608695686</v>
      </c>
      <c r="L237">
        <f t="shared" si="6"/>
        <v>0.60853053513426214</v>
      </c>
      <c r="M237" cm="1">
        <f t="array" ref="M237">EstymacjaGaussowska($K237,$C$2:$C$151)</f>
        <v>0.71412911638571053</v>
      </c>
      <c r="N237" cm="1">
        <f t="array" ref="N237">EstymacjaGaussowska($K237,$C$2:$C$151,$N$2)</f>
        <v>0.76976021289377217</v>
      </c>
      <c r="O237" cm="1">
        <f t="array" ref="O237">EstymacjaGaussowska($K237,$C$2:$C$151,$O$2)</f>
        <v>0.55655279647573408</v>
      </c>
      <c r="P237" cm="1">
        <f t="array" ref="P237">EstymacjaGaussowska($K237,$C$2:$C$151,$P$2)</f>
        <v>7.9215409724878075E-2</v>
      </c>
      <c r="R237" cm="1">
        <f t="array" ref="R237">EstymacjaEpanecznikowa($K237,$C$2:$C$151,R$2)</f>
        <v>0.69253023212775355</v>
      </c>
      <c r="S237" cm="1">
        <f t="array" ref="S237">EstymacjaEpanecznikowa($K237,$C$2:$C$151,S$2)</f>
        <v>0.84099826994964633</v>
      </c>
      <c r="T237" cm="1">
        <f t="array" ref="T237">EstymacjaEpanecznikowa($K237,$C$2:$C$151,T$2)</f>
        <v>0.5358029881846742</v>
      </c>
    </row>
    <row r="238" spans="10:20" x14ac:dyDescent="0.25">
      <c r="J238">
        <v>236</v>
      </c>
      <c r="K238">
        <f t="shared" si="7"/>
        <v>4.6505016722408064</v>
      </c>
      <c r="L238">
        <f t="shared" si="6"/>
        <v>0.60108614850725106</v>
      </c>
      <c r="M238" cm="1">
        <f t="array" ref="M238">EstymacjaGaussowska($K238,$C$2:$C$151)</f>
        <v>0.70835943858097816</v>
      </c>
      <c r="N238" cm="1">
        <f t="array" ref="N238">EstymacjaGaussowska($K238,$C$2:$C$151,$N$2)</f>
        <v>0.79194625732996937</v>
      </c>
      <c r="O238" cm="1">
        <f t="array" ref="O238">EstymacjaGaussowska($K238,$C$2:$C$151,$O$2)</f>
        <v>0.55348109748787533</v>
      </c>
      <c r="P238" cm="1">
        <f t="array" ref="P238">EstymacjaGaussowska($K238,$C$2:$C$151,$P$2)</f>
        <v>7.9206897759269687E-2</v>
      </c>
      <c r="R238" cm="1">
        <f t="array" ref="R238">EstymacjaEpanecznikowa($K238,$C$2:$C$151,R$2)</f>
        <v>0.68813461600359249</v>
      </c>
      <c r="S238" cm="1">
        <f t="array" ref="S238">EstymacjaEpanecznikowa($K238,$C$2:$C$151,S$2)</f>
        <v>0.85970539558379988</v>
      </c>
      <c r="T238" cm="1">
        <f t="array" ref="T238">EstymacjaEpanecznikowa($K238,$C$2:$C$151,T$2)</f>
        <v>0.53338999107652407</v>
      </c>
    </row>
    <row r="239" spans="10:20" x14ac:dyDescent="0.25">
      <c r="J239">
        <v>237</v>
      </c>
      <c r="K239">
        <f t="shared" si="7"/>
        <v>4.6575250836120441</v>
      </c>
      <c r="L239">
        <f t="shared" si="6"/>
        <v>0.59360021234520888</v>
      </c>
      <c r="M239" cm="1">
        <f t="array" ref="M239">EstymacjaGaussowska($K239,$C$2:$C$151)</f>
        <v>0.70239004160212659</v>
      </c>
      <c r="N239" cm="1">
        <f t="array" ref="N239">EstymacjaGaussowska($K239,$C$2:$C$151,$N$2)</f>
        <v>0.81650904338979047</v>
      </c>
      <c r="O239" cm="1">
        <f t="array" ref="O239">EstymacjaGaussowska($K239,$C$2:$C$151,$O$2)</f>
        <v>0.55034816283389187</v>
      </c>
      <c r="P239" cm="1">
        <f t="array" ref="P239">EstymacjaGaussowska($K239,$C$2:$C$151,$P$2)</f>
        <v>7.9198231775316583E-2</v>
      </c>
      <c r="R239" cm="1">
        <f t="array" ref="R239">EstymacjaEpanecznikowa($K239,$C$2:$C$151,R$2)</f>
        <v>0.68339183019828742</v>
      </c>
      <c r="S239" cm="1">
        <f t="array" ref="S239">EstymacjaEpanecznikowa($K239,$C$2:$C$151,S$2)</f>
        <v>0.86994136998739091</v>
      </c>
      <c r="T239" cm="1">
        <f t="array" ref="T239">EstymacjaEpanecznikowa($K239,$C$2:$C$151,T$2)</f>
        <v>0.53091308267651061</v>
      </c>
    </row>
    <row r="240" spans="10:20" x14ac:dyDescent="0.25">
      <c r="J240">
        <v>238</v>
      </c>
      <c r="K240">
        <f t="shared" si="7"/>
        <v>4.6645484949832818</v>
      </c>
      <c r="L240">
        <f t="shared" si="6"/>
        <v>0.58607656748536219</v>
      </c>
      <c r="M240" cm="1">
        <f t="array" ref="M240">EstymacjaGaussowska($K240,$C$2:$C$151)</f>
        <v>0.69622571011260204</v>
      </c>
      <c r="N240" cm="1">
        <f t="array" ref="N240">EstymacjaGaussowska($K240,$C$2:$C$151,$N$2)</f>
        <v>0.84171948303247168</v>
      </c>
      <c r="O240" cm="1">
        <f t="array" ref="O240">EstymacjaGaussowska($K240,$C$2:$C$151,$O$2)</f>
        <v>0.5471549957631624</v>
      </c>
      <c r="P240" cm="1">
        <f t="array" ref="P240">EstymacjaGaussowska($K240,$C$2:$C$151,$P$2)</f>
        <v>7.9189411823671202E-2</v>
      </c>
      <c r="R240" cm="1">
        <f t="array" ref="R240">EstymacjaEpanecznikowa($K240,$C$2:$C$151,R$2)</f>
        <v>0.67830187471183778</v>
      </c>
      <c r="S240" cm="1">
        <f t="array" ref="S240">EstymacjaEpanecznikowa($K240,$C$2:$C$151,S$2)</f>
        <v>0.87170619316041975</v>
      </c>
      <c r="T240" cm="1">
        <f t="array" ref="T240">EstymacjaEpanecznikowa($K240,$C$2:$C$151,T$2)</f>
        <v>0.52837226298463447</v>
      </c>
    </row>
    <row r="241" spans="10:20" x14ac:dyDescent="0.25">
      <c r="J241">
        <v>239</v>
      </c>
      <c r="K241">
        <f t="shared" si="7"/>
        <v>4.6715719063545196</v>
      </c>
      <c r="L241">
        <f t="shared" si="6"/>
        <v>0.5785190316190898</v>
      </c>
      <c r="M241" cm="1">
        <f t="array" ref="M241">EstymacjaGaussowska($K241,$C$2:$C$151)</f>
        <v>0.68987154108840021</v>
      </c>
      <c r="N241" cm="1">
        <f t="array" ref="N241">EstymacjaGaussowska($K241,$C$2:$C$151,$N$2)</f>
        <v>0.86555024225884514</v>
      </c>
      <c r="O241" cm="1">
        <f t="array" ref="O241">EstymacjaGaussowska($K241,$C$2:$C$151,$O$2)</f>
        <v>0.54390262421528479</v>
      </c>
      <c r="P241" cm="1">
        <f t="array" ref="P241">EstymacjaGaussowska($K241,$C$2:$C$151,$P$2)</f>
        <v>7.9180437955883892E-2</v>
      </c>
      <c r="R241" cm="1">
        <f t="array" ref="R241">EstymacjaEpanecznikowa($K241,$C$2:$C$151,R$2)</f>
        <v>0.6728647495442448</v>
      </c>
      <c r="S241" cm="1">
        <f t="array" ref="S241">EstymacjaEpanecznikowa($K241,$C$2:$C$151,S$2)</f>
        <v>0.86499986510288629</v>
      </c>
      <c r="T241" cm="1">
        <f t="array" ref="T241">EstymacjaEpanecznikowa($K241,$C$2:$C$151,T$2)</f>
        <v>0.52576753200089532</v>
      </c>
    </row>
    <row r="242" spans="10:20" x14ac:dyDescent="0.25">
      <c r="J242">
        <v>240</v>
      </c>
      <c r="K242">
        <f t="shared" si="7"/>
        <v>4.6785953177257573</v>
      </c>
      <c r="L242">
        <f t="shared" si="6"/>
        <v>0.57093139619615008</v>
      </c>
      <c r="M242" cm="1">
        <f t="array" ref="M242">EstymacjaGaussowska($K242,$C$2:$C$151)</f>
        <v>0.68333292619220831</v>
      </c>
      <c r="N242" cm="1">
        <f t="array" ref="N242">EstymacjaGaussowska($K242,$C$2:$C$151,$N$2)</f>
        <v>0.88584559215801972</v>
      </c>
      <c r="O242" cm="1">
        <f t="array" ref="O242">EstymacjaGaussowska($K242,$C$2:$C$151,$O$2)</f>
        <v>0.54059210024409554</v>
      </c>
      <c r="P242" cm="1">
        <f t="array" ref="P242">EstymacjaGaussowska($K242,$C$2:$C$151,$P$2)</f>
        <v>7.9171310224402686E-2</v>
      </c>
      <c r="R242" cm="1">
        <f t="array" ref="R242">EstymacjaEpanecznikowa($K242,$C$2:$C$151,R$2)</f>
        <v>0.6670804546955077</v>
      </c>
      <c r="S242" cm="1">
        <f t="array" ref="S242">EstymacjaEpanecznikowa($K242,$C$2:$C$151,S$2)</f>
        <v>0.84982238581479019</v>
      </c>
      <c r="T242" cm="1">
        <f t="array" ref="T242">EstymacjaEpanecznikowa($K242,$C$2:$C$151,T$2)</f>
        <v>0.52309888972529273</v>
      </c>
    </row>
    <row r="243" spans="10:20" x14ac:dyDescent="0.25">
      <c r="J243">
        <v>241</v>
      </c>
      <c r="K243">
        <f t="shared" si="7"/>
        <v>4.6856187290969951</v>
      </c>
      <c r="L243">
        <f t="shared" si="6"/>
        <v>0.56331742339760105</v>
      </c>
      <c r="M243" cm="1">
        <f t="array" ref="M243">EstymacjaGaussowska($K243,$C$2:$C$151)</f>
        <v>0.67661553346012127</v>
      </c>
      <c r="N243" cm="1">
        <f t="array" ref="N243">EstymacjaGaussowska($K243,$C$2:$C$151,$N$2)</f>
        <v>0.900537755283914</v>
      </c>
      <c r="O243" cm="1">
        <f t="array" ref="O243">EstymacjaGaussowska($K243,$C$2:$C$151,$O$2)</f>
        <v>0.53722449942167771</v>
      </c>
      <c r="P243" cm="1">
        <f t="array" ref="P243">EstymacjaGaussowska($K243,$C$2:$C$151,$P$2)</f>
        <v>7.9162028682572341E-2</v>
      </c>
      <c r="R243" cm="1">
        <f t="array" ref="R243">EstymacjaEpanecznikowa($K243,$C$2:$C$151,R$2)</f>
        <v>0.6609489901656268</v>
      </c>
      <c r="S243" cm="1">
        <f t="array" ref="S243">EstymacjaEpanecznikowa($K243,$C$2:$C$151,S$2)</f>
        <v>0.8261737552961318</v>
      </c>
      <c r="T243" cm="1">
        <f t="array" ref="T243">EstymacjaEpanecznikowa($K243,$C$2:$C$151,T$2)</f>
        <v>0.52036633615782801</v>
      </c>
    </row>
    <row r="244" spans="10:20" x14ac:dyDescent="0.25">
      <c r="J244">
        <v>242</v>
      </c>
      <c r="K244">
        <f t="shared" si="7"/>
        <v>4.6926421404682328</v>
      </c>
      <c r="L244">
        <f t="shared" si="6"/>
        <v>0.55568084318055488</v>
      </c>
      <c r="M244" cm="1">
        <f t="array" ref="M244">EstymacjaGaussowska($K244,$C$2:$C$151)</f>
        <v>0.66972528840682322</v>
      </c>
      <c r="N244" cm="1">
        <f t="array" ref="N244">EstymacjaGaussowska($K244,$C$2:$C$151,$N$2)</f>
        <v>0.90787636326535137</v>
      </c>
      <c r="O244" cm="1">
        <f t="array" ref="O244">EstymacjaGaussowska($K244,$C$2:$C$151,$O$2)</f>
        <v>0.53380092022282932</v>
      </c>
      <c r="P244" cm="1">
        <f t="array" ref="P244">EstymacjaGaussowska($K244,$C$2:$C$151,$P$2)</f>
        <v>7.9152593384634359E-2</v>
      </c>
      <c r="R244" cm="1">
        <f t="array" ref="R244">EstymacjaEpanecznikowa($K244,$C$2:$C$151,R$2)</f>
        <v>0.65447035595460157</v>
      </c>
      <c r="S244" cm="1">
        <f t="array" ref="S244">EstymacjaEpanecznikowa($K244,$C$2:$C$151,S$2)</f>
        <v>0.81496832870736757</v>
      </c>
      <c r="T244" cm="1">
        <f t="array" ref="T244">EstymacjaEpanecznikowa($K244,$C$2:$C$151,T$2)</f>
        <v>0.51756987129849974</v>
      </c>
    </row>
    <row r="245" spans="10:20" x14ac:dyDescent="0.25">
      <c r="J245">
        <v>243</v>
      </c>
      <c r="K245">
        <f t="shared" si="7"/>
        <v>4.6996655518394705</v>
      </c>
      <c r="L245">
        <f t="shared" si="6"/>
        <v>0.54802535039776468</v>
      </c>
      <c r="M245" cm="1">
        <f t="array" ref="M245">EstymacjaGaussowska($K245,$C$2:$C$151)</f>
        <v>0.66266835465459506</v>
      </c>
      <c r="N245" cm="1">
        <f t="array" ref="N245">EstymacjaGaussowska($K245,$C$2:$C$151,$N$2)</f>
        <v>0.90663393359445421</v>
      </c>
      <c r="O245" cm="1">
        <f t="array" ref="O245">EstymacjaGaussowska($K245,$C$2:$C$151,$O$2)</f>
        <v>0.53032248339049026</v>
      </c>
      <c r="P245" cm="1">
        <f t="array" ref="P245">EstymacjaGaussowska($K245,$C$2:$C$151,$P$2)</f>
        <v>7.9143004385726037E-2</v>
      </c>
      <c r="R245" cm="1">
        <f t="array" ref="R245">EstymacjaEpanecznikowa($K245,$C$2:$C$151,R$2)</f>
        <v>0.64764455206243254</v>
      </c>
      <c r="S245" cm="1">
        <f t="array" ref="S245">EstymacjaEpanecznikowa($K245,$C$2:$C$151,S$2)</f>
        <v>0.80569040116912438</v>
      </c>
      <c r="T245" cm="1">
        <f t="array" ref="T245">EstymacjaEpanecznikowa($K245,$C$2:$C$151,T$2)</f>
        <v>0.51470949514730857</v>
      </c>
    </row>
    <row r="246" spans="10:20" x14ac:dyDescent="0.25">
      <c r="J246">
        <v>244</v>
      </c>
      <c r="K246">
        <f t="shared" si="7"/>
        <v>4.7066889632107083</v>
      </c>
      <c r="L246">
        <f t="shared" si="6"/>
        <v>0.54035460199487295</v>
      </c>
      <c r="M246" cm="1">
        <f t="array" ref="M246">EstymacjaGaussowska($K246,$C$2:$C$151)</f>
        <v>0.65545111419040225</v>
      </c>
      <c r="N246" cm="1">
        <f t="array" ref="N246">EstymacjaGaussowska($K246,$C$2:$C$151,$N$2)</f>
        <v>0.89625341228842714</v>
      </c>
      <c r="O246" cm="1">
        <f t="array" ref="O246">EstymacjaGaussowska($K246,$C$2:$C$151,$O$2)</f>
        <v>0.52679033128265651</v>
      </c>
      <c r="P246" cm="1">
        <f t="array" ref="P246">EstymacjaGaussowska($K246,$C$2:$C$151,$P$2)</f>
        <v>7.9133261741879984E-2</v>
      </c>
      <c r="R246" cm="1">
        <f t="array" ref="R246">EstymacjaEpanecznikowa($K246,$C$2:$C$151,R$2)</f>
        <v>0.64047157848911951</v>
      </c>
      <c r="S246" cm="1">
        <f t="array" ref="S246">EstymacjaEpanecznikowa($K246,$C$2:$C$151,S$2)</f>
        <v>0.7858235345926784</v>
      </c>
      <c r="T246" cm="1">
        <f t="array" ref="T246">EstymacjaEpanecznikowa($K246,$C$2:$C$151,T$2)</f>
        <v>0.51179879222983593</v>
      </c>
    </row>
    <row r="247" spans="10:20" x14ac:dyDescent="0.25">
      <c r="J247">
        <v>245</v>
      </c>
      <c r="K247">
        <f t="shared" si="7"/>
        <v>4.713712374581946</v>
      </c>
      <c r="L247">
        <f t="shared" si="6"/>
        <v>0.53267221428800515</v>
      </c>
      <c r="M247" cm="1">
        <f t="array" ref="M247">EstymacjaGaussowska($K247,$C$2:$C$151)</f>
        <v>0.64808014735357677</v>
      </c>
      <c r="N247" cm="1">
        <f t="array" ref="N247">EstymacjaGaussowska($K247,$C$2:$C$151,$N$2)</f>
        <v>0.87691319762494402</v>
      </c>
      <c r="O247" cm="1">
        <f t="array" ref="O247">EstymacjaGaussowska($K247,$C$2:$C$151,$O$2)</f>
        <v>0.52320562720132946</v>
      </c>
      <c r="P247" cm="1">
        <f t="array" ref="P247">EstymacjaGaussowska($K247,$C$2:$C$151,$P$2)</f>
        <v>7.9123365510023858E-2</v>
      </c>
      <c r="R247" cm="1">
        <f t="array" ref="R247">EstymacjaEpanecznikowa($K247,$C$2:$C$151,R$2)</f>
        <v>0.63497998998514205</v>
      </c>
      <c r="S247" cm="1">
        <f t="array" ref="S247">EstymacjaEpanecznikowa($K247,$C$2:$C$151,S$2)</f>
        <v>0.76922969466626823</v>
      </c>
      <c r="T247" cm="1">
        <f t="array" ref="T247">EstymacjaEpanecznikowa($K247,$C$2:$C$151,T$2)</f>
        <v>0.50901951563460723</v>
      </c>
    </row>
    <row r="248" spans="10:20" x14ac:dyDescent="0.25">
      <c r="J248">
        <v>246</v>
      </c>
      <c r="K248">
        <f t="shared" si="7"/>
        <v>4.7207357859531838</v>
      </c>
      <c r="L248">
        <f t="shared" si="6"/>
        <v>0.5249817603242195</v>
      </c>
      <c r="M248" cm="1">
        <f t="array" ref="M248">EstymacjaGaussowska($K248,$C$2:$C$151)</f>
        <v>0.64056221265434365</v>
      </c>
      <c r="N248" cm="1">
        <f t="array" ref="N248">EstymacjaGaussowska($K248,$C$2:$C$151,$N$2)</f>
        <v>0.84949885296643435</v>
      </c>
      <c r="O248" cm="1">
        <f t="array" ref="O248">EstymacjaGaussowska($K248,$C$2:$C$151,$O$2)</f>
        <v>0.51956955470408428</v>
      </c>
      <c r="P248" cm="1">
        <f t="array" ref="P248">EstymacjaGaussowska($K248,$C$2:$C$151,$P$2)</f>
        <v>7.9113315747979543E-2</v>
      </c>
      <c r="R248" cm="1">
        <f t="array" ref="R248">EstymacjaEpanecznikowa($K248,$C$2:$C$151,R$2)</f>
        <v>0.6304115889505495</v>
      </c>
      <c r="S248" cm="1">
        <f t="array" ref="S248">EstymacjaEpanecznikowa($K248,$C$2:$C$151,S$2)</f>
        <v>0.78120528048327642</v>
      </c>
      <c r="T248" cm="1">
        <f t="array" ref="T248">EstymacjaEpanecznikowa($K248,$C$2:$C$151,T$2)</f>
        <v>0.50617778027687654</v>
      </c>
    </row>
    <row r="249" spans="10:20" x14ac:dyDescent="0.25">
      <c r="J249">
        <v>247</v>
      </c>
      <c r="K249">
        <f t="shared" si="7"/>
        <v>4.7277591973244215</v>
      </c>
      <c r="L249">
        <f t="shared" si="6"/>
        <v>0.5172867673271706</v>
      </c>
      <c r="M249" cm="1">
        <f t="array" ref="M249">EstymacjaGaussowska($K249,$C$2:$C$151)</f>
        <v>0.63290422652067391</v>
      </c>
      <c r="N249" cm="1">
        <f t="array" ref="N249">EstymacjaGaussowska($K249,$C$2:$C$151,$N$2)</f>
        <v>0.81548630718354909</v>
      </c>
      <c r="O249" cm="1">
        <f t="array" ref="O249">EstymacjaGaussowska($K249,$C$2:$C$151,$O$2)</f>
        <v>0.51588331689885569</v>
      </c>
      <c r="P249" cm="1">
        <f t="array" ref="P249">EstymacjaGaussowska($K249,$C$2:$C$151,$P$2)</f>
        <v>7.9103112514462587E-2</v>
      </c>
      <c r="R249" cm="1">
        <f t="array" ref="R249">EstymacjaEpanecznikowa($K249,$C$2:$C$151,R$2)</f>
        <v>0.62554081432270259</v>
      </c>
      <c r="S249" cm="1">
        <f t="array" ref="S249">EstymacjaEpanecznikowa($K249,$C$2:$C$151,S$2)</f>
        <v>0.78576860897354228</v>
      </c>
      <c r="T249" cm="1">
        <f t="array" ref="T249">EstymacjaEpanecznikowa($K249,$C$2:$C$151,T$2)</f>
        <v>0.50327358615664286</v>
      </c>
    </row>
    <row r="250" spans="10:20" x14ac:dyDescent="0.25">
      <c r="J250">
        <v>248</v>
      </c>
      <c r="K250">
        <f t="shared" si="7"/>
        <v>4.7347826086956593</v>
      </c>
      <c r="L250">
        <f t="shared" si="6"/>
        <v>0.50959071423016922</v>
      </c>
      <c r="M250" cm="1">
        <f t="array" ref="M250">EstymacjaGaussowska($K250,$C$2:$C$151)</f>
        <v>0.62511324306766369</v>
      </c>
      <c r="N250" cm="1">
        <f t="array" ref="N250">EstymacjaGaussowska($K250,$C$2:$C$151,$N$2)</f>
        <v>0.77675580977891978</v>
      </c>
      <c r="O250" cm="1">
        <f t="array" ref="O250">EstymacjaGaussowska($K250,$C$2:$C$151,$O$2)</f>
        <v>0.51214813572256956</v>
      </c>
      <c r="P250" cm="1">
        <f t="array" ref="P250">EstymacjaGaussowska($K250,$C$2:$C$151,$P$2)</f>
        <v>7.9092755869081599E-2</v>
      </c>
      <c r="R250" cm="1">
        <f t="array" ref="R250">EstymacjaEpanecznikowa($K250,$C$2:$C$151,R$2)</f>
        <v>0.62036766610160143</v>
      </c>
      <c r="S250" cm="1">
        <f t="array" ref="S250">EstymacjaEpanecznikowa($K250,$C$2:$C$151,S$2)</f>
        <v>0.78291968013706648</v>
      </c>
      <c r="T250" cm="1">
        <f t="array" ref="T250">EstymacjaEpanecznikowa($K250,$C$2:$C$151,T$2)</f>
        <v>0.50030693327390685</v>
      </c>
    </row>
    <row r="251" spans="10:20" x14ac:dyDescent="0.25">
      <c r="J251">
        <v>249</v>
      </c>
      <c r="K251">
        <f t="shared" si="7"/>
        <v>4.741806020066897</v>
      </c>
      <c r="L251">
        <f t="shared" si="6"/>
        <v>0.50189702929866098</v>
      </c>
      <c r="M251" cm="1">
        <f t="array" ref="M251">EstymacjaGaussowska($K251,$C$2:$C$151)</f>
        <v>0.61719643397997714</v>
      </c>
      <c r="N251" cm="1">
        <f t="array" ref="N251">EstymacjaGaussowska($K251,$C$2:$C$151,$N$2)</f>
        <v>0.73536662016808663</v>
      </c>
      <c r="O251" cm="1">
        <f t="array" ref="O251">EstymacjaGaussowska($K251,$C$2:$C$151,$O$2)</f>
        <v>0.50836525120427334</v>
      </c>
      <c r="P251" cm="1">
        <f t="array" ref="P251">EstymacjaGaussowska($K251,$C$2:$C$151,$P$2)</f>
        <v>7.9082245872338169E-2</v>
      </c>
      <c r="R251" cm="1">
        <f t="array" ref="R251">EstymacjaEpanecznikowa($K251,$C$2:$C$151,R$2)</f>
        <v>0.61489214428724559</v>
      </c>
      <c r="S251" cm="1">
        <f t="array" ref="S251">EstymacjaEpanecznikowa($K251,$C$2:$C$151,S$2)</f>
        <v>0.77265849397384823</v>
      </c>
      <c r="T251" cm="1">
        <f t="array" ref="T251">EstymacjaEpanecznikowa($K251,$C$2:$C$151,T$2)</f>
        <v>0.49727782162866879</v>
      </c>
    </row>
    <row r="252" spans="10:20" x14ac:dyDescent="0.25">
      <c r="J252">
        <v>250</v>
      </c>
      <c r="K252">
        <f t="shared" si="7"/>
        <v>4.7488294314381347</v>
      </c>
      <c r="L252">
        <f t="shared" si="6"/>
        <v>0.49420908784397743</v>
      </c>
      <c r="M252" cm="1">
        <f t="array" ref="M252">EstymacjaGaussowska($K252,$C$2:$C$151)</f>
        <v>0.60916106859381203</v>
      </c>
      <c r="N252" cm="1">
        <f t="array" ref="N252">EstymacjaGaussowska($K252,$C$2:$C$151,$N$2)</f>
        <v>0.69332752462644054</v>
      </c>
      <c r="O252" cm="1">
        <f t="array" ref="O252">EstymacjaGaussowska($K252,$C$2:$C$151,$O$2)</f>
        <v>0.50453592071343412</v>
      </c>
      <c r="P252" cm="1">
        <f t="array" ref="P252">EstymacjaGaussowska($K252,$C$2:$C$151,$P$2)</f>
        <v>7.9071582585625508E-2</v>
      </c>
      <c r="R252" cm="1">
        <f t="array" ref="R252">EstymacjaEpanecznikowa($K252,$C$2:$C$151,R$2)</f>
        <v>0.60911424887963539</v>
      </c>
      <c r="S252" cm="1">
        <f t="array" ref="S252">EstymacjaEpanecznikowa($K252,$C$2:$C$151,S$2)</f>
        <v>0.75498505048388798</v>
      </c>
      <c r="T252" cm="1">
        <f t="array" ref="T252">EstymacjaEpanecznikowa($K252,$C$2:$C$151,T$2)</f>
        <v>0.49418625122092802</v>
      </c>
    </row>
    <row r="253" spans="10:20" x14ac:dyDescent="0.25">
      <c r="J253">
        <v>251</v>
      </c>
      <c r="K253">
        <f t="shared" si="7"/>
        <v>4.7558528428093725</v>
      </c>
      <c r="L253">
        <f t="shared" si="6"/>
        <v>0.48653021003003821</v>
      </c>
      <c r="M253" cm="1">
        <f t="array" ref="M253">EstymacjaGaussowska($K253,$C$2:$C$151)</f>
        <v>0.60101449426041953</v>
      </c>
      <c r="N253" cm="1">
        <f t="array" ref="N253">EstymacjaGaussowska($K253,$C$2:$C$151,$N$2)</f>
        <v>0.65239707248119394</v>
      </c>
      <c r="O253" cm="1">
        <f t="array" ref="O253">EstymacjaGaussowska($K253,$C$2:$C$151,$O$2)</f>
        <v>0.50066141819410259</v>
      </c>
      <c r="P253" cm="1">
        <f t="array" ref="P253">EstymacjaGaussowska($K253,$C$2:$C$151,$P$2)</f>
        <v>7.9060766071228333E-2</v>
      </c>
      <c r="R253" cm="1">
        <f t="array" ref="R253">EstymacjaEpanecznikowa($K253,$C$2:$C$151,R$2)</f>
        <v>0.60303397987877094</v>
      </c>
      <c r="S253" cm="1">
        <f t="array" ref="S253">EstymacjaEpanecznikowa($K253,$C$2:$C$151,S$2)</f>
        <v>0.72989934966718573</v>
      </c>
      <c r="T253" cm="1">
        <f t="array" ref="T253">EstymacjaEpanecznikowa($K253,$C$2:$C$151,T$2)</f>
        <v>0.49103222205068481</v>
      </c>
    </row>
    <row r="254" spans="10:20" x14ac:dyDescent="0.25">
      <c r="J254">
        <v>252</v>
      </c>
      <c r="K254">
        <f t="shared" si="7"/>
        <v>4.7628762541806102</v>
      </c>
      <c r="L254">
        <f t="shared" si="6"/>
        <v>0.47886365877452086</v>
      </c>
      <c r="M254" cm="1">
        <f t="array" ref="M254">EstymacjaGaussowska($K254,$C$2:$C$151)</f>
        <v>0.59276411706849819</v>
      </c>
      <c r="N254" cm="1">
        <f t="array" ref="N254">EstymacjaGaussowska($K254,$C$2:$C$151,$N$2)</f>
        <v>0.61394040630518321</v>
      </c>
      <c r="O254" cm="1">
        <f t="array" ref="O254">EstymacjaGaussowska($K254,$C$2:$C$151,$O$2)</f>
        <v>0.49674303338565762</v>
      </c>
      <c r="P254" cm="1">
        <f t="array" ref="P254">EstymacjaGaussowska($K254,$C$2:$C$151,$P$2)</f>
        <v>7.9049796392322208E-2</v>
      </c>
      <c r="R254" cm="1">
        <f t="array" ref="R254">EstymacjaEpanecznikowa($K254,$C$2:$C$151,R$2)</f>
        <v>0.59665133728465203</v>
      </c>
      <c r="S254" cm="1">
        <f t="array" ref="S254">EstymacjaEpanecznikowa($K254,$C$2:$C$151,S$2)</f>
        <v>0.69740139152374114</v>
      </c>
      <c r="T254" cm="1">
        <f t="array" ref="T254">EstymacjaEpanecznikowa($K254,$C$2:$C$151,T$2)</f>
        <v>0.48781573411793916</v>
      </c>
    </row>
    <row r="255" spans="10:20" x14ac:dyDescent="0.25">
      <c r="J255">
        <v>253</v>
      </c>
      <c r="K255">
        <f t="shared" si="7"/>
        <v>4.769899665551848</v>
      </c>
      <c r="L255">
        <f t="shared" si="6"/>
        <v>0.47121263774584377</v>
      </c>
      <c r="M255" cm="1">
        <f t="array" ref="M255">EstymacjaGaussowska($K255,$C$2:$C$151)</f>
        <v>0.58441738299779356</v>
      </c>
      <c r="N255" cm="1">
        <f t="array" ref="N255">EstymacjaGaussowska($K255,$C$2:$C$151,$N$2)</f>
        <v>0.57885829643738873</v>
      </c>
      <c r="O255" cm="1">
        <f t="array" ref="O255">EstymacjaGaussowska($K255,$C$2:$C$151,$O$2)</f>
        <v>0.4927820710308668</v>
      </c>
      <c r="P255" cm="1">
        <f t="array" ref="P255">EstymacjaGaussowska($K255,$C$2:$C$151,$P$2)</f>
        <v>7.9038673612972815E-2</v>
      </c>
      <c r="R255" cm="1">
        <f t="array" ref="R255">EstymacjaEpanecznikowa($K255,$C$2:$C$151,R$2)</f>
        <v>0.58996632109727842</v>
      </c>
      <c r="S255" cm="1">
        <f t="array" ref="S255">EstymacjaEpanecznikowa($K255,$C$2:$C$151,S$2)</f>
        <v>0.65749117605355456</v>
      </c>
      <c r="T255" cm="1">
        <f t="array" ref="T255">EstymacjaEpanecznikowa($K255,$C$2:$C$151,T$2)</f>
        <v>0.48453678742269091</v>
      </c>
    </row>
    <row r="256" spans="10:20" x14ac:dyDescent="0.25">
      <c r="J256">
        <v>254</v>
      </c>
      <c r="K256">
        <f t="shared" si="7"/>
        <v>4.7769230769230857</v>
      </c>
      <c r="L256">
        <f t="shared" si="6"/>
        <v>0.46358028945713237</v>
      </c>
      <c r="M256" cm="1">
        <f t="array" ref="M256">EstymacjaGaussowska($K256,$C$2:$C$151)</f>
        <v>0.57598175957104503</v>
      </c>
      <c r="N256" cm="1">
        <f t="array" ref="N256">EstymacjaGaussowska($K256,$C$2:$C$151,$N$2)</f>
        <v>0.54759075600791818</v>
      </c>
      <c r="O256" cm="1">
        <f t="array" ref="O256">EstymacjaGaussowska($K256,$C$2:$C$151,$O$2)</f>
        <v>0.48877985007201263</v>
      </c>
      <c r="P256" cm="1">
        <f t="array" ref="P256">EstymacjaGaussowska($K256,$C$2:$C$151,$P$2)</f>
        <v>7.9027397798135363E-2</v>
      </c>
      <c r="R256" cm="1">
        <f t="array" ref="R256">EstymacjaEpanecznikowa($K256,$C$2:$C$151,R$2)</f>
        <v>0.58297893131665057</v>
      </c>
      <c r="S256" cm="1">
        <f t="array" ref="S256">EstymacjaEpanecznikowa($K256,$C$2:$C$151,S$2)</f>
        <v>0.61016870325662598</v>
      </c>
      <c r="T256" cm="1">
        <f t="array" ref="T256">EstymacjaEpanecznikowa($K256,$C$2:$C$151,T$2)</f>
        <v>0.48119538196494049</v>
      </c>
    </row>
    <row r="257" spans="10:20" x14ac:dyDescent="0.25">
      <c r="J257">
        <v>255</v>
      </c>
      <c r="K257">
        <f t="shared" si="7"/>
        <v>4.7839464882943235</v>
      </c>
      <c r="L257">
        <f t="shared" si="6"/>
        <v>0.45596969345817795</v>
      </c>
      <c r="M257" cm="1">
        <f t="array" ref="M257">EstymacjaGaussowska($K257,$C$2:$C$151)</f>
        <v>0.56746471806603627</v>
      </c>
      <c r="N257" cm="1">
        <f t="array" ref="N257">EstymacjaGaussowska($K257,$C$2:$C$151,$N$2)</f>
        <v>0.52018492273443329</v>
      </c>
      <c r="O257" cm="1">
        <f t="array" ref="O257">EstymacjaGaussowska($K257,$C$2:$C$151,$O$2)</f>
        <v>0.48473770283586698</v>
      </c>
      <c r="P257" cm="1">
        <f t="array" ref="P257">EstymacjaGaussowska($K257,$C$2:$C$151,$P$2)</f>
        <v>7.9015969013654083E-2</v>
      </c>
      <c r="R257" cm="1">
        <f t="array" ref="R257">EstymacjaEpanecznikowa($K257,$C$2:$C$151,R$2)</f>
        <v>0.57568916794276837</v>
      </c>
      <c r="S257" cm="1">
        <f t="array" ref="S257">EstymacjaEpanecznikowa($K257,$C$2:$C$151,S$2)</f>
        <v>0.55543397313295517</v>
      </c>
      <c r="T257" cm="1">
        <f t="array" ref="T257">EstymacjaEpanecznikowa($K257,$C$2:$C$151,T$2)</f>
        <v>0.47779151774468787</v>
      </c>
    </row>
    <row r="258" spans="10:20" x14ac:dyDescent="0.25">
      <c r="J258">
        <v>256</v>
      </c>
      <c r="K258">
        <f t="shared" si="7"/>
        <v>4.7909698996655612</v>
      </c>
      <c r="L258">
        <f t="shared" si="6"/>
        <v>0.44838386462622692</v>
      </c>
      <c r="M258" cm="1">
        <f t="array" ref="M258">EstymacjaGaussowska($K258,$C$2:$C$151)</f>
        <v>0.55887371634400462</v>
      </c>
      <c r="N258" cm="1">
        <f t="array" ref="N258">EstymacjaGaussowska($K258,$C$2:$C$151,$N$2)</f>
        <v>0.49640700737051791</v>
      </c>
      <c r="O258" cm="1">
        <f t="array" ref="O258">EstymacjaGaussowska($K258,$C$2:$C$151,$O$2)</f>
        <v>0.4806569742082859</v>
      </c>
      <c r="P258" cm="1">
        <f t="array" ref="P258">EstymacjaGaussowska($K258,$C$2:$C$151,$P$2)</f>
        <v>7.9004387326261388E-2</v>
      </c>
      <c r="R258" cm="1">
        <f t="array" ref="R258">EstymacjaEpanecznikowa($K258,$C$2:$C$151,R$2)</f>
        <v>0.56809703097563202</v>
      </c>
      <c r="S258" cm="1">
        <f t="array" ref="S258">EstymacjaEpanecznikowa($K258,$C$2:$C$151,S$2)</f>
        <v>0.50643371776170365</v>
      </c>
      <c r="T258" cm="1">
        <f t="array" ref="T258">EstymacjaEpanecznikowa($K258,$C$2:$C$151,T$2)</f>
        <v>0.47432519476193247</v>
      </c>
    </row>
    <row r="259" spans="10:20" x14ac:dyDescent="0.25">
      <c r="J259">
        <v>257</v>
      </c>
      <c r="K259">
        <f t="shared" si="7"/>
        <v>4.7979933110367989</v>
      </c>
      <c r="L259">
        <f t="shared" si="6"/>
        <v>0.44082575155626913</v>
      </c>
      <c r="M259" cm="1">
        <f t="array" ref="M259">EstymacjaGaussowska($K259,$C$2:$C$151)</f>
        <v>0.55021618234506342</v>
      </c>
      <c r="N259" cm="1">
        <f t="array" ref="N259">EstymacjaGaussowska($K259,$C$2:$C$151,$N$2)</f>
        <v>0.47587262155023596</v>
      </c>
      <c r="O259" cm="1">
        <f t="array" ref="O259">EstymacjaGaussowska($K259,$C$2:$C$151,$O$2)</f>
        <v>0.4765390207992426</v>
      </c>
      <c r="P259" cm="1">
        <f t="array" ref="P259">EstymacjaGaussowska($K259,$C$2:$C$151,$P$2)</f>
        <v>7.899265280357734E-2</v>
      </c>
      <c r="R259" cm="1">
        <f t="array" ref="R259">EstymacjaEpanecznikowa($K259,$C$2:$C$151,R$2)</f>
        <v>0.56020252041524099</v>
      </c>
      <c r="S259" cm="1">
        <f t="array" ref="S259">EstymacjaEpanecznikowa($K259,$C$2:$C$151,S$2)</f>
        <v>0.46869171361838313</v>
      </c>
      <c r="T259" cm="1">
        <f t="array" ref="T259">EstymacjaEpanecznikowa($K259,$C$2:$C$151,T$2)</f>
        <v>0.47079641301667463</v>
      </c>
    </row>
    <row r="260" spans="10:20" x14ac:dyDescent="0.25">
      <c r="J260">
        <v>258</v>
      </c>
      <c r="K260">
        <f t="shared" si="7"/>
        <v>4.8050167224080367</v>
      </c>
      <c r="L260">
        <f t="shared" ref="L260:L302" si="8">_xlfn.NORM.DIST(K260,$H$2,$H$3,FALSE)</f>
        <v>0.43329823505133463</v>
      </c>
      <c r="M260" cm="1">
        <f t="array" ref="M260">EstymacjaGaussowska($K260,$C$2:$C$151)</f>
        <v>0.54149949829561583</v>
      </c>
      <c r="N260" cm="1">
        <f t="array" ref="N260">EstymacjaGaussowska($K260,$C$2:$C$151,$N$2)</f>
        <v>0.4581693881593944</v>
      </c>
      <c r="O260" cm="1">
        <f t="array" ref="O260">EstymacjaGaussowska($K260,$C$2:$C$151,$O$2)</f>
        <v>0.47238521009910944</v>
      </c>
      <c r="P260" cm="1">
        <f t="array" ref="P260">EstymacjaGaussowska($K260,$C$2:$C$151,$P$2)</f>
        <v>7.8980765514109014E-2</v>
      </c>
      <c r="R260" cm="1">
        <f t="array" ref="R260">EstymacjaEpanecznikowa($K260,$C$2:$C$151,R$2)</f>
        <v>0.55200563626159538</v>
      </c>
      <c r="S260" cm="1">
        <f t="array" ref="S260">EstymacjaEpanecznikowa($K260,$C$2:$C$151,S$2)</f>
        <v>0.42141966434068018</v>
      </c>
      <c r="T260" cm="1">
        <f t="array" ref="T260">EstymacjaEpanecznikowa($K260,$C$2:$C$151,T$2)</f>
        <v>0.46720517250891425</v>
      </c>
    </row>
    <row r="261" spans="10:20" x14ac:dyDescent="0.25">
      <c r="J261">
        <v>259</v>
      </c>
      <c r="K261">
        <f t="shared" ref="K261:K302" si="9">K260+$H$11</f>
        <v>4.8120401337792744</v>
      </c>
      <c r="L261">
        <f t="shared" si="8"/>
        <v>0.42580412671313866</v>
      </c>
      <c r="M261" cm="1">
        <f t="array" ref="M261">EstymacjaGaussowska($K261,$C$2:$C$151)</f>
        <v>0.532730985667073</v>
      </c>
      <c r="N261" cm="1">
        <f t="array" ref="N261">EstymacjaGaussowska($K261,$C$2:$C$151,$N$2)</f>
        <v>0.44295010330697548</v>
      </c>
      <c r="O261" cm="1">
        <f t="array" ref="O261">EstymacjaGaussowska($K261,$C$2:$C$151,$O$2)</f>
        <v>0.46819691962701837</v>
      </c>
      <c r="P261" cm="1">
        <f t="array" ref="P261">EstymacjaGaussowska($K261,$C$2:$C$151,$P$2)</f>
        <v>7.8968725527249761E-2</v>
      </c>
      <c r="R261" cm="1">
        <f t="array" ref="R261">EstymacjaEpanecznikowa($K261,$C$2:$C$151,R$2)</f>
        <v>0.54413122958166749</v>
      </c>
      <c r="S261" cm="1">
        <f t="array" ref="S261">EstymacjaEpanecznikowa($K261,$C$2:$C$151,S$2)</f>
        <v>0.36746139638526143</v>
      </c>
      <c r="T261" cm="1">
        <f t="array" ref="T261">EstymacjaEpanecznikowa($K261,$C$2:$C$151,T$2)</f>
        <v>0.46372410478863435</v>
      </c>
    </row>
    <row r="262" spans="10:20" x14ac:dyDescent="0.25">
      <c r="J262">
        <v>260</v>
      </c>
      <c r="K262">
        <f t="shared" si="9"/>
        <v>4.8190635451505122</v>
      </c>
      <c r="L262">
        <f t="shared" si="8"/>
        <v>0.41834616763325699</v>
      </c>
      <c r="M262" cm="1">
        <f t="array" ref="M262">EstymacjaGaussowska($K262,$C$2:$C$151)</f>
        <v>0.52391789091950502</v>
      </c>
      <c r="N262" cm="1">
        <f t="array" ref="N262">EstymacjaGaussowska($K262,$C$2:$C$151,$N$2)</f>
        <v>0.42998270260748539</v>
      </c>
      <c r="O262" cm="1">
        <f t="array" ref="O262">EstymacjaGaussowska($K262,$C$2:$C$151,$O$2)</f>
        <v>0.4639755360721462</v>
      </c>
      <c r="P262" cm="1">
        <f t="array" ref="P262">EstymacjaGaussowska($K262,$C$2:$C$151,$P$2)</f>
        <v>7.8956532913278477E-2</v>
      </c>
      <c r="R262" cm="1">
        <f t="array" ref="R262">EstymacjaEpanecznikowa($K262,$C$2:$C$151,R$2)</f>
        <v>0.53697372132441157</v>
      </c>
      <c r="S262" cm="1">
        <f t="array" ref="S262">EstymacjaEpanecznikowa($K262,$C$2:$C$151,S$2)</f>
        <v>0.38823588630782407</v>
      </c>
      <c r="T262" cm="1">
        <f t="array" ref="T262">EstymacjaEpanecznikowa($K262,$C$2:$C$151,T$2)</f>
        <v>0.4602179755845941</v>
      </c>
    </row>
    <row r="263" spans="10:20" x14ac:dyDescent="0.25">
      <c r="J263">
        <v>261</v>
      </c>
      <c r="K263">
        <f t="shared" si="9"/>
        <v>4.8260869565217499</v>
      </c>
      <c r="L263">
        <f t="shared" si="8"/>
        <v>0.41092702718485563</v>
      </c>
      <c r="M263" cm="1">
        <f t="array" ref="M263">EstymacjaGaussowska($K263,$C$2:$C$151)</f>
        <v>0.51506737205824593</v>
      </c>
      <c r="N263" cm="1">
        <f t="array" ref="N263">EstymacjaGaussowska($K263,$C$2:$C$151,$N$2)</f>
        <v>0.41915314485513111</v>
      </c>
      <c r="O263" cm="1">
        <f t="array" ref="O263">EstymacjaGaussowska($K263,$C$2:$C$151,$O$2)</f>
        <v>0.45972245442877363</v>
      </c>
      <c r="P263" cm="1">
        <f t="array" ref="P263">EstymacjaGaussowska($K263,$C$2:$C$151,$P$2)</f>
        <v>7.8944187743359207E-2</v>
      </c>
      <c r="R263" cm="1">
        <f t="array" ref="R263">EstymacjaEpanecznikowa($K263,$C$2:$C$151,R$2)</f>
        <v>0.52953623751784595</v>
      </c>
      <c r="S263" cm="1">
        <f t="array" ref="S263">EstymacjaEpanecznikowa($K263,$C$2:$C$151,S$2)</f>
        <v>0.40477480061510557</v>
      </c>
      <c r="T263" cm="1">
        <f t="array" ref="T263">EstymacjaEpanecznikowa($K263,$C$2:$C$151,T$2)</f>
        <v>0.4566508401474122</v>
      </c>
    </row>
    <row r="264" spans="10:20" x14ac:dyDescent="0.25">
      <c r="J264">
        <v>262</v>
      </c>
      <c r="K264">
        <f t="shared" si="9"/>
        <v>4.8331103678929876</v>
      </c>
      <c r="L264">
        <f t="shared" si="8"/>
        <v>0.40354930191483801</v>
      </c>
      <c r="M264" cm="1">
        <f t="array" ref="M264">EstymacjaGaussowska($K264,$C$2:$C$151)</f>
        <v>0.50618648602591454</v>
      </c>
      <c r="N264" cm="1">
        <f t="array" ref="N264">EstymacjaGaussowska($K264,$C$2:$C$151,$N$2)</f>
        <v>0.41042709835012325</v>
      </c>
      <c r="O264" cm="1">
        <f t="array" ref="O264">EstymacjaGaussowska($K264,$C$2:$C$151,$O$2)</f>
        <v>0.45543907712598214</v>
      </c>
      <c r="P264" cm="1">
        <f t="array" ref="P264">EstymacjaGaussowska($K264,$C$2:$C$151,$P$2)</f>
        <v>7.8931690089540069E-2</v>
      </c>
      <c r="R264" cm="1">
        <f t="array" ref="R264">EstymacjaEpanecznikowa($K264,$C$2:$C$151,R$2)</f>
        <v>0.52181877816197086</v>
      </c>
      <c r="S264" cm="1">
        <f t="array" ref="S264">EstymacjaEpanecznikowa($K264,$C$2:$C$151,S$2)</f>
        <v>0.4170781393071058</v>
      </c>
      <c r="T264" cm="1">
        <f t="array" ref="T264">EstymacjaEpanecznikowa($K264,$C$2:$C$151,T$2)</f>
        <v>0.45302269847708809</v>
      </c>
    </row>
    <row r="265" spans="10:20" x14ac:dyDescent="0.25">
      <c r="J265">
        <v>263</v>
      </c>
      <c r="K265">
        <f t="shared" si="9"/>
        <v>4.8401337792642254</v>
      </c>
      <c r="L265">
        <f t="shared" si="8"/>
        <v>0.39621551453612486</v>
      </c>
      <c r="M265" cm="1">
        <f t="array" ref="M265">EstymacjaGaussowska($K265,$C$2:$C$151)</f>
        <v>0.49728217694689419</v>
      </c>
      <c r="N265" cm="1">
        <f t="array" ref="N265">EstymacjaGaussowska($K265,$C$2:$C$151,$N$2)</f>
        <v>0.40378418402367222</v>
      </c>
      <c r="O265" cm="1">
        <f t="array" ref="O265">EstymacjaGaussowska($K265,$C$2:$C$151,$O$2)</f>
        <v>0.45112681315286118</v>
      </c>
      <c r="P265" cm="1">
        <f t="array" ref="P265">EstymacjaGaussowska($K265,$C$2:$C$151,$P$2)</f>
        <v>7.8919040024752779E-2</v>
      </c>
      <c r="R265" cm="1">
        <f t="array" ref="R265">EstymacjaEpanecznikowa($K265,$C$2:$C$151,R$2)</f>
        <v>0.51382134325678597</v>
      </c>
      <c r="S265" cm="1">
        <f t="array" ref="S265">EstymacjaEpanecznikowa($K265,$C$2:$C$151,S$2)</f>
        <v>0.42514590238382488</v>
      </c>
      <c r="T265" cm="1">
        <f t="array" ref="T265">EstymacjaEpanecznikowa($K265,$C$2:$C$151,T$2)</f>
        <v>0.4493335505736224</v>
      </c>
    </row>
    <row r="266" spans="10:20" x14ac:dyDescent="0.25">
      <c r="J266">
        <v>264</v>
      </c>
      <c r="K266">
        <f t="shared" si="9"/>
        <v>4.8471571906354631</v>
      </c>
      <c r="L266">
        <f t="shared" si="8"/>
        <v>0.38892811301962904</v>
      </c>
      <c r="M266" cm="1">
        <f t="array" ref="M266">EstymacjaGaussowska($K266,$C$2:$C$151)</f>
        <v>0.4883612652359906</v>
      </c>
      <c r="N266" cm="1">
        <f t="array" ref="N266">EstymacjaGaussowska($K266,$C$2:$C$151,$N$2)</f>
        <v>0.39914315052557164</v>
      </c>
      <c r="O266" cm="1">
        <f t="array" ref="O266">EstymacjaGaussowska($K266,$C$2:$C$151,$O$2)</f>
        <v>0.44678707718009347</v>
      </c>
      <c r="P266" cm="1">
        <f t="array" ref="P266">EstymacjaGaussowska($K266,$C$2:$C$151,$P$2)</f>
        <v>7.8906237622811945E-2</v>
      </c>
      <c r="R266" cm="1">
        <f t="array" ref="R266">EstymacjaEpanecznikowa($K266,$C$2:$C$151,R$2)</f>
        <v>0.50554393280229137</v>
      </c>
      <c r="S266" cm="1">
        <f t="array" ref="S266">EstymacjaEpanecznikowa($K266,$C$2:$C$151,S$2)</f>
        <v>0.42897808984526281</v>
      </c>
      <c r="T266" cm="1">
        <f t="array" ref="T266">EstymacjaEpanecznikowa($K266,$C$2:$C$151,T$2)</f>
        <v>0.4455833964370145</v>
      </c>
    </row>
    <row r="267" spans="10:20" x14ac:dyDescent="0.25">
      <c r="J267">
        <v>265</v>
      </c>
      <c r="K267">
        <f t="shared" si="9"/>
        <v>4.8541806020067009</v>
      </c>
      <c r="L267">
        <f t="shared" si="8"/>
        <v>0.38168946978534007</v>
      </c>
      <c r="M267" cm="1">
        <f t="array" ref="M267">EstymacjaGaussowska($K267,$C$2:$C$151)</f>
        <v>0.47943043757786946</v>
      </c>
      <c r="N267" cm="1">
        <f t="array" ref="N267">EstymacjaGaussowska($K267,$C$2:$C$151,$N$2)</f>
        <v>0.39629707041568546</v>
      </c>
      <c r="O267" cm="1">
        <f t="array" ref="O267">EstymacjaGaussowska($K267,$C$2:$C$151,$O$2)</f>
        <v>0.44242128867881081</v>
      </c>
      <c r="P267" cm="1">
        <f t="array" ref="P267">EstymacjaGaussowska($K267,$C$2:$C$151,$P$2)</f>
        <v>7.8893282958414301E-2</v>
      </c>
      <c r="R267" cm="1">
        <f t="array" ref="R267">EstymacjaEpanecznikowa($K267,$C$2:$C$151,R$2)</f>
        <v>0.49698654679848719</v>
      </c>
      <c r="S267" cm="1">
        <f t="array" ref="S267">EstymacjaEpanecznikowa($K267,$C$2:$C$151,S$2)</f>
        <v>0.42857470169141948</v>
      </c>
      <c r="T267" cm="1">
        <f t="array" ref="T267">EstymacjaEpanecznikowa($K267,$C$2:$C$151,T$2)</f>
        <v>0.44177223606726496</v>
      </c>
    </row>
    <row r="268" spans="10:20" x14ac:dyDescent="0.25">
      <c r="J268">
        <v>266</v>
      </c>
      <c r="K268">
        <f t="shared" si="9"/>
        <v>4.8612040133779386</v>
      </c>
      <c r="L268">
        <f t="shared" si="8"/>
        <v>0.3745018809917946</v>
      </c>
      <c r="M268" cm="1">
        <f t="array" ref="M268">EstymacjaGaussowska($K268,$C$2:$C$151)</f>
        <v>0.47049623777889282</v>
      </c>
      <c r="N268" cm="1">
        <f t="array" ref="N268">EstymacjaGaussowska($K268,$C$2:$C$151,$N$2)</f>
        <v>0.39487455829310431</v>
      </c>
      <c r="O268" cm="1">
        <f t="array" ref="O268">EstymacjaGaussowska($K268,$C$2:$C$151,$O$2)</f>
        <v>0.43803087103759675</v>
      </c>
      <c r="P268" cm="1">
        <f t="array" ref="P268">EstymacjaGaussowska($K268,$C$2:$C$151,$P$2)</f>
        <v>7.8880176107137795E-2</v>
      </c>
      <c r="R268" cm="1">
        <f t="array" ref="R268">EstymacjaEpanecznikowa($K268,$C$2:$C$151,R$2)</f>
        <v>0.48814918524537343</v>
      </c>
      <c r="S268" cm="1">
        <f t="array" ref="S268">EstymacjaEpanecznikowa($K268,$C$2:$C$151,S$2)</f>
        <v>0.423935737922295</v>
      </c>
      <c r="T268" cm="1">
        <f t="array" ref="T268">EstymacjaEpanecznikowa($K268,$C$2:$C$151,T$2)</f>
        <v>0.43790006946437326</v>
      </c>
    </row>
    <row r="269" spans="10:20" x14ac:dyDescent="0.25">
      <c r="J269">
        <v>267</v>
      </c>
      <c r="K269">
        <f t="shared" si="9"/>
        <v>4.8682274247491764</v>
      </c>
      <c r="L269">
        <f t="shared" si="8"/>
        <v>0.36736756592306241</v>
      </c>
      <c r="M269" cm="1">
        <f t="array" ref="M269">EstymacjaGaussowska($K269,$C$2:$C$151)</f>
        <v>0.46156505848824192</v>
      </c>
      <c r="N269" cm="1">
        <f t="array" ref="N269">EstymacjaGaussowska($K269,$C$2:$C$151,$N$2)</f>
        <v>0.39433692668147147</v>
      </c>
      <c r="O269" cm="1">
        <f t="array" ref="O269">EstymacjaGaussowska($K269,$C$2:$C$151,$O$2)</f>
        <v>0.43361725067853307</v>
      </c>
      <c r="P269" cm="1">
        <f t="array" ref="P269">EstymacjaGaussowska($K269,$C$2:$C$151,$P$2)</f>
        <v>7.8866917145441404E-2</v>
      </c>
      <c r="R269" cm="1">
        <f t="array" ref="R269">EstymacjaEpanecznikowa($K269,$C$2:$C$151,R$2)</f>
        <v>0.47903184814295013</v>
      </c>
      <c r="S269" cm="1">
        <f t="array" ref="S269">EstymacjaEpanecznikowa($K269,$C$2:$C$151,S$2)</f>
        <v>0.41506119853788914</v>
      </c>
      <c r="T269" cm="1">
        <f t="array" ref="T269">EstymacjaEpanecznikowa($K269,$C$2:$C$151,T$2)</f>
        <v>0.43396689662833993</v>
      </c>
    </row>
    <row r="270" spans="10:20" x14ac:dyDescent="0.25">
      <c r="J270">
        <v>268</v>
      </c>
      <c r="K270">
        <f t="shared" si="9"/>
        <v>4.8752508361204141</v>
      </c>
      <c r="L270">
        <f t="shared" si="8"/>
        <v>0.36028866647225138</v>
      </c>
      <c r="M270" cm="1">
        <f t="array" ref="M270">EstymacjaGaussowska($K270,$C$2:$C$151)</f>
        <v>0.45264313378065435</v>
      </c>
      <c r="N270" cm="1">
        <f t="array" ref="N270">EstymacjaGaussowska($K270,$C$2:$C$151,$N$2)</f>
        <v>0.39401343446488701</v>
      </c>
      <c r="O270" cm="1">
        <f t="array" ref="O270">EstymacjaGaussowska($K270,$C$2:$C$151,$O$2)</f>
        <v>0.42918185617317073</v>
      </c>
      <c r="P270" cm="1">
        <f t="array" ref="P270">EstymacjaGaussowska($K270,$C$2:$C$151,$P$2)</f>
        <v>7.8853506150663583E-2</v>
      </c>
      <c r="R270" cm="1">
        <f t="array" ref="R270">EstymacjaEpanecznikowa($K270,$C$2:$C$151,R$2)</f>
        <v>0.46963453549121698</v>
      </c>
      <c r="S270" cm="1">
        <f t="array" ref="S270">EstymacjaEpanecznikowa($K270,$C$2:$C$151,S$2)</f>
        <v>0.40195108353820219</v>
      </c>
      <c r="T270" cm="1">
        <f t="array" ref="T270">EstymacjaEpanecznikowa($K270,$C$2:$C$151,T$2)</f>
        <v>0.42997271755916444</v>
      </c>
    </row>
    <row r="271" spans="10:20" x14ac:dyDescent="0.25">
      <c r="J271">
        <v>269</v>
      </c>
      <c r="K271">
        <f t="shared" si="9"/>
        <v>4.8822742474916518</v>
      </c>
      <c r="L271">
        <f t="shared" si="8"/>
        <v>0.35326724672039644</v>
      </c>
      <c r="M271" cm="1">
        <f t="array" ref="M271">EstymacjaGaussowska($K271,$C$2:$C$151)</f>
        <v>0.44373653258884627</v>
      </c>
      <c r="N271" cm="1">
        <f t="array" ref="N271">EstymacjaGaussowska($K271,$C$2:$C$151,$N$2)</f>
        <v>0.39316891203984683</v>
      </c>
      <c r="O271" cm="1">
        <f t="array" ref="O271">EstymacjaGaussowska($K271,$C$2:$C$151,$O$2)</f>
        <v>0.42472611735931759</v>
      </c>
      <c r="P271" cm="1">
        <f t="array" ref="P271">EstymacjaGaussowska($K271,$C$2:$C$151,$P$2)</f>
        <v>7.8839943201022375E-2</v>
      </c>
      <c r="R271" cm="1">
        <f t="array" ref="R271">EstymacjaEpanecznikowa($K271,$C$2:$C$151,R$2)</f>
        <v>0.45995724729017434</v>
      </c>
      <c r="S271" cm="1">
        <f t="array" ref="S271">EstymacjaEpanecznikowa($K271,$C$2:$C$151,S$2)</f>
        <v>0.38460539292323409</v>
      </c>
      <c r="T271" cm="1">
        <f t="array" ref="T271">EstymacjaEpanecznikowa($K271,$C$2:$C$151,T$2)</f>
        <v>0.42591753225684709</v>
      </c>
    </row>
    <row r="272" spans="10:20" x14ac:dyDescent="0.25">
      <c r="J272">
        <v>270</v>
      </c>
      <c r="K272">
        <f t="shared" si="9"/>
        <v>4.8892976588628896</v>
      </c>
      <c r="L272">
        <f t="shared" si="8"/>
        <v>0.34630529260947668</v>
      </c>
      <c r="M272" cm="1">
        <f t="array" ref="M272">EstymacjaGaussowska($K272,$C$2:$C$151)</f>
        <v>0.43485115296962223</v>
      </c>
      <c r="N272" cm="1">
        <f t="array" ref="N272">EstymacjaGaussowska($K272,$C$2:$C$151,$N$2)</f>
        <v>0.3910915776831892</v>
      </c>
      <c r="O272" cm="1">
        <f t="array" ref="O272">EstymacjaGaussowska($K272,$C$2:$C$151,$O$2)</f>
        <v>0.42025146445953709</v>
      </c>
      <c r="P272" cm="1">
        <f t="array" ref="P272">EstymacjaGaussowska($K272,$C$2:$C$151,$P$2)</f>
        <v>7.8826228375613927E-2</v>
      </c>
      <c r="R272" cm="1">
        <f t="array" ref="R272">EstymacjaEpanecznikowa($K272,$C$2:$C$151,R$2)</f>
        <v>0.44999998353982196</v>
      </c>
      <c r="S272" cm="1">
        <f t="array" ref="S272">EstymacjaEpanecznikowa($K272,$C$2:$C$151,S$2)</f>
        <v>0.36565365319283744</v>
      </c>
      <c r="T272" cm="1">
        <f t="array" ref="T272">EstymacjaEpanecznikowa($K272,$C$2:$C$151,T$2)</f>
        <v>0.42180134072138786</v>
      </c>
    </row>
    <row r="273" spans="10:20" x14ac:dyDescent="0.25">
      <c r="J273">
        <v>271</v>
      </c>
      <c r="K273">
        <f t="shared" si="9"/>
        <v>4.8963210702341273</v>
      </c>
      <c r="L273">
        <f t="shared" si="8"/>
        <v>0.3394047117081786</v>
      </c>
      <c r="M273" cm="1">
        <f t="array" ref="M273">EstymacjaGaussowska($K273,$C$2:$C$151)</f>
        <v>0.42599271718394133</v>
      </c>
      <c r="N273" cm="1">
        <f t="array" ref="N273">EstymacjaGaussowska($K273,$C$2:$C$151,$N$2)</f>
        <v>0.3871849674139653</v>
      </c>
      <c r="O273" cm="1">
        <f t="array" ref="O273">EstymacjaGaussowska($K273,$C$2:$C$151,$O$2)</f>
        <v>0.4157593272022293</v>
      </c>
      <c r="P273" cm="1">
        <f t="array" ref="P273">EstymacjaGaussowska($K273,$C$2:$C$151,$P$2)</f>
        <v>7.8812361754412211E-2</v>
      </c>
      <c r="R273" cm="1">
        <f t="array" ref="R273">EstymacjaEpanecznikowa($K273,$C$2:$C$151,R$2)</f>
        <v>0.43976274424015988</v>
      </c>
      <c r="S273" cm="1">
        <f t="array" ref="S273">EstymacjaEpanecznikowa($K273,$C$2:$C$151,S$2)</f>
        <v>0.3559975492603713</v>
      </c>
      <c r="T273" cm="1">
        <f t="array" ref="T273">EstymacjaEpanecznikowa($K273,$C$2:$C$151,T$2)</f>
        <v>0.41762414295278677</v>
      </c>
    </row>
    <row r="274" spans="10:20" x14ac:dyDescent="0.25">
      <c r="J274">
        <v>272</v>
      </c>
      <c r="K274">
        <f t="shared" si="9"/>
        <v>4.9033444816053651</v>
      </c>
      <c r="L274">
        <f t="shared" si="8"/>
        <v>0.33256733306891278</v>
      </c>
      <c r="M274" cm="1">
        <f t="array" ref="M274">EstymacjaGaussowska($K274,$C$2:$C$151)</f>
        <v>0.41716676756769722</v>
      </c>
      <c r="N274" cm="1">
        <f t="array" ref="N274">EstymacjaGaussowska($K274,$C$2:$C$151,$N$2)</f>
        <v>0.38104722303835364</v>
      </c>
      <c r="O274" cm="1">
        <f t="array" ref="O274">EstymacjaGaussowska($K274,$C$2:$C$151,$O$2)</f>
        <v>0.4112511339461889</v>
      </c>
      <c r="P274" cm="1">
        <f t="array" ref="P274">EstymacjaGaussowska($K274,$C$2:$C$151,$P$2)</f>
        <v>7.8798343418267927E-2</v>
      </c>
      <c r="R274" cm="1">
        <f t="array" ref="R274">EstymacjaEpanecznikowa($K274,$C$2:$C$151,R$2)</f>
        <v>0.42924552939118826</v>
      </c>
      <c r="S274" cm="1">
        <f t="array" ref="S274">EstymacjaEpanecznikowa($K274,$C$2:$C$151,S$2)</f>
        <v>0.34104697580880344</v>
      </c>
      <c r="T274" cm="1">
        <f t="array" ref="T274">EstymacjaEpanecznikowa($K274,$C$2:$C$151,T$2)</f>
        <v>0.41338593895104353</v>
      </c>
    </row>
    <row r="275" spans="10:20" x14ac:dyDescent="0.25">
      <c r="J275">
        <v>273</v>
      </c>
      <c r="K275">
        <f t="shared" si="9"/>
        <v>4.9103678929766028</v>
      </c>
      <c r="L275">
        <f t="shared" si="8"/>
        <v>0.32579490717447068</v>
      </c>
      <c r="M275" cm="1">
        <f t="array" ref="M275">EstymacjaGaussowska($K275,$C$2:$C$151)</f>
        <v>0.40837866316679122</v>
      </c>
      <c r="N275" cm="1">
        <f t="array" ref="N275">EstymacjaGaussowska($K275,$C$2:$C$151,$N$2)</f>
        <v>0.3725235212994758</v>
      </c>
      <c r="O275" cm="1">
        <f t="array" ref="O275">EstymacjaGaussowska($K275,$C$2:$C$151,$O$2)</f>
        <v>0.40672831080950267</v>
      </c>
      <c r="P275" cm="1">
        <f t="array" ref="P275">EstymacjaGaussowska($K275,$C$2:$C$151,$P$2)</f>
        <v>7.8784173448907965E-2</v>
      </c>
      <c r="R275" cm="1">
        <f t="array" ref="R275">EstymacjaEpanecznikowa($K275,$C$2:$C$151,R$2)</f>
        <v>0.41892172797107946</v>
      </c>
      <c r="S275" cm="1">
        <f t="array" ref="S275">EstymacjaEpanecznikowa($K275,$C$2:$C$151,S$2)</f>
        <v>0.32080193283813424</v>
      </c>
      <c r="T275" cm="1">
        <f t="array" ref="T275">EstymacjaEpanecznikowa($K275,$C$2:$C$151,T$2)</f>
        <v>0.40945524504904768</v>
      </c>
    </row>
    <row r="276" spans="10:20" x14ac:dyDescent="0.25">
      <c r="J276">
        <v>274</v>
      </c>
      <c r="K276">
        <f t="shared" si="9"/>
        <v>4.9173913043478406</v>
      </c>
      <c r="L276">
        <f t="shared" si="8"/>
        <v>0.31908910597261098</v>
      </c>
      <c r="M276" cm="1">
        <f t="array" ref="M276">EstymacjaGaussowska($K276,$C$2:$C$151)</f>
        <v>0.39963357710718328</v>
      </c>
      <c r="N276" cm="1">
        <f t="array" ref="N276">EstymacjaGaussowska($K276,$C$2:$C$151,$N$2)</f>
        <v>0.36172257279578746</v>
      </c>
      <c r="O276" cm="1">
        <f t="array" ref="O276">EstymacjaGaussowska($K276,$C$2:$C$151,$O$2)</f>
        <v>0.40219228080366609</v>
      </c>
      <c r="P276" cm="1">
        <f t="array" ref="P276">EstymacjaGaussowska($K276,$C$2:$C$151,$P$2)</f>
        <v>7.8769851928934417E-2</v>
      </c>
      <c r="R276" cm="1">
        <f t="array" ref="R276">EstymacjaEpanecznikowa($K276,$C$2:$C$151,R$2)</f>
        <v>0.41112214245407347</v>
      </c>
      <c r="S276" cm="1">
        <f t="array" ref="S276">EstymacjaEpanecznikowa($K276,$C$2:$C$151,S$2)</f>
        <v>0.32275464364835899</v>
      </c>
      <c r="T276" cm="1">
        <f t="array" ref="T276">EstymacjaEpanecznikowa($K276,$C$2:$C$151,T$2)</f>
        <v>0.40572407754622392</v>
      </c>
    </row>
    <row r="277" spans="10:20" x14ac:dyDescent="0.25">
      <c r="J277">
        <v>275</v>
      </c>
      <c r="K277">
        <f t="shared" si="9"/>
        <v>4.9244147157190783</v>
      </c>
      <c r="L277">
        <f t="shared" si="8"/>
        <v>0.31245152299675477</v>
      </c>
      <c r="M277" cm="1">
        <f t="array" ref="M277">EstymacjaGaussowska($K277,$C$2:$C$151)</f>
        <v>0.39093649466799874</v>
      </c>
      <c r="N277" cm="1">
        <f t="array" ref="N277">EstymacjaGaussowska($K277,$C$2:$C$151,$N$2)</f>
        <v>0.34899479571691217</v>
      </c>
      <c r="O277" cm="1">
        <f t="array" ref="O277">EstymacjaGaussowska($K277,$C$2:$C$151,$O$2)</f>
        <v>0.39764446297376793</v>
      </c>
      <c r="P277" cm="1">
        <f t="array" ref="P277">EstymacjaGaussowska($K277,$C$2:$C$151,$P$2)</f>
        <v>7.8755378941823856E-2</v>
      </c>
      <c r="R277" cm="1">
        <f t="array" ref="R277">EstymacjaEpanecznikowa($K277,$C$2:$C$151,R$2)</f>
        <v>0.40308737747564732</v>
      </c>
      <c r="S277" cm="1">
        <f t="array" ref="S277">EstymacjaEpanecznikowa($K277,$C$2:$C$151,S$2)</f>
        <v>0.32837686604244581</v>
      </c>
      <c r="T277" cm="1">
        <f t="array" ref="T277">EstymacjaEpanecznikowa($K277,$C$2:$C$151,T$2)</f>
        <v>0.4019362613983396</v>
      </c>
    </row>
    <row r="278" spans="10:20" x14ac:dyDescent="0.25">
      <c r="J278">
        <v>276</v>
      </c>
      <c r="K278">
        <f t="shared" si="9"/>
        <v>4.931438127090316</v>
      </c>
      <c r="L278">
        <f t="shared" si="8"/>
        <v>0.30588367357087898</v>
      </c>
      <c r="M278" cm="1">
        <f t="array" ref="M278">EstymacjaGaussowska($K278,$C$2:$C$151)</f>
        <v>0.38229221202350183</v>
      </c>
      <c r="N278" cm="1">
        <f t="array" ref="N278">EstymacjaGaussowska($K278,$C$2:$C$151,$N$2)</f>
        <v>0.33487665588454479</v>
      </c>
      <c r="O278" cm="1">
        <f t="array" ref="O278">EstymacjaGaussowska($K278,$C$2:$C$151,$O$2)</f>
        <v>0.39308627154560266</v>
      </c>
      <c r="P278" cm="1">
        <f t="array" ref="P278">EstymacjaGaussowska($K278,$C$2:$C$151,$P$2)</f>
        <v>7.8740754571926627E-2</v>
      </c>
      <c r="R278" cm="1">
        <f t="array" ref="R278">EstymacjaEpanecznikowa($K278,$C$2:$C$151,R$2)</f>
        <v>0.3948174330358008</v>
      </c>
      <c r="S278" cm="1">
        <f t="array" ref="S278">EstymacjaEpanecznikowa($K278,$C$2:$C$151,S$2)</f>
        <v>0.33082240672507174</v>
      </c>
      <c r="T278" cm="1">
        <f t="array" ref="T278">EstymacjaEpanecznikowa($K278,$C$2:$C$151,T$2)</f>
        <v>0.3980917966053949</v>
      </c>
    </row>
    <row r="279" spans="10:20" x14ac:dyDescent="0.25">
      <c r="J279">
        <v>277</v>
      </c>
      <c r="K279">
        <f t="shared" si="9"/>
        <v>4.9384615384615538</v>
      </c>
      <c r="L279">
        <f t="shared" si="8"/>
        <v>0.29938699509660144</v>
      </c>
      <c r="M279" cm="1">
        <f t="array" ref="M279">EstymacjaGaussowska($K279,$C$2:$C$151)</f>
        <v>0.3737053356177652</v>
      </c>
      <c r="N279" cm="1">
        <f t="array" ref="N279">EstymacjaGaussowska($K279,$C$2:$C$151,$N$2)</f>
        <v>0.3200114592311088</v>
      </c>
      <c r="O279" cm="1">
        <f t="array" ref="O279">EstymacjaGaussowska($K279,$C$2:$C$151,$O$2)</f>
        <v>0.38851911508054254</v>
      </c>
      <c r="P279" cm="1">
        <f t="array" ref="P279">EstymacjaGaussowska($K279,$C$2:$C$151,$P$2)</f>
        <v>7.8725978904465838E-2</v>
      </c>
      <c r="R279" cm="1">
        <f t="array" ref="R279">EstymacjaEpanecznikowa($K279,$C$2:$C$151,R$2)</f>
        <v>0.38631230913453452</v>
      </c>
      <c r="S279" cm="1">
        <f t="array" ref="S279">EstymacjaEpanecznikowa($K279,$C$2:$C$151,S$2)</f>
        <v>0.33009126569623665</v>
      </c>
      <c r="T279" cm="1">
        <f t="array" ref="T279">EstymacjaEpanecznikowa($K279,$C$2:$C$151,T$2)</f>
        <v>0.39419068316738998</v>
      </c>
    </row>
    <row r="280" spans="10:20" x14ac:dyDescent="0.25">
      <c r="J280">
        <v>278</v>
      </c>
      <c r="K280">
        <f t="shared" si="9"/>
        <v>4.9454849498327915</v>
      </c>
      <c r="L280">
        <f t="shared" si="8"/>
        <v>0.29296284742036804</v>
      </c>
      <c r="M280" cm="1">
        <f t="array" ref="M280">EstymacjaGaussowska($K280,$C$2:$C$151)</f>
        <v>0.36518028213420234</v>
      </c>
      <c r="N280" cm="1">
        <f t="array" ref="N280">EstymacjaGaussowska($K280,$C$2:$C$151,$N$2)</f>
        <v>0.3050605502530252</v>
      </c>
      <c r="O280" cm="1">
        <f t="array" ref="O280">EstymacjaGaussowska($K280,$C$2:$C$151,$O$2)</f>
        <v>0.3839443956390044</v>
      </c>
      <c r="P280" cm="1">
        <f t="array" ref="P280">EstymacjaGaussowska($K280,$C$2:$C$151,$P$2)</f>
        <v>7.8711052025536563E-2</v>
      </c>
      <c r="R280" cm="1">
        <f t="array" ref="R280">EstymacjaEpanecznikowa($K280,$C$2:$C$151,R$2)</f>
        <v>0.37757200577184807</v>
      </c>
      <c r="S280" cm="1">
        <f t="array" ref="S280">EstymacjaEpanecznikowa($K280,$C$2:$C$151,S$2)</f>
        <v>0.32618344295594071</v>
      </c>
      <c r="T280" cm="1">
        <f t="array" ref="T280">EstymacjaEpanecznikowa($K280,$C$2:$C$151,T$2)</f>
        <v>0.39023292108432506</v>
      </c>
    </row>
    <row r="281" spans="10:20" x14ac:dyDescent="0.25">
      <c r="J281">
        <v>279</v>
      </c>
      <c r="K281">
        <f t="shared" si="9"/>
        <v>4.9525083612040293</v>
      </c>
      <c r="L281">
        <f t="shared" si="8"/>
        <v>0.28661251327857246</v>
      </c>
      <c r="M281" cm="1">
        <f t="array" ref="M281">EstymacjaGaussowska($K281,$C$2:$C$151)</f>
        <v>0.35672127902078116</v>
      </c>
      <c r="N281" cm="1">
        <f t="array" ref="N281">EstymacjaGaussowska($K281,$C$2:$C$151,$N$2)</f>
        <v>0.29061982613037857</v>
      </c>
      <c r="O281" cm="1">
        <f t="array" ref="O281">EstymacjaGaussowska($K281,$C$2:$C$151,$O$2)</f>
        <v>0.37936350795331814</v>
      </c>
      <c r="P281" cm="1">
        <f t="array" ref="P281">EstymacjaGaussowska($K281,$C$2:$C$151,$P$2)</f>
        <v>7.8695974022105181E-2</v>
      </c>
      <c r="R281" cm="1">
        <f t="array" ref="R281">EstymacjaEpanecznikowa($K281,$C$2:$C$151,R$2)</f>
        <v>0.36859652294774153</v>
      </c>
      <c r="S281" cm="1">
        <f t="array" ref="S281">EstymacjaEpanecznikowa($K281,$C$2:$C$151,S$2)</f>
        <v>0.3190989385041838</v>
      </c>
      <c r="T281" cm="1">
        <f t="array" ref="T281">EstymacjaEpanecznikowa($K281,$C$2:$C$151,T$2)</f>
        <v>0.38621851035619947</v>
      </c>
    </row>
    <row r="282" spans="10:20" x14ac:dyDescent="0.25">
      <c r="J282">
        <v>280</v>
      </c>
      <c r="K282">
        <f t="shared" si="9"/>
        <v>4.959531772575267</v>
      </c>
      <c r="L282">
        <f t="shared" si="8"/>
        <v>0.28033719881836161</v>
      </c>
      <c r="M282" cm="1">
        <f t="array" ref="M282">EstymacjaGaussowska($K282,$C$2:$C$151)</f>
        <v>0.34833236553069069</v>
      </c>
      <c r="N282" cm="1">
        <f t="array" ref="N282">EstymacjaGaussowska($K282,$C$2:$C$151,$N$2)</f>
        <v>0.27715467753143513</v>
      </c>
      <c r="O282" cm="1">
        <f t="array" ref="O282">EstymacjaGaussowska($K282,$C$2:$C$151,$O$2)</f>
        <v>0.37477783861080199</v>
      </c>
      <c r="P282" cm="1">
        <f t="array" ref="P282">EstymacjaGaussowska($K282,$C$2:$C$151,$P$2)</f>
        <v>7.8680744982008347E-2</v>
      </c>
      <c r="R282" cm="1">
        <f t="array" ref="R282">EstymacjaEpanecznikowa($K282,$C$2:$C$151,R$2)</f>
        <v>0.35938586066221473</v>
      </c>
      <c r="S282" cm="1">
        <f t="array" ref="S282">EstymacjaEpanecznikowa($K282,$C$2:$C$151,S$2)</f>
        <v>0.30883775234096611</v>
      </c>
      <c r="T282" cm="1">
        <f t="array" ref="T282">EstymacjaEpanecznikowa($K282,$C$2:$C$151,T$2)</f>
        <v>0.38214745098301373</v>
      </c>
    </row>
    <row r="283" spans="10:20" x14ac:dyDescent="0.25">
      <c r="J283">
        <v>281</v>
      </c>
      <c r="K283">
        <f t="shared" si="9"/>
        <v>4.9665551839465047</v>
      </c>
      <c r="L283">
        <f t="shared" si="8"/>
        <v>0.27413803419181421</v>
      </c>
      <c r="M283" cm="1">
        <f t="array" ref="M283">EstymacjaGaussowska($K283,$C$2:$C$151)</f>
        <v>0.34001739423749344</v>
      </c>
      <c r="N283" cm="1">
        <f t="array" ref="N283">EstymacjaGaussowska($K283,$C$2:$C$151,$N$2)</f>
        <v>0.26496239075489603</v>
      </c>
      <c r="O283" cm="1">
        <f t="array" ref="O283">EstymacjaGaussowska($K283,$C$2:$C$151,$O$2)</f>
        <v>0.37018876524782912</v>
      </c>
      <c r="P283" cm="1">
        <f t="array" ref="P283">EstymacjaGaussowska($K283,$C$2:$C$151,$P$2)</f>
        <v>7.8665364993952311E-2</v>
      </c>
      <c r="R283" cm="1">
        <f t="array" ref="R283">EstymacjaEpanecznikowa($K283,$C$2:$C$151,R$2)</f>
        <v>0.34994001891526799</v>
      </c>
      <c r="S283" cm="1">
        <f t="array" ref="S283">EstymacjaEpanecznikowa($K283,$C$2:$C$151,S$2)</f>
        <v>0.29539988446628751</v>
      </c>
      <c r="T283" cm="1">
        <f t="array" ref="T283">EstymacjaEpanecznikowa($K283,$C$2:$C$151,T$2)</f>
        <v>0.37801974296476748</v>
      </c>
    </row>
    <row r="284" spans="10:20" x14ac:dyDescent="0.25">
      <c r="J284">
        <v>282</v>
      </c>
      <c r="K284">
        <f t="shared" si="9"/>
        <v>4.9735785953177425</v>
      </c>
      <c r="L284">
        <f t="shared" si="8"/>
        <v>0.26801607422111301</v>
      </c>
      <c r="M284" cm="1">
        <f t="array" ref="M284">EstymacjaGaussowska($K284,$C$2:$C$151)</f>
        <v>0.33178003298335135</v>
      </c>
      <c r="N284" cm="1">
        <f t="array" ref="N284">EstymacjaGaussowska($K284,$C$2:$C$151,$N$2)</f>
        <v>0.25416557098222603</v>
      </c>
      <c r="O284" cm="1">
        <f t="array" ref="O284">EstymacjaGaussowska($K284,$C$2:$C$151,$O$2)</f>
        <v>0.36559765575564823</v>
      </c>
      <c r="P284" cm="1">
        <f t="array" ref="P284">EstymacjaGaussowska($K284,$C$2:$C$151,$P$2)</f>
        <v>7.8649834147511671E-2</v>
      </c>
      <c r="R284" cm="1">
        <f t="array" ref="R284">EstymacjaEpanecznikowa($K284,$C$2:$C$151,R$2)</f>
        <v>0.34025899770690116</v>
      </c>
      <c r="S284" cm="1">
        <f t="array" ref="S284">EstymacjaEpanecznikowa($K284,$C$2:$C$151,S$2)</f>
        <v>0.27878533488014789</v>
      </c>
      <c r="T284" cm="1">
        <f t="array" ref="T284">EstymacjaEpanecznikowa($K284,$C$2:$C$151,T$2)</f>
        <v>0.37383538630146085</v>
      </c>
    </row>
    <row r="285" spans="10:20" x14ac:dyDescent="0.25">
      <c r="J285">
        <v>283</v>
      </c>
      <c r="K285">
        <f t="shared" si="9"/>
        <v>4.9806020066889802</v>
      </c>
      <c r="L285">
        <f t="shared" si="8"/>
        <v>0.26197229913227721</v>
      </c>
      <c r="M285" cm="1">
        <f t="array" ref="M285">EstymacjaGaussowska($K285,$C$2:$C$151)</f>
        <v>0.32362376721875802</v>
      </c>
      <c r="N285" cm="1">
        <f t="array" ref="N285">EstymacjaGaussowska($K285,$C$2:$C$151,$N$2)</f>
        <v>0.24473436545435132</v>
      </c>
      <c r="O285" cm="1">
        <f t="array" ref="O285">EstymacjaGaussowska($K285,$C$2:$C$151,$O$2)</f>
        <v>0.36100586749871544</v>
      </c>
      <c r="P285" cm="1">
        <f t="array" ref="P285">EstymacjaGaussowska($K285,$C$2:$C$151,$P$2)</f>
        <v>7.8634152533129109E-2</v>
      </c>
      <c r="R285" cm="1">
        <f t="array" ref="R285">EstymacjaEpanecznikowa($K285,$C$2:$C$151,R$2)</f>
        <v>0.33034279703711411</v>
      </c>
      <c r="S285" cm="1">
        <f t="array" ref="S285">EstymacjaEpanecznikowa($K285,$C$2:$C$151,S$2)</f>
        <v>0.25899410358254749</v>
      </c>
      <c r="T285" cm="1">
        <f t="array" ref="T285">EstymacjaEpanecznikowa($K285,$C$2:$C$151,T$2)</f>
        <v>0.36959438099309377</v>
      </c>
    </row>
    <row r="286" spans="10:20" x14ac:dyDescent="0.25">
      <c r="J286">
        <v>284</v>
      </c>
      <c r="K286">
        <f t="shared" si="9"/>
        <v>4.987625418060218</v>
      </c>
      <c r="L286">
        <f t="shared" si="8"/>
        <v>0.25600761535496325</v>
      </c>
      <c r="M286" cm="1">
        <f t="array" ref="M286">EstymacjaGaussowska($K286,$C$2:$C$151)</f>
        <v>0.31555190269234196</v>
      </c>
      <c r="N286" cm="1">
        <f t="array" ref="N286">EstymacjaGaussowska($K286,$C$2:$C$151,$N$2)</f>
        <v>0.2365302659591885</v>
      </c>
      <c r="O286" cm="1">
        <f t="array" ref="O286">EstymacjaGaussowska($K286,$C$2:$C$151,$O$2)</f>
        <v>0.35641474654625976</v>
      </c>
      <c r="P286" cm="1">
        <f t="array" ref="P286">EstymacjaGaussowska($K286,$C$2:$C$151,$P$2)</f>
        <v>7.861832024211407E-2</v>
      </c>
      <c r="R286" cm="1">
        <f t="array" ref="R286">EstymacjaEpanecznikowa($K286,$C$2:$C$151,R$2)</f>
        <v>0.32019141690590708</v>
      </c>
      <c r="S286" cm="1">
        <f t="array" ref="S286">EstymacjaEpanecznikowa($K286,$C$2:$C$151,S$2)</f>
        <v>0.23602619057348617</v>
      </c>
      <c r="T286" cm="1">
        <f t="array" ref="T286">EstymacjaEpanecznikowa($K286,$C$2:$C$151,T$2)</f>
        <v>0.36529672703966648</v>
      </c>
    </row>
    <row r="287" spans="10:20" x14ac:dyDescent="0.25">
      <c r="J287">
        <v>285</v>
      </c>
      <c r="K287">
        <f t="shared" si="9"/>
        <v>4.9946488294314557</v>
      </c>
      <c r="L287">
        <f t="shared" si="8"/>
        <v>0.25012285638580389</v>
      </c>
      <c r="M287" cm="1">
        <f t="array" ref="M287">EstymacjaGaussowska($K287,$C$2:$C$151)</f>
        <v>0.30756756844969962</v>
      </c>
      <c r="N287" cm="1">
        <f t="array" ref="N287">EstymacjaGaussowska($K287,$C$2:$C$151,$N$2)</f>
        <v>0.22936093115033493</v>
      </c>
      <c r="O287" cm="1">
        <f t="array" ref="O287">EstymacjaGaussowska($K287,$C$2:$C$151,$O$2)</f>
        <v>0.35182562691780367</v>
      </c>
      <c r="P287" cm="1">
        <f t="array" ref="P287">EstymacjaGaussowska($K287,$C$2:$C$151,$P$2)</f>
        <v>7.8602337366641892E-2</v>
      </c>
      <c r="R287" cm="1">
        <f t="array" ref="R287">EstymacjaEpanecznikowa($K287,$C$2:$C$151,R$2)</f>
        <v>0.30980485731328</v>
      </c>
      <c r="S287" cm="1">
        <f t="array" ref="S287">EstymacjaEpanecznikowa($K287,$C$2:$C$151,S$2)</f>
        <v>0.22492011032321757</v>
      </c>
      <c r="T287" cm="1">
        <f t="array" ref="T287">EstymacjaEpanecznikowa($K287,$C$2:$C$151,T$2)</f>
        <v>0.36094242444117897</v>
      </c>
    </row>
    <row r="288" spans="10:20" x14ac:dyDescent="0.25">
      <c r="J288">
        <v>286</v>
      </c>
      <c r="K288">
        <f t="shared" si="9"/>
        <v>5.0016722408026935</v>
      </c>
      <c r="L288">
        <f t="shared" si="8"/>
        <v>0.24431878371270369</v>
      </c>
      <c r="M288" cm="1">
        <f t="array" ref="M288">EstymacjaGaussowska($K288,$C$2:$C$151)</f>
        <v>0.29967372010087706</v>
      </c>
      <c r="N288" cm="1">
        <f t="array" ref="N288">EstymacjaGaussowska($K288,$C$2:$C$151,$N$2)</f>
        <v>0.22303430961880852</v>
      </c>
      <c r="O288" cm="1">
        <f t="array" ref="O288">EstymacjaGaussowska($K288,$C$2:$C$151,$O$2)</f>
        <v>0.34723982984332002</v>
      </c>
      <c r="P288" cm="1">
        <f t="array" ref="P288">EstymacjaGaussowska($K288,$C$2:$C$151,$P$2)</f>
        <v>7.8586203999753107E-2</v>
      </c>
      <c r="R288" cm="1">
        <f t="array" ref="R288">EstymacjaEpanecznikowa($K288,$C$2:$C$151,R$2)</f>
        <v>0.29918311825923277</v>
      </c>
      <c r="S288" cm="1">
        <f t="array" ref="S288">EstymacjaEpanecznikowa($K288,$C$2:$C$151,S$2)</f>
        <v>0.21095279549662546</v>
      </c>
      <c r="T288" cm="1">
        <f t="array" ref="T288">EstymacjaEpanecznikowa($K288,$C$2:$C$151,T$2)</f>
        <v>0.35653147319763095</v>
      </c>
    </row>
    <row r="289" spans="10:20" x14ac:dyDescent="0.25">
      <c r="J289">
        <v>287</v>
      </c>
      <c r="K289">
        <f t="shared" si="9"/>
        <v>5.0086956521739312</v>
      </c>
      <c r="L289">
        <f t="shared" si="8"/>
        <v>0.23859608779748387</v>
      </c>
      <c r="M289" cm="1">
        <f t="array" ref="M289">EstymacjaGaussowska($K289,$C$2:$C$151)</f>
        <v>0.29187314331702235</v>
      </c>
      <c r="N289" cm="1">
        <f t="array" ref="N289">EstymacjaGaussowska($K289,$C$2:$C$151,$N$2)</f>
        <v>0.21740144783384074</v>
      </c>
      <c r="O289" cm="1">
        <f t="array" ref="O289">EstymacjaGaussowska($K289,$C$2:$C$151,$O$2)</f>
        <v>0.34265866303869791</v>
      </c>
      <c r="P289" cm="1">
        <f t="array" ref="P289">EstymacjaGaussowska($K289,$C$2:$C$151,$P$2)</f>
        <v>7.8569920235352544E-2</v>
      </c>
      <c r="R289" cm="1">
        <f t="array" ref="R289">EstymacjaEpanecznikowa($K289,$C$2:$C$151,R$2)</f>
        <v>0.28832619974376533</v>
      </c>
      <c r="S289" cm="1">
        <f t="array" ref="S289">EstymacjaEpanecznikowa($K289,$C$2:$C$151,S$2)</f>
        <v>0.19274990505475209</v>
      </c>
      <c r="T289" cm="1">
        <f t="array" ref="T289">EstymacjaEpanecznikowa($K289,$C$2:$C$151,T$2)</f>
        <v>0.35242951505007769</v>
      </c>
    </row>
    <row r="290" spans="10:20" x14ac:dyDescent="0.25">
      <c r="J290">
        <v>288</v>
      </c>
      <c r="K290">
        <f t="shared" si="9"/>
        <v>5.0157190635451689</v>
      </c>
      <c r="L290">
        <f t="shared" si="8"/>
        <v>0.23295538911422944</v>
      </c>
      <c r="M290" cm="1">
        <f t="array" ref="M290">EstymacjaGaussowska($K290,$C$2:$C$151)</f>
        <v>0.28416845751786507</v>
      </c>
      <c r="N290" cm="1">
        <f t="array" ref="N290">EstymacjaGaussowska($K290,$C$2:$C$151,$N$2)</f>
        <v>0.21238039201751027</v>
      </c>
      <c r="O290" cm="1">
        <f t="array" ref="O290">EstymacjaGaussowska($K290,$C$2:$C$151,$O$2)</f>
        <v>0.33808341999716451</v>
      </c>
      <c r="P290" cm="1">
        <f t="array" ref="P290">EstymacjaGaussowska($K290,$C$2:$C$151,$P$2)</f>
        <v>7.8553486168207995E-2</v>
      </c>
      <c r="R290" cm="1">
        <f t="array" ref="R290">EstymacjaEpanecznikowa($K290,$C$2:$C$151,R$2)</f>
        <v>0.2824255292293219</v>
      </c>
      <c r="S290" cm="1">
        <f t="array" ref="S290">EstymacjaEpanecznikowa($K290,$C$2:$C$151,S$2)</f>
        <v>0.18943575922546982</v>
      </c>
      <c r="T290" cm="1">
        <f t="array" ref="T290">EstymacjaEpanecznikowa($K290,$C$2:$C$151,T$2)</f>
        <v>0.34895195225679437</v>
      </c>
    </row>
    <row r="291" spans="10:20" x14ac:dyDescent="0.25">
      <c r="J291">
        <v>289</v>
      </c>
      <c r="K291">
        <f t="shared" si="9"/>
        <v>5.0227424749164067</v>
      </c>
      <c r="L291">
        <f t="shared" si="8"/>
        <v>0.22739723924067454</v>
      </c>
      <c r="M291" cm="1">
        <f t="array" ref="M291">EstymacjaGaussowska($K291,$C$2:$C$151)</f>
        <v>0.27656211971303402</v>
      </c>
      <c r="N291" cm="1">
        <f t="array" ref="N291">EstymacjaGaussowska($K291,$C$2:$C$151,$N$2)</f>
        <v>0.2079578623838628</v>
      </c>
      <c r="O291" cm="1">
        <f t="array" ref="O291">EstymacjaGaussowska($K291,$C$2:$C$151,$O$2)</f>
        <v>0.33351537929728192</v>
      </c>
      <c r="P291" cm="1">
        <f t="array" ref="P291">EstymacjaGaussowska($K291,$C$2:$C$151,$P$2)</f>
        <v>7.8536901893950004E-2</v>
      </c>
      <c r="R291" cm="1">
        <f t="array" ref="R291">EstymacjaEpanecznikowa($K291,$C$2:$C$151,R$2)</f>
        <v>0.27689374566172381</v>
      </c>
      <c r="S291" cm="1">
        <f t="array" ref="S291">EstymacjaEpanecznikowa($K291,$C$2:$C$151,S$2)</f>
        <v>0.19871368676369883</v>
      </c>
      <c r="T291" cm="1">
        <f t="array" ref="T291">EstymacjaEpanecznikowa($K291,$C$2:$C$151,T$2)</f>
        <v>0.3454250034652534</v>
      </c>
    </row>
    <row r="292" spans="10:20" x14ac:dyDescent="0.25">
      <c r="J292">
        <v>290</v>
      </c>
      <c r="K292">
        <f t="shared" si="9"/>
        <v>5.0297658862876444</v>
      </c>
      <c r="L292">
        <f t="shared" si="8"/>
        <v>0.22192212199993619</v>
      </c>
      <c r="M292" cm="1">
        <f t="array" ref="M292">EstymacjaGaussowska($K292,$C$2:$C$151)</f>
        <v>0.26905642846177302</v>
      </c>
      <c r="N292" cm="1">
        <f t="array" ref="N292">EstymacjaGaussowska($K292,$C$2:$C$151,$N$2)</f>
        <v>0.20417002288717365</v>
      </c>
      <c r="O292" cm="1">
        <f t="array" ref="O292">EstymacjaGaussowska($K292,$C$2:$C$151,$O$2)</f>
        <v>0.32895580392812107</v>
      </c>
      <c r="P292" cm="1">
        <f t="array" ref="P292">EstymacjaGaussowska($K292,$C$2:$C$151,$P$2)</f>
        <v>7.8520167509070343E-2</v>
      </c>
      <c r="R292" cm="1">
        <f t="array" ref="R292">EstymacjaEpanecznikowa($K292,$C$2:$C$151,R$2)</f>
        <v>0.27120517578651226</v>
      </c>
      <c r="S292" cm="1">
        <f t="array" ref="S292">EstymacjaEpanecznikowa($K292,$C$2:$C$151,S$2)</f>
        <v>0.2058738264942872</v>
      </c>
      <c r="T292" cm="1">
        <f t="array" ref="T292">EstymacjaEpanecznikowa($K292,$C$2:$C$151,T$2)</f>
        <v>0.34184866867545466</v>
      </c>
    </row>
    <row r="293" spans="10:20" x14ac:dyDescent="0.25">
      <c r="J293">
        <v>291</v>
      </c>
      <c r="K293">
        <f t="shared" si="9"/>
        <v>5.0367892976588822</v>
      </c>
      <c r="L293">
        <f t="shared" si="8"/>
        <v>0.21653045464989526</v>
      </c>
      <c r="M293" cm="1">
        <f t="array" ref="M293">EstymacjaGaussowska($K293,$C$2:$C$151)</f>
        <v>0.26165352791735141</v>
      </c>
      <c r="N293" cm="1">
        <f t="array" ref="N293">EstymacjaGaussowska($K293,$C$2:$C$151,$N$2)</f>
        <v>0.20106779987143586</v>
      </c>
      <c r="O293" cm="1">
        <f t="array" ref="O293">EstymacjaGaussowska($K293,$C$2:$C$151,$O$2)</f>
        <v>0.32440594063218131</v>
      </c>
      <c r="P293" cm="1">
        <f t="array" ref="P293">EstymacjaGaussowska($K293,$C$2:$C$151,$P$2)</f>
        <v>7.8503283110921238E-2</v>
      </c>
      <c r="R293" cm="1">
        <f t="array" ref="R293">EstymacjaEpanecznikowa($K293,$C$2:$C$151,R$2)</f>
        <v>0.26535981960368749</v>
      </c>
      <c r="S293" cm="1">
        <f t="array" ref="S293">EstymacjaEpanecznikowa($K293,$C$2:$C$151,S$2)</f>
        <v>0.21091617841723498</v>
      </c>
      <c r="T293" cm="1">
        <f t="array" ref="T293">EstymacjaEpanecznikowa($K293,$C$2:$C$151,T$2)</f>
        <v>0.33822294788739837</v>
      </c>
    </row>
    <row r="294" spans="10:20" x14ac:dyDescent="0.25">
      <c r="J294">
        <v>292</v>
      </c>
      <c r="K294">
        <f t="shared" si="9"/>
        <v>5.0438127090301199</v>
      </c>
      <c r="L294">
        <f t="shared" si="8"/>
        <v>0.21122258911751393</v>
      </c>
      <c r="M294" cm="1">
        <f t="array" ref="M294">EstymacjaGaussowska($K294,$C$2:$C$151)</f>
        <v>0.2543554119243619</v>
      </c>
      <c r="N294" cm="1">
        <f t="array" ref="N294">EstymacjaGaussowska($K294,$C$2:$C$151,$N$2)</f>
        <v>0.19867507311002458</v>
      </c>
      <c r="O294" cm="1">
        <f t="array" ref="O294">EstymacjaGaussowska($K294,$C$2:$C$151,$O$2)</f>
        <v>0.31986701926660666</v>
      </c>
      <c r="P294" cm="1">
        <f t="array" ref="P294">EstymacjaGaussowska($K294,$C$2:$C$151,$P$2)</f>
        <v>7.8486248797714681E-2</v>
      </c>
      <c r="R294" cm="1">
        <f t="array" ref="R294">EstymacjaEpanecznikowa($K294,$C$2:$C$151,R$2)</f>
        <v>0.25935767711324925</v>
      </c>
      <c r="S294" cm="1">
        <f t="array" ref="S294">EstymacjaEpanecznikowa($K294,$C$2:$C$151,S$2)</f>
        <v>0.21384074253254218</v>
      </c>
      <c r="T294" cm="1">
        <f t="array" ref="T294">EstymacjaEpanecznikowa($K294,$C$2:$C$151,T$2)</f>
        <v>0.33454784110108399</v>
      </c>
    </row>
    <row r="295" spans="10:20" x14ac:dyDescent="0.25">
      <c r="J295">
        <v>293</v>
      </c>
      <c r="K295">
        <f t="shared" si="9"/>
        <v>5.0508361204013577</v>
      </c>
      <c r="L295">
        <f t="shared" si="8"/>
        <v>0.20599881327537228</v>
      </c>
      <c r="M295" cm="1">
        <f t="array" ref="M295">EstymacjaGaussowska($K295,$C$2:$C$151)</f>
        <v>0.24716392813914573</v>
      </c>
      <c r="N295" cm="1">
        <f t="array" ref="N295">EstymacjaGaussowska($K295,$C$2:$C$151,$N$2)</f>
        <v>0.19694920051725004</v>
      </c>
      <c r="O295" cm="1">
        <f t="array" ref="O295">EstymacjaGaussowska($K295,$C$2:$C$151,$O$2)</f>
        <v>0.31534025218321898</v>
      </c>
      <c r="P295" cm="1">
        <f t="array" ref="P295">EstymacjaGaussowska($K295,$C$2:$C$151,$P$2)</f>
        <v>7.8469064668521077E-2</v>
      </c>
      <c r="R295" cm="1">
        <f t="array" ref="R295">EstymacjaEpanecznikowa($K295,$C$2:$C$151,R$2)</f>
        <v>0.25319874831519756</v>
      </c>
      <c r="S295" cm="1">
        <f t="array" ref="S295">EstymacjaEpanecznikowa($K295,$C$2:$C$151,S$2)</f>
        <v>0.21464751884020875</v>
      </c>
      <c r="T295" cm="1">
        <f t="array" ref="T295">EstymacjaEpanecznikowa($K295,$C$2:$C$151,T$2)</f>
        <v>0.33082334831651222</v>
      </c>
    </row>
    <row r="296" spans="10:20" x14ac:dyDescent="0.25">
      <c r="J296">
        <v>294</v>
      </c>
      <c r="K296">
        <f t="shared" si="9"/>
        <v>5.0578595317725954</v>
      </c>
      <c r="L296">
        <f t="shared" si="8"/>
        <v>0.20085935225771051</v>
      </c>
      <c r="M296" cm="1">
        <f t="array" ref="M296">EstymacjaGaussowska($K296,$C$2:$C$151)</f>
        <v>0.2400807821457456</v>
      </c>
      <c r="N296" cm="1">
        <f t="array" ref="N296">EstymacjaGaussowska($K296,$C$2:$C$151,$N$2)</f>
        <v>0.1957526171993966</v>
      </c>
      <c r="O296" cm="1">
        <f t="array" ref="O296">EstymacjaGaussowska($K296,$C$2:$C$151,$O$2)</f>
        <v>0.31082683362785868</v>
      </c>
      <c r="P296" cm="1">
        <f t="array" ref="P296">EstymacjaGaussowska($K296,$C$2:$C$151,$P$2)</f>
        <v>7.8451730823268617E-2</v>
      </c>
      <c r="R296" cm="1">
        <f t="array" ref="R296">EstymacjaEpanecznikowa($K296,$C$2:$C$151,R$2)</f>
        <v>0.24688303320953253</v>
      </c>
      <c r="S296" cm="1">
        <f t="array" ref="S296">EstymacjaEpanecznikowa($K296,$C$2:$C$151,S$2)</f>
        <v>0.21333650734023471</v>
      </c>
      <c r="T296" cm="1">
        <f t="array" ref="T296">EstymacjaEpanecznikowa($K296,$C$2:$C$151,T$2)</f>
        <v>0.32704946953368252</v>
      </c>
    </row>
    <row r="297" spans="10:20" x14ac:dyDescent="0.25">
      <c r="J297">
        <v>295</v>
      </c>
      <c r="K297">
        <f t="shared" si="9"/>
        <v>5.0648829431438331</v>
      </c>
      <c r="L297">
        <f t="shared" si="8"/>
        <v>0.1958043698132643</v>
      </c>
      <c r="M297" cm="1">
        <f t="array" ref="M297">EstymacjaGaussowska($K297,$C$2:$C$151)</f>
        <v>0.23310754154207008</v>
      </c>
      <c r="N297" cm="1">
        <f t="array" ref="N297">EstymacjaGaussowska($K297,$C$2:$C$151,$N$2)</f>
        <v>0.19484189584040765</v>
      </c>
      <c r="O297" cm="1">
        <f t="array" ref="O297">EstymacjaGaussowska($K297,$C$2:$C$151,$O$2)</f>
        <v>0.30632793915950485</v>
      </c>
      <c r="P297" cm="1">
        <f t="array" ref="P297">EstymacjaGaussowska($K297,$C$2:$C$151,$P$2)</f>
        <v>7.8434247362742016E-2</v>
      </c>
      <c r="R297" cm="1">
        <f t="array" ref="R297">EstymacjaEpanecznikowa($K297,$C$2:$C$151,R$2)</f>
        <v>0.24041053179625413</v>
      </c>
      <c r="S297" cm="1">
        <f t="array" ref="S297">EstymacjaEpanecznikowa($K297,$C$2:$C$151,S$2)</f>
        <v>0.2099077080326201</v>
      </c>
      <c r="T297" cm="1">
        <f t="array" ref="T297">EstymacjaEpanecznikowa($K297,$C$2:$C$151,T$2)</f>
        <v>0.32322620475259517</v>
      </c>
    </row>
    <row r="298" spans="10:20" x14ac:dyDescent="0.25">
      <c r="J298">
        <v>296</v>
      </c>
      <c r="K298">
        <f t="shared" si="9"/>
        <v>5.0719063545150709</v>
      </c>
      <c r="L298">
        <f t="shared" si="8"/>
        <v>0.1908339696921966</v>
      </c>
      <c r="M298" cm="1">
        <f t="array" ref="M298">EstymacjaGaussowska($K298,$C$2:$C$151)</f>
        <v>0.22624563997330305</v>
      </c>
      <c r="N298" cm="1">
        <f t="array" ref="N298">EstymacjaGaussowska($K298,$C$2:$C$151,$N$2)</f>
        <v>0.19387718592106529</v>
      </c>
      <c r="O298" cm="1">
        <f t="array" ref="O298">EstymacjaGaussowska($K298,$C$2:$C$151,$O$2)</f>
        <v>0.30184472508960836</v>
      </c>
      <c r="P298" cm="1">
        <f t="array" ref="P298">EstymacjaGaussowska($K298,$C$2:$C$151,$P$2)</f>
        <v>7.8416614388581871E-2</v>
      </c>
      <c r="R298" cm="1">
        <f t="array" ref="R298">EstymacjaEpanecznikowa($K298,$C$2:$C$151,R$2)</f>
        <v>0.23378124407536227</v>
      </c>
      <c r="S298" cm="1">
        <f t="array" ref="S298">EstymacjaEpanecznikowa($K298,$C$2:$C$151,S$2)</f>
        <v>0.20436112091736489</v>
      </c>
      <c r="T298" cm="1">
        <f t="array" ref="T298">EstymacjaEpanecznikowa($K298,$C$2:$C$151,T$2)</f>
        <v>0.31935355397325005</v>
      </c>
    </row>
    <row r="299" spans="10:20" x14ac:dyDescent="0.25">
      <c r="J299">
        <v>297</v>
      </c>
      <c r="K299">
        <f t="shared" si="9"/>
        <v>5.0789297658863086</v>
      </c>
      <c r="L299">
        <f t="shared" si="8"/>
        <v>0.18594819706443572</v>
      </c>
      <c r="M299" cm="1">
        <f t="array" ref="M299">EstymacjaGaussowska($K299,$C$2:$C$151)</f>
        <v>0.21949638109201305</v>
      </c>
      <c r="N299" cm="1">
        <f t="array" ref="N299">EstymacjaGaussowska($K299,$C$2:$C$151,$N$2)</f>
        <v>0.19245106226709183</v>
      </c>
      <c r="O299" cm="1">
        <f t="array" ref="O299">EstymacjaGaussowska($K299,$C$2:$C$151,$O$2)</f>
        <v>0.29737832794204838</v>
      </c>
      <c r="P299" cm="1">
        <f t="array" ref="P299">EstymacjaGaussowska($K299,$C$2:$C$151,$P$2)</f>
        <v>7.8398832003283334E-2</v>
      </c>
      <c r="R299" cm="1">
        <f t="array" ref="R299">EstymacjaEpanecznikowa($K299,$C$2:$C$151,R$2)</f>
        <v>0.22699517004685704</v>
      </c>
      <c r="S299" cm="1">
        <f t="array" ref="S299">EstymacjaEpanecznikowa($K299,$C$2:$C$151,S$2)</f>
        <v>0.19669674599446907</v>
      </c>
      <c r="T299" cm="1">
        <f t="array" ref="T299">EstymacjaEpanecznikowa($K299,$C$2:$C$151,T$2)</f>
        <v>0.31543151719564699</v>
      </c>
    </row>
    <row r="300" spans="10:20" x14ac:dyDescent="0.25">
      <c r="J300">
        <v>298</v>
      </c>
      <c r="K300">
        <f t="shared" si="9"/>
        <v>5.0859531772575464</v>
      </c>
      <c r="L300">
        <f t="shared" si="8"/>
        <v>0.18114703996675677</v>
      </c>
      <c r="M300" cm="1">
        <f t="array" ref="M300">EstymacjaGaussowska($K300,$C$2:$C$151)</f>
        <v>0.21286094242688644</v>
      </c>
      <c r="N300" cm="1">
        <f t="array" ref="N300">EstymacjaGaussowska($K300,$C$2:$C$151,$N$2)</f>
        <v>0.19013224885491695</v>
      </c>
      <c r="O300" cm="1">
        <f t="array" ref="O300">EstymacjaGaussowska($K300,$C$2:$C$151,$O$2)</f>
        <v>0.29292986393409887</v>
      </c>
      <c r="P300" cm="1">
        <f t="array" ref="P300">EstymacjaGaussowska($K300,$C$2:$C$151,$P$2)</f>
        <v>7.8380900310195359E-2</v>
      </c>
      <c r="R300" cm="1">
        <f t="array" ref="R300">EstymacjaEpanecznikowa($K300,$C$2:$C$151,R$2)</f>
        <v>0.22005230971073836</v>
      </c>
      <c r="S300" cm="1">
        <f t="array" ref="S300">EstymacjaEpanecznikowa($K300,$C$2:$C$151,S$2)</f>
        <v>0.18691458326393259</v>
      </c>
      <c r="T300" cm="1">
        <f t="array" ref="T300">EstymacjaEpanecznikowa($K300,$C$2:$C$151,T$2)</f>
        <v>0.31146009441978645</v>
      </c>
    </row>
    <row r="301" spans="10:20" x14ac:dyDescent="0.25">
      <c r="J301">
        <v>299</v>
      </c>
      <c r="K301">
        <f t="shared" si="9"/>
        <v>5.0929765886287841</v>
      </c>
      <c r="L301">
        <f t="shared" si="8"/>
        <v>0.17643043077596002</v>
      </c>
      <c r="M301" cm="1">
        <f t="array" ref="M301">EstymacjaGaussowska($K301,$C$2:$C$151)</f>
        <v>0.20634037914448361</v>
      </c>
      <c r="N301" cm="1">
        <f t="array" ref="N301">EstymacjaGaussowska($K301,$C$2:$C$151,$N$2)</f>
        <v>0.1865170823781086</v>
      </c>
      <c r="O301" cm="1">
        <f t="array" ref="O301">EstymacjaGaussowska($K301,$C$2:$C$151,$O$2)</f>
        <v>0.28850042847874752</v>
      </c>
      <c r="P301" cm="1">
        <f t="array" ref="P301">EstymacjaGaussowska($K301,$C$2:$C$151,$P$2)</f>
        <v>7.8362819413519691E-2</v>
      </c>
      <c r="R301" cm="1">
        <f t="array" ref="R301">EstymacjaEpanecznikowa($K301,$C$2:$C$151,R$2)</f>
        <v>0.21295266306700639</v>
      </c>
      <c r="S301" cm="1">
        <f t="array" ref="S301">EstymacjaEpanecznikowa($K301,$C$2:$C$151,S$2)</f>
        <v>0.17501463272575557</v>
      </c>
      <c r="T301" cm="1">
        <f t="array" ref="T301">EstymacjaEpanecznikowa($K301,$C$2:$C$151,T$2)</f>
        <v>0.30743928564566814</v>
      </c>
    </row>
    <row r="302" spans="10:20" x14ac:dyDescent="0.25">
      <c r="J302">
        <v>300</v>
      </c>
      <c r="K302">
        <f t="shared" si="9"/>
        <v>5.1000000000000218</v>
      </c>
      <c r="L302">
        <f t="shared" si="8"/>
        <v>0.1717982477055304</v>
      </c>
      <c r="M302" cm="1">
        <f t="array" ref="M302">EstymacjaGaussowska($K302,$C$2:$C$151)</f>
        <v>0.19993562769091497</v>
      </c>
      <c r="N302" cm="1">
        <f t="array" ref="N302">EstymacjaGaussowska($K302,$C$2:$C$151,$N$2)</f>
        <v>0.18128036780715751</v>
      </c>
      <c r="O302" cm="1">
        <f t="array" ref="O302">EstymacjaGaussowska($K302,$C$2:$C$151,$O$2)</f>
        <v>0.28409109570869784</v>
      </c>
      <c r="P302" cm="1">
        <f t="array" ref="P302">EstymacjaGaussowska($K302,$C$2:$C$151,$P$2)</f>
        <v>7.8344589418309685E-2</v>
      </c>
      <c r="R302" cm="1">
        <f t="array" ref="R302">EstymacjaEpanecznikowa($K302,$C$2:$C$151,R$2)</f>
        <v>0.20569623011566088</v>
      </c>
      <c r="S302" cm="1">
        <f t="array" ref="S302">EstymacjaEpanecznikowa($K302,$C$2:$C$151,S$2)</f>
        <v>0.16099689437993794</v>
      </c>
      <c r="T302" cm="1">
        <f t="array" ref="T302">EstymacjaEpanecznikowa($K302,$C$2:$C$151,T$2)</f>
        <v>0.30336909087329195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irysy</vt:lpstr>
      <vt:lpstr>irysy_wykresnorm</vt:lpstr>
      <vt:lpstr>irysy_estymacjagęstości</vt:lpstr>
      <vt:lpstr>versicolor</vt:lpstr>
      <vt:lpstr>versicolor_estymacjanorm</vt:lpstr>
      <vt:lpstr>versicolor_estymacjagęstości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2020-03-23T11:01:37Z</dcterms:created>
  <dcterms:modified xsi:type="dcterms:W3CDTF">2020-07-01T23:13:25Z</dcterms:modified>
</cp:coreProperties>
</file>