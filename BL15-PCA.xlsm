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Studia\IV semestr\Matematyczne metody analizy danych\Moje\"/>
    </mc:Choice>
  </mc:AlternateContent>
  <xr:revisionPtr revIDLastSave="0" documentId="13_ncr:1_{8B762B16-B3DD-4731-AF74-C7A878F53A20}" xr6:coauthVersionLast="45" xr6:coauthVersionMax="45" xr10:uidLastSave="{00000000-0000-0000-0000-000000000000}"/>
  <bookViews>
    <workbookView xWindow="-120" yWindow="-120" windowWidth="29040" windowHeight="15840" activeTab="4" xr2:uid="{00000000-000D-0000-FFFF-FFFF00000000}"/>
  </bookViews>
  <sheets>
    <sheet name="Irysy" sheetId="1" r:id="rId1"/>
    <sheet name="PCA (centralizacja)" sheetId="2" r:id="rId2"/>
    <sheet name="PCA (Standaryzacja)" sheetId="3" r:id="rId3"/>
    <sheet name="QDA" sheetId="4" r:id="rId4"/>
    <sheet name="Bayes" sheetId="5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3" i="5" l="1"/>
  <c r="S4" i="5"/>
  <c r="H16" i="2" l="1"/>
  <c r="J16" i="2"/>
  <c r="J18" i="2" l="1"/>
  <c r="I18" i="2"/>
  <c r="H18" i="2"/>
  <c r="G18" i="2"/>
  <c r="H5" i="1"/>
  <c r="H4" i="1"/>
  <c r="M2" i="1"/>
  <c r="F52" i="5" l="1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0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2" i="5"/>
  <c r="L3" i="5" a="1"/>
  <c r="L4" i="5" a="1"/>
  <c r="L5" i="5" a="1"/>
  <c r="L6" i="5" a="1"/>
  <c r="L7" i="5" a="1"/>
  <c r="L8" i="5" a="1"/>
  <c r="L9" i="5" a="1"/>
  <c r="L10" i="5" a="1"/>
  <c r="L11" i="5" a="1"/>
  <c r="L12" i="5" a="1"/>
  <c r="L13" i="5" a="1"/>
  <c r="L14" i="5" a="1"/>
  <c r="L15" i="5" a="1"/>
  <c r="L16" i="5" a="1"/>
  <c r="L17" i="5" a="1"/>
  <c r="L18" i="5" a="1"/>
  <c r="L19" i="5" a="1"/>
  <c r="L20" i="5" a="1"/>
  <c r="L21" i="5" a="1"/>
  <c r="L22" i="5" a="1"/>
  <c r="L23" i="5" a="1"/>
  <c r="L24" i="5" a="1"/>
  <c r="L25" i="5" a="1"/>
  <c r="L26" i="5" a="1"/>
  <c r="L27" i="5" a="1"/>
  <c r="L28" i="5" a="1"/>
  <c r="L29" i="5" a="1"/>
  <c r="L30" i="5" a="1"/>
  <c r="L31" i="5" a="1"/>
  <c r="L32" i="5" a="1"/>
  <c r="L33" i="5" a="1"/>
  <c r="L34" i="5" a="1"/>
  <c r="L35" i="5" a="1"/>
  <c r="M3" i="5" a="1"/>
  <c r="M4" i="5" a="1"/>
  <c r="M5" i="5" a="1"/>
  <c r="M6" i="5" a="1"/>
  <c r="M7" i="5" a="1"/>
  <c r="M8" i="5" a="1"/>
  <c r="M9" i="5" a="1"/>
  <c r="M10" i="5" a="1"/>
  <c r="M11" i="5" a="1"/>
  <c r="M12" i="5" a="1"/>
  <c r="M13" i="5" a="1"/>
  <c r="M14" i="5" a="1"/>
  <c r="M15" i="5" a="1"/>
  <c r="M16" i="5" a="1"/>
  <c r="M17" i="5" a="1"/>
  <c r="M18" i="5" a="1"/>
  <c r="M19" i="5" a="1"/>
  <c r="M20" i="5" a="1"/>
  <c r="M21" i="5" a="1"/>
  <c r="M22" i="5" a="1"/>
  <c r="M23" i="5" a="1"/>
  <c r="M24" i="5" a="1"/>
  <c r="M25" i="5" a="1"/>
  <c r="M26" i="5" a="1"/>
  <c r="M27" i="5" a="1"/>
  <c r="M28" i="5" a="1"/>
  <c r="M29" i="5" a="1"/>
  <c r="M30" i="5" a="1"/>
  <c r="M31" i="5" a="1"/>
  <c r="M32" i="5" a="1"/>
  <c r="M33" i="5" a="1"/>
  <c r="M34" i="5" a="1"/>
  <c r="M35" i="5" a="1"/>
  <c r="M36" i="5" a="1"/>
  <c r="M37" i="5" a="1"/>
  <c r="M38" i="5" a="1"/>
  <c r="M39" i="5" a="1"/>
  <c r="M40" i="5" a="1"/>
  <c r="N3" i="5" a="1"/>
  <c r="N4" i="5" a="1"/>
  <c r="N5" i="5" a="1"/>
  <c r="N6" i="5" a="1"/>
  <c r="N7" i="5" a="1"/>
  <c r="N8" i="5" a="1"/>
  <c r="N9" i="5" a="1"/>
  <c r="N10" i="5" a="1"/>
  <c r="N11" i="5" a="1"/>
  <c r="N12" i="5" a="1"/>
  <c r="N13" i="5" a="1"/>
  <c r="N14" i="5" a="1"/>
  <c r="N15" i="5" a="1"/>
  <c r="N16" i="5" a="1"/>
  <c r="N17" i="5" a="1"/>
  <c r="N18" i="5" a="1"/>
  <c r="N19" i="5" a="1"/>
  <c r="N20" i="5" a="1"/>
  <c r="N21" i="5" a="1"/>
  <c r="N22" i="5" a="1"/>
  <c r="N23" i="5" a="1"/>
  <c r="N24" i="5" a="1"/>
  <c r="N25" i="5" a="1"/>
  <c r="N26" i="5" a="1"/>
  <c r="N27" i="5" a="1"/>
  <c r="N28" i="5" a="1"/>
  <c r="N29" i="5" a="1"/>
  <c r="N30" i="5" a="1"/>
  <c r="N31" i="5" a="1"/>
  <c r="N32" i="5" a="1"/>
  <c r="N33" i="5" a="1"/>
  <c r="N34" i="5" a="1"/>
  <c r="N35" i="5" a="1"/>
  <c r="N36" i="5" a="1"/>
  <c r="N37" i="5" a="1"/>
  <c r="N38" i="5" a="1"/>
  <c r="N39" i="5" a="1"/>
  <c r="N40" i="5" a="1"/>
  <c r="N41" i="5" a="1"/>
  <c r="N42" i="5" a="1"/>
  <c r="N43" i="5" a="1"/>
  <c r="O3" i="5" a="1"/>
  <c r="O11" i="5" a="1"/>
  <c r="O19" i="5" a="1"/>
  <c r="O27" i="5" a="1"/>
  <c r="O35" i="5" a="1"/>
  <c r="O39" i="5" a="1"/>
  <c r="O42" i="5" a="1"/>
  <c r="L45" i="5" a="1"/>
  <c r="L47" i="5" a="1"/>
  <c r="L49" i="5" a="1"/>
  <c r="L51" i="5" a="1"/>
  <c r="L53" i="5" a="1"/>
  <c r="L55" i="5" a="1"/>
  <c r="L57" i="5" a="1"/>
  <c r="L59" i="5" a="1"/>
  <c r="L61" i="5" a="1"/>
  <c r="L63" i="5" a="1"/>
  <c r="L65" i="5" a="1"/>
  <c r="L67" i="5" a="1"/>
  <c r="L69" i="5" a="1"/>
  <c r="L71" i="5" a="1"/>
  <c r="L73" i="5" a="1"/>
  <c r="L75" i="5" a="1"/>
  <c r="L77" i="5" a="1"/>
  <c r="L79" i="5" a="1"/>
  <c r="L81" i="5" a="1"/>
  <c r="L83" i="5" a="1"/>
  <c r="L85" i="5" a="1"/>
  <c r="L87" i="5" a="1"/>
  <c r="N88" i="5" a="1"/>
  <c r="N89" i="5" a="1"/>
  <c r="N90" i="5" a="1"/>
  <c r="N91" i="5" a="1"/>
  <c r="N92" i="5" a="1"/>
  <c r="N93" i="5" a="1"/>
  <c r="N94" i="5" a="1"/>
  <c r="N95" i="5" a="1"/>
  <c r="N96" i="5" a="1"/>
  <c r="N97" i="5" a="1"/>
  <c r="N98" i="5" a="1"/>
  <c r="N99" i="5" a="1"/>
  <c r="N100" i="5" a="1"/>
  <c r="N101" i="5" a="1"/>
  <c r="N102" i="5" a="1"/>
  <c r="N103" i="5" a="1"/>
  <c r="N104" i="5" a="1"/>
  <c r="N105" i="5" a="1"/>
  <c r="N106" i="5" a="1"/>
  <c r="N107" i="5" a="1"/>
  <c r="N108" i="5" a="1"/>
  <c r="N109" i="5" a="1"/>
  <c r="N110" i="5" a="1"/>
  <c r="N111" i="5" a="1"/>
  <c r="N112" i="5" a="1"/>
  <c r="N113" i="5" a="1"/>
  <c r="N114" i="5" a="1"/>
  <c r="N115" i="5" a="1"/>
  <c r="N116" i="5" a="1"/>
  <c r="N117" i="5" a="1"/>
  <c r="O4" i="5" a="1"/>
  <c r="O12" i="5" a="1"/>
  <c r="O20" i="5" a="1"/>
  <c r="O28" i="5" a="1"/>
  <c r="L36" i="5" a="1"/>
  <c r="L40" i="5" a="1"/>
  <c r="L43" i="5" a="1"/>
  <c r="M45" i="5" a="1"/>
  <c r="M47" i="5" a="1"/>
  <c r="M49" i="5" a="1"/>
  <c r="M51" i="5" a="1"/>
  <c r="M53" i="5" a="1"/>
  <c r="M55" i="5" a="1"/>
  <c r="M57" i="5" a="1"/>
  <c r="M59" i="5" a="1"/>
  <c r="M61" i="5" a="1"/>
  <c r="M63" i="5" a="1"/>
  <c r="M65" i="5" a="1"/>
  <c r="M67" i="5" a="1"/>
  <c r="M69" i="5" a="1"/>
  <c r="M71" i="5" a="1"/>
  <c r="M73" i="5" a="1"/>
  <c r="M75" i="5" a="1"/>
  <c r="M77" i="5" a="1"/>
  <c r="M79" i="5" a="1"/>
  <c r="M81" i="5" a="1"/>
  <c r="M83" i="5" a="1"/>
  <c r="M85" i="5" a="1"/>
  <c r="M87" i="5" a="1"/>
  <c r="O5" i="5" a="1"/>
  <c r="O13" i="5" a="1"/>
  <c r="O21" i="5" a="1"/>
  <c r="O29" i="5" a="1"/>
  <c r="O36" i="5" a="1"/>
  <c r="O40" i="5" a="1"/>
  <c r="M43" i="5" a="1"/>
  <c r="N45" i="5" a="1"/>
  <c r="N47" i="5" a="1"/>
  <c r="N49" i="5" a="1"/>
  <c r="N51" i="5" a="1"/>
  <c r="N53" i="5" a="1"/>
  <c r="N55" i="5" a="1"/>
  <c r="N57" i="5" a="1"/>
  <c r="N59" i="5" a="1"/>
  <c r="N61" i="5" a="1"/>
  <c r="N63" i="5" a="1"/>
  <c r="N65" i="5" a="1"/>
  <c r="N67" i="5" a="1"/>
  <c r="N69" i="5" a="1"/>
  <c r="N71" i="5" a="1"/>
  <c r="N73" i="5" a="1"/>
  <c r="N75" i="5" a="1"/>
  <c r="N77" i="5" a="1"/>
  <c r="N79" i="5" a="1"/>
  <c r="N81" i="5" a="1"/>
  <c r="N83" i="5" a="1"/>
  <c r="N85" i="5" a="1"/>
  <c r="N87" i="5" a="1"/>
  <c r="O88" i="5" a="1"/>
  <c r="O89" i="5" a="1"/>
  <c r="O90" i="5" a="1"/>
  <c r="O91" i="5" a="1"/>
  <c r="O92" i="5" a="1"/>
  <c r="O93" i="5" a="1"/>
  <c r="O94" i="5" a="1"/>
  <c r="O95" i="5" a="1"/>
  <c r="O96" i="5" a="1"/>
  <c r="O97" i="5" a="1"/>
  <c r="O98" i="5" a="1"/>
  <c r="O99" i="5" a="1"/>
  <c r="O100" i="5" a="1"/>
  <c r="O101" i="5" a="1"/>
  <c r="O102" i="5" a="1"/>
  <c r="O103" i="5" a="1"/>
  <c r="O104" i="5" a="1"/>
  <c r="O105" i="5" a="1"/>
  <c r="O106" i="5" a="1"/>
  <c r="O107" i="5" a="1"/>
  <c r="O108" i="5" a="1"/>
  <c r="O109" i="5" a="1"/>
  <c r="O110" i="5" a="1"/>
  <c r="O111" i="5" a="1"/>
  <c r="O112" i="5" a="1"/>
  <c r="O113" i="5" a="1"/>
  <c r="O114" i="5" a="1"/>
  <c r="O115" i="5" a="1"/>
  <c r="O116" i="5" a="1"/>
  <c r="O6" i="5" a="1"/>
  <c r="O14" i="5" a="1"/>
  <c r="O22" i="5" a="1"/>
  <c r="O30" i="5" a="1"/>
  <c r="L37" i="5" a="1"/>
  <c r="L41" i="5" a="1"/>
  <c r="O43" i="5" a="1"/>
  <c r="O45" i="5" a="1"/>
  <c r="O47" i="5" a="1"/>
  <c r="O49" i="5" a="1"/>
  <c r="O51" i="5" a="1"/>
  <c r="O53" i="5" a="1"/>
  <c r="O55" i="5" a="1"/>
  <c r="O57" i="5" a="1"/>
  <c r="O59" i="5" a="1"/>
  <c r="O61" i="5" a="1"/>
  <c r="O63" i="5" a="1"/>
  <c r="O65" i="5" a="1"/>
  <c r="O67" i="5" a="1"/>
  <c r="O69" i="5" a="1"/>
  <c r="O71" i="5" a="1"/>
  <c r="O73" i="5" a="1"/>
  <c r="O75" i="5" a="1"/>
  <c r="O77" i="5" a="1"/>
  <c r="O79" i="5" a="1"/>
  <c r="O81" i="5" a="1"/>
  <c r="O83" i="5" a="1"/>
  <c r="O85" i="5" a="1"/>
  <c r="O87" i="5" a="1"/>
  <c r="O7" i="5" a="1"/>
  <c r="O15" i="5" a="1"/>
  <c r="O23" i="5" a="1"/>
  <c r="O31" i="5" a="1"/>
  <c r="O37" i="5" a="1"/>
  <c r="M41" i="5" a="1"/>
  <c r="L44" i="5" a="1"/>
  <c r="L46" i="5" a="1"/>
  <c r="L48" i="5" a="1"/>
  <c r="L50" i="5" a="1"/>
  <c r="L52" i="5" a="1"/>
  <c r="L54" i="5" a="1"/>
  <c r="L56" i="5" a="1"/>
  <c r="L58" i="5" a="1"/>
  <c r="L60" i="5" a="1"/>
  <c r="L62" i="5" a="1"/>
  <c r="L64" i="5" a="1"/>
  <c r="L66" i="5" a="1"/>
  <c r="L68" i="5" a="1"/>
  <c r="L70" i="5" a="1"/>
  <c r="L72" i="5" a="1"/>
  <c r="L74" i="5" a="1"/>
  <c r="L76" i="5" a="1"/>
  <c r="L78" i="5" a="1"/>
  <c r="L80" i="5" a="1"/>
  <c r="L82" i="5" a="1"/>
  <c r="L84" i="5" a="1"/>
  <c r="L86" i="5" a="1"/>
  <c r="L88" i="5" a="1"/>
  <c r="L89" i="5" a="1"/>
  <c r="L90" i="5" a="1"/>
  <c r="L91" i="5" a="1"/>
  <c r="L92" i="5" a="1"/>
  <c r="L93" i="5" a="1"/>
  <c r="L94" i="5" a="1"/>
  <c r="L95" i="5" a="1"/>
  <c r="L96" i="5" a="1"/>
  <c r="L97" i="5" a="1"/>
  <c r="L98" i="5" a="1"/>
  <c r="L99" i="5" a="1"/>
  <c r="L100" i="5" a="1"/>
  <c r="L101" i="5" a="1"/>
  <c r="L102" i="5" a="1"/>
  <c r="L103" i="5" a="1"/>
  <c r="L104" i="5" a="1"/>
  <c r="L105" i="5" a="1"/>
  <c r="L106" i="5" a="1"/>
  <c r="L107" i="5" a="1"/>
  <c r="L108" i="5" a="1"/>
  <c r="L109" i="5" a="1"/>
  <c r="L110" i="5" a="1"/>
  <c r="L111" i="5" a="1"/>
  <c r="L112" i="5" a="1"/>
  <c r="L113" i="5" a="1"/>
  <c r="L114" i="5" a="1"/>
  <c r="L115" i="5" a="1"/>
  <c r="L116" i="5" a="1"/>
  <c r="L117" i="5" a="1"/>
  <c r="L118" i="5" a="1"/>
  <c r="L119" i="5" a="1"/>
  <c r="L120" i="5" a="1"/>
  <c r="L121" i="5" a="1"/>
  <c r="L122" i="5" a="1"/>
  <c r="L123" i="5" a="1"/>
  <c r="L124" i="5" a="1"/>
  <c r="L125" i="5" a="1"/>
  <c r="L126" i="5" a="1"/>
  <c r="L127" i="5" a="1"/>
  <c r="L128" i="5" a="1"/>
  <c r="L129" i="5" a="1"/>
  <c r="O8" i="5" a="1"/>
  <c r="O16" i="5" a="1"/>
  <c r="O24" i="5" a="1"/>
  <c r="O32" i="5" a="1"/>
  <c r="L38" i="5" a="1"/>
  <c r="O41" i="5" a="1"/>
  <c r="M44" i="5" a="1"/>
  <c r="M46" i="5" a="1"/>
  <c r="M48" i="5" a="1"/>
  <c r="M50" i="5" a="1"/>
  <c r="M52" i="5" a="1"/>
  <c r="M54" i="5" a="1"/>
  <c r="M56" i="5" a="1"/>
  <c r="M58" i="5" a="1"/>
  <c r="M60" i="5" a="1"/>
  <c r="M62" i="5" a="1"/>
  <c r="M64" i="5" a="1"/>
  <c r="M66" i="5" a="1"/>
  <c r="M68" i="5" a="1"/>
  <c r="M70" i="5" a="1"/>
  <c r="M72" i="5" a="1"/>
  <c r="M74" i="5" a="1"/>
  <c r="M76" i="5" a="1"/>
  <c r="M78" i="5" a="1"/>
  <c r="M80" i="5" a="1"/>
  <c r="M82" i="5" a="1"/>
  <c r="M84" i="5" a="1"/>
  <c r="M86" i="5" a="1"/>
  <c r="O10" i="5" a="1"/>
  <c r="O18" i="5" a="1"/>
  <c r="O26" i="5" a="1"/>
  <c r="O34" i="5" a="1"/>
  <c r="L39" i="5" a="1"/>
  <c r="M42" i="5" a="1"/>
  <c r="O44" i="5" a="1"/>
  <c r="O46" i="5" a="1"/>
  <c r="O48" i="5" a="1"/>
  <c r="O50" i="5" a="1"/>
  <c r="O52" i="5" a="1"/>
  <c r="O54" i="5" a="1"/>
  <c r="O56" i="5" a="1"/>
  <c r="O58" i="5" a="1"/>
  <c r="O60" i="5" a="1"/>
  <c r="O62" i="5" a="1"/>
  <c r="O64" i="5" a="1"/>
  <c r="O66" i="5" a="1"/>
  <c r="O68" i="5" a="1"/>
  <c r="O70" i="5" a="1"/>
  <c r="O72" i="5" a="1"/>
  <c r="O74" i="5" a="1"/>
  <c r="O76" i="5" a="1"/>
  <c r="O78" i="5" a="1"/>
  <c r="O80" i="5" a="1"/>
  <c r="O82" i="5" a="1"/>
  <c r="O84" i="5" a="1"/>
  <c r="O86" i="5" a="1"/>
  <c r="O9" i="5" a="1"/>
  <c r="N48" i="5" a="1"/>
  <c r="N64" i="5" a="1"/>
  <c r="N80" i="5" a="1"/>
  <c r="M92" i="5" a="1"/>
  <c r="M100" i="5" a="1"/>
  <c r="M108" i="5" a="1"/>
  <c r="M116" i="5" a="1"/>
  <c r="O119" i="5" a="1"/>
  <c r="N122" i="5" a="1"/>
  <c r="M125" i="5" a="1"/>
  <c r="O127" i="5" a="1"/>
  <c r="M130" i="5" a="1"/>
  <c r="M132" i="5" a="1"/>
  <c r="M134" i="5" a="1"/>
  <c r="M136" i="5" a="1"/>
  <c r="M138" i="5" a="1"/>
  <c r="M140" i="5" a="1"/>
  <c r="M142" i="5" a="1"/>
  <c r="M144" i="5" a="1"/>
  <c r="M146" i="5" a="1"/>
  <c r="M148" i="5" a="1"/>
  <c r="M150" i="5" a="1"/>
  <c r="M114" i="5" a="1"/>
  <c r="O17" i="5" a="1"/>
  <c r="N50" i="5" a="1"/>
  <c r="N66" i="5" a="1"/>
  <c r="N82" i="5" a="1"/>
  <c r="M93" i="5" a="1"/>
  <c r="M101" i="5" a="1"/>
  <c r="M109" i="5" a="1"/>
  <c r="M117" i="5" a="1"/>
  <c r="M120" i="5" a="1"/>
  <c r="O122" i="5" a="1"/>
  <c r="N125" i="5" a="1"/>
  <c r="M128" i="5" a="1"/>
  <c r="N130" i="5" a="1"/>
  <c r="N132" i="5" a="1"/>
  <c r="N134" i="5" a="1"/>
  <c r="N136" i="5" a="1"/>
  <c r="N138" i="5" a="1"/>
  <c r="N140" i="5" a="1"/>
  <c r="N142" i="5" a="1"/>
  <c r="N144" i="5" a="1"/>
  <c r="N146" i="5" a="1"/>
  <c r="N148" i="5" a="1"/>
  <c r="N150" i="5" a="1"/>
  <c r="M119" i="5" a="1"/>
  <c r="O25" i="5" a="1"/>
  <c r="N52" i="5" a="1"/>
  <c r="N68" i="5" a="1"/>
  <c r="N84" i="5" a="1"/>
  <c r="M94" i="5" a="1"/>
  <c r="M102" i="5" a="1"/>
  <c r="M110" i="5" a="1"/>
  <c r="O117" i="5" a="1"/>
  <c r="N120" i="5" a="1"/>
  <c r="M123" i="5" a="1"/>
  <c r="O125" i="5" a="1"/>
  <c r="N128" i="5" a="1"/>
  <c r="O130" i="5" a="1"/>
  <c r="O132" i="5" a="1"/>
  <c r="O134" i="5" a="1"/>
  <c r="O136" i="5" a="1"/>
  <c r="O138" i="5" a="1"/>
  <c r="O140" i="5" a="1"/>
  <c r="O142" i="5" a="1"/>
  <c r="O144" i="5" a="1"/>
  <c r="O146" i="5" a="1"/>
  <c r="O148" i="5" a="1"/>
  <c r="O150" i="5" a="1"/>
  <c r="M90" i="5" a="1"/>
  <c r="M98" i="5" a="1"/>
  <c r="O129" i="5" a="1"/>
  <c r="O137" i="5" a="1"/>
  <c r="O143" i="5" a="1"/>
  <c r="O151" i="5" a="1"/>
  <c r="O33" i="5" a="1"/>
  <c r="N54" i="5" a="1"/>
  <c r="N70" i="5" a="1"/>
  <c r="N86" i="5" a="1"/>
  <c r="M95" i="5" a="1"/>
  <c r="M103" i="5" a="1"/>
  <c r="M111" i="5" a="1"/>
  <c r="M118" i="5" a="1"/>
  <c r="O120" i="5" a="1"/>
  <c r="N123" i="5" a="1"/>
  <c r="M126" i="5" a="1"/>
  <c r="O128" i="5" a="1"/>
  <c r="L131" i="5" a="1"/>
  <c r="L133" i="5" a="1"/>
  <c r="L135" i="5" a="1"/>
  <c r="L137" i="5" a="1"/>
  <c r="L139" i="5" a="1"/>
  <c r="L141" i="5" a="1"/>
  <c r="L143" i="5" a="1"/>
  <c r="L145" i="5" a="1"/>
  <c r="L147" i="5" a="1"/>
  <c r="L149" i="5" a="1"/>
  <c r="L151" i="5" a="1"/>
  <c r="N76" i="5" a="1"/>
  <c r="N124" i="5" a="1"/>
  <c r="O131" i="5" a="1"/>
  <c r="O139" i="5" a="1"/>
  <c r="O149" i="5" a="1"/>
  <c r="O38" i="5" a="1"/>
  <c r="N56" i="5" a="1"/>
  <c r="N72" i="5" a="1"/>
  <c r="M88" i="5" a="1"/>
  <c r="M96" i="5" a="1"/>
  <c r="M104" i="5" a="1"/>
  <c r="M112" i="5" a="1"/>
  <c r="N118" i="5" a="1"/>
  <c r="M121" i="5" a="1"/>
  <c r="O123" i="5" a="1"/>
  <c r="N126" i="5" a="1"/>
  <c r="M129" i="5" a="1"/>
  <c r="M131" i="5" a="1"/>
  <c r="M133" i="5" a="1"/>
  <c r="M135" i="5" a="1"/>
  <c r="M137" i="5" a="1"/>
  <c r="M139" i="5" a="1"/>
  <c r="M141" i="5" a="1"/>
  <c r="M143" i="5" a="1"/>
  <c r="M145" i="5" a="1"/>
  <c r="M147" i="5" a="1"/>
  <c r="M149" i="5" a="1"/>
  <c r="M151" i="5" a="1"/>
  <c r="N60" i="5" a="1"/>
  <c r="O121" i="5" a="1"/>
  <c r="O133" i="5" a="1"/>
  <c r="O145" i="5" a="1"/>
  <c r="L42" i="5" a="1"/>
  <c r="N58" i="5" a="1"/>
  <c r="N74" i="5" a="1"/>
  <c r="M89" i="5" a="1"/>
  <c r="M97" i="5" a="1"/>
  <c r="M105" i="5" a="1"/>
  <c r="M113" i="5" a="1"/>
  <c r="O118" i="5" a="1"/>
  <c r="N121" i="5" a="1"/>
  <c r="M124" i="5" a="1"/>
  <c r="O126" i="5" a="1"/>
  <c r="N129" i="5" a="1"/>
  <c r="N131" i="5" a="1"/>
  <c r="N133" i="5" a="1"/>
  <c r="N135" i="5" a="1"/>
  <c r="N137" i="5" a="1"/>
  <c r="N139" i="5" a="1"/>
  <c r="N141" i="5" a="1"/>
  <c r="N143" i="5" a="1"/>
  <c r="N145" i="5" a="1"/>
  <c r="N147" i="5" a="1"/>
  <c r="N149" i="5" a="1"/>
  <c r="N151" i="5" a="1"/>
  <c r="N44" i="5" a="1"/>
  <c r="M127" i="5" a="1"/>
  <c r="O135" i="5" a="1"/>
  <c r="O141" i="5" a="1"/>
  <c r="N46" i="5" a="1"/>
  <c r="N62" i="5" a="1"/>
  <c r="N78" i="5" a="1"/>
  <c r="M91" i="5" a="1"/>
  <c r="M99" i="5" a="1"/>
  <c r="M107" i="5" a="1"/>
  <c r="M115" i="5" a="1"/>
  <c r="N119" i="5" a="1"/>
  <c r="M122" i="5" a="1"/>
  <c r="O124" i="5" a="1"/>
  <c r="N127" i="5" a="1"/>
  <c r="L130" i="5" a="1"/>
  <c r="L132" i="5" a="1"/>
  <c r="L134" i="5" a="1"/>
  <c r="L136" i="5" a="1"/>
  <c r="L138" i="5" a="1"/>
  <c r="L140" i="5" a="1"/>
  <c r="L142" i="5" a="1"/>
  <c r="L144" i="5" a="1"/>
  <c r="L146" i="5" a="1"/>
  <c r="L148" i="5" a="1"/>
  <c r="L150" i="5" a="1"/>
  <c r="M106" i="5" a="1"/>
  <c r="O147" i="5" a="1"/>
  <c r="O2" i="5" a="1"/>
  <c r="N2" i="5" a="1"/>
  <c r="M2" i="5" a="1"/>
  <c r="L2" i="5" a="1"/>
  <c r="O147" i="5" l="1"/>
  <c r="M106" i="5"/>
  <c r="K106" i="5" s="1"/>
  <c r="L150" i="5"/>
  <c r="L148" i="5"/>
  <c r="L146" i="5"/>
  <c r="L144" i="5"/>
  <c r="L142" i="5"/>
  <c r="L140" i="5"/>
  <c r="L138" i="5"/>
  <c r="L136" i="5"/>
  <c r="L134" i="5"/>
  <c r="L132" i="5"/>
  <c r="L130" i="5"/>
  <c r="N127" i="5"/>
  <c r="O124" i="5"/>
  <c r="M122" i="5"/>
  <c r="K122" i="5" s="1"/>
  <c r="N119" i="5"/>
  <c r="M115" i="5"/>
  <c r="K115" i="5" s="1"/>
  <c r="M107" i="5"/>
  <c r="K107" i="5" s="1"/>
  <c r="M99" i="5"/>
  <c r="K99" i="5" s="1"/>
  <c r="M91" i="5"/>
  <c r="K91" i="5" s="1"/>
  <c r="N78" i="5"/>
  <c r="N62" i="5"/>
  <c r="N46" i="5"/>
  <c r="O141" i="5"/>
  <c r="O135" i="5"/>
  <c r="M127" i="5"/>
  <c r="K127" i="5" s="1"/>
  <c r="N44" i="5"/>
  <c r="N151" i="5"/>
  <c r="N149" i="5"/>
  <c r="N147" i="5"/>
  <c r="N145" i="5"/>
  <c r="N143" i="5"/>
  <c r="N141" i="5"/>
  <c r="N139" i="5"/>
  <c r="N137" i="5"/>
  <c r="N135" i="5"/>
  <c r="N133" i="5"/>
  <c r="N131" i="5"/>
  <c r="N129" i="5"/>
  <c r="O126" i="5"/>
  <c r="M124" i="5"/>
  <c r="K124" i="5" s="1"/>
  <c r="N121" i="5"/>
  <c r="O118" i="5"/>
  <c r="M113" i="5"/>
  <c r="K113" i="5" s="1"/>
  <c r="M105" i="5"/>
  <c r="K105" i="5" s="1"/>
  <c r="M97" i="5"/>
  <c r="K97" i="5" s="1"/>
  <c r="M89" i="5"/>
  <c r="K89" i="5" s="1"/>
  <c r="N74" i="5"/>
  <c r="N58" i="5"/>
  <c r="L42" i="5"/>
  <c r="O145" i="5"/>
  <c r="O133" i="5"/>
  <c r="O121" i="5"/>
  <c r="N60" i="5"/>
  <c r="M151" i="5"/>
  <c r="K151" i="5" s="1"/>
  <c r="M149" i="5"/>
  <c r="M147" i="5"/>
  <c r="K147" i="5" s="1"/>
  <c r="M145" i="5"/>
  <c r="M143" i="5"/>
  <c r="K143" i="5" s="1"/>
  <c r="M141" i="5"/>
  <c r="K141" i="5" s="1"/>
  <c r="M139" i="5"/>
  <c r="K139" i="5" s="1"/>
  <c r="M137" i="5"/>
  <c r="K137" i="5" s="1"/>
  <c r="M135" i="5"/>
  <c r="K135" i="5" s="1"/>
  <c r="M133" i="5"/>
  <c r="M131" i="5"/>
  <c r="K131" i="5" s="1"/>
  <c r="M129" i="5"/>
  <c r="N126" i="5"/>
  <c r="O123" i="5"/>
  <c r="M121" i="5"/>
  <c r="K121" i="5" s="1"/>
  <c r="N118" i="5"/>
  <c r="M112" i="5"/>
  <c r="K112" i="5" s="1"/>
  <c r="M104" i="5"/>
  <c r="K104" i="5" s="1"/>
  <c r="M96" i="5"/>
  <c r="K96" i="5" s="1"/>
  <c r="M88" i="5"/>
  <c r="K88" i="5" s="1"/>
  <c r="N72" i="5"/>
  <c r="N56" i="5"/>
  <c r="O38" i="5"/>
  <c r="O149" i="5"/>
  <c r="O139" i="5"/>
  <c r="O131" i="5"/>
  <c r="N124" i="5"/>
  <c r="N76" i="5"/>
  <c r="L151" i="5"/>
  <c r="L149" i="5"/>
  <c r="L147" i="5"/>
  <c r="L145" i="5"/>
  <c r="L143" i="5"/>
  <c r="L141" i="5"/>
  <c r="L139" i="5"/>
  <c r="L137" i="5"/>
  <c r="L135" i="5"/>
  <c r="L133" i="5"/>
  <c r="L131" i="5"/>
  <c r="O128" i="5"/>
  <c r="M126" i="5"/>
  <c r="K126" i="5" s="1"/>
  <c r="N123" i="5"/>
  <c r="O120" i="5"/>
  <c r="M118" i="5"/>
  <c r="K118" i="5" s="1"/>
  <c r="M111" i="5"/>
  <c r="K111" i="5" s="1"/>
  <c r="M103" i="5"/>
  <c r="K103" i="5" s="1"/>
  <c r="M95" i="5"/>
  <c r="K95" i="5" s="1"/>
  <c r="N86" i="5"/>
  <c r="N70" i="5"/>
  <c r="N54" i="5"/>
  <c r="O33" i="5"/>
  <c r="O151" i="5"/>
  <c r="O143" i="5"/>
  <c r="O137" i="5"/>
  <c r="O129" i="5"/>
  <c r="M98" i="5"/>
  <c r="K98" i="5" s="1"/>
  <c r="M90" i="5"/>
  <c r="K90" i="5" s="1"/>
  <c r="O150" i="5"/>
  <c r="O148" i="5"/>
  <c r="O146" i="5"/>
  <c r="O144" i="5"/>
  <c r="O142" i="5"/>
  <c r="O140" i="5"/>
  <c r="O138" i="5"/>
  <c r="O136" i="5"/>
  <c r="O134" i="5"/>
  <c r="O132" i="5"/>
  <c r="O130" i="5"/>
  <c r="N128" i="5"/>
  <c r="O125" i="5"/>
  <c r="M123" i="5"/>
  <c r="K123" i="5" s="1"/>
  <c r="N120" i="5"/>
  <c r="O117" i="5"/>
  <c r="M110" i="5"/>
  <c r="K110" i="5" s="1"/>
  <c r="M102" i="5"/>
  <c r="K102" i="5" s="1"/>
  <c r="M94" i="5"/>
  <c r="K94" i="5" s="1"/>
  <c r="N84" i="5"/>
  <c r="N68" i="5"/>
  <c r="N52" i="5"/>
  <c r="O25" i="5"/>
  <c r="M119" i="5"/>
  <c r="K119" i="5" s="1"/>
  <c r="N150" i="5"/>
  <c r="N148" i="5"/>
  <c r="N146" i="5"/>
  <c r="N144" i="5"/>
  <c r="N142" i="5"/>
  <c r="N140" i="5"/>
  <c r="N138" i="5"/>
  <c r="N136" i="5"/>
  <c r="N134" i="5"/>
  <c r="N132" i="5"/>
  <c r="N130" i="5"/>
  <c r="M128" i="5"/>
  <c r="K128" i="5" s="1"/>
  <c r="N125" i="5"/>
  <c r="O122" i="5"/>
  <c r="M120" i="5"/>
  <c r="K120" i="5" s="1"/>
  <c r="M117" i="5"/>
  <c r="K117" i="5" s="1"/>
  <c r="M109" i="5"/>
  <c r="K109" i="5" s="1"/>
  <c r="M101" i="5"/>
  <c r="K101" i="5" s="1"/>
  <c r="M93" i="5"/>
  <c r="K93" i="5" s="1"/>
  <c r="N82" i="5"/>
  <c r="N66" i="5"/>
  <c r="N50" i="5"/>
  <c r="O17" i="5"/>
  <c r="M114" i="5"/>
  <c r="K114" i="5" s="1"/>
  <c r="M150" i="5"/>
  <c r="K150" i="5" s="1"/>
  <c r="M148" i="5"/>
  <c r="K148" i="5" s="1"/>
  <c r="M146" i="5"/>
  <c r="K146" i="5" s="1"/>
  <c r="M144" i="5"/>
  <c r="K144" i="5" s="1"/>
  <c r="M142" i="5"/>
  <c r="K142" i="5" s="1"/>
  <c r="M140" i="5"/>
  <c r="K140" i="5" s="1"/>
  <c r="M138" i="5"/>
  <c r="K138" i="5" s="1"/>
  <c r="M136" i="5"/>
  <c r="K136" i="5" s="1"/>
  <c r="M134" i="5"/>
  <c r="K134" i="5" s="1"/>
  <c r="M132" i="5"/>
  <c r="K132" i="5" s="1"/>
  <c r="M130" i="5"/>
  <c r="K130" i="5" s="1"/>
  <c r="O127" i="5"/>
  <c r="M125" i="5"/>
  <c r="K125" i="5" s="1"/>
  <c r="N122" i="5"/>
  <c r="O119" i="5"/>
  <c r="M116" i="5"/>
  <c r="K116" i="5" s="1"/>
  <c r="M108" i="5"/>
  <c r="K108" i="5" s="1"/>
  <c r="M100" i="5"/>
  <c r="K100" i="5" s="1"/>
  <c r="M92" i="5"/>
  <c r="K92" i="5" s="1"/>
  <c r="N80" i="5"/>
  <c r="N64" i="5"/>
  <c r="N48" i="5"/>
  <c r="O9" i="5"/>
  <c r="O86" i="5"/>
  <c r="O84" i="5"/>
  <c r="O82" i="5"/>
  <c r="O80" i="5"/>
  <c r="O78" i="5"/>
  <c r="O76" i="5"/>
  <c r="O74" i="5"/>
  <c r="O72" i="5"/>
  <c r="O70" i="5"/>
  <c r="O68" i="5"/>
  <c r="O66" i="5"/>
  <c r="O64" i="5"/>
  <c r="O62" i="5"/>
  <c r="O60" i="5"/>
  <c r="O58" i="5"/>
  <c r="O56" i="5"/>
  <c r="O54" i="5"/>
  <c r="O52" i="5"/>
  <c r="O50" i="5"/>
  <c r="O48" i="5"/>
  <c r="O46" i="5"/>
  <c r="O44" i="5"/>
  <c r="M42" i="5"/>
  <c r="K42" i="5" s="1"/>
  <c r="L39" i="5"/>
  <c r="O34" i="5"/>
  <c r="O26" i="5"/>
  <c r="O18" i="5"/>
  <c r="O10" i="5"/>
  <c r="M86" i="5"/>
  <c r="K86" i="5" s="1"/>
  <c r="M84" i="5"/>
  <c r="K84" i="5" s="1"/>
  <c r="M82" i="5"/>
  <c r="K82" i="5" s="1"/>
  <c r="M80" i="5"/>
  <c r="K80" i="5" s="1"/>
  <c r="M78" i="5"/>
  <c r="K78" i="5" s="1"/>
  <c r="M76" i="5"/>
  <c r="K76" i="5" s="1"/>
  <c r="M74" i="5"/>
  <c r="K74" i="5" s="1"/>
  <c r="M72" i="5"/>
  <c r="K72" i="5" s="1"/>
  <c r="M70" i="5"/>
  <c r="K70" i="5" s="1"/>
  <c r="M68" i="5"/>
  <c r="K68" i="5" s="1"/>
  <c r="M66" i="5"/>
  <c r="K66" i="5" s="1"/>
  <c r="M64" i="5"/>
  <c r="K64" i="5" s="1"/>
  <c r="M62" i="5"/>
  <c r="K62" i="5" s="1"/>
  <c r="M60" i="5"/>
  <c r="K60" i="5" s="1"/>
  <c r="M58" i="5"/>
  <c r="K58" i="5" s="1"/>
  <c r="M56" i="5"/>
  <c r="K56" i="5" s="1"/>
  <c r="M54" i="5"/>
  <c r="K54" i="5" s="1"/>
  <c r="M52" i="5"/>
  <c r="K52" i="5" s="1"/>
  <c r="M50" i="5"/>
  <c r="K50" i="5" s="1"/>
  <c r="M48" i="5"/>
  <c r="K48" i="5" s="1"/>
  <c r="M46" i="5"/>
  <c r="K46" i="5" s="1"/>
  <c r="M44" i="5"/>
  <c r="K44" i="5" s="1"/>
  <c r="O41" i="5"/>
  <c r="L38" i="5"/>
  <c r="O32" i="5"/>
  <c r="O24" i="5"/>
  <c r="O16" i="5"/>
  <c r="O8" i="5"/>
  <c r="L129" i="5"/>
  <c r="L128" i="5"/>
  <c r="L127" i="5"/>
  <c r="L126" i="5"/>
  <c r="L125" i="5"/>
  <c r="L124" i="5"/>
  <c r="L123" i="5"/>
  <c r="L122" i="5"/>
  <c r="L121" i="5"/>
  <c r="L120" i="5"/>
  <c r="L119" i="5"/>
  <c r="L118" i="5"/>
  <c r="L117" i="5"/>
  <c r="L116" i="5"/>
  <c r="L115" i="5"/>
  <c r="L114" i="5"/>
  <c r="L113" i="5"/>
  <c r="L112" i="5"/>
  <c r="L111" i="5"/>
  <c r="L110" i="5"/>
  <c r="L109" i="5"/>
  <c r="L108" i="5"/>
  <c r="L107" i="5"/>
  <c r="L106" i="5"/>
  <c r="L105" i="5"/>
  <c r="L104" i="5"/>
  <c r="L103" i="5"/>
  <c r="L102" i="5"/>
  <c r="L101" i="5"/>
  <c r="L100" i="5"/>
  <c r="L99" i="5"/>
  <c r="L98" i="5"/>
  <c r="L97" i="5"/>
  <c r="L96" i="5"/>
  <c r="L95" i="5"/>
  <c r="L94" i="5"/>
  <c r="L93" i="5"/>
  <c r="L92" i="5"/>
  <c r="L91" i="5"/>
  <c r="L90" i="5"/>
  <c r="L89" i="5"/>
  <c r="L88" i="5"/>
  <c r="L86" i="5"/>
  <c r="L84" i="5"/>
  <c r="L82" i="5"/>
  <c r="L80" i="5"/>
  <c r="L78" i="5"/>
  <c r="L76" i="5"/>
  <c r="L74" i="5"/>
  <c r="L72" i="5"/>
  <c r="L70" i="5"/>
  <c r="L68" i="5"/>
  <c r="L66" i="5"/>
  <c r="L64" i="5"/>
  <c r="L62" i="5"/>
  <c r="L60" i="5"/>
  <c r="L58" i="5"/>
  <c r="L56" i="5"/>
  <c r="L54" i="5"/>
  <c r="L52" i="5"/>
  <c r="L50" i="5"/>
  <c r="L48" i="5"/>
  <c r="L46" i="5"/>
  <c r="L44" i="5"/>
  <c r="M41" i="5"/>
  <c r="K41" i="5" s="1"/>
  <c r="O37" i="5"/>
  <c r="O31" i="5"/>
  <c r="O23" i="5"/>
  <c r="O15" i="5"/>
  <c r="O7" i="5"/>
  <c r="O87" i="5"/>
  <c r="O85" i="5"/>
  <c r="O83" i="5"/>
  <c r="O81" i="5"/>
  <c r="O79" i="5"/>
  <c r="O77" i="5"/>
  <c r="O75" i="5"/>
  <c r="O73" i="5"/>
  <c r="O71" i="5"/>
  <c r="O69" i="5"/>
  <c r="O67" i="5"/>
  <c r="O65" i="5"/>
  <c r="O63" i="5"/>
  <c r="O61" i="5"/>
  <c r="O59" i="5"/>
  <c r="O57" i="5"/>
  <c r="O55" i="5"/>
  <c r="O53" i="5"/>
  <c r="O51" i="5"/>
  <c r="O49" i="5"/>
  <c r="O47" i="5"/>
  <c r="O45" i="5"/>
  <c r="O43" i="5"/>
  <c r="L41" i="5"/>
  <c r="L37" i="5"/>
  <c r="O30" i="5"/>
  <c r="O22" i="5"/>
  <c r="O14" i="5"/>
  <c r="O6" i="5"/>
  <c r="O116" i="5"/>
  <c r="O115" i="5"/>
  <c r="O114" i="5"/>
  <c r="O113" i="5"/>
  <c r="O112" i="5"/>
  <c r="O111" i="5"/>
  <c r="O110" i="5"/>
  <c r="O109" i="5"/>
  <c r="O108" i="5"/>
  <c r="O107" i="5"/>
  <c r="O106" i="5"/>
  <c r="O105" i="5"/>
  <c r="O104" i="5"/>
  <c r="O103" i="5"/>
  <c r="O102" i="5"/>
  <c r="O101" i="5"/>
  <c r="O100" i="5"/>
  <c r="O99" i="5"/>
  <c r="O98" i="5"/>
  <c r="O97" i="5"/>
  <c r="O96" i="5"/>
  <c r="O95" i="5"/>
  <c r="O94" i="5"/>
  <c r="O93" i="5"/>
  <c r="O92" i="5"/>
  <c r="O91" i="5"/>
  <c r="O90" i="5"/>
  <c r="O89" i="5"/>
  <c r="O88" i="5"/>
  <c r="N87" i="5"/>
  <c r="N85" i="5"/>
  <c r="N83" i="5"/>
  <c r="N81" i="5"/>
  <c r="N79" i="5"/>
  <c r="N77" i="5"/>
  <c r="N75" i="5"/>
  <c r="N73" i="5"/>
  <c r="N71" i="5"/>
  <c r="N69" i="5"/>
  <c r="N67" i="5"/>
  <c r="N65" i="5"/>
  <c r="N63" i="5"/>
  <c r="N61" i="5"/>
  <c r="N59" i="5"/>
  <c r="N57" i="5"/>
  <c r="N55" i="5"/>
  <c r="N53" i="5"/>
  <c r="N51" i="5"/>
  <c r="N49" i="5"/>
  <c r="N47" i="5"/>
  <c r="N45" i="5"/>
  <c r="M43" i="5"/>
  <c r="K43" i="5" s="1"/>
  <c r="O40" i="5"/>
  <c r="O36" i="5"/>
  <c r="O29" i="5"/>
  <c r="O21" i="5"/>
  <c r="O13" i="5"/>
  <c r="O5" i="5"/>
  <c r="M87" i="5"/>
  <c r="K87" i="5" s="1"/>
  <c r="M85" i="5"/>
  <c r="K85" i="5" s="1"/>
  <c r="M83" i="5"/>
  <c r="K83" i="5" s="1"/>
  <c r="M81" i="5"/>
  <c r="K81" i="5" s="1"/>
  <c r="M79" i="5"/>
  <c r="K79" i="5" s="1"/>
  <c r="M77" i="5"/>
  <c r="K77" i="5" s="1"/>
  <c r="M75" i="5"/>
  <c r="K75" i="5" s="1"/>
  <c r="M73" i="5"/>
  <c r="K73" i="5" s="1"/>
  <c r="M71" i="5"/>
  <c r="K71" i="5" s="1"/>
  <c r="M69" i="5"/>
  <c r="K69" i="5" s="1"/>
  <c r="M67" i="5"/>
  <c r="K67" i="5" s="1"/>
  <c r="M65" i="5"/>
  <c r="K65" i="5" s="1"/>
  <c r="M63" i="5"/>
  <c r="K63" i="5" s="1"/>
  <c r="M61" i="5"/>
  <c r="K61" i="5" s="1"/>
  <c r="M59" i="5"/>
  <c r="K59" i="5" s="1"/>
  <c r="M57" i="5"/>
  <c r="K57" i="5" s="1"/>
  <c r="M55" i="5"/>
  <c r="K55" i="5" s="1"/>
  <c r="M53" i="5"/>
  <c r="K53" i="5" s="1"/>
  <c r="M51" i="5"/>
  <c r="K51" i="5" s="1"/>
  <c r="M49" i="5"/>
  <c r="K49" i="5" s="1"/>
  <c r="M47" i="5"/>
  <c r="K47" i="5" s="1"/>
  <c r="M45" i="5"/>
  <c r="K45" i="5" s="1"/>
  <c r="L43" i="5"/>
  <c r="L40" i="5"/>
  <c r="L36" i="5"/>
  <c r="O28" i="5"/>
  <c r="O20" i="5"/>
  <c r="O12" i="5"/>
  <c r="O4" i="5"/>
  <c r="N117" i="5"/>
  <c r="N116" i="5"/>
  <c r="N115" i="5"/>
  <c r="N114" i="5"/>
  <c r="N113" i="5"/>
  <c r="N112" i="5"/>
  <c r="N111" i="5"/>
  <c r="N110" i="5"/>
  <c r="N109" i="5"/>
  <c r="N108" i="5"/>
  <c r="N107" i="5"/>
  <c r="N106" i="5"/>
  <c r="N105" i="5"/>
  <c r="N104" i="5"/>
  <c r="N103" i="5"/>
  <c r="N102" i="5"/>
  <c r="N101" i="5"/>
  <c r="N100" i="5"/>
  <c r="N99" i="5"/>
  <c r="N98" i="5"/>
  <c r="N97" i="5"/>
  <c r="N96" i="5"/>
  <c r="N95" i="5"/>
  <c r="N94" i="5"/>
  <c r="N93" i="5"/>
  <c r="N92" i="5"/>
  <c r="N91" i="5"/>
  <c r="N90" i="5"/>
  <c r="N89" i="5"/>
  <c r="N88" i="5"/>
  <c r="L87" i="5"/>
  <c r="L85" i="5"/>
  <c r="L83" i="5"/>
  <c r="L81" i="5"/>
  <c r="L79" i="5"/>
  <c r="L77" i="5"/>
  <c r="L75" i="5"/>
  <c r="L73" i="5"/>
  <c r="L71" i="5"/>
  <c r="L69" i="5"/>
  <c r="L67" i="5"/>
  <c r="L65" i="5"/>
  <c r="L63" i="5"/>
  <c r="L61" i="5"/>
  <c r="L59" i="5"/>
  <c r="L57" i="5"/>
  <c r="L55" i="5"/>
  <c r="L53" i="5"/>
  <c r="L51" i="5"/>
  <c r="L49" i="5"/>
  <c r="L47" i="5"/>
  <c r="L45" i="5"/>
  <c r="O42" i="5"/>
  <c r="O39" i="5"/>
  <c r="O35" i="5"/>
  <c r="O27" i="5"/>
  <c r="O19" i="5"/>
  <c r="O11" i="5"/>
  <c r="O3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N30" i="5"/>
  <c r="N29" i="5"/>
  <c r="N28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N10" i="5"/>
  <c r="N9" i="5"/>
  <c r="N8" i="5"/>
  <c r="N7" i="5"/>
  <c r="N6" i="5"/>
  <c r="N5" i="5"/>
  <c r="N4" i="5"/>
  <c r="N3" i="5"/>
  <c r="M40" i="5"/>
  <c r="K40" i="5" s="1"/>
  <c r="M39" i="5"/>
  <c r="K39" i="5" s="1"/>
  <c r="M38" i="5"/>
  <c r="K38" i="5" s="1"/>
  <c r="M37" i="5"/>
  <c r="K37" i="5" s="1"/>
  <c r="M36" i="5"/>
  <c r="K36" i="5" s="1"/>
  <c r="M35" i="5"/>
  <c r="K35" i="5" s="1"/>
  <c r="M34" i="5"/>
  <c r="K34" i="5" s="1"/>
  <c r="M33" i="5"/>
  <c r="K33" i="5" s="1"/>
  <c r="M32" i="5"/>
  <c r="K32" i="5" s="1"/>
  <c r="M31" i="5"/>
  <c r="K31" i="5" s="1"/>
  <c r="M30" i="5"/>
  <c r="K30" i="5" s="1"/>
  <c r="M29" i="5"/>
  <c r="K29" i="5" s="1"/>
  <c r="M28" i="5"/>
  <c r="K28" i="5" s="1"/>
  <c r="M27" i="5"/>
  <c r="K27" i="5" s="1"/>
  <c r="M26" i="5"/>
  <c r="K26" i="5" s="1"/>
  <c r="M25" i="5"/>
  <c r="K25" i="5" s="1"/>
  <c r="M24" i="5"/>
  <c r="K24" i="5" s="1"/>
  <c r="M23" i="5"/>
  <c r="K23" i="5" s="1"/>
  <c r="M22" i="5"/>
  <c r="K22" i="5" s="1"/>
  <c r="M21" i="5"/>
  <c r="K21" i="5" s="1"/>
  <c r="M20" i="5"/>
  <c r="K20" i="5" s="1"/>
  <c r="M19" i="5"/>
  <c r="K19" i="5" s="1"/>
  <c r="M18" i="5"/>
  <c r="K18" i="5" s="1"/>
  <c r="M17" i="5"/>
  <c r="K17" i="5" s="1"/>
  <c r="M16" i="5"/>
  <c r="K16" i="5" s="1"/>
  <c r="M15" i="5"/>
  <c r="K15" i="5" s="1"/>
  <c r="M14" i="5"/>
  <c r="K14" i="5" s="1"/>
  <c r="M13" i="5"/>
  <c r="K13" i="5" s="1"/>
  <c r="M12" i="5"/>
  <c r="K12" i="5" s="1"/>
  <c r="M11" i="5"/>
  <c r="K11" i="5" s="1"/>
  <c r="M10" i="5"/>
  <c r="K10" i="5" s="1"/>
  <c r="M9" i="5"/>
  <c r="K9" i="5" s="1"/>
  <c r="M8" i="5"/>
  <c r="K8" i="5" s="1"/>
  <c r="M7" i="5"/>
  <c r="K7" i="5" s="1"/>
  <c r="M6" i="5"/>
  <c r="K6" i="5" s="1"/>
  <c r="M5" i="5"/>
  <c r="K5" i="5" s="1"/>
  <c r="M4" i="5"/>
  <c r="K4" i="5" s="1"/>
  <c r="M3" i="5"/>
  <c r="K3" i="5" s="1"/>
  <c r="L35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L5" i="5"/>
  <c r="L4" i="5"/>
  <c r="L3" i="5"/>
  <c r="O2" i="5"/>
  <c r="N2" i="5"/>
  <c r="M2" i="5"/>
  <c r="K2" i="5"/>
  <c r="L2" i="5"/>
  <c r="G3" i="5" a="1"/>
  <c r="G4" i="5" a="1"/>
  <c r="G5" i="5" a="1"/>
  <c r="G6" i="5" a="1"/>
  <c r="G7" i="5" a="1"/>
  <c r="G8" i="5" a="1"/>
  <c r="G9" i="5" a="1"/>
  <c r="G10" i="5" a="1"/>
  <c r="G11" i="5" a="1"/>
  <c r="G12" i="5" a="1"/>
  <c r="G13" i="5" a="1"/>
  <c r="G14" i="5" a="1"/>
  <c r="G15" i="5" a="1"/>
  <c r="G16" i="5" a="1"/>
  <c r="G17" i="5" a="1"/>
  <c r="G18" i="5" a="1"/>
  <c r="G19" i="5" a="1"/>
  <c r="G20" i="5" a="1"/>
  <c r="G21" i="5" a="1"/>
  <c r="G22" i="5" a="1"/>
  <c r="G23" i="5" a="1"/>
  <c r="G24" i="5" a="1"/>
  <c r="G25" i="5" a="1"/>
  <c r="G26" i="5" a="1"/>
  <c r="G27" i="5" a="1"/>
  <c r="G28" i="5" a="1"/>
  <c r="G29" i="5" a="1"/>
  <c r="G30" i="5" a="1"/>
  <c r="G31" i="5" a="1"/>
  <c r="G32" i="5" a="1"/>
  <c r="G33" i="5" a="1"/>
  <c r="G34" i="5" a="1"/>
  <c r="G35" i="5" a="1"/>
  <c r="G36" i="5" a="1"/>
  <c r="G37" i="5" a="1"/>
  <c r="G38" i="5" a="1"/>
  <c r="G39" i="5" a="1"/>
  <c r="G40" i="5" a="1"/>
  <c r="G41" i="5" a="1"/>
  <c r="G42" i="5" a="1"/>
  <c r="G43" i="5" a="1"/>
  <c r="G44" i="5" a="1"/>
  <c r="G45" i="5" a="1"/>
  <c r="G52" i="5" a="1"/>
  <c r="G60" i="5" a="1"/>
  <c r="G68" i="5" a="1"/>
  <c r="G76" i="5" a="1"/>
  <c r="G84" i="5" a="1"/>
  <c r="G49" i="5" a="1"/>
  <c r="G57" i="5" a="1"/>
  <c r="G65" i="5" a="1"/>
  <c r="G73" i="5" a="1"/>
  <c r="G81" i="5" a="1"/>
  <c r="G46" i="5" a="1"/>
  <c r="G54" i="5" a="1"/>
  <c r="G62" i="5" a="1"/>
  <c r="G70" i="5" a="1"/>
  <c r="G78" i="5" a="1"/>
  <c r="G86" i="5" a="1"/>
  <c r="G51" i="5" a="1"/>
  <c r="G59" i="5" a="1"/>
  <c r="G67" i="5" a="1"/>
  <c r="G75" i="5" a="1"/>
  <c r="G83" i="5" a="1"/>
  <c r="G48" i="5" a="1"/>
  <c r="G56" i="5" a="1"/>
  <c r="G64" i="5" a="1"/>
  <c r="G72" i="5" a="1"/>
  <c r="G80" i="5" a="1"/>
  <c r="G88" i="5" a="1"/>
  <c r="G89" i="5" a="1"/>
  <c r="G90" i="5" a="1"/>
  <c r="G91" i="5" a="1"/>
  <c r="G92" i="5" a="1"/>
  <c r="G93" i="5" a="1"/>
  <c r="G94" i="5" a="1"/>
  <c r="G95" i="5" a="1"/>
  <c r="G96" i="5" a="1"/>
  <c r="G97" i="5" a="1"/>
  <c r="G98" i="5" a="1"/>
  <c r="G99" i="5" a="1"/>
  <c r="G100" i="5" a="1"/>
  <c r="G101" i="5" a="1"/>
  <c r="G53" i="5" a="1"/>
  <c r="G61" i="5" a="1"/>
  <c r="G69" i="5" a="1"/>
  <c r="G77" i="5" a="1"/>
  <c r="G85" i="5" a="1"/>
  <c r="G66" i="5" a="1"/>
  <c r="G107" i="5" a="1"/>
  <c r="G116" i="5" a="1"/>
  <c r="G120" i="5" a="1"/>
  <c r="G124" i="5" a="1"/>
  <c r="G128" i="5" a="1"/>
  <c r="G132" i="5" a="1"/>
  <c r="G136" i="5" a="1"/>
  <c r="G140" i="5" a="1"/>
  <c r="G74" i="5" a="1"/>
  <c r="G115" i="5" a="1"/>
  <c r="G119" i="5" a="1"/>
  <c r="G130" i="5" a="1"/>
  <c r="G142" i="5" a="1"/>
  <c r="G146" i="5" a="1"/>
  <c r="G149" i="5" a="1"/>
  <c r="G47" i="5" a="1"/>
  <c r="G79" i="5" a="1"/>
  <c r="G104" i="5" a="1"/>
  <c r="G112" i="5" a="1"/>
  <c r="G109" i="5" a="1"/>
  <c r="G123" i="5" a="1"/>
  <c r="G131" i="5" a="1"/>
  <c r="G139" i="5" a="1"/>
  <c r="G122" i="5" a="1"/>
  <c r="G138" i="5" a="1"/>
  <c r="G144" i="5" a="1"/>
  <c r="G148" i="5" a="1"/>
  <c r="G127" i="5" a="1"/>
  <c r="G135" i="5" a="1"/>
  <c r="G126" i="5" a="1"/>
  <c r="G134" i="5" a="1"/>
  <c r="G143" i="5" a="1"/>
  <c r="G147" i="5" a="1"/>
  <c r="G151" i="5" a="1"/>
  <c r="G102" i="5" a="1"/>
  <c r="G55" i="5" a="1"/>
  <c r="G87" i="5" a="1"/>
  <c r="G106" i="5" a="1"/>
  <c r="G50" i="5" a="1"/>
  <c r="G82" i="5" a="1"/>
  <c r="G103" i="5" a="1"/>
  <c r="G111" i="5" a="1"/>
  <c r="G114" i="5" a="1"/>
  <c r="G118" i="5" a="1"/>
  <c r="G145" i="5" a="1"/>
  <c r="G150" i="5" a="1"/>
  <c r="G71" i="5" a="1"/>
  <c r="G63" i="5" a="1"/>
  <c r="G108" i="5" a="1"/>
  <c r="G58" i="5" a="1"/>
  <c r="G105" i="5" a="1"/>
  <c r="G113" i="5" a="1"/>
  <c r="G117" i="5" a="1"/>
  <c r="G121" i="5" a="1"/>
  <c r="G125" i="5" a="1"/>
  <c r="G129" i="5" a="1"/>
  <c r="G133" i="5" a="1"/>
  <c r="G137" i="5" a="1"/>
  <c r="G141" i="5" a="1"/>
  <c r="G110" i="5" a="1"/>
  <c r="J2" i="5" a="1"/>
  <c r="H2" i="5" a="1"/>
  <c r="I2" i="5" a="1"/>
  <c r="G2" i="5" a="1"/>
  <c r="K129" i="5" l="1"/>
  <c r="K145" i="5"/>
  <c r="K133" i="5"/>
  <c r="K149" i="5"/>
  <c r="G110" i="5"/>
  <c r="G141" i="5"/>
  <c r="G137" i="5"/>
  <c r="G133" i="5"/>
  <c r="G129" i="5"/>
  <c r="G125" i="5"/>
  <c r="G121" i="5"/>
  <c r="G117" i="5"/>
  <c r="G113" i="5"/>
  <c r="G105" i="5"/>
  <c r="G58" i="5"/>
  <c r="G108" i="5"/>
  <c r="G63" i="5"/>
  <c r="G71" i="5"/>
  <c r="G150" i="5"/>
  <c r="G145" i="5"/>
  <c r="G118" i="5"/>
  <c r="G114" i="5"/>
  <c r="G111" i="5"/>
  <c r="G103" i="5"/>
  <c r="G82" i="5"/>
  <c r="G50" i="5"/>
  <c r="G106" i="5"/>
  <c r="G87" i="5"/>
  <c r="G55" i="5"/>
  <c r="G102" i="5"/>
  <c r="G151" i="5"/>
  <c r="G147" i="5"/>
  <c r="G143" i="5"/>
  <c r="G134" i="5"/>
  <c r="G126" i="5"/>
  <c r="G135" i="5"/>
  <c r="G127" i="5"/>
  <c r="G148" i="5"/>
  <c r="G144" i="5"/>
  <c r="G138" i="5"/>
  <c r="G122" i="5"/>
  <c r="G139" i="5"/>
  <c r="G131" i="5"/>
  <c r="G123" i="5"/>
  <c r="G109" i="5"/>
  <c r="G112" i="5"/>
  <c r="G104" i="5"/>
  <c r="G79" i="5"/>
  <c r="G47" i="5"/>
  <c r="G149" i="5"/>
  <c r="G146" i="5"/>
  <c r="G142" i="5"/>
  <c r="G130" i="5"/>
  <c r="G119" i="5"/>
  <c r="G115" i="5"/>
  <c r="G74" i="5"/>
  <c r="G140" i="5"/>
  <c r="G136" i="5"/>
  <c r="G132" i="5"/>
  <c r="G128" i="5"/>
  <c r="G124" i="5"/>
  <c r="G120" i="5"/>
  <c r="G116" i="5"/>
  <c r="G107" i="5"/>
  <c r="G66" i="5"/>
  <c r="G85" i="5"/>
  <c r="G77" i="5"/>
  <c r="G69" i="5"/>
  <c r="G61" i="5"/>
  <c r="G53" i="5"/>
  <c r="G101" i="5"/>
  <c r="G100" i="5"/>
  <c r="G99" i="5"/>
  <c r="G98" i="5"/>
  <c r="G97" i="5"/>
  <c r="G96" i="5"/>
  <c r="G95" i="5"/>
  <c r="G94" i="5"/>
  <c r="G93" i="5"/>
  <c r="G92" i="5"/>
  <c r="G91" i="5"/>
  <c r="G90" i="5"/>
  <c r="G89" i="5"/>
  <c r="G88" i="5"/>
  <c r="G80" i="5"/>
  <c r="G72" i="5"/>
  <c r="G64" i="5"/>
  <c r="G56" i="5"/>
  <c r="G48" i="5"/>
  <c r="G83" i="5"/>
  <c r="G75" i="5"/>
  <c r="G67" i="5"/>
  <c r="G59" i="5"/>
  <c r="G51" i="5"/>
  <c r="G86" i="5"/>
  <c r="G78" i="5"/>
  <c r="G70" i="5"/>
  <c r="G62" i="5"/>
  <c r="G54" i="5"/>
  <c r="G46" i="5"/>
  <c r="G81" i="5"/>
  <c r="G73" i="5"/>
  <c r="G65" i="5"/>
  <c r="G57" i="5"/>
  <c r="G49" i="5"/>
  <c r="G84" i="5"/>
  <c r="G76" i="5"/>
  <c r="G68" i="5"/>
  <c r="G60" i="5"/>
  <c r="G52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4" i="5"/>
  <c r="G3" i="5"/>
  <c r="J2" i="5"/>
  <c r="H2" i="5"/>
  <c r="I2" i="5"/>
  <c r="G2" i="5"/>
  <c r="J110" i="5" a="1"/>
  <c r="I110" i="5" a="1"/>
  <c r="H110" i="5" a="1"/>
  <c r="H113" i="5" a="1"/>
  <c r="J113" i="5" a="1"/>
  <c r="I113" i="5" a="1"/>
  <c r="H118" i="5" a="1"/>
  <c r="I118" i="5" a="1"/>
  <c r="J118" i="5" a="1"/>
  <c r="J55" i="5" a="1"/>
  <c r="I55" i="5" a="1"/>
  <c r="H55" i="5" a="1"/>
  <c r="J127" i="5" a="1"/>
  <c r="I127" i="5" a="1"/>
  <c r="H127" i="5" a="1"/>
  <c r="J109" i="5" a="1"/>
  <c r="I109" i="5" a="1"/>
  <c r="H109" i="5" a="1"/>
  <c r="H130" i="5" a="1"/>
  <c r="I130" i="5" a="1"/>
  <c r="J130" i="5" a="1"/>
  <c r="J124" i="5" a="1"/>
  <c r="I124" i="5" a="1"/>
  <c r="H124" i="5" a="1"/>
  <c r="I61" i="5" a="1"/>
  <c r="H61" i="5" a="1"/>
  <c r="J61" i="5" a="1"/>
  <c r="H95" i="5" a="1"/>
  <c r="J95" i="5" a="1"/>
  <c r="I95" i="5" a="1"/>
  <c r="J80" i="5" a="1"/>
  <c r="I80" i="5" a="1"/>
  <c r="H80" i="5" a="1"/>
  <c r="J59" i="5" a="1"/>
  <c r="I59" i="5" a="1"/>
  <c r="H59" i="5" a="1"/>
  <c r="J81" i="5" a="1"/>
  <c r="I81" i="5" a="1"/>
  <c r="H81" i="5" a="1"/>
  <c r="J60" i="5" a="1"/>
  <c r="I60" i="5" a="1"/>
  <c r="H60" i="5" a="1"/>
  <c r="J39" i="5" a="1"/>
  <c r="H39" i="5" a="1"/>
  <c r="I39" i="5" a="1"/>
  <c r="J31" i="5" a="1"/>
  <c r="I31" i="5" a="1"/>
  <c r="H31" i="5" a="1"/>
  <c r="J23" i="5" a="1"/>
  <c r="I23" i="5" a="1"/>
  <c r="H23" i="5" a="1"/>
  <c r="J15" i="5" a="1"/>
  <c r="I15" i="5" a="1"/>
  <c r="H15" i="5" a="1"/>
  <c r="J7" i="5" a="1"/>
  <c r="I7" i="5" a="1"/>
  <c r="H7" i="5" a="1"/>
  <c r="J131" i="5" a="1"/>
  <c r="I131" i="5" a="1"/>
  <c r="H131" i="5" a="1"/>
  <c r="H77" i="5" a="1"/>
  <c r="I77" i="5" a="1"/>
  <c r="J77" i="5" a="1"/>
  <c r="J54" i="5" a="1"/>
  <c r="I54" i="5" a="1"/>
  <c r="H54" i="5" a="1"/>
  <c r="J17" i="5" a="1"/>
  <c r="I17" i="5" a="1"/>
  <c r="H17" i="5" a="1"/>
  <c r="J40" i="5" a="1"/>
  <c r="H40" i="5" a="1"/>
  <c r="I40" i="5" a="1"/>
  <c r="J141" i="5" a="1"/>
  <c r="I141" i="5" a="1"/>
  <c r="H141" i="5" a="1"/>
  <c r="J105" i="5" a="1"/>
  <c r="I105" i="5" a="1"/>
  <c r="H105" i="5" a="1"/>
  <c r="H114" i="5" a="1"/>
  <c r="I114" i="5" a="1"/>
  <c r="J114" i="5" a="1"/>
  <c r="J102" i="5" a="1"/>
  <c r="I102" i="5" a="1"/>
  <c r="H102" i="5" a="1"/>
  <c r="H148" i="5" a="1"/>
  <c r="J148" i="5" a="1"/>
  <c r="I148" i="5" a="1"/>
  <c r="J112" i="5" a="1"/>
  <c r="I112" i="5" a="1"/>
  <c r="H112" i="5" a="1"/>
  <c r="J119" i="5" a="1"/>
  <c r="I119" i="5" a="1"/>
  <c r="H119" i="5" a="1"/>
  <c r="I120" i="5" a="1"/>
  <c r="H120" i="5" a="1"/>
  <c r="J120" i="5" a="1"/>
  <c r="I53" i="5" a="1"/>
  <c r="H53" i="5" a="1"/>
  <c r="J53" i="5" a="1"/>
  <c r="H94" i="5" a="1"/>
  <c r="J94" i="5" a="1"/>
  <c r="I94" i="5" a="1"/>
  <c r="J72" i="5" a="1"/>
  <c r="I72" i="5" a="1"/>
  <c r="H72" i="5" a="1"/>
  <c r="J51" i="5" a="1"/>
  <c r="I51" i="5" a="1"/>
  <c r="H51" i="5" a="1"/>
  <c r="J73" i="5" a="1"/>
  <c r="I73" i="5" a="1"/>
  <c r="H73" i="5" a="1"/>
  <c r="J52" i="5" a="1"/>
  <c r="I52" i="5" a="1"/>
  <c r="H52" i="5" a="1"/>
  <c r="J38" i="5" a="1"/>
  <c r="H38" i="5" a="1"/>
  <c r="I38" i="5" a="1"/>
  <c r="J30" i="5" a="1"/>
  <c r="I30" i="5" a="1"/>
  <c r="H30" i="5" a="1"/>
  <c r="J22" i="5" a="1"/>
  <c r="I22" i="5" a="1"/>
  <c r="H22" i="5" a="1"/>
  <c r="J14" i="5" a="1"/>
  <c r="I14" i="5" a="1"/>
  <c r="H14" i="5" a="1"/>
  <c r="J6" i="5" a="1"/>
  <c r="I6" i="5" a="1"/>
  <c r="H6" i="5" a="1"/>
  <c r="H146" i="5" a="1"/>
  <c r="J146" i="5" a="1"/>
  <c r="I146" i="5" a="1"/>
  <c r="H41" i="5" a="1"/>
  <c r="J41" i="5" a="1"/>
  <c r="I41" i="5" a="1"/>
  <c r="H137" i="5" a="1"/>
  <c r="I137" i="5" a="1"/>
  <c r="J137" i="5" a="1"/>
  <c r="H58" i="5" a="1"/>
  <c r="J58" i="5" a="1"/>
  <c r="I58" i="5" a="1"/>
  <c r="H111" i="5" a="1"/>
  <c r="I111" i="5" a="1"/>
  <c r="J111" i="5" a="1"/>
  <c r="J151" i="5" a="1"/>
  <c r="H151" i="5" a="1"/>
  <c r="I151" i="5" a="1"/>
  <c r="H144" i="5" a="1"/>
  <c r="J144" i="5" a="1"/>
  <c r="I144" i="5" a="1"/>
  <c r="J104" i="5" a="1"/>
  <c r="I104" i="5" a="1"/>
  <c r="H104" i="5" a="1"/>
  <c r="J115" i="5" a="1"/>
  <c r="I115" i="5" a="1"/>
  <c r="H115" i="5" a="1"/>
  <c r="J116" i="5" a="1"/>
  <c r="I116" i="5" a="1"/>
  <c r="H116" i="5" a="1"/>
  <c r="J101" i="5" a="1"/>
  <c r="I101" i="5" a="1"/>
  <c r="H101" i="5" a="1"/>
  <c r="H93" i="5" a="1"/>
  <c r="J93" i="5" a="1"/>
  <c r="I93" i="5" a="1"/>
  <c r="I64" i="5" a="1"/>
  <c r="J64" i="5" a="1"/>
  <c r="H64" i="5" a="1"/>
  <c r="J86" i="5" a="1"/>
  <c r="I86" i="5" a="1"/>
  <c r="H86" i="5" a="1"/>
  <c r="J65" i="5" a="1"/>
  <c r="I65" i="5" a="1"/>
  <c r="H65" i="5" a="1"/>
  <c r="I45" i="5" a="1"/>
  <c r="H45" i="5" a="1"/>
  <c r="J45" i="5" a="1"/>
  <c r="J37" i="5" a="1"/>
  <c r="I37" i="5" a="1"/>
  <c r="H37" i="5" a="1"/>
  <c r="J29" i="5" a="1"/>
  <c r="I29" i="5" a="1"/>
  <c r="H29" i="5" a="1"/>
  <c r="J21" i="5" a="1"/>
  <c r="I21" i="5" a="1"/>
  <c r="H21" i="5" a="1"/>
  <c r="J13" i="5" a="1"/>
  <c r="I13" i="5" a="1"/>
  <c r="H13" i="5" a="1"/>
  <c r="J5" i="5" a="1"/>
  <c r="I5" i="5" a="1"/>
  <c r="H5" i="5" a="1"/>
  <c r="H126" i="5" a="1"/>
  <c r="I126" i="5" a="1"/>
  <c r="J126" i="5" a="1"/>
  <c r="J76" i="5" a="1"/>
  <c r="I76" i="5" a="1"/>
  <c r="H76" i="5" a="1"/>
  <c r="J8" i="5" a="1"/>
  <c r="I8" i="5" a="1"/>
  <c r="H8" i="5" a="1"/>
  <c r="H133" i="5" a="1"/>
  <c r="I133" i="5" a="1"/>
  <c r="J133" i="5" a="1"/>
  <c r="H108" i="5" a="1"/>
  <c r="J108" i="5" a="1"/>
  <c r="I108" i="5" a="1"/>
  <c r="H103" i="5" a="1"/>
  <c r="I103" i="5" a="1"/>
  <c r="J103" i="5" a="1"/>
  <c r="H147" i="5" a="1"/>
  <c r="J147" i="5" a="1"/>
  <c r="I147" i="5" a="1"/>
  <c r="H138" i="5" a="1"/>
  <c r="I138" i="5" a="1"/>
  <c r="J138" i="5" a="1"/>
  <c r="J79" i="5" a="1"/>
  <c r="I79" i="5" a="1"/>
  <c r="H79" i="5" a="1"/>
  <c r="H74" i="5" a="1"/>
  <c r="J74" i="5" a="1"/>
  <c r="I74" i="5" a="1"/>
  <c r="J107" i="5" a="1"/>
  <c r="I107" i="5" a="1"/>
  <c r="H107" i="5" a="1"/>
  <c r="J100" i="5" a="1"/>
  <c r="H100" i="5" a="1"/>
  <c r="I100" i="5" a="1"/>
  <c r="H92" i="5" a="1"/>
  <c r="J92" i="5" a="1"/>
  <c r="I92" i="5" a="1"/>
  <c r="J56" i="5" a="1"/>
  <c r="I56" i="5" a="1"/>
  <c r="H56" i="5" a="1"/>
  <c r="J78" i="5" a="1"/>
  <c r="I78" i="5" a="1"/>
  <c r="H78" i="5" a="1"/>
  <c r="J57" i="5" a="1"/>
  <c r="I57" i="5" a="1"/>
  <c r="H57" i="5" a="1"/>
  <c r="J44" i="5" a="1"/>
  <c r="I44" i="5" a="1"/>
  <c r="H44" i="5" a="1"/>
  <c r="J36" i="5" a="1"/>
  <c r="I36" i="5" a="1"/>
  <c r="H36" i="5" a="1"/>
  <c r="J28" i="5" a="1"/>
  <c r="I28" i="5" a="1"/>
  <c r="H28" i="5" a="1"/>
  <c r="J20" i="5" a="1"/>
  <c r="I20" i="5" a="1"/>
  <c r="H20" i="5" a="1"/>
  <c r="J12" i="5" a="1"/>
  <c r="I12" i="5" a="1"/>
  <c r="H12" i="5" a="1"/>
  <c r="J4" i="5" a="1"/>
  <c r="I4" i="5" a="1"/>
  <c r="H4" i="5" a="1"/>
  <c r="I106" i="5" a="1"/>
  <c r="H106" i="5" a="1"/>
  <c r="J106" i="5" a="1"/>
  <c r="J132" i="5" a="1"/>
  <c r="I132" i="5" a="1"/>
  <c r="H132" i="5" a="1"/>
  <c r="J75" i="5" a="1"/>
  <c r="I75" i="5" a="1"/>
  <c r="H75" i="5" a="1"/>
  <c r="J9" i="5" a="1"/>
  <c r="I9" i="5" a="1"/>
  <c r="H9" i="5" a="1"/>
  <c r="J16" i="5" a="1"/>
  <c r="I16" i="5" a="1"/>
  <c r="H16" i="5" a="1"/>
  <c r="H129" i="5" a="1"/>
  <c r="I129" i="5" a="1"/>
  <c r="J129" i="5" a="1"/>
  <c r="J63" i="5" a="1"/>
  <c r="I63" i="5" a="1"/>
  <c r="H63" i="5" a="1"/>
  <c r="H82" i="5" a="1"/>
  <c r="J82" i="5" a="1"/>
  <c r="I82" i="5" a="1"/>
  <c r="H143" i="5" a="1"/>
  <c r="J143" i="5" a="1"/>
  <c r="I143" i="5" a="1"/>
  <c r="I122" i="5" a="1"/>
  <c r="H122" i="5" a="1"/>
  <c r="J122" i="5" a="1"/>
  <c r="J47" i="5" a="1"/>
  <c r="I47" i="5" a="1"/>
  <c r="H47" i="5" a="1"/>
  <c r="J140" i="5" a="1"/>
  <c r="I140" i="5" a="1"/>
  <c r="H140" i="5" a="1"/>
  <c r="H66" i="5" a="1"/>
  <c r="J66" i="5" a="1"/>
  <c r="I66" i="5" a="1"/>
  <c r="H99" i="5" a="1"/>
  <c r="J99" i="5" a="1"/>
  <c r="I99" i="5" a="1"/>
  <c r="H91" i="5" a="1"/>
  <c r="J91" i="5" a="1"/>
  <c r="I91" i="5" a="1"/>
  <c r="J48" i="5" a="1"/>
  <c r="I48" i="5" a="1"/>
  <c r="H48" i="5" a="1"/>
  <c r="J70" i="5" a="1"/>
  <c r="I70" i="5" a="1"/>
  <c r="H70" i="5" a="1"/>
  <c r="J49" i="5" a="1"/>
  <c r="I49" i="5" a="1"/>
  <c r="H49" i="5" a="1"/>
  <c r="I43" i="5" a="1"/>
  <c r="H43" i="5" a="1"/>
  <c r="J43" i="5" a="1"/>
  <c r="J35" i="5" a="1"/>
  <c r="I35" i="5" a="1"/>
  <c r="H35" i="5" a="1"/>
  <c r="J27" i="5" a="1"/>
  <c r="I27" i="5" a="1"/>
  <c r="H27" i="5" a="1"/>
  <c r="J19" i="5" a="1"/>
  <c r="I19" i="5" a="1"/>
  <c r="H19" i="5" a="1"/>
  <c r="J11" i="5" a="1"/>
  <c r="I11" i="5" a="1"/>
  <c r="H11" i="5" a="1"/>
  <c r="J3" i="5" a="1"/>
  <c r="I3" i="5" a="1"/>
  <c r="H3" i="5" a="1"/>
  <c r="H150" i="5" a="1"/>
  <c r="J150" i="5" a="1"/>
  <c r="I150" i="5" a="1"/>
  <c r="H89" i="5" a="1"/>
  <c r="J89" i="5" a="1"/>
  <c r="I89" i="5" a="1"/>
  <c r="J33" i="5" a="1"/>
  <c r="I33" i="5" a="1"/>
  <c r="H33" i="5" a="1"/>
  <c r="J32" i="5" a="1"/>
  <c r="I32" i="5" a="1"/>
  <c r="H32" i="5" a="1"/>
  <c r="I125" i="5" a="1"/>
  <c r="H125" i="5" a="1"/>
  <c r="J125" i="5" a="1"/>
  <c r="J71" i="5" a="1"/>
  <c r="I71" i="5" a="1"/>
  <c r="H71" i="5" a="1"/>
  <c r="H50" i="5" a="1"/>
  <c r="J50" i="5" a="1"/>
  <c r="I50" i="5" a="1"/>
  <c r="I134" i="5" a="1"/>
  <c r="H134" i="5" a="1"/>
  <c r="J134" i="5" a="1"/>
  <c r="J139" i="5" a="1"/>
  <c r="I139" i="5" a="1"/>
  <c r="H139" i="5" a="1"/>
  <c r="H149" i="5" a="1"/>
  <c r="J149" i="5" a="1"/>
  <c r="I149" i="5" a="1"/>
  <c r="I136" i="5" a="1"/>
  <c r="H136" i="5" a="1"/>
  <c r="J136" i="5" a="1"/>
  <c r="I85" i="5" a="1"/>
  <c r="H85" i="5" a="1"/>
  <c r="J85" i="5" a="1"/>
  <c r="J98" i="5" a="1"/>
  <c r="H98" i="5" a="1"/>
  <c r="I98" i="5" a="1"/>
  <c r="H90" i="5" a="1"/>
  <c r="J90" i="5" a="1"/>
  <c r="I90" i="5" a="1"/>
  <c r="J83" i="5" a="1"/>
  <c r="I83" i="5" a="1"/>
  <c r="H83" i="5" a="1"/>
  <c r="J62" i="5" a="1"/>
  <c r="I62" i="5" a="1"/>
  <c r="H62" i="5" a="1"/>
  <c r="J84" i="5" a="1"/>
  <c r="I84" i="5" a="1"/>
  <c r="H84" i="5" a="1"/>
  <c r="J42" i="5" a="1"/>
  <c r="I42" i="5" a="1"/>
  <c r="H42" i="5" a="1"/>
  <c r="J34" i="5" a="1"/>
  <c r="I34" i="5" a="1"/>
  <c r="H34" i="5" a="1"/>
  <c r="J26" i="5" a="1"/>
  <c r="I26" i="5" a="1"/>
  <c r="H26" i="5" a="1"/>
  <c r="J18" i="5" a="1"/>
  <c r="I18" i="5" a="1"/>
  <c r="H18" i="5" a="1"/>
  <c r="J10" i="5" a="1"/>
  <c r="I10" i="5" a="1"/>
  <c r="H10" i="5" a="1"/>
  <c r="H121" i="5" a="1"/>
  <c r="J121" i="5" a="1"/>
  <c r="I121" i="5" a="1"/>
  <c r="H97" i="5" a="1"/>
  <c r="J97" i="5" a="1"/>
  <c r="I97" i="5" a="1"/>
  <c r="J25" i="5" a="1"/>
  <c r="I25" i="5" a="1"/>
  <c r="H25" i="5" a="1"/>
  <c r="J24" i="5" a="1"/>
  <c r="I24" i="5" a="1"/>
  <c r="H24" i="5" a="1"/>
  <c r="J117" i="5" a="1"/>
  <c r="I117" i="5" a="1"/>
  <c r="H117" i="5" a="1"/>
  <c r="H145" i="5" a="1"/>
  <c r="J145" i="5" a="1"/>
  <c r="I145" i="5" a="1"/>
  <c r="J87" i="5" a="1"/>
  <c r="I87" i="5" a="1"/>
  <c r="H87" i="5" a="1"/>
  <c r="J135" i="5" a="1"/>
  <c r="I135" i="5" a="1"/>
  <c r="H135" i="5" a="1"/>
  <c r="J123" i="5" a="1"/>
  <c r="I123" i="5" a="1"/>
  <c r="H123" i="5" a="1"/>
  <c r="H142" i="5" a="1"/>
  <c r="J142" i="5" a="1"/>
  <c r="I142" i="5" a="1"/>
  <c r="J128" i="5" a="1"/>
  <c r="I128" i="5" a="1"/>
  <c r="H128" i="5" a="1"/>
  <c r="I69" i="5" a="1"/>
  <c r="H69" i="5" a="1"/>
  <c r="J69" i="5" a="1"/>
  <c r="J96" i="5" a="1"/>
  <c r="H96" i="5" a="1"/>
  <c r="I96" i="5" a="1"/>
  <c r="H88" i="5" a="1"/>
  <c r="J88" i="5" a="1"/>
  <c r="I88" i="5" a="1"/>
  <c r="J67" i="5" a="1"/>
  <c r="I67" i="5" a="1"/>
  <c r="H67" i="5" a="1"/>
  <c r="J46" i="5" a="1"/>
  <c r="I46" i="5" a="1"/>
  <c r="H46" i="5" a="1"/>
  <c r="J68" i="5" a="1"/>
  <c r="I68" i="5" a="1"/>
  <c r="H68" i="5" a="1"/>
  <c r="H68" i="5" l="1"/>
  <c r="I68" i="5"/>
  <c r="J68" i="5"/>
  <c r="H46" i="5"/>
  <c r="I46" i="5"/>
  <c r="J46" i="5"/>
  <c r="H67" i="5"/>
  <c r="I67" i="5"/>
  <c r="J67" i="5"/>
  <c r="I88" i="5"/>
  <c r="J88" i="5"/>
  <c r="H88" i="5"/>
  <c r="I96" i="5"/>
  <c r="H96" i="5"/>
  <c r="J96" i="5"/>
  <c r="J69" i="5"/>
  <c r="H69" i="5"/>
  <c r="I69" i="5"/>
  <c r="H128" i="5"/>
  <c r="I128" i="5"/>
  <c r="J128" i="5"/>
  <c r="I142" i="5"/>
  <c r="J142" i="5"/>
  <c r="H142" i="5"/>
  <c r="H123" i="5"/>
  <c r="I123" i="5"/>
  <c r="J123" i="5"/>
  <c r="H135" i="5"/>
  <c r="I135" i="5"/>
  <c r="J135" i="5"/>
  <c r="H87" i="5"/>
  <c r="I87" i="5"/>
  <c r="J87" i="5"/>
  <c r="I145" i="5"/>
  <c r="J145" i="5"/>
  <c r="H145" i="5"/>
  <c r="H117" i="5"/>
  <c r="I117" i="5"/>
  <c r="J117" i="5"/>
  <c r="H24" i="5"/>
  <c r="I24" i="5"/>
  <c r="J24" i="5"/>
  <c r="H25" i="5"/>
  <c r="I25" i="5"/>
  <c r="J25" i="5"/>
  <c r="I97" i="5"/>
  <c r="J97" i="5"/>
  <c r="H97" i="5"/>
  <c r="I121" i="5"/>
  <c r="J121" i="5"/>
  <c r="H121" i="5"/>
  <c r="H10" i="5"/>
  <c r="I10" i="5"/>
  <c r="J10" i="5"/>
  <c r="H18" i="5"/>
  <c r="I18" i="5"/>
  <c r="J18" i="5"/>
  <c r="H26" i="5"/>
  <c r="I26" i="5"/>
  <c r="J26" i="5"/>
  <c r="H34" i="5"/>
  <c r="I34" i="5"/>
  <c r="J34" i="5"/>
  <c r="H42" i="5"/>
  <c r="I42" i="5"/>
  <c r="J42" i="5"/>
  <c r="H84" i="5"/>
  <c r="I84" i="5"/>
  <c r="J84" i="5"/>
  <c r="H62" i="5"/>
  <c r="I62" i="5"/>
  <c r="J62" i="5"/>
  <c r="H83" i="5"/>
  <c r="I83" i="5"/>
  <c r="J83" i="5"/>
  <c r="I90" i="5"/>
  <c r="J90" i="5"/>
  <c r="H90" i="5"/>
  <c r="I98" i="5"/>
  <c r="H98" i="5"/>
  <c r="J98" i="5"/>
  <c r="J85" i="5"/>
  <c r="H85" i="5"/>
  <c r="I85" i="5"/>
  <c r="J136" i="5"/>
  <c r="H136" i="5"/>
  <c r="I136" i="5"/>
  <c r="I149" i="5"/>
  <c r="J149" i="5"/>
  <c r="H149" i="5"/>
  <c r="H139" i="5"/>
  <c r="I139" i="5"/>
  <c r="J139" i="5"/>
  <c r="J134" i="5"/>
  <c r="H134" i="5"/>
  <c r="I134" i="5"/>
  <c r="I50" i="5"/>
  <c r="J50" i="5"/>
  <c r="H50" i="5"/>
  <c r="H71" i="5"/>
  <c r="I71" i="5"/>
  <c r="J71" i="5"/>
  <c r="J125" i="5"/>
  <c r="H125" i="5"/>
  <c r="I125" i="5"/>
  <c r="H32" i="5"/>
  <c r="I32" i="5"/>
  <c r="J32" i="5"/>
  <c r="H33" i="5"/>
  <c r="I33" i="5"/>
  <c r="J33" i="5"/>
  <c r="I89" i="5"/>
  <c r="J89" i="5"/>
  <c r="H89" i="5"/>
  <c r="I150" i="5"/>
  <c r="J150" i="5"/>
  <c r="H150" i="5"/>
  <c r="H3" i="5"/>
  <c r="I3" i="5"/>
  <c r="J3" i="5"/>
  <c r="H11" i="5"/>
  <c r="I11" i="5"/>
  <c r="J11" i="5"/>
  <c r="H19" i="5"/>
  <c r="I19" i="5"/>
  <c r="J19" i="5"/>
  <c r="H27" i="5"/>
  <c r="I27" i="5"/>
  <c r="J27" i="5"/>
  <c r="H35" i="5"/>
  <c r="I35" i="5"/>
  <c r="J35" i="5"/>
  <c r="J43" i="5"/>
  <c r="H43" i="5"/>
  <c r="I43" i="5"/>
  <c r="H49" i="5"/>
  <c r="I49" i="5"/>
  <c r="J49" i="5"/>
  <c r="H70" i="5"/>
  <c r="I70" i="5"/>
  <c r="J70" i="5"/>
  <c r="H48" i="5"/>
  <c r="I48" i="5"/>
  <c r="J48" i="5"/>
  <c r="I91" i="5"/>
  <c r="J91" i="5"/>
  <c r="H91" i="5"/>
  <c r="I99" i="5"/>
  <c r="J99" i="5"/>
  <c r="H99" i="5"/>
  <c r="I66" i="5"/>
  <c r="J66" i="5"/>
  <c r="H66" i="5"/>
  <c r="H140" i="5"/>
  <c r="I140" i="5"/>
  <c r="J140" i="5"/>
  <c r="H47" i="5"/>
  <c r="I47" i="5"/>
  <c r="J47" i="5"/>
  <c r="J122" i="5"/>
  <c r="H122" i="5"/>
  <c r="I122" i="5"/>
  <c r="I143" i="5"/>
  <c r="J143" i="5"/>
  <c r="H143" i="5"/>
  <c r="I82" i="5"/>
  <c r="J82" i="5"/>
  <c r="H82" i="5"/>
  <c r="H63" i="5"/>
  <c r="I63" i="5"/>
  <c r="J63" i="5"/>
  <c r="J129" i="5"/>
  <c r="I129" i="5"/>
  <c r="H129" i="5"/>
  <c r="H16" i="5"/>
  <c r="I16" i="5"/>
  <c r="J16" i="5"/>
  <c r="H9" i="5"/>
  <c r="I9" i="5"/>
  <c r="J9" i="5"/>
  <c r="H75" i="5"/>
  <c r="I75" i="5"/>
  <c r="J75" i="5"/>
  <c r="H132" i="5"/>
  <c r="I132" i="5"/>
  <c r="J132" i="5"/>
  <c r="J106" i="5"/>
  <c r="H106" i="5"/>
  <c r="I106" i="5"/>
  <c r="H4" i="5"/>
  <c r="I4" i="5"/>
  <c r="J4" i="5"/>
  <c r="H12" i="5"/>
  <c r="I12" i="5"/>
  <c r="J12" i="5"/>
  <c r="H20" i="5"/>
  <c r="I20" i="5"/>
  <c r="J20" i="5"/>
  <c r="H28" i="5"/>
  <c r="I28" i="5"/>
  <c r="J28" i="5"/>
  <c r="H36" i="5"/>
  <c r="I36" i="5"/>
  <c r="J36" i="5"/>
  <c r="H44" i="5"/>
  <c r="I44" i="5"/>
  <c r="J44" i="5"/>
  <c r="H57" i="5"/>
  <c r="I57" i="5"/>
  <c r="J57" i="5"/>
  <c r="H78" i="5"/>
  <c r="I78" i="5"/>
  <c r="J78" i="5"/>
  <c r="H56" i="5"/>
  <c r="I56" i="5"/>
  <c r="J56" i="5"/>
  <c r="I92" i="5"/>
  <c r="J92" i="5"/>
  <c r="H92" i="5"/>
  <c r="I100" i="5"/>
  <c r="H100" i="5"/>
  <c r="J100" i="5"/>
  <c r="H107" i="5"/>
  <c r="I107" i="5"/>
  <c r="J107" i="5"/>
  <c r="I74" i="5"/>
  <c r="J74" i="5"/>
  <c r="H74" i="5"/>
  <c r="H79" i="5"/>
  <c r="I79" i="5"/>
  <c r="J79" i="5"/>
  <c r="J138" i="5"/>
  <c r="I138" i="5"/>
  <c r="H138" i="5"/>
  <c r="I147" i="5"/>
  <c r="J147" i="5"/>
  <c r="H147" i="5"/>
  <c r="J103" i="5"/>
  <c r="I103" i="5"/>
  <c r="H103" i="5"/>
  <c r="I108" i="5"/>
  <c r="J108" i="5"/>
  <c r="H108" i="5"/>
  <c r="J133" i="5"/>
  <c r="I133" i="5"/>
  <c r="H133" i="5"/>
  <c r="H8" i="5"/>
  <c r="I8" i="5"/>
  <c r="J8" i="5"/>
  <c r="H76" i="5"/>
  <c r="I76" i="5"/>
  <c r="J76" i="5"/>
  <c r="J126" i="5"/>
  <c r="I126" i="5"/>
  <c r="H126" i="5"/>
  <c r="H5" i="5"/>
  <c r="I5" i="5"/>
  <c r="J5" i="5"/>
  <c r="H13" i="5"/>
  <c r="I13" i="5"/>
  <c r="J13" i="5"/>
  <c r="H21" i="5"/>
  <c r="I21" i="5"/>
  <c r="J21" i="5"/>
  <c r="H29" i="5"/>
  <c r="I29" i="5"/>
  <c r="J29" i="5"/>
  <c r="H37" i="5"/>
  <c r="I37" i="5"/>
  <c r="J37" i="5"/>
  <c r="J45" i="5"/>
  <c r="H45" i="5"/>
  <c r="I45" i="5"/>
  <c r="H65" i="5"/>
  <c r="I65" i="5"/>
  <c r="J65" i="5"/>
  <c r="H86" i="5"/>
  <c r="I86" i="5"/>
  <c r="J86" i="5"/>
  <c r="H64" i="5"/>
  <c r="J64" i="5"/>
  <c r="I64" i="5"/>
  <c r="I93" i="5"/>
  <c r="J93" i="5"/>
  <c r="H93" i="5"/>
  <c r="H101" i="5"/>
  <c r="I101" i="5"/>
  <c r="J101" i="5"/>
  <c r="H116" i="5"/>
  <c r="I116" i="5"/>
  <c r="J116" i="5"/>
  <c r="H115" i="5"/>
  <c r="I115" i="5"/>
  <c r="J115" i="5"/>
  <c r="H104" i="5"/>
  <c r="I104" i="5"/>
  <c r="J104" i="5"/>
  <c r="I144" i="5"/>
  <c r="J144" i="5"/>
  <c r="H144" i="5"/>
  <c r="I151" i="5"/>
  <c r="H151" i="5"/>
  <c r="J151" i="5"/>
  <c r="J111" i="5"/>
  <c r="I111" i="5"/>
  <c r="H111" i="5"/>
  <c r="I58" i="5"/>
  <c r="J58" i="5"/>
  <c r="H58" i="5"/>
  <c r="J137" i="5"/>
  <c r="I137" i="5"/>
  <c r="H137" i="5"/>
  <c r="I41" i="5"/>
  <c r="J41" i="5"/>
  <c r="H41" i="5"/>
  <c r="I146" i="5"/>
  <c r="J146" i="5"/>
  <c r="H146" i="5"/>
  <c r="H6" i="5"/>
  <c r="I6" i="5"/>
  <c r="J6" i="5"/>
  <c r="H14" i="5"/>
  <c r="I14" i="5"/>
  <c r="J14" i="5"/>
  <c r="H22" i="5"/>
  <c r="I22" i="5"/>
  <c r="J22" i="5"/>
  <c r="H30" i="5"/>
  <c r="I30" i="5"/>
  <c r="J30" i="5"/>
  <c r="I38" i="5"/>
  <c r="H38" i="5"/>
  <c r="J38" i="5"/>
  <c r="H52" i="5"/>
  <c r="I52" i="5"/>
  <c r="J52" i="5"/>
  <c r="H73" i="5"/>
  <c r="I73" i="5"/>
  <c r="J73" i="5"/>
  <c r="H51" i="5"/>
  <c r="I51" i="5"/>
  <c r="J51" i="5"/>
  <c r="H72" i="5"/>
  <c r="I72" i="5"/>
  <c r="J72" i="5"/>
  <c r="I94" i="5"/>
  <c r="J94" i="5"/>
  <c r="H94" i="5"/>
  <c r="J53" i="5"/>
  <c r="H53" i="5"/>
  <c r="I53" i="5"/>
  <c r="J120" i="5"/>
  <c r="H120" i="5"/>
  <c r="I120" i="5"/>
  <c r="H119" i="5"/>
  <c r="I119" i="5"/>
  <c r="J119" i="5"/>
  <c r="H112" i="5"/>
  <c r="I112" i="5"/>
  <c r="J112" i="5"/>
  <c r="I148" i="5"/>
  <c r="J148" i="5"/>
  <c r="H148" i="5"/>
  <c r="H102" i="5"/>
  <c r="I102" i="5"/>
  <c r="J102" i="5"/>
  <c r="J114" i="5"/>
  <c r="I114" i="5"/>
  <c r="H114" i="5"/>
  <c r="H105" i="5"/>
  <c r="I105" i="5"/>
  <c r="J105" i="5"/>
  <c r="H141" i="5"/>
  <c r="I141" i="5"/>
  <c r="J141" i="5"/>
  <c r="I40" i="5"/>
  <c r="H40" i="5"/>
  <c r="J40" i="5"/>
  <c r="H17" i="5"/>
  <c r="I17" i="5"/>
  <c r="J17" i="5"/>
  <c r="H54" i="5"/>
  <c r="I54" i="5"/>
  <c r="J54" i="5"/>
  <c r="J77" i="5"/>
  <c r="I77" i="5"/>
  <c r="H77" i="5"/>
  <c r="H131" i="5"/>
  <c r="I131" i="5"/>
  <c r="J131" i="5"/>
  <c r="H7" i="5"/>
  <c r="I7" i="5"/>
  <c r="J7" i="5"/>
  <c r="H15" i="5"/>
  <c r="I15" i="5"/>
  <c r="J15" i="5"/>
  <c r="H23" i="5"/>
  <c r="I23" i="5"/>
  <c r="J23" i="5"/>
  <c r="H31" i="5"/>
  <c r="I31" i="5"/>
  <c r="J31" i="5"/>
  <c r="I39" i="5"/>
  <c r="H39" i="5"/>
  <c r="J39" i="5"/>
  <c r="H60" i="5"/>
  <c r="I60" i="5"/>
  <c r="J60" i="5"/>
  <c r="H81" i="5"/>
  <c r="I81" i="5"/>
  <c r="J81" i="5"/>
  <c r="H59" i="5"/>
  <c r="I59" i="5"/>
  <c r="J59" i="5"/>
  <c r="H80" i="5"/>
  <c r="I80" i="5"/>
  <c r="J80" i="5"/>
  <c r="I95" i="5"/>
  <c r="J95" i="5"/>
  <c r="H95" i="5"/>
  <c r="J61" i="5"/>
  <c r="H61" i="5"/>
  <c r="I61" i="5"/>
  <c r="H124" i="5"/>
  <c r="I124" i="5"/>
  <c r="J124" i="5"/>
  <c r="J130" i="5"/>
  <c r="I130" i="5"/>
  <c r="H130" i="5"/>
  <c r="H109" i="5"/>
  <c r="I109" i="5"/>
  <c r="J109" i="5"/>
  <c r="H127" i="5"/>
  <c r="I127" i="5"/>
  <c r="J127" i="5"/>
  <c r="H55" i="5"/>
  <c r="I55" i="5"/>
  <c r="J55" i="5"/>
  <c r="J118" i="5"/>
  <c r="I118" i="5"/>
  <c r="H118" i="5"/>
  <c r="I113" i="5"/>
  <c r="J113" i="5"/>
  <c r="H113" i="5"/>
  <c r="H110" i="5"/>
  <c r="I110" i="5"/>
  <c r="J110" i="5"/>
  <c r="T16" i="5" l="1"/>
  <c r="S16" i="5"/>
  <c r="T15" i="5"/>
  <c r="S15" i="5"/>
  <c r="R16" i="5"/>
  <c r="R15" i="5"/>
  <c r="S12" i="5"/>
  <c r="S11" i="5"/>
  <c r="R12" i="5"/>
  <c r="R11" i="5"/>
  <c r="T14" i="5"/>
  <c r="S14" i="5"/>
  <c r="R14" i="5"/>
  <c r="T13" i="5"/>
  <c r="S13" i="5"/>
  <c r="R13" i="5"/>
  <c r="T10" i="5"/>
  <c r="T9" i="5"/>
  <c r="S10" i="5"/>
  <c r="S9" i="5"/>
  <c r="R10" i="5"/>
  <c r="R9" i="5"/>
  <c r="T8" i="5"/>
  <c r="S8" i="5"/>
  <c r="R8" i="5"/>
  <c r="S7" i="5"/>
  <c r="R7" i="5" l="1"/>
  <c r="T7" i="5" s="1"/>
  <c r="L150" i="4" l="1" a="1"/>
  <c r="L142" i="4" a="1"/>
  <c r="L134" i="4" a="1"/>
  <c r="L126" i="4" a="1"/>
  <c r="L118" i="4" a="1"/>
  <c r="L110" i="4" a="1"/>
  <c r="L102" i="4" a="1"/>
  <c r="L94" i="4" a="1"/>
  <c r="L86" i="4" a="1"/>
  <c r="L78" i="4" a="1"/>
  <c r="L70" i="4" a="1"/>
  <c r="L149" i="4" a="1"/>
  <c r="L141" i="4" a="1"/>
  <c r="L133" i="4" a="1"/>
  <c r="L125" i="4" a="1"/>
  <c r="L117" i="4" a="1"/>
  <c r="L109" i="4" a="1"/>
  <c r="L101" i="4" a="1"/>
  <c r="L93" i="4" a="1"/>
  <c r="L85" i="4" a="1"/>
  <c r="L77" i="4" a="1"/>
  <c r="L69" i="4" a="1"/>
  <c r="L148" i="4" a="1"/>
  <c r="L140" i="4" a="1"/>
  <c r="L132" i="4" a="1"/>
  <c r="L124" i="4" a="1"/>
  <c r="L116" i="4" a="1"/>
  <c r="L108" i="4" a="1"/>
  <c r="L100" i="4" a="1"/>
  <c r="L92" i="4" a="1"/>
  <c r="L84" i="4" a="1"/>
  <c r="L76" i="4" a="1"/>
  <c r="L68" i="4" a="1"/>
  <c r="L147" i="4" a="1"/>
  <c r="L139" i="4" a="1"/>
  <c r="L131" i="4" a="1"/>
  <c r="L123" i="4" a="1"/>
  <c r="L115" i="4" a="1"/>
  <c r="L107" i="4" a="1"/>
  <c r="L99" i="4" a="1"/>
  <c r="L91" i="4" a="1"/>
  <c r="L83" i="4" a="1"/>
  <c r="L75" i="4" a="1"/>
  <c r="L146" i="4" a="1"/>
  <c r="L138" i="4" a="1"/>
  <c r="L130" i="4" a="1"/>
  <c r="L122" i="4" a="1"/>
  <c r="L114" i="4" a="1"/>
  <c r="L106" i="4" a="1"/>
  <c r="L98" i="4" a="1"/>
  <c r="L90" i="4" a="1"/>
  <c r="L82" i="4" a="1"/>
  <c r="L74" i="4" a="1"/>
  <c r="L66" i="4" a="1"/>
  <c r="L145" i="4" a="1"/>
  <c r="L137" i="4" a="1"/>
  <c r="L129" i="4" a="1"/>
  <c r="L121" i="4" a="1"/>
  <c r="L113" i="4" a="1"/>
  <c r="L105" i="4" a="1"/>
  <c r="L97" i="4" a="1"/>
  <c r="L89" i="4" a="1"/>
  <c r="L81" i="4" a="1"/>
  <c r="L73" i="4" a="1"/>
  <c r="L65" i="4" a="1"/>
  <c r="L144" i="4" a="1"/>
  <c r="L136" i="4" a="1"/>
  <c r="L128" i="4" a="1"/>
  <c r="L120" i="4" a="1"/>
  <c r="L112" i="4" a="1"/>
  <c r="L104" i="4" a="1"/>
  <c r="L96" i="4" a="1"/>
  <c r="L88" i="4" a="1"/>
  <c r="L80" i="4" a="1"/>
  <c r="L72" i="4" a="1"/>
  <c r="L64" i="4" a="1"/>
  <c r="L151" i="4" a="1"/>
  <c r="L87" i="4" a="1"/>
  <c r="L60" i="4" a="1"/>
  <c r="L52" i="4" a="1"/>
  <c r="L44" i="4" a="1"/>
  <c r="L36" i="4" a="1"/>
  <c r="L28" i="4" a="1"/>
  <c r="L20" i="4" a="1"/>
  <c r="L12" i="4" a="1"/>
  <c r="L4" i="4" a="1"/>
  <c r="L22" i="4" a="1"/>
  <c r="L14" i="4" a="1"/>
  <c r="L143" i="4" a="1"/>
  <c r="L79" i="4" a="1"/>
  <c r="L67" i="4" a="1"/>
  <c r="L59" i="4" a="1"/>
  <c r="L51" i="4" a="1"/>
  <c r="L43" i="4" a="1"/>
  <c r="L35" i="4" a="1"/>
  <c r="L27" i="4" a="1"/>
  <c r="L19" i="4" a="1"/>
  <c r="L11" i="4" a="1"/>
  <c r="L3" i="4" a="1"/>
  <c r="L135" i="4" a="1"/>
  <c r="L71" i="4" a="1"/>
  <c r="L58" i="4" a="1"/>
  <c r="L50" i="4" a="1"/>
  <c r="L42" i="4" a="1"/>
  <c r="L34" i="4" a="1"/>
  <c r="L26" i="4" a="1"/>
  <c r="L18" i="4" a="1"/>
  <c r="L10" i="4" a="1"/>
  <c r="L2" i="4" a="1"/>
  <c r="L127" i="4" a="1"/>
  <c r="L57" i="4" a="1"/>
  <c r="L49" i="4" a="1"/>
  <c r="L41" i="4" a="1"/>
  <c r="L33" i="4" a="1"/>
  <c r="L25" i="4" a="1"/>
  <c r="L17" i="4" a="1"/>
  <c r="L9" i="4" a="1"/>
  <c r="L119" i="4" a="1"/>
  <c r="L56" i="4" a="1"/>
  <c r="L48" i="4" a="1"/>
  <c r="L40" i="4" a="1"/>
  <c r="L32" i="4" a="1"/>
  <c r="L24" i="4" a="1"/>
  <c r="L16" i="4" a="1"/>
  <c r="L8" i="4" a="1"/>
  <c r="L62" i="4" a="1"/>
  <c r="L46" i="4" a="1"/>
  <c r="L111" i="4" a="1"/>
  <c r="L63" i="4" a="1"/>
  <c r="L55" i="4" a="1"/>
  <c r="L47" i="4" a="1"/>
  <c r="L39" i="4" a="1"/>
  <c r="L31" i="4" a="1"/>
  <c r="L23" i="4" a="1"/>
  <c r="L15" i="4" a="1"/>
  <c r="L7" i="4" a="1"/>
  <c r="L54" i="4" a="1"/>
  <c r="L38" i="4" a="1"/>
  <c r="L30" i="4" a="1"/>
  <c r="L95" i="4" a="1"/>
  <c r="L61" i="4" a="1"/>
  <c r="L53" i="4" a="1"/>
  <c r="L45" i="4" a="1"/>
  <c r="L37" i="4" a="1"/>
  <c r="L29" i="4" a="1"/>
  <c r="L21" i="4" a="1"/>
  <c r="L13" i="4" a="1"/>
  <c r="L5" i="4" a="1"/>
  <c r="L103" i="4" a="1"/>
  <c r="L6" i="4" a="1"/>
  <c r="L6" i="4" l="1"/>
  <c r="L103" i="4"/>
  <c r="L5" i="4"/>
  <c r="L13" i="4"/>
  <c r="L21" i="4"/>
  <c r="L29" i="4"/>
  <c r="L37" i="4"/>
  <c r="L45" i="4"/>
  <c r="L53" i="4"/>
  <c r="L61" i="4"/>
  <c r="L95" i="4"/>
  <c r="L30" i="4"/>
  <c r="L38" i="4"/>
  <c r="L54" i="4"/>
  <c r="L7" i="4"/>
  <c r="L15" i="4"/>
  <c r="L23" i="4"/>
  <c r="L31" i="4"/>
  <c r="L39" i="4"/>
  <c r="L47" i="4"/>
  <c r="L55" i="4"/>
  <c r="L63" i="4"/>
  <c r="L111" i="4"/>
  <c r="L46" i="4"/>
  <c r="L62" i="4"/>
  <c r="L8" i="4"/>
  <c r="L16" i="4"/>
  <c r="L24" i="4"/>
  <c r="L32" i="4"/>
  <c r="L40" i="4"/>
  <c r="L48" i="4"/>
  <c r="L56" i="4"/>
  <c r="L119" i="4"/>
  <c r="L9" i="4"/>
  <c r="L17" i="4"/>
  <c r="L25" i="4"/>
  <c r="L33" i="4"/>
  <c r="L41" i="4"/>
  <c r="L49" i="4"/>
  <c r="L57" i="4"/>
  <c r="L127" i="4"/>
  <c r="L2" i="4"/>
  <c r="L10" i="4"/>
  <c r="L18" i="4"/>
  <c r="L26" i="4"/>
  <c r="L34" i="4"/>
  <c r="L42" i="4"/>
  <c r="L50" i="4"/>
  <c r="L58" i="4"/>
  <c r="L71" i="4"/>
  <c r="L135" i="4"/>
  <c r="L3" i="4"/>
  <c r="L11" i="4"/>
  <c r="L19" i="4"/>
  <c r="L27" i="4"/>
  <c r="L35" i="4"/>
  <c r="L43" i="4"/>
  <c r="L51" i="4"/>
  <c r="L59" i="4"/>
  <c r="L67" i="4"/>
  <c r="L79" i="4"/>
  <c r="L143" i="4"/>
  <c r="L14" i="4"/>
  <c r="L22" i="4"/>
  <c r="L4" i="4"/>
  <c r="L12" i="4"/>
  <c r="L20" i="4"/>
  <c r="L28" i="4"/>
  <c r="L36" i="4"/>
  <c r="L44" i="4"/>
  <c r="L52" i="4"/>
  <c r="L60" i="4"/>
  <c r="L87" i="4"/>
  <c r="L151" i="4"/>
  <c r="L64" i="4"/>
  <c r="L72" i="4"/>
  <c r="L80" i="4"/>
  <c r="L88" i="4"/>
  <c r="L96" i="4"/>
  <c r="L104" i="4"/>
  <c r="L112" i="4"/>
  <c r="L120" i="4"/>
  <c r="L128" i="4"/>
  <c r="L136" i="4"/>
  <c r="L144" i="4"/>
  <c r="L65" i="4"/>
  <c r="L73" i="4"/>
  <c r="L81" i="4"/>
  <c r="L89" i="4"/>
  <c r="L97" i="4"/>
  <c r="L105" i="4"/>
  <c r="L113" i="4"/>
  <c r="L121" i="4"/>
  <c r="L129" i="4"/>
  <c r="L137" i="4"/>
  <c r="L145" i="4"/>
  <c r="L66" i="4"/>
  <c r="L74" i="4"/>
  <c r="L82" i="4"/>
  <c r="L90" i="4"/>
  <c r="L98" i="4"/>
  <c r="L106" i="4"/>
  <c r="L114" i="4"/>
  <c r="L122" i="4"/>
  <c r="L130" i="4"/>
  <c r="L138" i="4"/>
  <c r="L146" i="4"/>
  <c r="L75" i="4"/>
  <c r="L83" i="4"/>
  <c r="L91" i="4"/>
  <c r="L99" i="4"/>
  <c r="L107" i="4"/>
  <c r="L115" i="4"/>
  <c r="L123" i="4"/>
  <c r="L131" i="4"/>
  <c r="L139" i="4"/>
  <c r="L147" i="4"/>
  <c r="L68" i="4"/>
  <c r="L76" i="4"/>
  <c r="L84" i="4"/>
  <c r="L92" i="4"/>
  <c r="L100" i="4"/>
  <c r="L108" i="4"/>
  <c r="L116" i="4"/>
  <c r="L124" i="4"/>
  <c r="L132" i="4"/>
  <c r="L140" i="4"/>
  <c r="L148" i="4"/>
  <c r="L69" i="4"/>
  <c r="L77" i="4"/>
  <c r="L85" i="4"/>
  <c r="L93" i="4"/>
  <c r="L101" i="4"/>
  <c r="L109" i="4"/>
  <c r="L117" i="4"/>
  <c r="L125" i="4"/>
  <c r="L133" i="4"/>
  <c r="L141" i="4"/>
  <c r="L149" i="4"/>
  <c r="L70" i="4"/>
  <c r="L78" i="4"/>
  <c r="L86" i="4"/>
  <c r="L94" i="4"/>
  <c r="L102" i="4"/>
  <c r="L110" i="4"/>
  <c r="L118" i="4"/>
  <c r="L126" i="4"/>
  <c r="L134" i="4"/>
  <c r="L142" i="4"/>
  <c r="L150" i="4"/>
  <c r="M6" i="4" a="1"/>
  <c r="N6" i="4" a="1"/>
  <c r="O6" i="4" a="1"/>
  <c r="M53" i="4" a="1"/>
  <c r="N53" i="4" a="1"/>
  <c r="O53" i="4" a="1"/>
  <c r="O23" i="4" a="1"/>
  <c r="M23" i="4" a="1"/>
  <c r="N23" i="4" a="1"/>
  <c r="M62" i="4" a="1"/>
  <c r="N62" i="4" a="1"/>
  <c r="O62" i="4" a="1"/>
  <c r="M119" i="4" a="1"/>
  <c r="N119" i="4" a="1"/>
  <c r="O119" i="4" a="1"/>
  <c r="M127" i="4" a="1"/>
  <c r="N127" i="4" a="1"/>
  <c r="O127" i="4" a="1"/>
  <c r="O58" i="4" a="1"/>
  <c r="N58" i="4" a="1"/>
  <c r="M58" i="4" a="1"/>
  <c r="M43" i="4" a="1"/>
  <c r="N43" i="4" a="1"/>
  <c r="O43" i="4" a="1"/>
  <c r="M4" i="4" a="1"/>
  <c r="N4" i="4" a="1"/>
  <c r="O4" i="4" a="1"/>
  <c r="M87" i="4" a="1"/>
  <c r="N87" i="4" a="1"/>
  <c r="O87" i="4" a="1"/>
  <c r="M112" i="4" a="1"/>
  <c r="N112" i="4" a="1"/>
  <c r="O112" i="4" a="1"/>
  <c r="O89" i="4" a="1"/>
  <c r="M89" i="4" a="1"/>
  <c r="N89" i="4" a="1"/>
  <c r="O66" i="4" a="1"/>
  <c r="M66" i="4" a="1"/>
  <c r="N66" i="4" a="1"/>
  <c r="O130" i="4" a="1"/>
  <c r="M130" i="4" a="1"/>
  <c r="N130" i="4" a="1"/>
  <c r="N115" i="4" a="1"/>
  <c r="O115" i="4" a="1"/>
  <c r="M115" i="4" a="1"/>
  <c r="N92" i="4" a="1"/>
  <c r="O92" i="4" a="1"/>
  <c r="M92" i="4" a="1"/>
  <c r="M69" i="4" a="1"/>
  <c r="N69" i="4" a="1"/>
  <c r="O69" i="4" a="1"/>
  <c r="M133" i="4" a="1"/>
  <c r="N133" i="4" a="1"/>
  <c r="O133" i="4" a="1"/>
  <c r="M110" i="4" a="1"/>
  <c r="N110" i="4" a="1"/>
  <c r="O110" i="4" a="1"/>
  <c r="M103" i="4" a="1"/>
  <c r="N103" i="4" a="1"/>
  <c r="O103" i="4" a="1"/>
  <c r="M61" i="4" a="1"/>
  <c r="N61" i="4" a="1"/>
  <c r="O61" i="4" a="1"/>
  <c r="O31" i="4" a="1"/>
  <c r="M31" i="4" a="1"/>
  <c r="N31" i="4" a="1"/>
  <c r="O8" i="4" a="1"/>
  <c r="M8" i="4" a="1"/>
  <c r="N8" i="4" a="1"/>
  <c r="N9" i="4" a="1"/>
  <c r="O9" i="4" a="1"/>
  <c r="M9" i="4" a="1"/>
  <c r="N2" i="4" a="1"/>
  <c r="O2" i="4" a="1"/>
  <c r="M2" i="4" a="1"/>
  <c r="M71" i="4" a="1"/>
  <c r="N71" i="4" a="1"/>
  <c r="O71" i="4" a="1"/>
  <c r="M51" i="4" a="1"/>
  <c r="N51" i="4" a="1"/>
  <c r="O51" i="4" a="1"/>
  <c r="M12" i="4" a="1"/>
  <c r="N12" i="4" a="1"/>
  <c r="O12" i="4" a="1"/>
  <c r="M151" i="4" a="1"/>
  <c r="N151" i="4" a="1"/>
  <c r="O151" i="4" a="1"/>
  <c r="M120" i="4" a="1"/>
  <c r="N120" i="4" a="1"/>
  <c r="O120" i="4" a="1"/>
  <c r="O97" i="4" a="1"/>
  <c r="M97" i="4" a="1"/>
  <c r="N97" i="4" a="1"/>
  <c r="O74" i="4" a="1"/>
  <c r="M74" i="4" a="1"/>
  <c r="N74" i="4" a="1"/>
  <c r="O138" i="4" a="1"/>
  <c r="M138" i="4" a="1"/>
  <c r="N138" i="4" a="1"/>
  <c r="N123" i="4" a="1"/>
  <c r="O123" i="4" a="1"/>
  <c r="M123" i="4" a="1"/>
  <c r="N100" i="4" a="1"/>
  <c r="O100" i="4" a="1"/>
  <c r="M100" i="4" a="1"/>
  <c r="M77" i="4" a="1"/>
  <c r="N77" i="4" a="1"/>
  <c r="O77" i="4" a="1"/>
  <c r="M141" i="4" a="1"/>
  <c r="N141" i="4" a="1"/>
  <c r="O141" i="4" a="1"/>
  <c r="M118" i="4" a="1"/>
  <c r="N118" i="4" a="1"/>
  <c r="O118" i="4" a="1"/>
  <c r="M5" i="4" a="1"/>
  <c r="N5" i="4" a="1"/>
  <c r="O5" i="4" a="1"/>
  <c r="M95" i="4" a="1"/>
  <c r="N95" i="4" a="1"/>
  <c r="O95" i="4" a="1"/>
  <c r="O39" i="4" a="1"/>
  <c r="M39" i="4" a="1"/>
  <c r="N39" i="4" a="1"/>
  <c r="M16" i="4" a="1"/>
  <c r="O16" i="4" a="1"/>
  <c r="N16" i="4" a="1"/>
  <c r="N17" i="4" a="1"/>
  <c r="O17" i="4" a="1"/>
  <c r="M17" i="4" a="1"/>
  <c r="N10" i="4" a="1"/>
  <c r="O10" i="4" a="1"/>
  <c r="M10" i="4" a="1"/>
  <c r="M135" i="4" a="1"/>
  <c r="N135" i="4" a="1"/>
  <c r="O135" i="4" a="1"/>
  <c r="M59" i="4" a="1"/>
  <c r="N59" i="4" a="1"/>
  <c r="O59" i="4" a="1"/>
  <c r="N20" i="4" a="1"/>
  <c r="M20" i="4" a="1"/>
  <c r="O20" i="4" a="1"/>
  <c r="M64" i="4" a="1"/>
  <c r="N64" i="4" a="1"/>
  <c r="O64" i="4" a="1"/>
  <c r="M128" i="4" a="1"/>
  <c r="N128" i="4" a="1"/>
  <c r="O128" i="4" a="1"/>
  <c r="O105" i="4" a="1"/>
  <c r="M105" i="4" a="1"/>
  <c r="N105" i="4" a="1"/>
  <c r="O82" i="4" a="1"/>
  <c r="M82" i="4" a="1"/>
  <c r="N82" i="4" a="1"/>
  <c r="O146" i="4" a="1"/>
  <c r="M146" i="4" a="1"/>
  <c r="N146" i="4" a="1"/>
  <c r="N131" i="4" a="1"/>
  <c r="O131" i="4" a="1"/>
  <c r="M131" i="4" a="1"/>
  <c r="N108" i="4" a="1"/>
  <c r="O108" i="4" a="1"/>
  <c r="M108" i="4" a="1"/>
  <c r="M85" i="4" a="1"/>
  <c r="N85" i="4" a="1"/>
  <c r="O85" i="4" a="1"/>
  <c r="M149" i="4" a="1"/>
  <c r="N149" i="4" a="1"/>
  <c r="O149" i="4" a="1"/>
  <c r="M126" i="4" a="1"/>
  <c r="N126" i="4" a="1"/>
  <c r="O126" i="4" a="1"/>
  <c r="M13" i="4" a="1"/>
  <c r="N13" i="4" a="1"/>
  <c r="O13" i="4" a="1"/>
  <c r="M30" i="4" a="1"/>
  <c r="N30" i="4" a="1"/>
  <c r="O30" i="4" a="1"/>
  <c r="O47" i="4" a="1"/>
  <c r="M47" i="4" a="1"/>
  <c r="N47" i="4" a="1"/>
  <c r="O24" i="4" a="1"/>
  <c r="M24" i="4" a="1"/>
  <c r="N24" i="4" a="1"/>
  <c r="N25" i="4" a="1"/>
  <c r="O25" i="4" a="1"/>
  <c r="M25" i="4" a="1"/>
  <c r="N18" i="4" a="1"/>
  <c r="O18" i="4" a="1"/>
  <c r="M18" i="4" a="1"/>
  <c r="M3" i="4" a="1"/>
  <c r="N3" i="4" a="1"/>
  <c r="O3" i="4" a="1"/>
  <c r="N67" i="4" a="1"/>
  <c r="O67" i="4" a="1"/>
  <c r="M67" i="4" a="1"/>
  <c r="N28" i="4" a="1"/>
  <c r="O28" i="4" a="1"/>
  <c r="M28" i="4" a="1"/>
  <c r="M72" i="4" a="1"/>
  <c r="N72" i="4" a="1"/>
  <c r="O72" i="4" a="1"/>
  <c r="M136" i="4" a="1"/>
  <c r="N136" i="4" a="1"/>
  <c r="O136" i="4" a="1"/>
  <c r="O113" i="4" a="1"/>
  <c r="M113" i="4" a="1"/>
  <c r="N113" i="4" a="1"/>
  <c r="O90" i="4" a="1"/>
  <c r="M90" i="4" a="1"/>
  <c r="N90" i="4" a="1"/>
  <c r="N75" i="4" a="1"/>
  <c r="O75" i="4" a="1"/>
  <c r="M75" i="4" a="1"/>
  <c r="N139" i="4" a="1"/>
  <c r="O139" i="4" a="1"/>
  <c r="M139" i="4" a="1"/>
  <c r="N116" i="4" a="1"/>
  <c r="O116" i="4" a="1"/>
  <c r="M116" i="4" a="1"/>
  <c r="M93" i="4" a="1"/>
  <c r="N93" i="4" a="1"/>
  <c r="O93" i="4" a="1"/>
  <c r="M70" i="4" a="1"/>
  <c r="N70" i="4" a="1"/>
  <c r="O70" i="4" a="1"/>
  <c r="M134" i="4" a="1"/>
  <c r="N134" i="4" a="1"/>
  <c r="O134" i="4" a="1"/>
  <c r="M21" i="4" a="1"/>
  <c r="N21" i="4" a="1"/>
  <c r="O21" i="4" a="1"/>
  <c r="M38" i="4" a="1"/>
  <c r="N38" i="4" a="1"/>
  <c r="O38" i="4" a="1"/>
  <c r="O55" i="4" a="1"/>
  <c r="M55" i="4" a="1"/>
  <c r="N55" i="4" a="1"/>
  <c r="O32" i="4" a="1"/>
  <c r="M32" i="4" a="1"/>
  <c r="N32" i="4" a="1"/>
  <c r="N33" i="4" a="1"/>
  <c r="O33" i="4" a="1"/>
  <c r="M33" i="4" a="1"/>
  <c r="O26" i="4" a="1"/>
  <c r="N26" i="4" a="1"/>
  <c r="M26" i="4" a="1"/>
  <c r="M11" i="4" a="1"/>
  <c r="N11" i="4" a="1"/>
  <c r="O11" i="4" a="1"/>
  <c r="M79" i="4" a="1"/>
  <c r="N79" i="4" a="1"/>
  <c r="O79" i="4" a="1"/>
  <c r="N36" i="4" a="1"/>
  <c r="O36" i="4" a="1"/>
  <c r="M36" i="4" a="1"/>
  <c r="M80" i="4" a="1"/>
  <c r="N80" i="4" a="1"/>
  <c r="O80" i="4" a="1"/>
  <c r="M144" i="4" a="1"/>
  <c r="N144" i="4" a="1"/>
  <c r="O144" i="4" a="1"/>
  <c r="O121" i="4" a="1"/>
  <c r="M121" i="4" a="1"/>
  <c r="N121" i="4" a="1"/>
  <c r="O98" i="4" a="1"/>
  <c r="M98" i="4" a="1"/>
  <c r="N98" i="4" a="1"/>
  <c r="N83" i="4" a="1"/>
  <c r="O83" i="4" a="1"/>
  <c r="M83" i="4" a="1"/>
  <c r="N147" i="4" a="1"/>
  <c r="O147" i="4" a="1"/>
  <c r="M147" i="4" a="1"/>
  <c r="N124" i="4" a="1"/>
  <c r="O124" i="4" a="1"/>
  <c r="M124" i="4" a="1"/>
  <c r="M101" i="4" a="1"/>
  <c r="N101" i="4" a="1"/>
  <c r="O101" i="4" a="1"/>
  <c r="M78" i="4" a="1"/>
  <c r="N78" i="4" a="1"/>
  <c r="O78" i="4" a="1"/>
  <c r="M142" i="4" a="1"/>
  <c r="N142" i="4" a="1"/>
  <c r="O142" i="4" a="1"/>
  <c r="M29" i="4" a="1"/>
  <c r="N29" i="4" a="1"/>
  <c r="O29" i="4" a="1"/>
  <c r="M54" i="4" a="1"/>
  <c r="N54" i="4" a="1"/>
  <c r="O54" i="4" a="1"/>
  <c r="N63" i="4" a="1"/>
  <c r="M63" i="4" a="1"/>
  <c r="O63" i="4" a="1"/>
  <c r="O40" i="4" a="1"/>
  <c r="M40" i="4" a="1"/>
  <c r="N40" i="4" a="1"/>
  <c r="N41" i="4" a="1"/>
  <c r="O41" i="4" a="1"/>
  <c r="M41" i="4" a="1"/>
  <c r="O34" i="4" a="1"/>
  <c r="N34" i="4" a="1"/>
  <c r="M34" i="4" a="1"/>
  <c r="M19" i="4" a="1"/>
  <c r="N19" i="4" a="1"/>
  <c r="O19" i="4" a="1"/>
  <c r="M143" i="4" a="1"/>
  <c r="N143" i="4" a="1"/>
  <c r="O143" i="4" a="1"/>
  <c r="N44" i="4" a="1"/>
  <c r="M44" i="4" a="1"/>
  <c r="O44" i="4" a="1"/>
  <c r="M88" i="4" a="1"/>
  <c r="N88" i="4" a="1"/>
  <c r="O88" i="4" a="1"/>
  <c r="M65" i="4" a="1"/>
  <c r="O65" i="4" a="1"/>
  <c r="N65" i="4" a="1"/>
  <c r="O129" i="4" a="1"/>
  <c r="M129" i="4" a="1"/>
  <c r="N129" i="4" a="1"/>
  <c r="O106" i="4" a="1"/>
  <c r="M106" i="4" a="1"/>
  <c r="N106" i="4" a="1"/>
  <c r="N91" i="4" a="1"/>
  <c r="O91" i="4" a="1"/>
  <c r="M91" i="4" a="1"/>
  <c r="N68" i="4" a="1"/>
  <c r="O68" i="4" a="1"/>
  <c r="M68" i="4" a="1"/>
  <c r="N132" i="4" a="1"/>
  <c r="O132" i="4" a="1"/>
  <c r="M132" i="4" a="1"/>
  <c r="M109" i="4" a="1"/>
  <c r="N109" i="4" a="1"/>
  <c r="O109" i="4" a="1"/>
  <c r="M86" i="4" a="1"/>
  <c r="N86" i="4" a="1"/>
  <c r="O86" i="4" a="1"/>
  <c r="M150" i="4" a="1"/>
  <c r="N150" i="4" a="1"/>
  <c r="O150" i="4" a="1"/>
  <c r="M37" i="4" a="1"/>
  <c r="N37" i="4" a="1"/>
  <c r="O37" i="4" a="1"/>
  <c r="O7" i="4" a="1"/>
  <c r="M7" i="4" a="1"/>
  <c r="N7" i="4" a="1"/>
  <c r="M111" i="4" a="1"/>
  <c r="N111" i="4" a="1"/>
  <c r="O111" i="4" a="1"/>
  <c r="O48" i="4" a="1"/>
  <c r="M48" i="4" a="1"/>
  <c r="N48" i="4" a="1"/>
  <c r="N49" i="4" a="1"/>
  <c r="O49" i="4" a="1"/>
  <c r="M49" i="4" a="1"/>
  <c r="N42" i="4" a="1"/>
  <c r="O42" i="4" a="1"/>
  <c r="M42" i="4" a="1"/>
  <c r="M27" i="4" a="1"/>
  <c r="N27" i="4" a="1"/>
  <c r="O27" i="4" a="1"/>
  <c r="M14" i="4" a="1"/>
  <c r="N14" i="4" a="1"/>
  <c r="O14" i="4" a="1"/>
  <c r="M52" i="4" a="1"/>
  <c r="N52" i="4" a="1"/>
  <c r="O52" i="4" a="1"/>
  <c r="M96" i="4" a="1"/>
  <c r="N96" i="4" a="1"/>
  <c r="O96" i="4" a="1"/>
  <c r="O73" i="4" a="1"/>
  <c r="M73" i="4" a="1"/>
  <c r="N73" i="4" a="1"/>
  <c r="O137" i="4" a="1"/>
  <c r="M137" i="4" a="1"/>
  <c r="N137" i="4" a="1"/>
  <c r="O114" i="4" a="1"/>
  <c r="M114" i="4" a="1"/>
  <c r="N114" i="4" a="1"/>
  <c r="N99" i="4" a="1"/>
  <c r="O99" i="4" a="1"/>
  <c r="M99" i="4" a="1"/>
  <c r="N76" i="4" a="1"/>
  <c r="O76" i="4" a="1"/>
  <c r="M76" i="4" a="1"/>
  <c r="N140" i="4" a="1"/>
  <c r="O140" i="4" a="1"/>
  <c r="M140" i="4" a="1"/>
  <c r="M117" i="4" a="1"/>
  <c r="N117" i="4" a="1"/>
  <c r="O117" i="4" a="1"/>
  <c r="M94" i="4" a="1"/>
  <c r="N94" i="4" a="1"/>
  <c r="O94" i="4" a="1"/>
  <c r="M45" i="4" a="1"/>
  <c r="N45" i="4" a="1"/>
  <c r="O45" i="4" a="1"/>
  <c r="O15" i="4" a="1"/>
  <c r="M15" i="4" a="1"/>
  <c r="N15" i="4" a="1"/>
  <c r="M46" i="4" a="1"/>
  <c r="N46" i="4" a="1"/>
  <c r="O46" i="4" a="1"/>
  <c r="O56" i="4" a="1"/>
  <c r="M56" i="4" a="1"/>
  <c r="N56" i="4" a="1"/>
  <c r="N57" i="4" a="1"/>
  <c r="O57" i="4" a="1"/>
  <c r="M57" i="4" a="1"/>
  <c r="O50" i="4" a="1"/>
  <c r="N50" i="4" a="1"/>
  <c r="M50" i="4" a="1"/>
  <c r="M35" i="4" a="1"/>
  <c r="N35" i="4" a="1"/>
  <c r="O35" i="4" a="1"/>
  <c r="M22" i="4" a="1"/>
  <c r="N22" i="4" a="1"/>
  <c r="O22" i="4" a="1"/>
  <c r="M60" i="4" a="1"/>
  <c r="N60" i="4" a="1"/>
  <c r="O60" i="4" a="1"/>
  <c r="M104" i="4" a="1"/>
  <c r="N104" i="4" a="1"/>
  <c r="O104" i="4" a="1"/>
  <c r="O81" i="4" a="1"/>
  <c r="M81" i="4" a="1"/>
  <c r="N81" i="4" a="1"/>
  <c r="O145" i="4" a="1"/>
  <c r="M145" i="4" a="1"/>
  <c r="N145" i="4" a="1"/>
  <c r="O122" i="4" a="1"/>
  <c r="M122" i="4" a="1"/>
  <c r="N122" i="4" a="1"/>
  <c r="N107" i="4" a="1"/>
  <c r="O107" i="4" a="1"/>
  <c r="M107" i="4" a="1"/>
  <c r="N84" i="4" a="1"/>
  <c r="O84" i="4" a="1"/>
  <c r="M84" i="4" a="1"/>
  <c r="N148" i="4" a="1"/>
  <c r="O148" i="4" a="1"/>
  <c r="M148" i="4" a="1"/>
  <c r="M125" i="4" a="1"/>
  <c r="N125" i="4" a="1"/>
  <c r="O125" i="4" a="1"/>
  <c r="M102" i="4" a="1"/>
  <c r="N102" i="4" a="1"/>
  <c r="O102" i="4" a="1"/>
  <c r="O102" i="4" l="1"/>
  <c r="N102" i="4"/>
  <c r="M102" i="4"/>
  <c r="K102" i="4" s="1"/>
  <c r="O125" i="4"/>
  <c r="N125" i="4"/>
  <c r="M125" i="4"/>
  <c r="K125" i="4" s="1"/>
  <c r="M148" i="4"/>
  <c r="K148" i="4" s="1"/>
  <c r="O148" i="4"/>
  <c r="N148" i="4"/>
  <c r="M84" i="4"/>
  <c r="O84" i="4"/>
  <c r="N84" i="4"/>
  <c r="M107" i="4"/>
  <c r="O107" i="4"/>
  <c r="N107" i="4"/>
  <c r="N122" i="4"/>
  <c r="M122" i="4"/>
  <c r="O122" i="4"/>
  <c r="N145" i="4"/>
  <c r="M145" i="4"/>
  <c r="O145" i="4"/>
  <c r="N81" i="4"/>
  <c r="M81" i="4"/>
  <c r="K81" i="4" s="1"/>
  <c r="O81" i="4"/>
  <c r="O104" i="4"/>
  <c r="N104" i="4"/>
  <c r="M104" i="4"/>
  <c r="K104" i="4" s="1"/>
  <c r="O60" i="4"/>
  <c r="N60" i="4"/>
  <c r="M60" i="4"/>
  <c r="K60" i="4" s="1"/>
  <c r="O22" i="4"/>
  <c r="N22" i="4"/>
  <c r="M22" i="4"/>
  <c r="O35" i="4"/>
  <c r="N35" i="4"/>
  <c r="M35" i="4"/>
  <c r="M50" i="4"/>
  <c r="N50" i="4"/>
  <c r="O50" i="4"/>
  <c r="M57" i="4"/>
  <c r="K57" i="4" s="1"/>
  <c r="O57" i="4"/>
  <c r="N57" i="4"/>
  <c r="N56" i="4"/>
  <c r="M56" i="4"/>
  <c r="O56" i="4"/>
  <c r="O46" i="4"/>
  <c r="N46" i="4"/>
  <c r="M46" i="4"/>
  <c r="N15" i="4"/>
  <c r="M15" i="4"/>
  <c r="O15" i="4"/>
  <c r="O45" i="4"/>
  <c r="N45" i="4"/>
  <c r="M45" i="4"/>
  <c r="K45" i="4" s="1"/>
  <c r="O94" i="4"/>
  <c r="N94" i="4"/>
  <c r="M94" i="4"/>
  <c r="O117" i="4"/>
  <c r="N117" i="4"/>
  <c r="M117" i="4"/>
  <c r="M140" i="4"/>
  <c r="O140" i="4"/>
  <c r="N140" i="4"/>
  <c r="M76" i="4"/>
  <c r="K76" i="4" s="1"/>
  <c r="O76" i="4"/>
  <c r="N76" i="4"/>
  <c r="M99" i="4"/>
  <c r="O99" i="4"/>
  <c r="N99" i="4"/>
  <c r="N114" i="4"/>
  <c r="M114" i="4"/>
  <c r="K114" i="4" s="1"/>
  <c r="O114" i="4"/>
  <c r="N137" i="4"/>
  <c r="M137" i="4"/>
  <c r="O137" i="4"/>
  <c r="N73" i="4"/>
  <c r="M73" i="4"/>
  <c r="O73" i="4"/>
  <c r="O96" i="4"/>
  <c r="N96" i="4"/>
  <c r="M96" i="4"/>
  <c r="O52" i="4"/>
  <c r="N52" i="4"/>
  <c r="M52" i="4"/>
  <c r="O14" i="4"/>
  <c r="N14" i="4"/>
  <c r="M14" i="4"/>
  <c r="K14" i="4" s="1"/>
  <c r="O27" i="4"/>
  <c r="N27" i="4"/>
  <c r="M27" i="4"/>
  <c r="M42" i="4"/>
  <c r="O42" i="4"/>
  <c r="N42" i="4"/>
  <c r="M49" i="4"/>
  <c r="O49" i="4"/>
  <c r="N49" i="4"/>
  <c r="N48" i="4"/>
  <c r="M48" i="4"/>
  <c r="O48" i="4"/>
  <c r="O111" i="4"/>
  <c r="N111" i="4"/>
  <c r="M111" i="4"/>
  <c r="K111" i="4" s="1"/>
  <c r="N7" i="4"/>
  <c r="M7" i="4"/>
  <c r="O7" i="4"/>
  <c r="O37" i="4"/>
  <c r="N37" i="4"/>
  <c r="M37" i="4"/>
  <c r="O150" i="4"/>
  <c r="N150" i="4"/>
  <c r="M150" i="4"/>
  <c r="K150" i="4" s="1"/>
  <c r="O86" i="4"/>
  <c r="N86" i="4"/>
  <c r="M86" i="4"/>
  <c r="O109" i="4"/>
  <c r="N109" i="4"/>
  <c r="M109" i="4"/>
  <c r="M132" i="4"/>
  <c r="O132" i="4"/>
  <c r="N132" i="4"/>
  <c r="M68" i="4"/>
  <c r="O68" i="4"/>
  <c r="N68" i="4"/>
  <c r="M91" i="4"/>
  <c r="O91" i="4"/>
  <c r="N91" i="4"/>
  <c r="N106" i="4"/>
  <c r="M106" i="4"/>
  <c r="O106" i="4"/>
  <c r="N129" i="4"/>
  <c r="M129" i="4"/>
  <c r="K129" i="4" s="1"/>
  <c r="O129" i="4"/>
  <c r="N65" i="4"/>
  <c r="O65" i="4"/>
  <c r="M65" i="4"/>
  <c r="K65" i="4" s="1"/>
  <c r="O88" i="4"/>
  <c r="N88" i="4"/>
  <c r="M88" i="4"/>
  <c r="O44" i="4"/>
  <c r="M44" i="4"/>
  <c r="N44" i="4"/>
  <c r="O143" i="4"/>
  <c r="N143" i="4"/>
  <c r="M143" i="4"/>
  <c r="O19" i="4"/>
  <c r="N19" i="4"/>
  <c r="M19" i="4"/>
  <c r="K19" i="4" s="1"/>
  <c r="M34" i="4"/>
  <c r="N34" i="4"/>
  <c r="O34" i="4"/>
  <c r="M41" i="4"/>
  <c r="K41" i="4" s="1"/>
  <c r="O41" i="4"/>
  <c r="N41" i="4"/>
  <c r="N40" i="4"/>
  <c r="M40" i="4"/>
  <c r="K40" i="4" s="1"/>
  <c r="O40" i="4"/>
  <c r="O63" i="4"/>
  <c r="M63" i="4"/>
  <c r="N63" i="4"/>
  <c r="O54" i="4"/>
  <c r="N54" i="4"/>
  <c r="M54" i="4"/>
  <c r="O29" i="4"/>
  <c r="N29" i="4"/>
  <c r="M29" i="4"/>
  <c r="O142" i="4"/>
  <c r="N142" i="4"/>
  <c r="M142" i="4"/>
  <c r="O78" i="4"/>
  <c r="N78" i="4"/>
  <c r="M78" i="4"/>
  <c r="K78" i="4" s="1"/>
  <c r="O101" i="4"/>
  <c r="N101" i="4"/>
  <c r="M101" i="4"/>
  <c r="K101" i="4" s="1"/>
  <c r="M124" i="4"/>
  <c r="K124" i="4" s="1"/>
  <c r="O124" i="4"/>
  <c r="N124" i="4"/>
  <c r="M147" i="4"/>
  <c r="O147" i="4"/>
  <c r="N147" i="4"/>
  <c r="M83" i="4"/>
  <c r="O83" i="4"/>
  <c r="N83" i="4"/>
  <c r="N98" i="4"/>
  <c r="M98" i="4"/>
  <c r="O98" i="4"/>
  <c r="N121" i="4"/>
  <c r="M121" i="4"/>
  <c r="O121" i="4"/>
  <c r="O144" i="4"/>
  <c r="N144" i="4"/>
  <c r="M144" i="4"/>
  <c r="O80" i="4"/>
  <c r="N80" i="4"/>
  <c r="M80" i="4"/>
  <c r="K80" i="4" s="1"/>
  <c r="M36" i="4"/>
  <c r="O36" i="4"/>
  <c r="N36" i="4"/>
  <c r="O79" i="4"/>
  <c r="N79" i="4"/>
  <c r="M79" i="4"/>
  <c r="O11" i="4"/>
  <c r="N11" i="4"/>
  <c r="M11" i="4"/>
  <c r="M26" i="4"/>
  <c r="N26" i="4"/>
  <c r="O26" i="4"/>
  <c r="M33" i="4"/>
  <c r="K33" i="4" s="1"/>
  <c r="O33" i="4"/>
  <c r="N33" i="4"/>
  <c r="N32" i="4"/>
  <c r="M32" i="4"/>
  <c r="O32" i="4"/>
  <c r="N55" i="4"/>
  <c r="M55" i="4"/>
  <c r="K55" i="4" s="1"/>
  <c r="O55" i="4"/>
  <c r="O38" i="4"/>
  <c r="N38" i="4"/>
  <c r="M38" i="4"/>
  <c r="O21" i="4"/>
  <c r="N21" i="4"/>
  <c r="M21" i="4"/>
  <c r="K21" i="4" s="1"/>
  <c r="O134" i="4"/>
  <c r="N134" i="4"/>
  <c r="M134" i="4"/>
  <c r="O70" i="4"/>
  <c r="N70" i="4"/>
  <c r="M70" i="4"/>
  <c r="O93" i="4"/>
  <c r="N93" i="4"/>
  <c r="M93" i="4"/>
  <c r="K93" i="4" s="1"/>
  <c r="M116" i="4"/>
  <c r="K116" i="4" s="1"/>
  <c r="O116" i="4"/>
  <c r="N116" i="4"/>
  <c r="M139" i="4"/>
  <c r="O139" i="4"/>
  <c r="N139" i="4"/>
  <c r="M75" i="4"/>
  <c r="O75" i="4"/>
  <c r="N75" i="4"/>
  <c r="N90" i="4"/>
  <c r="M90" i="4"/>
  <c r="O90" i="4"/>
  <c r="N113" i="4"/>
  <c r="M113" i="4"/>
  <c r="O113" i="4"/>
  <c r="O136" i="4"/>
  <c r="N136" i="4"/>
  <c r="M136" i="4"/>
  <c r="O72" i="4"/>
  <c r="N72" i="4"/>
  <c r="M72" i="4"/>
  <c r="M28" i="4"/>
  <c r="O28" i="4"/>
  <c r="N28" i="4"/>
  <c r="M67" i="4"/>
  <c r="K67" i="4" s="1"/>
  <c r="O67" i="4"/>
  <c r="N67" i="4"/>
  <c r="O3" i="4"/>
  <c r="N3" i="4"/>
  <c r="M3" i="4"/>
  <c r="M18" i="4"/>
  <c r="O18" i="4"/>
  <c r="N18" i="4"/>
  <c r="M25" i="4"/>
  <c r="O25" i="4"/>
  <c r="N25" i="4"/>
  <c r="N24" i="4"/>
  <c r="M24" i="4"/>
  <c r="O24" i="4"/>
  <c r="N47" i="4"/>
  <c r="M47" i="4"/>
  <c r="O47" i="4"/>
  <c r="O30" i="4"/>
  <c r="N30" i="4"/>
  <c r="M30" i="4"/>
  <c r="O13" i="4"/>
  <c r="N13" i="4"/>
  <c r="M13" i="4"/>
  <c r="K13" i="4" s="1"/>
  <c r="O126" i="4"/>
  <c r="N126" i="4"/>
  <c r="M126" i="4"/>
  <c r="O149" i="4"/>
  <c r="N149" i="4"/>
  <c r="M149" i="4"/>
  <c r="O85" i="4"/>
  <c r="N85" i="4"/>
  <c r="M85" i="4"/>
  <c r="M108" i="4"/>
  <c r="O108" i="4"/>
  <c r="N108" i="4"/>
  <c r="M131" i="4"/>
  <c r="O131" i="4"/>
  <c r="N131" i="4"/>
  <c r="N146" i="4"/>
  <c r="M146" i="4"/>
  <c r="O146" i="4"/>
  <c r="N82" i="4"/>
  <c r="M82" i="4"/>
  <c r="K82" i="4" s="1"/>
  <c r="O82" i="4"/>
  <c r="N105" i="4"/>
  <c r="M105" i="4"/>
  <c r="O105" i="4"/>
  <c r="O128" i="4"/>
  <c r="N128" i="4"/>
  <c r="M128" i="4"/>
  <c r="O64" i="4"/>
  <c r="N64" i="4"/>
  <c r="M64" i="4"/>
  <c r="O20" i="4"/>
  <c r="M20" i="4"/>
  <c r="N20" i="4"/>
  <c r="O59" i="4"/>
  <c r="N59" i="4"/>
  <c r="M59" i="4"/>
  <c r="O135" i="4"/>
  <c r="N135" i="4"/>
  <c r="M135" i="4"/>
  <c r="M10" i="4"/>
  <c r="O10" i="4"/>
  <c r="N10" i="4"/>
  <c r="M17" i="4"/>
  <c r="O17" i="4"/>
  <c r="N17" i="4"/>
  <c r="N16" i="4"/>
  <c r="O16" i="4"/>
  <c r="M16" i="4"/>
  <c r="K16" i="4" s="1"/>
  <c r="N39" i="4"/>
  <c r="M39" i="4"/>
  <c r="O39" i="4"/>
  <c r="O95" i="4"/>
  <c r="N95" i="4"/>
  <c r="M95" i="4"/>
  <c r="O5" i="4"/>
  <c r="N5" i="4"/>
  <c r="M5" i="4"/>
  <c r="O118" i="4"/>
  <c r="N118" i="4"/>
  <c r="M118" i="4"/>
  <c r="O141" i="4"/>
  <c r="N141" i="4"/>
  <c r="M141" i="4"/>
  <c r="O77" i="4"/>
  <c r="N77" i="4"/>
  <c r="M77" i="4"/>
  <c r="M100" i="4"/>
  <c r="O100" i="4"/>
  <c r="N100" i="4"/>
  <c r="M123" i="4"/>
  <c r="O123" i="4"/>
  <c r="N123" i="4"/>
  <c r="N138" i="4"/>
  <c r="M138" i="4"/>
  <c r="O138" i="4"/>
  <c r="N74" i="4"/>
  <c r="M74" i="4"/>
  <c r="O74" i="4"/>
  <c r="N97" i="4"/>
  <c r="M97" i="4"/>
  <c r="O97" i="4"/>
  <c r="O120" i="4"/>
  <c r="N120" i="4"/>
  <c r="M120" i="4"/>
  <c r="O151" i="4"/>
  <c r="N151" i="4"/>
  <c r="M151" i="4"/>
  <c r="K151" i="4" s="1"/>
  <c r="O12" i="4"/>
  <c r="N12" i="4"/>
  <c r="M12" i="4"/>
  <c r="O51" i="4"/>
  <c r="N51" i="4"/>
  <c r="M51" i="4"/>
  <c r="O71" i="4"/>
  <c r="N71" i="4"/>
  <c r="M71" i="4"/>
  <c r="K71" i="4" s="1"/>
  <c r="M2" i="4"/>
  <c r="K2" i="4" s="1"/>
  <c r="O2" i="4"/>
  <c r="N2" i="4"/>
  <c r="M9" i="4"/>
  <c r="O9" i="4"/>
  <c r="N9" i="4"/>
  <c r="N8" i="4"/>
  <c r="M8" i="4"/>
  <c r="O8" i="4"/>
  <c r="N31" i="4"/>
  <c r="M31" i="4"/>
  <c r="O31" i="4"/>
  <c r="O61" i="4"/>
  <c r="N61" i="4"/>
  <c r="M61" i="4"/>
  <c r="K61" i="4" s="1"/>
  <c r="O103" i="4"/>
  <c r="N103" i="4"/>
  <c r="M103" i="4"/>
  <c r="O110" i="4"/>
  <c r="N110" i="4"/>
  <c r="M110" i="4"/>
  <c r="O133" i="4"/>
  <c r="N133" i="4"/>
  <c r="M133" i="4"/>
  <c r="K133" i="4" s="1"/>
  <c r="O69" i="4"/>
  <c r="N69" i="4"/>
  <c r="M69" i="4"/>
  <c r="M92" i="4"/>
  <c r="O92" i="4"/>
  <c r="N92" i="4"/>
  <c r="M115" i="4"/>
  <c r="O115" i="4"/>
  <c r="N115" i="4"/>
  <c r="N130" i="4"/>
  <c r="M130" i="4"/>
  <c r="O130" i="4"/>
  <c r="N66" i="4"/>
  <c r="M66" i="4"/>
  <c r="O66" i="4"/>
  <c r="N89" i="4"/>
  <c r="M89" i="4"/>
  <c r="O89" i="4"/>
  <c r="O112" i="4"/>
  <c r="N112" i="4"/>
  <c r="M112" i="4"/>
  <c r="O87" i="4"/>
  <c r="N87" i="4"/>
  <c r="M87" i="4"/>
  <c r="K87" i="4" s="1"/>
  <c r="O4" i="4"/>
  <c r="N4" i="4"/>
  <c r="M4" i="4"/>
  <c r="O43" i="4"/>
  <c r="N43" i="4"/>
  <c r="M43" i="4"/>
  <c r="M58" i="4"/>
  <c r="N58" i="4"/>
  <c r="O58" i="4"/>
  <c r="O127" i="4"/>
  <c r="N127" i="4"/>
  <c r="M127" i="4"/>
  <c r="O119" i="4"/>
  <c r="N119" i="4"/>
  <c r="M119" i="4"/>
  <c r="K119" i="4" s="1"/>
  <c r="O62" i="4"/>
  <c r="N62" i="4"/>
  <c r="M62" i="4"/>
  <c r="N23" i="4"/>
  <c r="M23" i="4"/>
  <c r="K23" i="4" s="1"/>
  <c r="O23" i="4"/>
  <c r="O53" i="4"/>
  <c r="N53" i="4"/>
  <c r="M53" i="4"/>
  <c r="K53" i="4" s="1"/>
  <c r="O6" i="4"/>
  <c r="N6" i="4"/>
  <c r="M6" i="4"/>
  <c r="K20" i="4" l="1"/>
  <c r="K43" i="4"/>
  <c r="K95" i="4"/>
  <c r="K64" i="4"/>
  <c r="K149" i="4"/>
  <c r="K3" i="4"/>
  <c r="K29" i="4"/>
  <c r="K109" i="4"/>
  <c r="K10" i="4"/>
  <c r="K8" i="4"/>
  <c r="K127" i="4"/>
  <c r="K118" i="4"/>
  <c r="K38" i="4"/>
  <c r="K97" i="4"/>
  <c r="K120" i="4"/>
  <c r="K59" i="4"/>
  <c r="K89" i="4"/>
  <c r="K5" i="4"/>
  <c r="K146" i="4"/>
  <c r="K85" i="4"/>
  <c r="K47" i="4"/>
  <c r="K144" i="4"/>
  <c r="K142" i="4"/>
  <c r="K143" i="4"/>
  <c r="K106" i="4"/>
  <c r="K7" i="4"/>
  <c r="K46" i="4"/>
  <c r="K58" i="4"/>
  <c r="K115" i="4"/>
  <c r="K141" i="4"/>
  <c r="K135" i="4"/>
  <c r="K105" i="4"/>
  <c r="K18" i="4"/>
  <c r="K75" i="4"/>
  <c r="K63" i="4"/>
  <c r="K132" i="4"/>
  <c r="K49" i="4"/>
  <c r="K66" i="4"/>
  <c r="K123" i="4"/>
  <c r="K24" i="4"/>
  <c r="K28" i="4"/>
  <c r="K113" i="4"/>
  <c r="K26" i="4"/>
  <c r="K83" i="4"/>
  <c r="K73" i="4"/>
  <c r="K140" i="4"/>
  <c r="K50" i="4"/>
  <c r="K107" i="4"/>
  <c r="K112" i="4"/>
  <c r="K110" i="4"/>
  <c r="K51" i="4"/>
  <c r="K74" i="4"/>
  <c r="K131" i="4"/>
  <c r="K30" i="4"/>
  <c r="K72" i="4"/>
  <c r="K70" i="4"/>
  <c r="K32" i="4"/>
  <c r="K11" i="4"/>
  <c r="K36" i="4"/>
  <c r="K121" i="4"/>
  <c r="K34" i="4"/>
  <c r="K44" i="4"/>
  <c r="K91" i="4"/>
  <c r="K37" i="4"/>
  <c r="K52" i="4"/>
  <c r="K117" i="4"/>
  <c r="K56" i="4"/>
  <c r="K35" i="4"/>
  <c r="K145" i="4"/>
  <c r="K92" i="4"/>
  <c r="K9" i="4"/>
  <c r="K139" i="4"/>
  <c r="K42" i="4"/>
  <c r="K99" i="4"/>
  <c r="K6" i="4"/>
  <c r="K4" i="4"/>
  <c r="K130" i="4"/>
  <c r="K69" i="4"/>
  <c r="K31" i="4"/>
  <c r="K100" i="4"/>
  <c r="K17" i="4"/>
  <c r="K128" i="4"/>
  <c r="K126" i="4"/>
  <c r="K90" i="4"/>
  <c r="K147" i="4"/>
  <c r="K54" i="4"/>
  <c r="K88" i="4"/>
  <c r="K86" i="4"/>
  <c r="K48" i="4"/>
  <c r="K27" i="4"/>
  <c r="K137" i="4"/>
  <c r="K15" i="4"/>
  <c r="K84" i="4"/>
  <c r="K62" i="4"/>
  <c r="K103" i="4"/>
  <c r="K12" i="4"/>
  <c r="K138" i="4"/>
  <c r="K77" i="4"/>
  <c r="K39" i="4"/>
  <c r="K108" i="4"/>
  <c r="K25" i="4"/>
  <c r="K136" i="4"/>
  <c r="K134" i="4"/>
  <c r="K79" i="4"/>
  <c r="K98" i="4"/>
  <c r="K68" i="4"/>
  <c r="K96" i="4"/>
  <c r="K94" i="4"/>
  <c r="K22" i="4"/>
  <c r="K122" i="4"/>
  <c r="V6" i="4" l="1"/>
  <c r="S4" i="4"/>
  <c r="R42" i="4"/>
  <c r="U40" i="4"/>
  <c r="T40" i="4"/>
  <c r="S40" i="4"/>
  <c r="R40" i="4"/>
  <c r="U39" i="4"/>
  <c r="T39" i="4"/>
  <c r="S39" i="4"/>
  <c r="R39" i="4"/>
  <c r="U38" i="4"/>
  <c r="T38" i="4"/>
  <c r="S38" i="4"/>
  <c r="R38" i="4"/>
  <c r="V37" i="4"/>
  <c r="U37" i="4"/>
  <c r="T37" i="4"/>
  <c r="V36" i="4"/>
  <c r="U36" i="4"/>
  <c r="T36" i="4"/>
  <c r="V35" i="4"/>
  <c r="S35" i="4"/>
  <c r="R35" i="4"/>
  <c r="V34" i="4"/>
  <c r="S34" i="4"/>
  <c r="R34" i="4"/>
  <c r="R29" i="4"/>
  <c r="U27" i="4"/>
  <c r="T27" i="4"/>
  <c r="S27" i="4"/>
  <c r="R27" i="4"/>
  <c r="U26" i="4"/>
  <c r="T26" i="4"/>
  <c r="S26" i="4"/>
  <c r="R26" i="4"/>
  <c r="U25" i="4"/>
  <c r="T25" i="4"/>
  <c r="S25" i="4"/>
  <c r="R25" i="4"/>
  <c r="V24" i="4"/>
  <c r="U24" i="4"/>
  <c r="T24" i="4"/>
  <c r="V23" i="4"/>
  <c r="U23" i="4"/>
  <c r="T23" i="4"/>
  <c r="V22" i="4"/>
  <c r="S22" i="4"/>
  <c r="R22" i="4"/>
  <c r="V21" i="4"/>
  <c r="S21" i="4"/>
  <c r="R21" i="4"/>
  <c r="V19" i="4"/>
  <c r="R16" i="4"/>
  <c r="U14" i="4"/>
  <c r="T14" i="4"/>
  <c r="S14" i="4"/>
  <c r="R14" i="4"/>
  <c r="U13" i="4"/>
  <c r="T13" i="4"/>
  <c r="S13" i="4"/>
  <c r="R13" i="4"/>
  <c r="U12" i="4"/>
  <c r="T12" i="4"/>
  <c r="S12" i="4"/>
  <c r="R12" i="4"/>
  <c r="V11" i="4"/>
  <c r="U11" i="4"/>
  <c r="T11" i="4"/>
  <c r="V10" i="4"/>
  <c r="U10" i="4"/>
  <c r="T10" i="4"/>
  <c r="V9" i="4"/>
  <c r="S9" i="4"/>
  <c r="R9" i="4"/>
  <c r="V8" i="4"/>
  <c r="S8" i="4"/>
  <c r="R8" i="4"/>
  <c r="G10" i="4" a="1"/>
  <c r="G18" i="4" a="1"/>
  <c r="G26" i="4" a="1"/>
  <c r="G34" i="4" a="1"/>
  <c r="G42" i="4" a="1"/>
  <c r="G50" i="4" a="1"/>
  <c r="G58" i="4" a="1"/>
  <c r="G66" i="4" a="1"/>
  <c r="G74" i="4" a="1"/>
  <c r="G82" i="4" a="1"/>
  <c r="G90" i="4" a="1"/>
  <c r="G3" i="4" a="1"/>
  <c r="G11" i="4" a="1"/>
  <c r="G19" i="4" a="1"/>
  <c r="G27" i="4" a="1"/>
  <c r="G35" i="4" a="1"/>
  <c r="G43" i="4" a="1"/>
  <c r="G51" i="4" a="1"/>
  <c r="G59" i="4" a="1"/>
  <c r="G67" i="4" a="1"/>
  <c r="G75" i="4" a="1"/>
  <c r="G83" i="4" a="1"/>
  <c r="G4" i="4" a="1"/>
  <c r="G12" i="4" a="1"/>
  <c r="G20" i="4" a="1"/>
  <c r="G28" i="4" a="1"/>
  <c r="G36" i="4" a="1"/>
  <c r="G44" i="4" a="1"/>
  <c r="G52" i="4" a="1"/>
  <c r="G60" i="4" a="1"/>
  <c r="G68" i="4" a="1"/>
  <c r="G76" i="4" a="1"/>
  <c r="G84" i="4" a="1"/>
  <c r="G5" i="4" a="1"/>
  <c r="G13" i="4" a="1"/>
  <c r="G21" i="4" a="1"/>
  <c r="G29" i="4" a="1"/>
  <c r="G37" i="4" a="1"/>
  <c r="G45" i="4" a="1"/>
  <c r="G53" i="4" a="1"/>
  <c r="G61" i="4" a="1"/>
  <c r="G69" i="4" a="1"/>
  <c r="G77" i="4" a="1"/>
  <c r="G85" i="4" a="1"/>
  <c r="G6" i="4" a="1"/>
  <c r="G14" i="4" a="1"/>
  <c r="G22" i="4" a="1"/>
  <c r="G30" i="4" a="1"/>
  <c r="G38" i="4" a="1"/>
  <c r="G46" i="4" a="1"/>
  <c r="G54" i="4" a="1"/>
  <c r="G62" i="4" a="1"/>
  <c r="G70" i="4" a="1"/>
  <c r="G78" i="4" a="1"/>
  <c r="G86" i="4" a="1"/>
  <c r="G7" i="4" a="1"/>
  <c r="G15" i="4" a="1"/>
  <c r="G23" i="4" a="1"/>
  <c r="G31" i="4" a="1"/>
  <c r="G39" i="4" a="1"/>
  <c r="G47" i="4" a="1"/>
  <c r="G55" i="4" a="1"/>
  <c r="G63" i="4" a="1"/>
  <c r="G71" i="4" a="1"/>
  <c r="G79" i="4" a="1"/>
  <c r="G87" i="4" a="1"/>
  <c r="G9" i="4" a="1"/>
  <c r="G17" i="4" a="1"/>
  <c r="G25" i="4" a="1"/>
  <c r="G33" i="4" a="1"/>
  <c r="G41" i="4" a="1"/>
  <c r="G49" i="4" a="1"/>
  <c r="G57" i="4" a="1"/>
  <c r="G65" i="4" a="1"/>
  <c r="G73" i="4" a="1"/>
  <c r="G81" i="4" a="1"/>
  <c r="G89" i="4" a="1"/>
  <c r="G32" i="4" a="1"/>
  <c r="G95" i="4" a="1"/>
  <c r="G103" i="4" a="1"/>
  <c r="G111" i="4" a="1"/>
  <c r="G119" i="4" a="1"/>
  <c r="G127" i="4" a="1"/>
  <c r="G135" i="4" a="1"/>
  <c r="G143" i="4" a="1"/>
  <c r="G151" i="4" a="1"/>
  <c r="G91" i="4" a="1"/>
  <c r="G133" i="4" a="1"/>
  <c r="G40" i="4" a="1"/>
  <c r="G96" i="4" a="1"/>
  <c r="G104" i="4" a="1"/>
  <c r="G112" i="4" a="1"/>
  <c r="G120" i="4" a="1"/>
  <c r="G128" i="4" a="1"/>
  <c r="G136" i="4" a="1"/>
  <c r="G144" i="4" a="1"/>
  <c r="G48" i="4" a="1"/>
  <c r="G97" i="4" a="1"/>
  <c r="G105" i="4" a="1"/>
  <c r="G113" i="4" a="1"/>
  <c r="G121" i="4" a="1"/>
  <c r="G129" i="4" a="1"/>
  <c r="G137" i="4" a="1"/>
  <c r="G145" i="4" a="1"/>
  <c r="G101" i="4" a="1"/>
  <c r="G109" i="4" a="1"/>
  <c r="G56" i="4" a="1"/>
  <c r="G98" i="4" a="1"/>
  <c r="G106" i="4" a="1"/>
  <c r="G114" i="4" a="1"/>
  <c r="G122" i="4" a="1"/>
  <c r="G130" i="4" a="1"/>
  <c r="G138" i="4" a="1"/>
  <c r="G146" i="4" a="1"/>
  <c r="G16" i="4" a="1"/>
  <c r="G141" i="4" a="1"/>
  <c r="G149" i="4" a="1"/>
  <c r="G64" i="4" a="1"/>
  <c r="G99" i="4" a="1"/>
  <c r="G107" i="4" a="1"/>
  <c r="G115" i="4" a="1"/>
  <c r="G123" i="4" a="1"/>
  <c r="G131" i="4" a="1"/>
  <c r="G139" i="4" a="1"/>
  <c r="G147" i="4" a="1"/>
  <c r="G93" i="4" a="1"/>
  <c r="G117" i="4" a="1"/>
  <c r="G8" i="4" a="1"/>
  <c r="G72" i="4" a="1"/>
  <c r="G92" i="4" a="1"/>
  <c r="G100" i="4" a="1"/>
  <c r="G108" i="4" a="1"/>
  <c r="G116" i="4" a="1"/>
  <c r="G124" i="4" a="1"/>
  <c r="G132" i="4" a="1"/>
  <c r="G140" i="4" a="1"/>
  <c r="G148" i="4" a="1"/>
  <c r="G24" i="4" a="1"/>
  <c r="G88" i="4" a="1"/>
  <c r="G94" i="4" a="1"/>
  <c r="G102" i="4" a="1"/>
  <c r="G110" i="4" a="1"/>
  <c r="G118" i="4" a="1"/>
  <c r="G126" i="4" a="1"/>
  <c r="G134" i="4" a="1"/>
  <c r="G142" i="4" a="1"/>
  <c r="G150" i="4" a="1"/>
  <c r="G80" i="4" a="1"/>
  <c r="G125" i="4" a="1"/>
  <c r="G2" i="4" a="1"/>
  <c r="G125" i="4" l="1"/>
  <c r="G80" i="4"/>
  <c r="G150" i="4"/>
  <c r="G142" i="4"/>
  <c r="G134" i="4"/>
  <c r="G126" i="4"/>
  <c r="G118" i="4"/>
  <c r="G110" i="4"/>
  <c r="G102" i="4"/>
  <c r="G94" i="4"/>
  <c r="G88" i="4"/>
  <c r="G24" i="4"/>
  <c r="G148" i="4"/>
  <c r="G140" i="4"/>
  <c r="G132" i="4"/>
  <c r="G124" i="4"/>
  <c r="G116" i="4"/>
  <c r="G108" i="4"/>
  <c r="G100" i="4"/>
  <c r="G92" i="4"/>
  <c r="G72" i="4"/>
  <c r="G8" i="4"/>
  <c r="G117" i="4"/>
  <c r="G93" i="4"/>
  <c r="G147" i="4"/>
  <c r="G139" i="4"/>
  <c r="G131" i="4"/>
  <c r="G123" i="4"/>
  <c r="G115" i="4"/>
  <c r="G107" i="4"/>
  <c r="G99" i="4"/>
  <c r="G64" i="4"/>
  <c r="G149" i="4"/>
  <c r="G141" i="4"/>
  <c r="G16" i="4"/>
  <c r="G146" i="4"/>
  <c r="G138" i="4"/>
  <c r="G130" i="4"/>
  <c r="G122" i="4"/>
  <c r="G114" i="4"/>
  <c r="G106" i="4"/>
  <c r="G98" i="4"/>
  <c r="G56" i="4"/>
  <c r="G109" i="4"/>
  <c r="G101" i="4"/>
  <c r="G145" i="4"/>
  <c r="G137" i="4"/>
  <c r="G129" i="4"/>
  <c r="G121" i="4"/>
  <c r="G113" i="4"/>
  <c r="G105" i="4"/>
  <c r="G97" i="4"/>
  <c r="G48" i="4"/>
  <c r="G144" i="4"/>
  <c r="G136" i="4"/>
  <c r="G128" i="4"/>
  <c r="G120" i="4"/>
  <c r="G112" i="4"/>
  <c r="G104" i="4"/>
  <c r="G96" i="4"/>
  <c r="G40" i="4"/>
  <c r="G133" i="4"/>
  <c r="G91" i="4"/>
  <c r="G151" i="4"/>
  <c r="G143" i="4"/>
  <c r="G135" i="4"/>
  <c r="G127" i="4"/>
  <c r="G119" i="4"/>
  <c r="G111" i="4"/>
  <c r="G103" i="4"/>
  <c r="G95" i="4"/>
  <c r="G32" i="4"/>
  <c r="G89" i="4"/>
  <c r="G81" i="4"/>
  <c r="G73" i="4"/>
  <c r="G65" i="4"/>
  <c r="G57" i="4"/>
  <c r="G49" i="4"/>
  <c r="G41" i="4"/>
  <c r="G33" i="4"/>
  <c r="G25" i="4"/>
  <c r="G17" i="4"/>
  <c r="G9" i="4"/>
  <c r="G87" i="4"/>
  <c r="G79" i="4"/>
  <c r="G71" i="4"/>
  <c r="G63" i="4"/>
  <c r="G55" i="4"/>
  <c r="G47" i="4"/>
  <c r="G39" i="4"/>
  <c r="G31" i="4"/>
  <c r="G23" i="4"/>
  <c r="G15" i="4"/>
  <c r="G7" i="4"/>
  <c r="G86" i="4"/>
  <c r="G78" i="4"/>
  <c r="G70" i="4"/>
  <c r="G62" i="4"/>
  <c r="G54" i="4"/>
  <c r="G46" i="4"/>
  <c r="G38" i="4"/>
  <c r="G30" i="4"/>
  <c r="G22" i="4"/>
  <c r="G14" i="4"/>
  <c r="G6" i="4"/>
  <c r="G85" i="4"/>
  <c r="G77" i="4"/>
  <c r="G69" i="4"/>
  <c r="G61" i="4"/>
  <c r="G53" i="4"/>
  <c r="G45" i="4"/>
  <c r="G37" i="4"/>
  <c r="G29" i="4"/>
  <c r="G21" i="4"/>
  <c r="G13" i="4"/>
  <c r="G5" i="4"/>
  <c r="G84" i="4"/>
  <c r="G76" i="4"/>
  <c r="G68" i="4"/>
  <c r="G60" i="4"/>
  <c r="G52" i="4"/>
  <c r="G44" i="4"/>
  <c r="G36" i="4"/>
  <c r="G28" i="4"/>
  <c r="G20" i="4"/>
  <c r="G12" i="4"/>
  <c r="G4" i="4"/>
  <c r="G83" i="4"/>
  <c r="G75" i="4"/>
  <c r="G67" i="4"/>
  <c r="G59" i="4"/>
  <c r="G51" i="4"/>
  <c r="G43" i="4"/>
  <c r="G35" i="4"/>
  <c r="G27" i="4"/>
  <c r="G19" i="4"/>
  <c r="G11" i="4"/>
  <c r="G3" i="4"/>
  <c r="G90" i="4"/>
  <c r="G82" i="4"/>
  <c r="G74" i="4"/>
  <c r="G66" i="4"/>
  <c r="G58" i="4"/>
  <c r="G50" i="4"/>
  <c r="G42" i="4"/>
  <c r="G34" i="4"/>
  <c r="G26" i="4"/>
  <c r="G18" i="4"/>
  <c r="G10" i="4"/>
  <c r="G2" i="4"/>
  <c r="V32" i="4"/>
  <c r="H2" i="4" a="1"/>
  <c r="I2" i="4" a="1"/>
  <c r="J2" i="4" a="1"/>
  <c r="J125" i="4" a="1"/>
  <c r="I125" i="4" a="1"/>
  <c r="H125" i="4" a="1"/>
  <c r="J102" i="4" a="1"/>
  <c r="I102" i="4" a="1"/>
  <c r="H102" i="4" a="1"/>
  <c r="H116" i="4" a="1"/>
  <c r="J116" i="4" a="1"/>
  <c r="I116" i="4" a="1"/>
  <c r="H147" i="4" a="1"/>
  <c r="J147" i="4" a="1"/>
  <c r="I147" i="4" a="1"/>
  <c r="J149" i="4" a="1"/>
  <c r="I149" i="4" a="1"/>
  <c r="H149" i="4" a="1"/>
  <c r="I106" i="4" a="1"/>
  <c r="H106" i="4" a="1"/>
  <c r="J106" i="4" a="1"/>
  <c r="I121" i="4" a="1"/>
  <c r="H121" i="4" a="1"/>
  <c r="J121" i="4" a="1"/>
  <c r="J120" i="4" a="1"/>
  <c r="I120" i="4" a="1"/>
  <c r="H120" i="4" a="1"/>
  <c r="J143" i="4" a="1"/>
  <c r="I143" i="4" a="1"/>
  <c r="H143" i="4" a="1"/>
  <c r="J89" i="4" a="1"/>
  <c r="I89" i="4" a="1"/>
  <c r="H89" i="4" a="1"/>
  <c r="J25" i="4" a="1"/>
  <c r="I25" i="4" a="1"/>
  <c r="H25" i="4" a="1"/>
  <c r="H47" i="4" a="1"/>
  <c r="J47" i="4" a="1"/>
  <c r="I47" i="4" a="1"/>
  <c r="H70" i="4" a="1"/>
  <c r="J70" i="4" a="1"/>
  <c r="I70" i="4" a="1"/>
  <c r="H6" i="4" a="1"/>
  <c r="J6" i="4" a="1"/>
  <c r="I6" i="4" a="1"/>
  <c r="I29" i="4" a="1"/>
  <c r="H29" i="4" a="1"/>
  <c r="J29" i="4" a="1"/>
  <c r="I52" i="4" a="1"/>
  <c r="H52" i="4" a="1"/>
  <c r="J52" i="4" a="1"/>
  <c r="J75" i="4" a="1"/>
  <c r="I75" i="4" a="1"/>
  <c r="H75" i="4" a="1"/>
  <c r="J11" i="4" a="1"/>
  <c r="I11" i="4" a="1"/>
  <c r="H11" i="4" a="1"/>
  <c r="J42" i="4" a="1"/>
  <c r="I42" i="4" a="1"/>
  <c r="H42" i="4" a="1"/>
  <c r="J80" i="4" a="1"/>
  <c r="I80" i="4" a="1"/>
  <c r="H80" i="4" a="1"/>
  <c r="J94" i="4" a="1"/>
  <c r="I94" i="4" a="1"/>
  <c r="H94" i="4" a="1"/>
  <c r="H108" i="4" a="1"/>
  <c r="J108" i="4" a="1"/>
  <c r="I108" i="4" a="1"/>
  <c r="H139" i="4" a="1"/>
  <c r="J139" i="4" a="1"/>
  <c r="I139" i="4" a="1"/>
  <c r="J141" i="4" a="1"/>
  <c r="I141" i="4" a="1"/>
  <c r="H141" i="4" a="1"/>
  <c r="I98" i="4" a="1"/>
  <c r="H98" i="4" a="1"/>
  <c r="J98" i="4" a="1"/>
  <c r="H113" i="4" a="1"/>
  <c r="I113" i="4" a="1"/>
  <c r="J113" i="4" a="1"/>
  <c r="J112" i="4" a="1"/>
  <c r="I112" i="4" a="1"/>
  <c r="H112" i="4" a="1"/>
  <c r="J135" i="4" a="1"/>
  <c r="I135" i="4" a="1"/>
  <c r="H135" i="4" a="1"/>
  <c r="J81" i="4" a="1"/>
  <c r="I81" i="4" a="1"/>
  <c r="H81" i="4" a="1"/>
  <c r="J17" i="4" a="1"/>
  <c r="I17" i="4" a="1"/>
  <c r="H17" i="4" a="1"/>
  <c r="H39" i="4" a="1"/>
  <c r="J39" i="4" a="1"/>
  <c r="I39" i="4" a="1"/>
  <c r="H62" i="4" a="1"/>
  <c r="J62" i="4" a="1"/>
  <c r="I62" i="4" a="1"/>
  <c r="I85" i="4" a="1"/>
  <c r="H85" i="4" a="1"/>
  <c r="J85" i="4" a="1"/>
  <c r="I21" i="4" a="1"/>
  <c r="H21" i="4" a="1"/>
  <c r="J21" i="4" a="1"/>
  <c r="I44" i="4" a="1"/>
  <c r="H44" i="4" a="1"/>
  <c r="J44" i="4" a="1"/>
  <c r="J67" i="4" a="1"/>
  <c r="I67" i="4" a="1"/>
  <c r="H67" i="4" a="1"/>
  <c r="J3" i="4" a="1"/>
  <c r="I3" i="4" a="1"/>
  <c r="H3" i="4" a="1"/>
  <c r="J34" i="4" a="1"/>
  <c r="I34" i="4" a="1"/>
  <c r="H34" i="4" a="1"/>
  <c r="J150" i="4" a="1"/>
  <c r="I150" i="4" a="1"/>
  <c r="H150" i="4" a="1"/>
  <c r="J88" i="4" a="1"/>
  <c r="I88" i="4" a="1"/>
  <c r="H88" i="4" a="1"/>
  <c r="H100" i="4" a="1"/>
  <c r="J100" i="4" a="1"/>
  <c r="I100" i="4" a="1"/>
  <c r="H131" i="4" a="1"/>
  <c r="J131" i="4" a="1"/>
  <c r="I131" i="4" a="1"/>
  <c r="J16" i="4" a="1"/>
  <c r="I16" i="4" a="1"/>
  <c r="H16" i="4" a="1"/>
  <c r="J56" i="4" a="1"/>
  <c r="I56" i="4" a="1"/>
  <c r="H56" i="4" a="1"/>
  <c r="I105" i="4" a="1"/>
  <c r="H105" i="4" a="1"/>
  <c r="J105" i="4" a="1"/>
  <c r="J104" i="4" a="1"/>
  <c r="I104" i="4" a="1"/>
  <c r="H104" i="4" a="1"/>
  <c r="I127" i="4" a="1"/>
  <c r="J127" i="4" a="1"/>
  <c r="H127" i="4" a="1"/>
  <c r="J73" i="4" a="1"/>
  <c r="I73" i="4" a="1"/>
  <c r="H73" i="4" a="1"/>
  <c r="J9" i="4" a="1"/>
  <c r="I9" i="4" a="1"/>
  <c r="H9" i="4" a="1"/>
  <c r="H31" i="4" a="1"/>
  <c r="J31" i="4" a="1"/>
  <c r="I31" i="4" a="1"/>
  <c r="H54" i="4" a="1"/>
  <c r="J54" i="4" a="1"/>
  <c r="I54" i="4" a="1"/>
  <c r="I77" i="4" a="1"/>
  <c r="H77" i="4" a="1"/>
  <c r="J77" i="4" a="1"/>
  <c r="I13" i="4" a="1"/>
  <c r="H13" i="4" a="1"/>
  <c r="J13" i="4" a="1"/>
  <c r="I36" i="4" a="1"/>
  <c r="H36" i="4" a="1"/>
  <c r="J36" i="4" a="1"/>
  <c r="J59" i="4" a="1"/>
  <c r="I59" i="4" a="1"/>
  <c r="H59" i="4" a="1"/>
  <c r="J90" i="4" a="1"/>
  <c r="I90" i="4" a="1"/>
  <c r="H90" i="4" a="1"/>
  <c r="J26" i="4" a="1"/>
  <c r="I26" i="4" a="1"/>
  <c r="H26" i="4" a="1"/>
  <c r="J142" i="4" a="1"/>
  <c r="I142" i="4" a="1"/>
  <c r="H142" i="4" a="1"/>
  <c r="J24" i="4" a="1"/>
  <c r="I24" i="4" a="1"/>
  <c r="H24" i="4" a="1"/>
  <c r="H92" i="4" a="1"/>
  <c r="J92" i="4" a="1"/>
  <c r="I92" i="4" a="1"/>
  <c r="H123" i="4" a="1"/>
  <c r="J123" i="4" a="1"/>
  <c r="I123" i="4" a="1"/>
  <c r="I146" i="4" a="1"/>
  <c r="H146" i="4" a="1"/>
  <c r="J146" i="4" a="1"/>
  <c r="J109" i="4" a="1"/>
  <c r="I109" i="4" a="1"/>
  <c r="H109" i="4" a="1"/>
  <c r="I97" i="4" a="1"/>
  <c r="H97" i="4" a="1"/>
  <c r="J97" i="4" a="1"/>
  <c r="J96" i="4" a="1"/>
  <c r="I96" i="4" a="1"/>
  <c r="H96" i="4" a="1"/>
  <c r="I119" i="4" a="1"/>
  <c r="J119" i="4" a="1"/>
  <c r="H119" i="4" a="1"/>
  <c r="J65" i="4" a="1"/>
  <c r="I65" i="4" a="1"/>
  <c r="H65" i="4" a="1"/>
  <c r="H87" i="4" a="1"/>
  <c r="J87" i="4" a="1"/>
  <c r="I87" i="4" a="1"/>
  <c r="H23" i="4" a="1"/>
  <c r="J23" i="4" a="1"/>
  <c r="I23" i="4" a="1"/>
  <c r="H46" i="4" a="1"/>
  <c r="J46" i="4" a="1"/>
  <c r="I46" i="4" a="1"/>
  <c r="I69" i="4" a="1"/>
  <c r="H69" i="4" a="1"/>
  <c r="J69" i="4" a="1"/>
  <c r="I5" i="4" a="1"/>
  <c r="H5" i="4" a="1"/>
  <c r="J5" i="4" a="1"/>
  <c r="I28" i="4" a="1"/>
  <c r="H28" i="4" a="1"/>
  <c r="J28" i="4" a="1"/>
  <c r="J51" i="4" a="1"/>
  <c r="I51" i="4" a="1"/>
  <c r="H51" i="4" a="1"/>
  <c r="J82" i="4" a="1"/>
  <c r="I82" i="4" a="1"/>
  <c r="H82" i="4" a="1"/>
  <c r="J18" i="4" a="1"/>
  <c r="I18" i="4" a="1"/>
  <c r="H18" i="4" a="1"/>
  <c r="J134" i="4" a="1"/>
  <c r="I134" i="4" a="1"/>
  <c r="H134" i="4" a="1"/>
  <c r="H148" i="4" a="1"/>
  <c r="J148" i="4" a="1"/>
  <c r="I148" i="4" a="1"/>
  <c r="J72" i="4" a="1"/>
  <c r="I72" i="4" a="1"/>
  <c r="H72" i="4" a="1"/>
  <c r="H115" i="4" a="1"/>
  <c r="J115" i="4" a="1"/>
  <c r="I115" i="4" a="1"/>
  <c r="I138" i="4" a="1"/>
  <c r="H138" i="4" a="1"/>
  <c r="J138" i="4" a="1"/>
  <c r="J101" i="4" a="1"/>
  <c r="I101" i="4" a="1"/>
  <c r="H101" i="4" a="1"/>
  <c r="J48" i="4" a="1"/>
  <c r="I48" i="4" a="1"/>
  <c r="H48" i="4" a="1"/>
  <c r="J40" i="4" a="1"/>
  <c r="I40" i="4" a="1"/>
  <c r="H40" i="4" a="1"/>
  <c r="I111" i="4" a="1"/>
  <c r="J111" i="4" a="1"/>
  <c r="H111" i="4" a="1"/>
  <c r="J57" i="4" a="1"/>
  <c r="I57" i="4" a="1"/>
  <c r="H57" i="4" a="1"/>
  <c r="H79" i="4" a="1"/>
  <c r="J79" i="4" a="1"/>
  <c r="I79" i="4" a="1"/>
  <c r="H15" i="4" a="1"/>
  <c r="J15" i="4" a="1"/>
  <c r="I15" i="4" a="1"/>
  <c r="H38" i="4" a="1"/>
  <c r="J38" i="4" a="1"/>
  <c r="I38" i="4" a="1"/>
  <c r="I61" i="4" a="1"/>
  <c r="H61" i="4" a="1"/>
  <c r="J61" i="4" a="1"/>
  <c r="I84" i="4" a="1"/>
  <c r="H84" i="4" a="1"/>
  <c r="J84" i="4" a="1"/>
  <c r="I20" i="4" a="1"/>
  <c r="H20" i="4" a="1"/>
  <c r="J20" i="4" a="1"/>
  <c r="J43" i="4" a="1"/>
  <c r="I43" i="4" a="1"/>
  <c r="H43" i="4" a="1"/>
  <c r="J74" i="4" a="1"/>
  <c r="I74" i="4" a="1"/>
  <c r="H74" i="4" a="1"/>
  <c r="J10" i="4" a="1"/>
  <c r="I10" i="4" a="1"/>
  <c r="H10" i="4" a="1"/>
  <c r="J126" i="4" a="1"/>
  <c r="I126" i="4" a="1"/>
  <c r="H126" i="4" a="1"/>
  <c r="H140" i="4" a="1"/>
  <c r="J140" i="4" a="1"/>
  <c r="I140" i="4" a="1"/>
  <c r="J8" i="4" a="1"/>
  <c r="I8" i="4" a="1"/>
  <c r="H8" i="4" a="1"/>
  <c r="H107" i="4" a="1"/>
  <c r="J107" i="4" a="1"/>
  <c r="I107" i="4" a="1"/>
  <c r="I130" i="4" a="1"/>
  <c r="H130" i="4" a="1"/>
  <c r="J130" i="4" a="1"/>
  <c r="H145" i="4" a="1"/>
  <c r="I145" i="4" a="1"/>
  <c r="J145" i="4" a="1"/>
  <c r="J144" i="4" a="1"/>
  <c r="I144" i="4" a="1"/>
  <c r="H144" i="4" a="1"/>
  <c r="J133" i="4" a="1"/>
  <c r="I133" i="4" a="1"/>
  <c r="H133" i="4" a="1"/>
  <c r="I103" i="4" a="1"/>
  <c r="J103" i="4" a="1"/>
  <c r="H103" i="4" a="1"/>
  <c r="J49" i="4" a="1"/>
  <c r="I49" i="4" a="1"/>
  <c r="H49" i="4" a="1"/>
  <c r="H71" i="4" a="1"/>
  <c r="J71" i="4" a="1"/>
  <c r="I71" i="4" a="1"/>
  <c r="H7" i="4" a="1"/>
  <c r="J7" i="4" a="1"/>
  <c r="I7" i="4" a="1"/>
  <c r="H30" i="4" a="1"/>
  <c r="J30" i="4" a="1"/>
  <c r="I30" i="4" a="1"/>
  <c r="I53" i="4" a="1"/>
  <c r="H53" i="4" a="1"/>
  <c r="J53" i="4" a="1"/>
  <c r="I76" i="4" a="1"/>
  <c r="H76" i="4" a="1"/>
  <c r="J76" i="4" a="1"/>
  <c r="I12" i="4" a="1"/>
  <c r="H12" i="4" a="1"/>
  <c r="J12" i="4" a="1"/>
  <c r="J35" i="4" a="1"/>
  <c r="I35" i="4" a="1"/>
  <c r="H35" i="4" a="1"/>
  <c r="J66" i="4" a="1"/>
  <c r="I66" i="4" a="1"/>
  <c r="H66" i="4" a="1"/>
  <c r="J118" i="4" a="1"/>
  <c r="I118" i="4" a="1"/>
  <c r="H118" i="4" a="1"/>
  <c r="H132" i="4" a="1"/>
  <c r="J132" i="4" a="1"/>
  <c r="I132" i="4" a="1"/>
  <c r="J117" i="4" a="1"/>
  <c r="I117" i="4" a="1"/>
  <c r="H117" i="4" a="1"/>
  <c r="H99" i="4" a="1"/>
  <c r="J99" i="4" a="1"/>
  <c r="I99" i="4" a="1"/>
  <c r="I122" i="4" a="1"/>
  <c r="H122" i="4" a="1"/>
  <c r="J122" i="4" a="1"/>
  <c r="H137" i="4" a="1"/>
  <c r="I137" i="4" a="1"/>
  <c r="J137" i="4" a="1"/>
  <c r="J136" i="4" a="1"/>
  <c r="I136" i="4" a="1"/>
  <c r="H136" i="4" a="1"/>
  <c r="I91" i="4" a="1"/>
  <c r="H91" i="4" a="1"/>
  <c r="J91" i="4" a="1"/>
  <c r="I95" i="4" a="1"/>
  <c r="H95" i="4" a="1"/>
  <c r="J95" i="4" a="1"/>
  <c r="J41" i="4" a="1"/>
  <c r="I41" i="4" a="1"/>
  <c r="H41" i="4" a="1"/>
  <c r="H63" i="4" a="1"/>
  <c r="J63" i="4" a="1"/>
  <c r="I63" i="4" a="1"/>
  <c r="H86" i="4" a="1"/>
  <c r="J86" i="4" a="1"/>
  <c r="I86" i="4" a="1"/>
  <c r="H22" i="4" a="1"/>
  <c r="J22" i="4" a="1"/>
  <c r="I22" i="4" a="1"/>
  <c r="I45" i="4" a="1"/>
  <c r="H45" i="4" a="1"/>
  <c r="J45" i="4" a="1"/>
  <c r="I68" i="4" a="1"/>
  <c r="H68" i="4" a="1"/>
  <c r="J68" i="4" a="1"/>
  <c r="I4" i="4" a="1"/>
  <c r="H4" i="4" a="1"/>
  <c r="J4" i="4" a="1"/>
  <c r="J27" i="4" a="1"/>
  <c r="I27" i="4" a="1"/>
  <c r="H27" i="4" a="1"/>
  <c r="J58" i="4" a="1"/>
  <c r="I58" i="4" a="1"/>
  <c r="H58" i="4" a="1"/>
  <c r="J110" i="4" a="1"/>
  <c r="I110" i="4" a="1"/>
  <c r="H110" i="4" a="1"/>
  <c r="H124" i="4" a="1"/>
  <c r="J124" i="4" a="1"/>
  <c r="I124" i="4" a="1"/>
  <c r="J93" i="4" a="1"/>
  <c r="I93" i="4" a="1"/>
  <c r="H93" i="4" a="1"/>
  <c r="J64" i="4" a="1"/>
  <c r="I64" i="4" a="1"/>
  <c r="H64" i="4" a="1"/>
  <c r="I114" i="4" a="1"/>
  <c r="H114" i="4" a="1"/>
  <c r="J114" i="4" a="1"/>
  <c r="I129" i="4" a="1"/>
  <c r="H129" i="4" a="1"/>
  <c r="J129" i="4" a="1"/>
  <c r="J128" i="4" a="1"/>
  <c r="I128" i="4" a="1"/>
  <c r="H128" i="4" a="1"/>
  <c r="J151" i="4" a="1"/>
  <c r="H151" i="4" a="1"/>
  <c r="I151" i="4" a="1"/>
  <c r="J32" i="4" a="1"/>
  <c r="I32" i="4" a="1"/>
  <c r="H32" i="4" a="1"/>
  <c r="J33" i="4" a="1"/>
  <c r="I33" i="4" a="1"/>
  <c r="H33" i="4" a="1"/>
  <c r="H55" i="4" a="1"/>
  <c r="J55" i="4" a="1"/>
  <c r="I55" i="4" a="1"/>
  <c r="H78" i="4" a="1"/>
  <c r="J78" i="4" a="1"/>
  <c r="I78" i="4" a="1"/>
  <c r="H14" i="4" a="1"/>
  <c r="J14" i="4" a="1"/>
  <c r="I14" i="4" a="1"/>
  <c r="I37" i="4" a="1"/>
  <c r="H37" i="4" a="1"/>
  <c r="J37" i="4" a="1"/>
  <c r="I60" i="4" a="1"/>
  <c r="H60" i="4" a="1"/>
  <c r="J60" i="4" a="1"/>
  <c r="J83" i="4" a="1"/>
  <c r="I83" i="4" a="1"/>
  <c r="H83" i="4" a="1"/>
  <c r="J19" i="4" a="1"/>
  <c r="I19" i="4" a="1"/>
  <c r="H19" i="4" a="1"/>
  <c r="J50" i="4" a="1"/>
  <c r="I50" i="4" a="1"/>
  <c r="H50" i="4" a="1"/>
  <c r="J2" i="4" l="1"/>
  <c r="I2" i="4"/>
  <c r="H2" i="4"/>
  <c r="H50" i="4"/>
  <c r="I50" i="4"/>
  <c r="J50" i="4"/>
  <c r="H19" i="4"/>
  <c r="I19" i="4"/>
  <c r="J19" i="4"/>
  <c r="H83" i="4"/>
  <c r="I83" i="4"/>
  <c r="J83" i="4"/>
  <c r="J60" i="4"/>
  <c r="H60" i="4"/>
  <c r="I60" i="4"/>
  <c r="J37" i="4"/>
  <c r="H37" i="4"/>
  <c r="I37" i="4"/>
  <c r="I14" i="4"/>
  <c r="J14" i="4"/>
  <c r="H14" i="4"/>
  <c r="I78" i="4"/>
  <c r="J78" i="4"/>
  <c r="H78" i="4"/>
  <c r="I55" i="4"/>
  <c r="J55" i="4"/>
  <c r="H55" i="4"/>
  <c r="F55" i="4" s="1"/>
  <c r="H33" i="4"/>
  <c r="I33" i="4"/>
  <c r="J33" i="4"/>
  <c r="H32" i="4"/>
  <c r="I32" i="4"/>
  <c r="J32" i="4"/>
  <c r="I151" i="4"/>
  <c r="H151" i="4"/>
  <c r="J151" i="4"/>
  <c r="H128" i="4"/>
  <c r="I128" i="4"/>
  <c r="J128" i="4"/>
  <c r="J129" i="4"/>
  <c r="H129" i="4"/>
  <c r="I129" i="4"/>
  <c r="J114" i="4"/>
  <c r="H114" i="4"/>
  <c r="I114" i="4"/>
  <c r="H64" i="4"/>
  <c r="I64" i="4"/>
  <c r="J64" i="4"/>
  <c r="H93" i="4"/>
  <c r="I93" i="4"/>
  <c r="J93" i="4"/>
  <c r="I124" i="4"/>
  <c r="J124" i="4"/>
  <c r="H124" i="4"/>
  <c r="H110" i="4"/>
  <c r="I110" i="4"/>
  <c r="J110" i="4"/>
  <c r="H58" i="4"/>
  <c r="I58" i="4"/>
  <c r="J58" i="4"/>
  <c r="H27" i="4"/>
  <c r="I27" i="4"/>
  <c r="J27" i="4"/>
  <c r="J4" i="4"/>
  <c r="H4" i="4"/>
  <c r="I4" i="4"/>
  <c r="J68" i="4"/>
  <c r="H68" i="4"/>
  <c r="I68" i="4"/>
  <c r="J45" i="4"/>
  <c r="H45" i="4"/>
  <c r="I45" i="4"/>
  <c r="I22" i="4"/>
  <c r="J22" i="4"/>
  <c r="H22" i="4"/>
  <c r="F22" i="4" s="1"/>
  <c r="I86" i="4"/>
  <c r="J86" i="4"/>
  <c r="H86" i="4"/>
  <c r="I63" i="4"/>
  <c r="J63" i="4"/>
  <c r="H63" i="4"/>
  <c r="H41" i="4"/>
  <c r="I41" i="4"/>
  <c r="J41" i="4"/>
  <c r="J95" i="4"/>
  <c r="H95" i="4"/>
  <c r="I95" i="4"/>
  <c r="J91" i="4"/>
  <c r="H91" i="4"/>
  <c r="I91" i="4"/>
  <c r="H136" i="4"/>
  <c r="I136" i="4"/>
  <c r="J136" i="4"/>
  <c r="J137" i="4"/>
  <c r="I137" i="4"/>
  <c r="H137" i="4"/>
  <c r="J122" i="4"/>
  <c r="H122" i="4"/>
  <c r="I122" i="4"/>
  <c r="I99" i="4"/>
  <c r="J99" i="4"/>
  <c r="H99" i="4"/>
  <c r="H117" i="4"/>
  <c r="I117" i="4"/>
  <c r="J117" i="4"/>
  <c r="I132" i="4"/>
  <c r="J132" i="4"/>
  <c r="H132" i="4"/>
  <c r="H118" i="4"/>
  <c r="I118" i="4"/>
  <c r="J118" i="4"/>
  <c r="H66" i="4"/>
  <c r="F66" i="4" s="1"/>
  <c r="I66" i="4"/>
  <c r="J66" i="4"/>
  <c r="H35" i="4"/>
  <c r="I35" i="4"/>
  <c r="J35" i="4"/>
  <c r="J12" i="4"/>
  <c r="H12" i="4"/>
  <c r="I12" i="4"/>
  <c r="J76" i="4"/>
  <c r="H76" i="4"/>
  <c r="I76" i="4"/>
  <c r="J53" i="4"/>
  <c r="H53" i="4"/>
  <c r="I53" i="4"/>
  <c r="I30" i="4"/>
  <c r="J30" i="4"/>
  <c r="H30" i="4"/>
  <c r="I7" i="4"/>
  <c r="J7" i="4"/>
  <c r="H7" i="4"/>
  <c r="I71" i="4"/>
  <c r="J71" i="4"/>
  <c r="H71" i="4"/>
  <c r="H49" i="4"/>
  <c r="I49" i="4"/>
  <c r="J49" i="4"/>
  <c r="H103" i="4"/>
  <c r="J103" i="4"/>
  <c r="I103" i="4"/>
  <c r="H133" i="4"/>
  <c r="I133" i="4"/>
  <c r="J133" i="4"/>
  <c r="H144" i="4"/>
  <c r="I144" i="4"/>
  <c r="J144" i="4"/>
  <c r="J145" i="4"/>
  <c r="I145" i="4"/>
  <c r="H145" i="4"/>
  <c r="J130" i="4"/>
  <c r="H130" i="4"/>
  <c r="I130" i="4"/>
  <c r="I107" i="4"/>
  <c r="J107" i="4"/>
  <c r="H107" i="4"/>
  <c r="H8" i="4"/>
  <c r="I8" i="4"/>
  <c r="J8" i="4"/>
  <c r="I140" i="4"/>
  <c r="J140" i="4"/>
  <c r="H140" i="4"/>
  <c r="H126" i="4"/>
  <c r="I126" i="4"/>
  <c r="J126" i="4"/>
  <c r="H10" i="4"/>
  <c r="I10" i="4"/>
  <c r="J10" i="4"/>
  <c r="H74" i="4"/>
  <c r="I74" i="4"/>
  <c r="J74" i="4"/>
  <c r="H43" i="4"/>
  <c r="I43" i="4"/>
  <c r="J43" i="4"/>
  <c r="J20" i="4"/>
  <c r="H20" i="4"/>
  <c r="I20" i="4"/>
  <c r="J84" i="4"/>
  <c r="H84" i="4"/>
  <c r="I84" i="4"/>
  <c r="J61" i="4"/>
  <c r="H61" i="4"/>
  <c r="I61" i="4"/>
  <c r="I38" i="4"/>
  <c r="J38" i="4"/>
  <c r="H38" i="4"/>
  <c r="I15" i="4"/>
  <c r="J15" i="4"/>
  <c r="H15" i="4"/>
  <c r="I79" i="4"/>
  <c r="J79" i="4"/>
  <c r="H79" i="4"/>
  <c r="H57" i="4"/>
  <c r="I57" i="4"/>
  <c r="J57" i="4"/>
  <c r="H111" i="4"/>
  <c r="J111" i="4"/>
  <c r="I111" i="4"/>
  <c r="H40" i="4"/>
  <c r="I40" i="4"/>
  <c r="J40" i="4"/>
  <c r="H48" i="4"/>
  <c r="I48" i="4"/>
  <c r="J48" i="4"/>
  <c r="H101" i="4"/>
  <c r="F101" i="4" s="1"/>
  <c r="I101" i="4"/>
  <c r="J101" i="4"/>
  <c r="J138" i="4"/>
  <c r="H138" i="4"/>
  <c r="I138" i="4"/>
  <c r="I115" i="4"/>
  <c r="J115" i="4"/>
  <c r="H115" i="4"/>
  <c r="F115" i="4" s="1"/>
  <c r="H72" i="4"/>
  <c r="I72" i="4"/>
  <c r="J72" i="4"/>
  <c r="I148" i="4"/>
  <c r="J148" i="4"/>
  <c r="H148" i="4"/>
  <c r="F148" i="4" s="1"/>
  <c r="H134" i="4"/>
  <c r="I134" i="4"/>
  <c r="J134" i="4"/>
  <c r="H18" i="4"/>
  <c r="I18" i="4"/>
  <c r="J18" i="4"/>
  <c r="H82" i="4"/>
  <c r="I82" i="4"/>
  <c r="J82" i="4"/>
  <c r="H51" i="4"/>
  <c r="I51" i="4"/>
  <c r="J51" i="4"/>
  <c r="J28" i="4"/>
  <c r="H28" i="4"/>
  <c r="I28" i="4"/>
  <c r="J5" i="4"/>
  <c r="H5" i="4"/>
  <c r="I5" i="4"/>
  <c r="J69" i="4"/>
  <c r="H69" i="4"/>
  <c r="I69" i="4"/>
  <c r="I46" i="4"/>
  <c r="J46" i="4"/>
  <c r="H46" i="4"/>
  <c r="I23" i="4"/>
  <c r="J23" i="4"/>
  <c r="H23" i="4"/>
  <c r="I87" i="4"/>
  <c r="J87" i="4"/>
  <c r="H87" i="4"/>
  <c r="H65" i="4"/>
  <c r="I65" i="4"/>
  <c r="J65" i="4"/>
  <c r="H119" i="4"/>
  <c r="J119" i="4"/>
  <c r="I119" i="4"/>
  <c r="H96" i="4"/>
  <c r="I96" i="4"/>
  <c r="J96" i="4"/>
  <c r="J97" i="4"/>
  <c r="H97" i="4"/>
  <c r="I97" i="4"/>
  <c r="H109" i="4"/>
  <c r="I109" i="4"/>
  <c r="J109" i="4"/>
  <c r="J146" i="4"/>
  <c r="H146" i="4"/>
  <c r="I146" i="4"/>
  <c r="I123" i="4"/>
  <c r="J123" i="4"/>
  <c r="H123" i="4"/>
  <c r="I92" i="4"/>
  <c r="J92" i="4"/>
  <c r="H92" i="4"/>
  <c r="H24" i="4"/>
  <c r="I24" i="4"/>
  <c r="J24" i="4"/>
  <c r="H142" i="4"/>
  <c r="I142" i="4"/>
  <c r="J142" i="4"/>
  <c r="H26" i="4"/>
  <c r="I26" i="4"/>
  <c r="J26" i="4"/>
  <c r="H90" i="4"/>
  <c r="I90" i="4"/>
  <c r="J90" i="4"/>
  <c r="H59" i="4"/>
  <c r="I59" i="4"/>
  <c r="J59" i="4"/>
  <c r="J36" i="4"/>
  <c r="H36" i="4"/>
  <c r="I36" i="4"/>
  <c r="J13" i="4"/>
  <c r="H13" i="4"/>
  <c r="I13" i="4"/>
  <c r="J77" i="4"/>
  <c r="H77" i="4"/>
  <c r="I77" i="4"/>
  <c r="I54" i="4"/>
  <c r="J54" i="4"/>
  <c r="H54" i="4"/>
  <c r="I31" i="4"/>
  <c r="J31" i="4"/>
  <c r="H31" i="4"/>
  <c r="F31" i="4" s="1"/>
  <c r="H9" i="4"/>
  <c r="I9" i="4"/>
  <c r="J9" i="4"/>
  <c r="H73" i="4"/>
  <c r="I73" i="4"/>
  <c r="J73" i="4"/>
  <c r="H127" i="4"/>
  <c r="J127" i="4"/>
  <c r="I127" i="4"/>
  <c r="H104" i="4"/>
  <c r="I104" i="4"/>
  <c r="J104" i="4"/>
  <c r="J105" i="4"/>
  <c r="H105" i="4"/>
  <c r="F105" i="4" s="1"/>
  <c r="I105" i="4"/>
  <c r="H56" i="4"/>
  <c r="I56" i="4"/>
  <c r="J56" i="4"/>
  <c r="H16" i="4"/>
  <c r="I16" i="4"/>
  <c r="J16" i="4"/>
  <c r="I131" i="4"/>
  <c r="J131" i="4"/>
  <c r="H131" i="4"/>
  <c r="F131" i="4" s="1"/>
  <c r="I100" i="4"/>
  <c r="J100" i="4"/>
  <c r="H100" i="4"/>
  <c r="H88" i="4"/>
  <c r="I88" i="4"/>
  <c r="J88" i="4"/>
  <c r="H150" i="4"/>
  <c r="I150" i="4"/>
  <c r="J150" i="4"/>
  <c r="H34" i="4"/>
  <c r="I34" i="4"/>
  <c r="J34" i="4"/>
  <c r="H3" i="4"/>
  <c r="I3" i="4"/>
  <c r="J3" i="4"/>
  <c r="H67" i="4"/>
  <c r="I67" i="4"/>
  <c r="J67" i="4"/>
  <c r="J44" i="4"/>
  <c r="H44" i="4"/>
  <c r="F44" i="4" s="1"/>
  <c r="I44" i="4"/>
  <c r="J21" i="4"/>
  <c r="H21" i="4"/>
  <c r="I21" i="4"/>
  <c r="J85" i="4"/>
  <c r="H85" i="4"/>
  <c r="I85" i="4"/>
  <c r="I62" i="4"/>
  <c r="J62" i="4"/>
  <c r="H62" i="4"/>
  <c r="F62" i="4" s="1"/>
  <c r="I39" i="4"/>
  <c r="J39" i="4"/>
  <c r="H39" i="4"/>
  <c r="H17" i="4"/>
  <c r="I17" i="4"/>
  <c r="J17" i="4"/>
  <c r="H81" i="4"/>
  <c r="I81" i="4"/>
  <c r="J81" i="4"/>
  <c r="H135" i="4"/>
  <c r="I135" i="4"/>
  <c r="J135" i="4"/>
  <c r="H112" i="4"/>
  <c r="I112" i="4"/>
  <c r="J112" i="4"/>
  <c r="J113" i="4"/>
  <c r="I113" i="4"/>
  <c r="H113" i="4"/>
  <c r="F113" i="4" s="1"/>
  <c r="J98" i="4"/>
  <c r="H98" i="4"/>
  <c r="I98" i="4"/>
  <c r="H141" i="4"/>
  <c r="I141" i="4"/>
  <c r="J141" i="4"/>
  <c r="I139" i="4"/>
  <c r="J139" i="4"/>
  <c r="H139" i="4"/>
  <c r="I108" i="4"/>
  <c r="J108" i="4"/>
  <c r="H108" i="4"/>
  <c r="H94" i="4"/>
  <c r="I94" i="4"/>
  <c r="J94" i="4"/>
  <c r="H80" i="4"/>
  <c r="I80" i="4"/>
  <c r="J80" i="4"/>
  <c r="H42" i="4"/>
  <c r="I42" i="4"/>
  <c r="J42" i="4"/>
  <c r="H11" i="4"/>
  <c r="I11" i="4"/>
  <c r="J11" i="4"/>
  <c r="H75" i="4"/>
  <c r="I75" i="4"/>
  <c r="J75" i="4"/>
  <c r="J52" i="4"/>
  <c r="H52" i="4"/>
  <c r="I52" i="4"/>
  <c r="J29" i="4"/>
  <c r="H29" i="4"/>
  <c r="I29" i="4"/>
  <c r="I6" i="4"/>
  <c r="J6" i="4"/>
  <c r="H6" i="4"/>
  <c r="I70" i="4"/>
  <c r="J70" i="4"/>
  <c r="H70" i="4"/>
  <c r="I47" i="4"/>
  <c r="J47" i="4"/>
  <c r="H47" i="4"/>
  <c r="H25" i="4"/>
  <c r="I25" i="4"/>
  <c r="J25" i="4"/>
  <c r="H89" i="4"/>
  <c r="I89" i="4"/>
  <c r="J89" i="4"/>
  <c r="H143" i="4"/>
  <c r="I143" i="4"/>
  <c r="J143" i="4"/>
  <c r="H120" i="4"/>
  <c r="I120" i="4"/>
  <c r="J120" i="4"/>
  <c r="J121" i="4"/>
  <c r="H121" i="4"/>
  <c r="I121" i="4"/>
  <c r="J106" i="4"/>
  <c r="H106" i="4"/>
  <c r="I106" i="4"/>
  <c r="H149" i="4"/>
  <c r="I149" i="4"/>
  <c r="J149" i="4"/>
  <c r="I147" i="4"/>
  <c r="J147" i="4"/>
  <c r="H147" i="4"/>
  <c r="I116" i="4"/>
  <c r="J116" i="4"/>
  <c r="H116" i="4"/>
  <c r="H102" i="4"/>
  <c r="I102" i="4"/>
  <c r="J102" i="4"/>
  <c r="H125" i="4"/>
  <c r="I125" i="4"/>
  <c r="J125" i="4"/>
  <c r="F2" i="4"/>
  <c r="F18" i="4" l="1"/>
  <c r="F71" i="4"/>
  <c r="F12" i="4"/>
  <c r="F117" i="4"/>
  <c r="F45" i="4"/>
  <c r="F110" i="4"/>
  <c r="F32" i="4"/>
  <c r="F19" i="4"/>
  <c r="F29" i="4"/>
  <c r="F135" i="4"/>
  <c r="F56" i="4"/>
  <c r="F69" i="4"/>
  <c r="F40" i="4"/>
  <c r="F80" i="4"/>
  <c r="F116" i="4"/>
  <c r="F54" i="4"/>
  <c r="F107" i="4"/>
  <c r="F132" i="4"/>
  <c r="F68" i="4"/>
  <c r="F114" i="4"/>
  <c r="F33" i="4"/>
  <c r="F50" i="4"/>
  <c r="F121" i="4"/>
  <c r="F67" i="4"/>
  <c r="F98" i="4"/>
  <c r="F85" i="4"/>
  <c r="F104" i="4"/>
  <c r="F87" i="4"/>
  <c r="F147" i="4"/>
  <c r="F92" i="4"/>
  <c r="F125" i="4"/>
  <c r="F143" i="4"/>
  <c r="F75" i="4"/>
  <c r="F139" i="4"/>
  <c r="F77" i="4"/>
  <c r="F96" i="4"/>
  <c r="F79" i="4"/>
  <c r="F130" i="4"/>
  <c r="F137" i="4"/>
  <c r="F78" i="4"/>
  <c r="F70" i="4"/>
  <c r="F150" i="4"/>
  <c r="F127" i="4"/>
  <c r="F59" i="4"/>
  <c r="F123" i="4"/>
  <c r="F109" i="4"/>
  <c r="F72" i="4"/>
  <c r="F61" i="4"/>
  <c r="F145" i="4"/>
  <c r="F133" i="4"/>
  <c r="F99" i="4"/>
  <c r="F95" i="4"/>
  <c r="F86" i="4"/>
  <c r="F124" i="4"/>
  <c r="F64" i="4"/>
  <c r="F60" i="4"/>
  <c r="F53" i="4"/>
  <c r="F118" i="4"/>
  <c r="F128" i="4"/>
  <c r="F119" i="4"/>
  <c r="F149" i="4"/>
  <c r="F52" i="4"/>
  <c r="F94" i="4"/>
  <c r="F81" i="4"/>
  <c r="F3" i="4"/>
  <c r="F97" i="4"/>
  <c r="F134" i="4"/>
  <c r="F111" i="4"/>
  <c r="F43" i="4"/>
  <c r="F89" i="4"/>
  <c r="F142" i="4"/>
  <c r="F120" i="4"/>
  <c r="F141" i="4"/>
  <c r="F88" i="4"/>
  <c r="F73" i="4"/>
  <c r="F90" i="4"/>
  <c r="F46" i="4"/>
  <c r="F84" i="4"/>
  <c r="F126" i="4"/>
  <c r="F103" i="4"/>
  <c r="F35" i="4"/>
  <c r="F136" i="4"/>
  <c r="F151" i="4"/>
  <c r="F102" i="4"/>
  <c r="F6" i="4"/>
  <c r="F108" i="4"/>
  <c r="F106" i="4"/>
  <c r="F112" i="4"/>
  <c r="F100" i="4"/>
  <c r="F146" i="4"/>
  <c r="F65" i="4"/>
  <c r="F82" i="4"/>
  <c r="F38" i="4"/>
  <c r="F140" i="4"/>
  <c r="F76" i="4"/>
  <c r="F122" i="4"/>
  <c r="F58" i="4"/>
  <c r="F83" i="4"/>
  <c r="F138" i="4"/>
  <c r="F57" i="4"/>
  <c r="F74" i="4"/>
  <c r="F144" i="4"/>
  <c r="F91" i="4"/>
  <c r="F63" i="4"/>
  <c r="F93" i="4"/>
  <c r="F129" i="4"/>
  <c r="F25" i="4"/>
  <c r="F42" i="4"/>
  <c r="F16" i="4"/>
  <c r="F36" i="4"/>
  <c r="F24" i="4"/>
  <c r="F48" i="4"/>
  <c r="F41" i="4"/>
  <c r="F47" i="4"/>
  <c r="F17" i="4"/>
  <c r="F34" i="4"/>
  <c r="F28" i="4"/>
  <c r="F30" i="4"/>
  <c r="F4" i="4"/>
  <c r="F37" i="4"/>
  <c r="F39" i="4"/>
  <c r="F9" i="4"/>
  <c r="F26" i="4"/>
  <c r="F20" i="4"/>
  <c r="F49" i="4"/>
  <c r="F21" i="4"/>
  <c r="F23" i="4"/>
  <c r="F10" i="4"/>
  <c r="F11" i="4"/>
  <c r="F13" i="4"/>
  <c r="F51" i="4"/>
  <c r="F15" i="4"/>
  <c r="F8" i="4"/>
  <c r="F27" i="4"/>
  <c r="F14" i="4"/>
  <c r="F5" i="4"/>
  <c r="F7" i="4"/>
  <c r="S3" i="4" l="1"/>
  <c r="G4" i="3" a="1"/>
  <c r="G7" i="3" s="1"/>
  <c r="H1" i="3"/>
  <c r="G4" i="3" l="1"/>
  <c r="G6" i="3"/>
  <c r="H4" i="3"/>
  <c r="H6" i="3"/>
  <c r="I5" i="3"/>
  <c r="I7" i="3"/>
  <c r="J5" i="3"/>
  <c r="J7" i="3"/>
  <c r="H5" i="3"/>
  <c r="H7" i="3"/>
  <c r="I4" i="3"/>
  <c r="I6" i="3"/>
  <c r="J4" i="3"/>
  <c r="J6" i="3"/>
  <c r="G5" i="3"/>
  <c r="J16" i="3" l="1"/>
  <c r="M2" i="3" l="1" a="1"/>
  <c r="M6" i="3" a="1"/>
  <c r="M8" i="3" a="1"/>
  <c r="M15" i="3" a="1"/>
  <c r="M29" i="3" a="1"/>
  <c r="M37" i="3" a="1"/>
  <c r="M41" i="3" a="1"/>
  <c r="M45" i="3" a="1"/>
  <c r="M48" i="3" a="1"/>
  <c r="M62" i="3" a="1"/>
  <c r="M69" i="3" a="1"/>
  <c r="M75" i="3" a="1"/>
  <c r="M79" i="3" a="1"/>
  <c r="M86" i="3" a="1"/>
  <c r="M89" i="3" a="1"/>
  <c r="M92" i="3" a="1"/>
  <c r="M115" i="3" a="1"/>
  <c r="M122" i="3" a="1"/>
  <c r="M129" i="3" a="1"/>
  <c r="M133" i="3" a="1"/>
  <c r="M136" i="3" a="1"/>
  <c r="M140" i="3" a="1"/>
  <c r="M148" i="3" a="1"/>
  <c r="M11" i="3" a="1"/>
  <c r="M19" i="3" a="1"/>
  <c r="M24" i="3" a="1"/>
  <c r="M51" i="3" a="1"/>
  <c r="M55" i="3" a="1"/>
  <c r="M58" i="3" a="1"/>
  <c r="M65" i="3" a="1"/>
  <c r="M73" i="3" a="1"/>
  <c r="M76" i="3" a="1"/>
  <c r="M82" i="3" a="1"/>
  <c r="M96" i="3" a="1"/>
  <c r="M103" i="3" a="1"/>
  <c r="M109" i="3" a="1"/>
  <c r="M112" i="3" a="1"/>
  <c r="M116" i="3" a="1"/>
  <c r="M3" i="3" a="1"/>
  <c r="M12" i="3" a="1"/>
  <c r="M20" i="3" a="1"/>
  <c r="M30" i="3" a="1"/>
  <c r="M33" i="3" a="1"/>
  <c r="M38" i="3" a="1"/>
  <c r="M46" i="3" a="1"/>
  <c r="M49" i="3" a="1"/>
  <c r="M52" i="3" a="1"/>
  <c r="M70" i="3" a="1"/>
  <c r="M87" i="3" a="1"/>
  <c r="M93" i="3" a="1"/>
  <c r="M99" i="3" a="1"/>
  <c r="M117" i="3" a="1"/>
  <c r="M120" i="3" a="1"/>
  <c r="M123" i="3" a="1"/>
  <c r="M127" i="3" a="1"/>
  <c r="M134" i="3" a="1"/>
  <c r="M141" i="3" a="1"/>
  <c r="M144" i="3" a="1"/>
  <c r="M149" i="3" a="1"/>
  <c r="M119" i="3" a="1"/>
  <c r="M4" i="3" a="1"/>
  <c r="M16" i="3" a="1"/>
  <c r="M21" i="3" a="1"/>
  <c r="M25" i="3" a="1"/>
  <c r="M34" i="3" a="1"/>
  <c r="M42" i="3" a="1"/>
  <c r="M59" i="3" a="1"/>
  <c r="M63" i="3" a="1"/>
  <c r="M66" i="3" a="1"/>
  <c r="M77" i="3" a="1"/>
  <c r="M80" i="3" a="1"/>
  <c r="M83" i="3" a="1"/>
  <c r="M100" i="3" a="1"/>
  <c r="M106" i="3" a="1"/>
  <c r="M110" i="3" a="1"/>
  <c r="M124" i="3" a="1"/>
  <c r="M130" i="3" a="1"/>
  <c r="M137" i="3" a="1"/>
  <c r="M32" i="3" a="1"/>
  <c r="M91" i="3" a="1"/>
  <c r="M143" i="3" a="1"/>
  <c r="M7" i="3" a="1"/>
  <c r="M13" i="3" a="1"/>
  <c r="M26" i="3" a="1"/>
  <c r="M39" i="3" a="1"/>
  <c r="M53" i="3" a="1"/>
  <c r="M56" i="3" a="1"/>
  <c r="M60" i="3" a="1"/>
  <c r="M71" i="3" a="1"/>
  <c r="M84" i="3" a="1"/>
  <c r="M90" i="3" a="1"/>
  <c r="M94" i="3" a="1"/>
  <c r="M97" i="3" a="1"/>
  <c r="M101" i="3" a="1"/>
  <c r="M104" i="3" a="1"/>
  <c r="M113" i="3" a="1"/>
  <c r="M118" i="3" a="1"/>
  <c r="M142" i="3" a="1"/>
  <c r="M145" i="3" a="1"/>
  <c r="M150" i="3" a="1"/>
  <c r="M18" i="3" a="1"/>
  <c r="M98" i="3" a="1"/>
  <c r="M139" i="3" a="1"/>
  <c r="M5" i="3" a="1"/>
  <c r="M9" i="3" a="1"/>
  <c r="M22" i="3" a="1"/>
  <c r="M31" i="3" a="1"/>
  <c r="M35" i="3" a="1"/>
  <c r="M43" i="3" a="1"/>
  <c r="M47" i="3" a="1"/>
  <c r="M67" i="3" a="1"/>
  <c r="M74" i="3" a="1"/>
  <c r="M78" i="3" a="1"/>
  <c r="M88" i="3" a="1"/>
  <c r="M121" i="3" a="1"/>
  <c r="M125" i="3" a="1"/>
  <c r="M128" i="3" a="1"/>
  <c r="M131" i="3" a="1"/>
  <c r="M135" i="3" a="1"/>
  <c r="M138" i="3" a="1"/>
  <c r="M146" i="3" a="1"/>
  <c r="M28" i="3" a="1"/>
  <c r="M72" i="3" a="1"/>
  <c r="M108" i="3" a="1"/>
  <c r="M147" i="3" a="1"/>
  <c r="M14" i="3" a="1"/>
  <c r="M17" i="3" a="1"/>
  <c r="M27" i="3" a="1"/>
  <c r="M36" i="3" a="1"/>
  <c r="M40" i="3" a="1"/>
  <c r="M44" i="3" a="1"/>
  <c r="M50" i="3" a="1"/>
  <c r="M54" i="3" a="1"/>
  <c r="M57" i="3" a="1"/>
  <c r="M61" i="3" a="1"/>
  <c r="M64" i="3" a="1"/>
  <c r="M68" i="3" a="1"/>
  <c r="M81" i="3" a="1"/>
  <c r="M85" i="3" a="1"/>
  <c r="M95" i="3" a="1"/>
  <c r="M102" i="3" a="1"/>
  <c r="M107" i="3" a="1"/>
  <c r="M111" i="3" a="1"/>
  <c r="M114" i="3" a="1"/>
  <c r="M132" i="3" a="1"/>
  <c r="M10" i="3" a="1"/>
  <c r="M23" i="3" a="1"/>
  <c r="M105" i="3" a="1"/>
  <c r="M126" i="3" a="1"/>
  <c r="M151" i="3" a="1"/>
  <c r="H16" i="3"/>
  <c r="G18" i="3" s="1"/>
  <c r="H18" i="3" l="1"/>
  <c r="N114" i="3"/>
  <c r="M114" i="3"/>
  <c r="O114" i="3"/>
  <c r="P114" i="3"/>
  <c r="M113" i="3"/>
  <c r="O113" i="3"/>
  <c r="P113" i="3"/>
  <c r="N113" i="3"/>
  <c r="M12" i="3"/>
  <c r="P12" i="3"/>
  <c r="O12" i="3"/>
  <c r="N12" i="3"/>
  <c r="O45" i="3"/>
  <c r="N45" i="3"/>
  <c r="P45" i="3"/>
  <c r="M45" i="3"/>
  <c r="M111" i="3"/>
  <c r="P111" i="3"/>
  <c r="N111" i="3"/>
  <c r="O111" i="3"/>
  <c r="O61" i="3"/>
  <c r="N61" i="3"/>
  <c r="M61" i="3"/>
  <c r="P61" i="3"/>
  <c r="M17" i="3"/>
  <c r="O17" i="3"/>
  <c r="P17" i="3"/>
  <c r="N17" i="3"/>
  <c r="M135" i="3"/>
  <c r="N135" i="3"/>
  <c r="P135" i="3"/>
  <c r="O135" i="3"/>
  <c r="P67" i="3"/>
  <c r="M67" i="3"/>
  <c r="O67" i="3"/>
  <c r="N67" i="3"/>
  <c r="P139" i="3"/>
  <c r="M139" i="3"/>
  <c r="O139" i="3"/>
  <c r="N139" i="3"/>
  <c r="M104" i="3"/>
  <c r="O104" i="3"/>
  <c r="P104" i="3"/>
  <c r="N104" i="3"/>
  <c r="P56" i="3"/>
  <c r="O56" i="3"/>
  <c r="M56" i="3"/>
  <c r="N56" i="3"/>
  <c r="O32" i="3"/>
  <c r="P32" i="3"/>
  <c r="M32" i="3"/>
  <c r="N32" i="3"/>
  <c r="M80" i="3"/>
  <c r="O80" i="3"/>
  <c r="P80" i="3"/>
  <c r="N80" i="3"/>
  <c r="N21" i="3"/>
  <c r="M21" i="3"/>
  <c r="O21" i="3"/>
  <c r="P21" i="3"/>
  <c r="M127" i="3"/>
  <c r="N127" i="3"/>
  <c r="P127" i="3"/>
  <c r="O127" i="3"/>
  <c r="M52" i="3"/>
  <c r="P52" i="3"/>
  <c r="O52" i="3"/>
  <c r="N52" i="3"/>
  <c r="P3" i="3"/>
  <c r="M3" i="3"/>
  <c r="N3" i="3"/>
  <c r="O3" i="3"/>
  <c r="M73" i="3"/>
  <c r="O73" i="3"/>
  <c r="N73" i="3"/>
  <c r="P73" i="3"/>
  <c r="M148" i="3"/>
  <c r="O148" i="3"/>
  <c r="P148" i="3"/>
  <c r="N148" i="3"/>
  <c r="M89" i="3"/>
  <c r="O89" i="3"/>
  <c r="N89" i="3"/>
  <c r="P89" i="3"/>
  <c r="M41" i="3"/>
  <c r="O41" i="3"/>
  <c r="N41" i="3"/>
  <c r="P41" i="3"/>
  <c r="M60" i="3"/>
  <c r="N60" i="3"/>
  <c r="O60" i="3"/>
  <c r="P60" i="3"/>
  <c r="M76" i="3"/>
  <c r="O76" i="3"/>
  <c r="N76" i="3"/>
  <c r="P76" i="3"/>
  <c r="M151" i="3"/>
  <c r="P151" i="3"/>
  <c r="N151" i="3"/>
  <c r="O151" i="3"/>
  <c r="P107" i="3"/>
  <c r="M107" i="3"/>
  <c r="N107" i="3"/>
  <c r="O107" i="3"/>
  <c r="M57" i="3"/>
  <c r="O57" i="3"/>
  <c r="N57" i="3"/>
  <c r="P57" i="3"/>
  <c r="M14" i="3"/>
  <c r="P14" i="3"/>
  <c r="N14" i="3"/>
  <c r="O14" i="3"/>
  <c r="P131" i="3"/>
  <c r="M131" i="3"/>
  <c r="O131" i="3"/>
  <c r="N131" i="3"/>
  <c r="M47" i="3"/>
  <c r="N47" i="3"/>
  <c r="P47" i="3"/>
  <c r="O47" i="3"/>
  <c r="N98" i="3"/>
  <c r="P98" i="3"/>
  <c r="M98" i="3"/>
  <c r="O98" i="3"/>
  <c r="N101" i="3"/>
  <c r="M101" i="3"/>
  <c r="P101" i="3"/>
  <c r="O101" i="3"/>
  <c r="O53" i="3"/>
  <c r="N53" i="3"/>
  <c r="M53" i="3"/>
  <c r="P53" i="3"/>
  <c r="M137" i="3"/>
  <c r="O137" i="3"/>
  <c r="N137" i="3"/>
  <c r="P137" i="3"/>
  <c r="O77" i="3"/>
  <c r="N77" i="3"/>
  <c r="M77" i="3"/>
  <c r="P77" i="3"/>
  <c r="M16" i="3"/>
  <c r="O16" i="3"/>
  <c r="P16" i="3"/>
  <c r="N16" i="3"/>
  <c r="P123" i="3"/>
  <c r="M123" i="3"/>
  <c r="O123" i="3"/>
  <c r="N123" i="3"/>
  <c r="M49" i="3"/>
  <c r="O49" i="3"/>
  <c r="N49" i="3"/>
  <c r="P49" i="3"/>
  <c r="M116" i="3"/>
  <c r="N116" i="3"/>
  <c r="O116" i="3"/>
  <c r="P116" i="3"/>
  <c r="M65" i="3"/>
  <c r="O65" i="3"/>
  <c r="P65" i="3"/>
  <c r="N65" i="3"/>
  <c r="M140" i="3"/>
  <c r="O140" i="3"/>
  <c r="P140" i="3"/>
  <c r="N140" i="3"/>
  <c r="M86" i="3"/>
  <c r="P86" i="3"/>
  <c r="N86" i="3"/>
  <c r="O86" i="3"/>
  <c r="O37" i="3"/>
  <c r="N37" i="3"/>
  <c r="M37" i="3"/>
  <c r="P37" i="3"/>
  <c r="M74" i="3"/>
  <c r="N74" i="3"/>
  <c r="O74" i="3"/>
  <c r="P74" i="3"/>
  <c r="P83" i="3"/>
  <c r="M83" i="3"/>
  <c r="O83" i="3"/>
  <c r="N83" i="3"/>
  <c r="M92" i="3"/>
  <c r="N92" i="3"/>
  <c r="O92" i="3"/>
  <c r="P92" i="3"/>
  <c r="M126" i="3"/>
  <c r="P126" i="3"/>
  <c r="N126" i="3"/>
  <c r="O126" i="3"/>
  <c r="M102" i="3"/>
  <c r="N102" i="3"/>
  <c r="P102" i="3"/>
  <c r="O102" i="3"/>
  <c r="M54" i="3"/>
  <c r="N54" i="3"/>
  <c r="P54" i="3"/>
  <c r="O54" i="3"/>
  <c r="P147" i="3"/>
  <c r="M147" i="3"/>
  <c r="O147" i="3"/>
  <c r="N147" i="3"/>
  <c r="M128" i="3"/>
  <c r="O128" i="3"/>
  <c r="P128" i="3"/>
  <c r="N128" i="3"/>
  <c r="P43" i="3"/>
  <c r="M43" i="3"/>
  <c r="O43" i="3"/>
  <c r="N43" i="3"/>
  <c r="M18" i="3"/>
  <c r="N18" i="3"/>
  <c r="P18" i="3"/>
  <c r="O18" i="3"/>
  <c r="M97" i="3"/>
  <c r="O97" i="3"/>
  <c r="P97" i="3"/>
  <c r="N97" i="3"/>
  <c r="M39" i="3"/>
  <c r="P39" i="3"/>
  <c r="N39" i="3"/>
  <c r="O39" i="3"/>
  <c r="N130" i="3"/>
  <c r="M130" i="3"/>
  <c r="O130" i="3"/>
  <c r="P130" i="3"/>
  <c r="N66" i="3"/>
  <c r="M66" i="3"/>
  <c r="P66" i="3"/>
  <c r="O66" i="3"/>
  <c r="M4" i="3"/>
  <c r="O4" i="3"/>
  <c r="N4" i="3"/>
  <c r="P4" i="3"/>
  <c r="M120" i="3"/>
  <c r="O120" i="3"/>
  <c r="P120" i="3"/>
  <c r="N120" i="3"/>
  <c r="M46" i="3"/>
  <c r="N46" i="3"/>
  <c r="P46" i="3"/>
  <c r="O46" i="3"/>
  <c r="M112" i="3"/>
  <c r="O112" i="3"/>
  <c r="P112" i="3"/>
  <c r="N112" i="3"/>
  <c r="O58" i="3"/>
  <c r="N58" i="3"/>
  <c r="M58" i="3"/>
  <c r="P58" i="3"/>
  <c r="M136" i="3"/>
  <c r="P136" i="3"/>
  <c r="O136" i="3"/>
  <c r="N136" i="3"/>
  <c r="M79" i="3"/>
  <c r="P79" i="3"/>
  <c r="N79" i="3"/>
  <c r="O79" i="3"/>
  <c r="N29" i="3"/>
  <c r="P29" i="3"/>
  <c r="M29" i="3"/>
  <c r="O29" i="3"/>
  <c r="O5" i="3"/>
  <c r="N5" i="3"/>
  <c r="P5" i="3"/>
  <c r="M5" i="3"/>
  <c r="M70" i="3"/>
  <c r="N70" i="3"/>
  <c r="P70" i="3"/>
  <c r="O70" i="3"/>
  <c r="P11" i="3"/>
  <c r="M11" i="3"/>
  <c r="O11" i="3"/>
  <c r="N11" i="3"/>
  <c r="M105" i="3"/>
  <c r="O105" i="3"/>
  <c r="N105" i="3"/>
  <c r="P105" i="3"/>
  <c r="M95" i="3"/>
  <c r="P95" i="3"/>
  <c r="N95" i="3"/>
  <c r="O95" i="3"/>
  <c r="M50" i="3"/>
  <c r="N50" i="3"/>
  <c r="O50" i="3"/>
  <c r="P50" i="3"/>
  <c r="M108" i="3"/>
  <c r="P108" i="3"/>
  <c r="O108" i="3"/>
  <c r="N108" i="3"/>
  <c r="O125" i="3"/>
  <c r="N125" i="3"/>
  <c r="M125" i="3"/>
  <c r="P125" i="3"/>
  <c r="P35" i="3"/>
  <c r="M35" i="3"/>
  <c r="O35" i="3"/>
  <c r="N35" i="3"/>
  <c r="M150" i="3"/>
  <c r="N150" i="3"/>
  <c r="P150" i="3"/>
  <c r="O150" i="3"/>
  <c r="M94" i="3"/>
  <c r="N94" i="3"/>
  <c r="P94" i="3"/>
  <c r="O94" i="3"/>
  <c r="M26" i="3"/>
  <c r="P26" i="3"/>
  <c r="N26" i="3"/>
  <c r="O26" i="3"/>
  <c r="M124" i="3"/>
  <c r="O124" i="3"/>
  <c r="N124" i="3"/>
  <c r="P124" i="3"/>
  <c r="M63" i="3"/>
  <c r="N63" i="3"/>
  <c r="P63" i="3"/>
  <c r="O63" i="3"/>
  <c r="M119" i="3"/>
  <c r="P119" i="3"/>
  <c r="N119" i="3"/>
  <c r="O119" i="3"/>
  <c r="N117" i="3"/>
  <c r="M117" i="3"/>
  <c r="P117" i="3"/>
  <c r="O117" i="3"/>
  <c r="M38" i="3"/>
  <c r="N38" i="3"/>
  <c r="P38" i="3"/>
  <c r="O38" i="3"/>
  <c r="O109" i="3"/>
  <c r="N109" i="3"/>
  <c r="P109" i="3"/>
  <c r="M109" i="3"/>
  <c r="M55" i="3"/>
  <c r="N55" i="3"/>
  <c r="P55" i="3"/>
  <c r="O55" i="3"/>
  <c r="O133" i="3"/>
  <c r="N133" i="3"/>
  <c r="M133" i="3"/>
  <c r="P133" i="3"/>
  <c r="P75" i="3"/>
  <c r="M75" i="3"/>
  <c r="O75" i="3"/>
  <c r="N75" i="3"/>
  <c r="M15" i="3"/>
  <c r="P15" i="3"/>
  <c r="N15" i="3"/>
  <c r="O15" i="3"/>
  <c r="M64" i="3"/>
  <c r="O64" i="3"/>
  <c r="P64" i="3"/>
  <c r="N64" i="3"/>
  <c r="M25" i="3"/>
  <c r="O25" i="3"/>
  <c r="N25" i="3"/>
  <c r="P25" i="3"/>
  <c r="M23" i="3"/>
  <c r="P23" i="3"/>
  <c r="O23" i="3"/>
  <c r="N23" i="3"/>
  <c r="O85" i="3"/>
  <c r="N85" i="3"/>
  <c r="M85" i="3"/>
  <c r="P85" i="3"/>
  <c r="M44" i="3"/>
  <c r="O44" i="3"/>
  <c r="N44" i="3"/>
  <c r="P44" i="3"/>
  <c r="P72" i="3"/>
  <c r="O72" i="3"/>
  <c r="N72" i="3"/>
  <c r="M72" i="3"/>
  <c r="M121" i="3"/>
  <c r="O121" i="3"/>
  <c r="N121" i="3"/>
  <c r="P121" i="3"/>
  <c r="M31" i="3"/>
  <c r="N31" i="3"/>
  <c r="P31" i="3"/>
  <c r="O31" i="3"/>
  <c r="M145" i="3"/>
  <c r="O145" i="3"/>
  <c r="P145" i="3"/>
  <c r="N145" i="3"/>
  <c r="M90" i="3"/>
  <c r="N90" i="3"/>
  <c r="O90" i="3"/>
  <c r="P90" i="3"/>
  <c r="O13" i="3"/>
  <c r="N13" i="3"/>
  <c r="M13" i="3"/>
  <c r="P13" i="3"/>
  <c r="M110" i="3"/>
  <c r="N110" i="3"/>
  <c r="P110" i="3"/>
  <c r="O110" i="3"/>
  <c r="P59" i="3"/>
  <c r="M59" i="3"/>
  <c r="N59" i="3"/>
  <c r="O59" i="3"/>
  <c r="O149" i="3"/>
  <c r="N149" i="3"/>
  <c r="M149" i="3"/>
  <c r="P149" i="3"/>
  <c r="P99" i="3"/>
  <c r="M99" i="3"/>
  <c r="N99" i="3"/>
  <c r="O99" i="3"/>
  <c r="M33" i="3"/>
  <c r="O33" i="3"/>
  <c r="N33" i="3"/>
  <c r="P33" i="3"/>
  <c r="M103" i="3"/>
  <c r="N103" i="3"/>
  <c r="P103" i="3"/>
  <c r="O103" i="3"/>
  <c r="P51" i="3"/>
  <c r="M51" i="3"/>
  <c r="O51" i="3"/>
  <c r="N51" i="3"/>
  <c r="M129" i="3"/>
  <c r="O129" i="3"/>
  <c r="N129" i="3"/>
  <c r="P129" i="3"/>
  <c r="O69" i="3"/>
  <c r="N69" i="3"/>
  <c r="M69" i="3"/>
  <c r="P69" i="3"/>
  <c r="M8" i="3"/>
  <c r="P8" i="3"/>
  <c r="O8" i="3"/>
  <c r="N8" i="3"/>
  <c r="P27" i="3"/>
  <c r="M27" i="3"/>
  <c r="N27" i="3"/>
  <c r="O27" i="3"/>
  <c r="P91" i="3"/>
  <c r="M91" i="3"/>
  <c r="N91" i="3"/>
  <c r="O91" i="3"/>
  <c r="M81" i="3"/>
  <c r="O81" i="3"/>
  <c r="P81" i="3"/>
  <c r="N81" i="3"/>
  <c r="O40" i="3"/>
  <c r="P40" i="3"/>
  <c r="M40" i="3"/>
  <c r="N40" i="3"/>
  <c r="M28" i="3"/>
  <c r="O28" i="3"/>
  <c r="N28" i="3"/>
  <c r="P28" i="3"/>
  <c r="M88" i="3"/>
  <c r="O88" i="3"/>
  <c r="P88" i="3"/>
  <c r="N88" i="3"/>
  <c r="M22" i="3"/>
  <c r="N22" i="3"/>
  <c r="P22" i="3"/>
  <c r="O22" i="3"/>
  <c r="M142" i="3"/>
  <c r="N142" i="3"/>
  <c r="P142" i="3"/>
  <c r="O142" i="3"/>
  <c r="M84" i="3"/>
  <c r="O84" i="3"/>
  <c r="P84" i="3"/>
  <c r="N84" i="3"/>
  <c r="M7" i="3"/>
  <c r="N7" i="3"/>
  <c r="O7" i="3"/>
  <c r="P7" i="3"/>
  <c r="M106" i="3"/>
  <c r="N106" i="3"/>
  <c r="O106" i="3"/>
  <c r="P106" i="3"/>
  <c r="O42" i="3"/>
  <c r="M42" i="3"/>
  <c r="N42" i="3"/>
  <c r="P42" i="3"/>
  <c r="P144" i="3"/>
  <c r="O144" i="3"/>
  <c r="N144" i="3"/>
  <c r="M144" i="3"/>
  <c r="O93" i="3"/>
  <c r="N93" i="3"/>
  <c r="P93" i="3"/>
  <c r="M93" i="3"/>
  <c r="M30" i="3"/>
  <c r="N30" i="3"/>
  <c r="P30" i="3"/>
  <c r="O30" i="3"/>
  <c r="M96" i="3"/>
  <c r="O96" i="3"/>
  <c r="P96" i="3"/>
  <c r="N96" i="3"/>
  <c r="O24" i="3"/>
  <c r="P24" i="3"/>
  <c r="M24" i="3"/>
  <c r="N24" i="3"/>
  <c r="N122" i="3"/>
  <c r="O122" i="3"/>
  <c r="M122" i="3"/>
  <c r="P122" i="3"/>
  <c r="M62" i="3"/>
  <c r="P62" i="3"/>
  <c r="N62" i="3"/>
  <c r="O62" i="3"/>
  <c r="M6" i="3"/>
  <c r="P6" i="3"/>
  <c r="N6" i="3"/>
  <c r="O6" i="3"/>
  <c r="N138" i="3"/>
  <c r="M138" i="3"/>
  <c r="O138" i="3"/>
  <c r="P138" i="3"/>
  <c r="M134" i="3"/>
  <c r="N134" i="3"/>
  <c r="P134" i="3"/>
  <c r="O134" i="3"/>
  <c r="M10" i="3"/>
  <c r="O10" i="3"/>
  <c r="N10" i="3"/>
  <c r="P10" i="3"/>
  <c r="J18" i="3"/>
  <c r="M132" i="3"/>
  <c r="P132" i="3"/>
  <c r="N132" i="3"/>
  <c r="O132" i="3"/>
  <c r="M68" i="3"/>
  <c r="P68" i="3"/>
  <c r="O68" i="3"/>
  <c r="N68" i="3"/>
  <c r="M36" i="3"/>
  <c r="P36" i="3"/>
  <c r="O36" i="3"/>
  <c r="N36" i="3"/>
  <c r="M146" i="3"/>
  <c r="P146" i="3"/>
  <c r="O146" i="3"/>
  <c r="N146" i="3"/>
  <c r="M78" i="3"/>
  <c r="N78" i="3"/>
  <c r="P78" i="3"/>
  <c r="O78" i="3"/>
  <c r="M9" i="3"/>
  <c r="N9" i="3"/>
  <c r="O9" i="3"/>
  <c r="P9" i="3"/>
  <c r="M118" i="3"/>
  <c r="N118" i="3"/>
  <c r="P118" i="3"/>
  <c r="O118" i="3"/>
  <c r="M71" i="3"/>
  <c r="P71" i="3"/>
  <c r="O71" i="3"/>
  <c r="N71" i="3"/>
  <c r="M143" i="3"/>
  <c r="P143" i="3"/>
  <c r="N143" i="3"/>
  <c r="O143" i="3"/>
  <c r="M100" i="3"/>
  <c r="O100" i="3"/>
  <c r="P100" i="3"/>
  <c r="N100" i="3"/>
  <c r="M34" i="3"/>
  <c r="O34" i="3"/>
  <c r="N34" i="3"/>
  <c r="P34" i="3"/>
  <c r="O141" i="3"/>
  <c r="N141" i="3"/>
  <c r="M141" i="3"/>
  <c r="P141" i="3"/>
  <c r="M87" i="3"/>
  <c r="P87" i="3"/>
  <c r="N87" i="3"/>
  <c r="O87" i="3"/>
  <c r="M20" i="3"/>
  <c r="P20" i="3"/>
  <c r="O20" i="3"/>
  <c r="N20" i="3"/>
  <c r="N82" i="3"/>
  <c r="O82" i="3"/>
  <c r="M82" i="3"/>
  <c r="P82" i="3"/>
  <c r="P19" i="3"/>
  <c r="M19" i="3"/>
  <c r="O19" i="3"/>
  <c r="N19" i="3"/>
  <c r="P115" i="3"/>
  <c r="M115" i="3"/>
  <c r="O115" i="3"/>
  <c r="N115" i="3"/>
  <c r="P48" i="3"/>
  <c r="O48" i="3"/>
  <c r="M48" i="3"/>
  <c r="N48" i="3"/>
  <c r="M2" i="3"/>
  <c r="P2" i="3"/>
  <c r="O2" i="3"/>
  <c r="N2" i="3"/>
  <c r="I18" i="3"/>
  <c r="J23" i="3" l="1"/>
  <c r="J22" i="3"/>
  <c r="J21" i="3"/>
  <c r="K23" i="3"/>
  <c r="K22" i="3"/>
  <c r="K21" i="3"/>
  <c r="I23" i="3"/>
  <c r="I22" i="3"/>
  <c r="I21" i="3"/>
  <c r="G26" i="3" a="1"/>
  <c r="H23" i="3"/>
  <c r="H22" i="3"/>
  <c r="H21" i="3"/>
  <c r="I28" i="3" l="1"/>
  <c r="I26" i="3"/>
  <c r="H28" i="3"/>
  <c r="H26" i="3"/>
  <c r="J29" i="3"/>
  <c r="J27" i="3"/>
  <c r="I27" i="3"/>
  <c r="H27" i="3"/>
  <c r="G27" i="3"/>
  <c r="I29" i="3"/>
  <c r="J26" i="3"/>
  <c r="G29" i="3"/>
  <c r="H29" i="3"/>
  <c r="G26" i="3"/>
  <c r="J28" i="3"/>
  <c r="G28" i="3"/>
  <c r="G4" i="2" l="1" a="1"/>
  <c r="G4" i="2" s="1"/>
  <c r="I5" i="1"/>
  <c r="J5" i="1"/>
  <c r="K5" i="1"/>
  <c r="H1" i="2"/>
  <c r="I3" i="1"/>
  <c r="J3" i="1"/>
  <c r="K3" i="1"/>
  <c r="I4" i="1"/>
  <c r="J4" i="1"/>
  <c r="K4" i="1"/>
  <c r="H3" i="1"/>
  <c r="N17" i="1" l="1"/>
  <c r="N19" i="1"/>
  <c r="N21" i="1"/>
  <c r="N23" i="1"/>
  <c r="N25" i="1"/>
  <c r="N27" i="1"/>
  <c r="N29" i="1"/>
  <c r="N31" i="1"/>
  <c r="N33" i="1"/>
  <c r="N35" i="1"/>
  <c r="N37" i="1"/>
  <c r="N39" i="1"/>
  <c r="N41" i="1"/>
  <c r="N43" i="1"/>
  <c r="N45" i="1"/>
  <c r="N47" i="1"/>
  <c r="N49" i="1"/>
  <c r="N51" i="1"/>
  <c r="N53" i="1"/>
  <c r="N55" i="1"/>
  <c r="N57" i="1"/>
  <c r="N59" i="1"/>
  <c r="N61" i="1"/>
  <c r="N63" i="1"/>
  <c r="N3" i="1"/>
  <c r="N5" i="1"/>
  <c r="N7" i="1"/>
  <c r="N9" i="1"/>
  <c r="N11" i="1"/>
  <c r="N13" i="1"/>
  <c r="N15" i="1"/>
  <c r="N2" i="1"/>
  <c r="N18" i="1"/>
  <c r="N20" i="1"/>
  <c r="N22" i="1"/>
  <c r="N4" i="1"/>
  <c r="N36" i="1"/>
  <c r="N52" i="1"/>
  <c r="N67" i="1"/>
  <c r="N71" i="1"/>
  <c r="N75" i="1"/>
  <c r="N79" i="1"/>
  <c r="N83" i="1"/>
  <c r="N87" i="1"/>
  <c r="N91" i="1"/>
  <c r="N95" i="1"/>
  <c r="N99" i="1"/>
  <c r="N103" i="1"/>
  <c r="N107" i="1"/>
  <c r="N111" i="1"/>
  <c r="N115" i="1"/>
  <c r="N119" i="1"/>
  <c r="N123" i="1"/>
  <c r="N127" i="1"/>
  <c r="N131" i="1"/>
  <c r="N135" i="1"/>
  <c r="N139" i="1"/>
  <c r="N143" i="1"/>
  <c r="N147" i="1"/>
  <c r="N151" i="1"/>
  <c r="N81" i="1"/>
  <c r="N109" i="1"/>
  <c r="N125" i="1"/>
  <c r="N133" i="1"/>
  <c r="N141" i="1"/>
  <c r="N6" i="1"/>
  <c r="N26" i="1"/>
  <c r="N42" i="1"/>
  <c r="N58" i="1"/>
  <c r="N89" i="1"/>
  <c r="N117" i="1"/>
  <c r="N149" i="1"/>
  <c r="N114" i="1"/>
  <c r="N150" i="1"/>
  <c r="N30" i="1"/>
  <c r="N8" i="1"/>
  <c r="N32" i="1"/>
  <c r="N48" i="1"/>
  <c r="N64" i="1"/>
  <c r="N68" i="1"/>
  <c r="N72" i="1"/>
  <c r="N76" i="1"/>
  <c r="N80" i="1"/>
  <c r="N84" i="1"/>
  <c r="N88" i="1"/>
  <c r="N92" i="1"/>
  <c r="N96" i="1"/>
  <c r="N100" i="1"/>
  <c r="N104" i="1"/>
  <c r="N108" i="1"/>
  <c r="N112" i="1"/>
  <c r="N116" i="1"/>
  <c r="N120" i="1"/>
  <c r="N124" i="1"/>
  <c r="N128" i="1"/>
  <c r="N132" i="1"/>
  <c r="N136" i="1"/>
  <c r="N140" i="1"/>
  <c r="N144" i="1"/>
  <c r="N148" i="1"/>
  <c r="N12" i="1"/>
  <c r="N28" i="1"/>
  <c r="N44" i="1"/>
  <c r="N60" i="1"/>
  <c r="N65" i="1"/>
  <c r="N69" i="1"/>
  <c r="N73" i="1"/>
  <c r="N77" i="1"/>
  <c r="N85" i="1"/>
  <c r="N93" i="1"/>
  <c r="N97" i="1"/>
  <c r="N101" i="1"/>
  <c r="N105" i="1"/>
  <c r="N113" i="1"/>
  <c r="N121" i="1"/>
  <c r="N129" i="1"/>
  <c r="N137" i="1"/>
  <c r="N145" i="1"/>
  <c r="N106" i="1"/>
  <c r="N118" i="1"/>
  <c r="N130" i="1"/>
  <c r="N138" i="1"/>
  <c r="N146" i="1"/>
  <c r="N46" i="1"/>
  <c r="N62" i="1"/>
  <c r="N10" i="1"/>
  <c r="N38" i="1"/>
  <c r="N54" i="1"/>
  <c r="N14" i="1"/>
  <c r="N34" i="1"/>
  <c r="N50" i="1"/>
  <c r="N16" i="1"/>
  <c r="N24" i="1"/>
  <c r="N40" i="1"/>
  <c r="N56" i="1"/>
  <c r="N66" i="1"/>
  <c r="N70" i="1"/>
  <c r="N74" i="1"/>
  <c r="N78" i="1"/>
  <c r="N82" i="1"/>
  <c r="N86" i="1"/>
  <c r="N90" i="1"/>
  <c r="N94" i="1"/>
  <c r="N98" i="1"/>
  <c r="N102" i="1"/>
  <c r="N110" i="1"/>
  <c r="N122" i="1"/>
  <c r="N126" i="1"/>
  <c r="N134" i="1"/>
  <c r="N142" i="1"/>
  <c r="P16" i="1"/>
  <c r="P18" i="1"/>
  <c r="P20" i="1"/>
  <c r="P22" i="1"/>
  <c r="P24" i="1"/>
  <c r="P26" i="1"/>
  <c r="P28" i="1"/>
  <c r="P30" i="1"/>
  <c r="P32" i="1"/>
  <c r="P34" i="1"/>
  <c r="P36" i="1"/>
  <c r="P38" i="1"/>
  <c r="P40" i="1"/>
  <c r="P42" i="1"/>
  <c r="P44" i="1"/>
  <c r="P46" i="1"/>
  <c r="P48" i="1"/>
  <c r="P50" i="1"/>
  <c r="P52" i="1"/>
  <c r="P54" i="1"/>
  <c r="P56" i="1"/>
  <c r="P58" i="1"/>
  <c r="P60" i="1"/>
  <c r="P62" i="1"/>
  <c r="P64" i="1"/>
  <c r="P66" i="1"/>
  <c r="P68" i="1"/>
  <c r="P70" i="1"/>
  <c r="P72" i="1"/>
  <c r="P74" i="1"/>
  <c r="P76" i="1"/>
  <c r="P78" i="1"/>
  <c r="P80" i="1"/>
  <c r="P82" i="1"/>
  <c r="P84" i="1"/>
  <c r="P86" i="1"/>
  <c r="P88" i="1"/>
  <c r="P90" i="1"/>
  <c r="P92" i="1"/>
  <c r="P94" i="1"/>
  <c r="P96" i="1"/>
  <c r="P98" i="1"/>
  <c r="P100" i="1"/>
  <c r="P102" i="1"/>
  <c r="P104" i="1"/>
  <c r="P106" i="1"/>
  <c r="P108" i="1"/>
  <c r="P110" i="1"/>
  <c r="P112" i="1"/>
  <c r="P114" i="1"/>
  <c r="P116" i="1"/>
  <c r="P118" i="1"/>
  <c r="P120" i="1"/>
  <c r="P122" i="1"/>
  <c r="P124" i="1"/>
  <c r="P126" i="1"/>
  <c r="P128" i="1"/>
  <c r="P130" i="1"/>
  <c r="P132" i="1"/>
  <c r="P134" i="1"/>
  <c r="P136" i="1"/>
  <c r="P138" i="1"/>
  <c r="P140" i="1"/>
  <c r="P142" i="1"/>
  <c r="P144" i="1"/>
  <c r="P146" i="1"/>
  <c r="P148" i="1"/>
  <c r="P150" i="1"/>
  <c r="P4" i="1"/>
  <c r="P6" i="1"/>
  <c r="P8" i="1"/>
  <c r="P10" i="1"/>
  <c r="P12" i="1"/>
  <c r="P14" i="1"/>
  <c r="P3" i="1"/>
  <c r="P5" i="1"/>
  <c r="P7" i="1"/>
  <c r="P9" i="1"/>
  <c r="P11" i="1"/>
  <c r="P13" i="1"/>
  <c r="P15" i="1"/>
  <c r="P25" i="1"/>
  <c r="P41" i="1"/>
  <c r="P57" i="1"/>
  <c r="P115" i="1"/>
  <c r="P123" i="1"/>
  <c r="P131" i="1"/>
  <c r="P135" i="1"/>
  <c r="P143" i="1"/>
  <c r="P147" i="1"/>
  <c r="P151" i="1"/>
  <c r="P19" i="1"/>
  <c r="P31" i="1"/>
  <c r="P47" i="1"/>
  <c r="P63" i="1"/>
  <c r="P67" i="1"/>
  <c r="P71" i="1"/>
  <c r="P75" i="1"/>
  <c r="P79" i="1"/>
  <c r="P83" i="1"/>
  <c r="P87" i="1"/>
  <c r="P91" i="1"/>
  <c r="P95" i="1"/>
  <c r="P99" i="1"/>
  <c r="P103" i="1"/>
  <c r="P107" i="1"/>
  <c r="P111" i="1"/>
  <c r="P119" i="1"/>
  <c r="P127" i="1"/>
  <c r="P139" i="1"/>
  <c r="P37" i="1"/>
  <c r="P53" i="1"/>
  <c r="P2" i="1"/>
  <c r="P33" i="1"/>
  <c r="P49" i="1"/>
  <c r="P17" i="1"/>
  <c r="P35" i="1"/>
  <c r="P51" i="1"/>
  <c r="P21" i="1"/>
  <c r="P27" i="1"/>
  <c r="P43" i="1"/>
  <c r="P59" i="1"/>
  <c r="P23" i="1"/>
  <c r="P39" i="1"/>
  <c r="P55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29" i="1"/>
  <c r="P45" i="1"/>
  <c r="P61" i="1"/>
  <c r="O4" i="1"/>
  <c r="O6" i="1"/>
  <c r="O8" i="1"/>
  <c r="O10" i="1"/>
  <c r="O12" i="1"/>
  <c r="O14" i="1"/>
  <c r="O16" i="1"/>
  <c r="O17" i="1"/>
  <c r="O19" i="1"/>
  <c r="O21" i="1"/>
  <c r="O23" i="1"/>
  <c r="O25" i="1"/>
  <c r="O27" i="1"/>
  <c r="O29" i="1"/>
  <c r="O31" i="1"/>
  <c r="O33" i="1"/>
  <c r="O35" i="1"/>
  <c r="O37" i="1"/>
  <c r="O39" i="1"/>
  <c r="O41" i="1"/>
  <c r="O43" i="1"/>
  <c r="O45" i="1"/>
  <c r="O47" i="1"/>
  <c r="O49" i="1"/>
  <c r="O51" i="1"/>
  <c r="O53" i="1"/>
  <c r="O55" i="1"/>
  <c r="O57" i="1"/>
  <c r="O59" i="1"/>
  <c r="O61" i="1"/>
  <c r="O63" i="1"/>
  <c r="O65" i="1"/>
  <c r="O67" i="1"/>
  <c r="O69" i="1"/>
  <c r="O71" i="1"/>
  <c r="O73" i="1"/>
  <c r="O75" i="1"/>
  <c r="O77" i="1"/>
  <c r="O79" i="1"/>
  <c r="O81" i="1"/>
  <c r="O83" i="1"/>
  <c r="O85" i="1"/>
  <c r="O87" i="1"/>
  <c r="O89" i="1"/>
  <c r="O91" i="1"/>
  <c r="O93" i="1"/>
  <c r="O95" i="1"/>
  <c r="O97" i="1"/>
  <c r="O99" i="1"/>
  <c r="O101" i="1"/>
  <c r="O103" i="1"/>
  <c r="O105" i="1"/>
  <c r="O107" i="1"/>
  <c r="O109" i="1"/>
  <c r="O111" i="1"/>
  <c r="O113" i="1"/>
  <c r="O115" i="1"/>
  <c r="O117" i="1"/>
  <c r="O119" i="1"/>
  <c r="O121" i="1"/>
  <c r="O123" i="1"/>
  <c r="O125" i="1"/>
  <c r="O127" i="1"/>
  <c r="O129" i="1"/>
  <c r="O131" i="1"/>
  <c r="O133" i="1"/>
  <c r="O135" i="1"/>
  <c r="O137" i="1"/>
  <c r="O139" i="1"/>
  <c r="O141" i="1"/>
  <c r="O143" i="1"/>
  <c r="O145" i="1"/>
  <c r="O147" i="1"/>
  <c r="O149" i="1"/>
  <c r="O151" i="1"/>
  <c r="O3" i="1"/>
  <c r="O5" i="1"/>
  <c r="O7" i="1"/>
  <c r="O9" i="1"/>
  <c r="O11" i="1"/>
  <c r="O13" i="1"/>
  <c r="O15" i="1"/>
  <c r="O18" i="1"/>
  <c r="O30" i="1"/>
  <c r="O46" i="1"/>
  <c r="O62" i="1"/>
  <c r="O82" i="1"/>
  <c r="O36" i="1"/>
  <c r="O52" i="1"/>
  <c r="O20" i="1"/>
  <c r="O26" i="1"/>
  <c r="O42" i="1"/>
  <c r="O58" i="1"/>
  <c r="O2" i="1"/>
  <c r="O124" i="1"/>
  <c r="O128" i="1"/>
  <c r="O132" i="1"/>
  <c r="O136" i="1"/>
  <c r="O140" i="1"/>
  <c r="O144" i="1"/>
  <c r="O148" i="1"/>
  <c r="O22" i="1"/>
  <c r="O38" i="1"/>
  <c r="O54" i="1"/>
  <c r="O24" i="1"/>
  <c r="O40" i="1"/>
  <c r="O56" i="1"/>
  <c r="O66" i="1"/>
  <c r="O70" i="1"/>
  <c r="O74" i="1"/>
  <c r="O78" i="1"/>
  <c r="O86" i="1"/>
  <c r="O90" i="1"/>
  <c r="O94" i="1"/>
  <c r="O98" i="1"/>
  <c r="O102" i="1"/>
  <c r="O32" i="1"/>
  <c r="O48" i="1"/>
  <c r="O64" i="1"/>
  <c r="O68" i="1"/>
  <c r="O72" i="1"/>
  <c r="O76" i="1"/>
  <c r="O80" i="1"/>
  <c r="O84" i="1"/>
  <c r="O88" i="1"/>
  <c r="O92" i="1"/>
  <c r="O96" i="1"/>
  <c r="O100" i="1"/>
  <c r="O104" i="1"/>
  <c r="O108" i="1"/>
  <c r="O112" i="1"/>
  <c r="O116" i="1"/>
  <c r="O120" i="1"/>
  <c r="O28" i="1"/>
  <c r="O44" i="1"/>
  <c r="O60" i="1"/>
  <c r="O34" i="1"/>
  <c r="O50" i="1"/>
  <c r="O106" i="1"/>
  <c r="O138" i="1"/>
  <c r="O110" i="1"/>
  <c r="O142" i="1"/>
  <c r="O114" i="1"/>
  <c r="O146" i="1"/>
  <c r="O118" i="1"/>
  <c r="O150" i="1"/>
  <c r="O122" i="1"/>
  <c r="O126" i="1"/>
  <c r="O134" i="1"/>
  <c r="O130" i="1"/>
  <c r="M17" i="1"/>
  <c r="M19" i="1"/>
  <c r="M21" i="1"/>
  <c r="M23" i="1"/>
  <c r="M25" i="1"/>
  <c r="M27" i="1"/>
  <c r="M29" i="1"/>
  <c r="M31" i="1"/>
  <c r="M33" i="1"/>
  <c r="M35" i="1"/>
  <c r="M37" i="1"/>
  <c r="M39" i="1"/>
  <c r="M41" i="1"/>
  <c r="M43" i="1"/>
  <c r="M45" i="1"/>
  <c r="M47" i="1"/>
  <c r="M49" i="1"/>
  <c r="M51" i="1"/>
  <c r="M53" i="1"/>
  <c r="M55" i="1"/>
  <c r="M57" i="1"/>
  <c r="M59" i="1"/>
  <c r="M61" i="1"/>
  <c r="M63" i="1"/>
  <c r="M65" i="1"/>
  <c r="M67" i="1"/>
  <c r="M69" i="1"/>
  <c r="M71" i="1"/>
  <c r="M73" i="1"/>
  <c r="M75" i="1"/>
  <c r="M77" i="1"/>
  <c r="M79" i="1"/>
  <c r="M81" i="1"/>
  <c r="M83" i="1"/>
  <c r="M85" i="1"/>
  <c r="M87" i="1"/>
  <c r="M89" i="1"/>
  <c r="M91" i="1"/>
  <c r="M93" i="1"/>
  <c r="M95" i="1"/>
  <c r="M97" i="1"/>
  <c r="M99" i="1"/>
  <c r="M101" i="1"/>
  <c r="M103" i="1"/>
  <c r="M105" i="1"/>
  <c r="M107" i="1"/>
  <c r="M109" i="1"/>
  <c r="M111" i="1"/>
  <c r="M113" i="1"/>
  <c r="M115" i="1"/>
  <c r="M117" i="1"/>
  <c r="M119" i="1"/>
  <c r="M121" i="1"/>
  <c r="M123" i="1"/>
  <c r="M125" i="1"/>
  <c r="M127" i="1"/>
  <c r="M129" i="1"/>
  <c r="M131" i="1"/>
  <c r="M133" i="1"/>
  <c r="M135" i="1"/>
  <c r="M137" i="1"/>
  <c r="M139" i="1"/>
  <c r="M141" i="1"/>
  <c r="M143" i="1"/>
  <c r="M145" i="1"/>
  <c r="M147" i="1"/>
  <c r="M149" i="1"/>
  <c r="M151" i="1"/>
  <c r="M3" i="1"/>
  <c r="M5" i="1"/>
  <c r="M7" i="1"/>
  <c r="M9" i="1"/>
  <c r="M11" i="1"/>
  <c r="M13" i="1"/>
  <c r="M15" i="1"/>
  <c r="M18" i="1"/>
  <c r="M20" i="1"/>
  <c r="M22" i="1"/>
  <c r="M24" i="1"/>
  <c r="M26" i="1"/>
  <c r="M28" i="1"/>
  <c r="M30" i="1"/>
  <c r="M32" i="1"/>
  <c r="M34" i="1"/>
  <c r="M36" i="1"/>
  <c r="M38" i="1"/>
  <c r="M40" i="1"/>
  <c r="M42" i="1"/>
  <c r="M44" i="1"/>
  <c r="M46" i="1"/>
  <c r="M48" i="1"/>
  <c r="M50" i="1"/>
  <c r="M52" i="1"/>
  <c r="M54" i="1"/>
  <c r="M56" i="1"/>
  <c r="M58" i="1"/>
  <c r="M60" i="1"/>
  <c r="M62" i="1"/>
  <c r="M64" i="1"/>
  <c r="M66" i="1"/>
  <c r="M68" i="1"/>
  <c r="M70" i="1"/>
  <c r="M72" i="1"/>
  <c r="M74" i="1"/>
  <c r="M76" i="1"/>
  <c r="M78" i="1"/>
  <c r="M80" i="1"/>
  <c r="M82" i="1"/>
  <c r="M84" i="1"/>
  <c r="M86" i="1"/>
  <c r="M88" i="1"/>
  <c r="M90" i="1"/>
  <c r="M92" i="1"/>
  <c r="M94" i="1"/>
  <c r="M96" i="1"/>
  <c r="M98" i="1"/>
  <c r="M100" i="1"/>
  <c r="M102" i="1"/>
  <c r="M104" i="1"/>
  <c r="M106" i="1"/>
  <c r="M108" i="1"/>
  <c r="M110" i="1"/>
  <c r="M112" i="1"/>
  <c r="M114" i="1"/>
  <c r="M116" i="1"/>
  <c r="M118" i="1"/>
  <c r="M120" i="1"/>
  <c r="M122" i="1"/>
  <c r="M124" i="1"/>
  <c r="M126" i="1"/>
  <c r="M128" i="1"/>
  <c r="M130" i="1"/>
  <c r="M132" i="1"/>
  <c r="M134" i="1"/>
  <c r="M136" i="1"/>
  <c r="M138" i="1"/>
  <c r="M140" i="1"/>
  <c r="M142" i="1"/>
  <c r="M144" i="1"/>
  <c r="M146" i="1"/>
  <c r="M148" i="1"/>
  <c r="M150" i="1"/>
  <c r="M4" i="1"/>
  <c r="M6" i="1"/>
  <c r="M8" i="1"/>
  <c r="M10" i="1"/>
  <c r="M12" i="1"/>
  <c r="M14" i="1"/>
  <c r="M16" i="1"/>
  <c r="T151" i="1"/>
  <c r="T149" i="1"/>
  <c r="T147" i="1"/>
  <c r="T145" i="1"/>
  <c r="T143" i="1"/>
  <c r="T141" i="1"/>
  <c r="T139" i="1"/>
  <c r="T137" i="1"/>
  <c r="T135" i="1"/>
  <c r="T133" i="1"/>
  <c r="T131" i="1"/>
  <c r="T129" i="1"/>
  <c r="T127" i="1"/>
  <c r="T125" i="1"/>
  <c r="T123" i="1"/>
  <c r="T121" i="1"/>
  <c r="T119" i="1"/>
  <c r="T117" i="1"/>
  <c r="T115" i="1"/>
  <c r="T113" i="1"/>
  <c r="T111" i="1"/>
  <c r="T109" i="1"/>
  <c r="T107" i="1"/>
  <c r="T105" i="1"/>
  <c r="T103" i="1"/>
  <c r="T101" i="1"/>
  <c r="T99" i="1"/>
  <c r="T97" i="1"/>
  <c r="T95" i="1"/>
  <c r="T93" i="1"/>
  <c r="T91" i="1"/>
  <c r="T89" i="1"/>
  <c r="T87" i="1"/>
  <c r="T85" i="1"/>
  <c r="T83" i="1"/>
  <c r="T81" i="1"/>
  <c r="T79" i="1"/>
  <c r="T77" i="1"/>
  <c r="T75" i="1"/>
  <c r="T73" i="1"/>
  <c r="T71" i="1"/>
  <c r="T69" i="1"/>
  <c r="T67" i="1"/>
  <c r="T65" i="1"/>
  <c r="T63" i="1"/>
  <c r="T61" i="1"/>
  <c r="T59" i="1"/>
  <c r="T57" i="1"/>
  <c r="T55" i="1"/>
  <c r="T53" i="1"/>
  <c r="T51" i="1"/>
  <c r="T49" i="1"/>
  <c r="T47" i="1"/>
  <c r="T45" i="1"/>
  <c r="T43" i="1"/>
  <c r="T41" i="1"/>
  <c r="T39" i="1"/>
  <c r="T37" i="1"/>
  <c r="T35" i="1"/>
  <c r="T33" i="1"/>
  <c r="T31" i="1"/>
  <c r="T29" i="1"/>
  <c r="T27" i="1"/>
  <c r="T25" i="1"/>
  <c r="T23" i="1"/>
  <c r="T21" i="1"/>
  <c r="T19" i="1"/>
  <c r="T17" i="1"/>
  <c r="T15" i="1"/>
  <c r="T13" i="1"/>
  <c r="T11" i="1"/>
  <c r="T9" i="1"/>
  <c r="T7" i="1"/>
  <c r="T5" i="1"/>
  <c r="T3" i="1"/>
  <c r="T150" i="1"/>
  <c r="T148" i="1"/>
  <c r="T146" i="1"/>
  <c r="T144" i="1"/>
  <c r="T142" i="1"/>
  <c r="T140" i="1"/>
  <c r="T138" i="1"/>
  <c r="T136" i="1"/>
  <c r="T134" i="1"/>
  <c r="T132" i="1"/>
  <c r="T130" i="1"/>
  <c r="T128" i="1"/>
  <c r="T126" i="1"/>
  <c r="T124" i="1"/>
  <c r="T122" i="1"/>
  <c r="T120" i="1"/>
  <c r="T118" i="1"/>
  <c r="T116" i="1"/>
  <c r="T114" i="1"/>
  <c r="T112" i="1"/>
  <c r="T110" i="1"/>
  <c r="T108" i="1"/>
  <c r="T106" i="1"/>
  <c r="T104" i="1"/>
  <c r="T102" i="1"/>
  <c r="T100" i="1"/>
  <c r="T98" i="1"/>
  <c r="T96" i="1"/>
  <c r="T94" i="1"/>
  <c r="T92" i="1"/>
  <c r="T90" i="1"/>
  <c r="T88" i="1"/>
  <c r="T86" i="1"/>
  <c r="T84" i="1"/>
  <c r="T82" i="1"/>
  <c r="T80" i="1"/>
  <c r="T78" i="1"/>
  <c r="T76" i="1"/>
  <c r="T74" i="1"/>
  <c r="T72" i="1"/>
  <c r="T70" i="1"/>
  <c r="T68" i="1"/>
  <c r="T66" i="1"/>
  <c r="T64" i="1"/>
  <c r="T62" i="1"/>
  <c r="T60" i="1"/>
  <c r="T58" i="1"/>
  <c r="T56" i="1"/>
  <c r="T54" i="1"/>
  <c r="T52" i="1"/>
  <c r="T50" i="1"/>
  <c r="T48" i="1"/>
  <c r="T46" i="1"/>
  <c r="T44" i="1"/>
  <c r="T42" i="1"/>
  <c r="T40" i="1"/>
  <c r="T38" i="1"/>
  <c r="T36" i="1"/>
  <c r="T34" i="1"/>
  <c r="T32" i="1"/>
  <c r="T30" i="1"/>
  <c r="T28" i="1"/>
  <c r="T26" i="1"/>
  <c r="T24" i="1"/>
  <c r="T22" i="1"/>
  <c r="T20" i="1"/>
  <c r="T18" i="1"/>
  <c r="T16" i="1"/>
  <c r="T14" i="1"/>
  <c r="T12" i="1"/>
  <c r="T10" i="1"/>
  <c r="T8" i="1"/>
  <c r="T6" i="1"/>
  <c r="T4" i="1"/>
  <c r="T2" i="1"/>
  <c r="S151" i="1"/>
  <c r="S149" i="1"/>
  <c r="S147" i="1"/>
  <c r="S145" i="1"/>
  <c r="S143" i="1"/>
  <c r="S141" i="1"/>
  <c r="S139" i="1"/>
  <c r="S137" i="1"/>
  <c r="S135" i="1"/>
  <c r="S133" i="1"/>
  <c r="S131" i="1"/>
  <c r="S129" i="1"/>
  <c r="S127" i="1"/>
  <c r="S125" i="1"/>
  <c r="S123" i="1"/>
  <c r="S121" i="1"/>
  <c r="S119" i="1"/>
  <c r="S117" i="1"/>
  <c r="S115" i="1"/>
  <c r="S113" i="1"/>
  <c r="S111" i="1"/>
  <c r="S109" i="1"/>
  <c r="S107" i="1"/>
  <c r="S105" i="1"/>
  <c r="S103" i="1"/>
  <c r="S101" i="1"/>
  <c r="S99" i="1"/>
  <c r="S97" i="1"/>
  <c r="S95" i="1"/>
  <c r="S93" i="1"/>
  <c r="S91" i="1"/>
  <c r="S89" i="1"/>
  <c r="S87" i="1"/>
  <c r="S85" i="1"/>
  <c r="S83" i="1"/>
  <c r="S81" i="1"/>
  <c r="S79" i="1"/>
  <c r="S77" i="1"/>
  <c r="S75" i="1"/>
  <c r="S73" i="1"/>
  <c r="S71" i="1"/>
  <c r="S69" i="1"/>
  <c r="S67" i="1"/>
  <c r="S65" i="1"/>
  <c r="S63" i="1"/>
  <c r="S61" i="1"/>
  <c r="S59" i="1"/>
  <c r="S57" i="1"/>
  <c r="S55" i="1"/>
  <c r="S53" i="1"/>
  <c r="S51" i="1"/>
  <c r="S49" i="1"/>
  <c r="S47" i="1"/>
  <c r="S45" i="1"/>
  <c r="S43" i="1"/>
  <c r="S41" i="1"/>
  <c r="S39" i="1"/>
  <c r="S37" i="1"/>
  <c r="S35" i="1"/>
  <c r="S33" i="1"/>
  <c r="S31" i="1"/>
  <c r="S29" i="1"/>
  <c r="S27" i="1"/>
  <c r="S25" i="1"/>
  <c r="S23" i="1"/>
  <c r="S21" i="1"/>
  <c r="S19" i="1"/>
  <c r="S17" i="1"/>
  <c r="S15" i="1"/>
  <c r="S13" i="1"/>
  <c r="S11" i="1"/>
  <c r="S9" i="1"/>
  <c r="S7" i="1"/>
  <c r="S5" i="1"/>
  <c r="S3" i="1"/>
  <c r="S150" i="1"/>
  <c r="S148" i="1"/>
  <c r="S146" i="1"/>
  <c r="S144" i="1"/>
  <c r="S142" i="1"/>
  <c r="S140" i="1"/>
  <c r="S138" i="1"/>
  <c r="S136" i="1"/>
  <c r="S134" i="1"/>
  <c r="S132" i="1"/>
  <c r="S130" i="1"/>
  <c r="S128" i="1"/>
  <c r="S126" i="1"/>
  <c r="S124" i="1"/>
  <c r="S122" i="1"/>
  <c r="S120" i="1"/>
  <c r="S118" i="1"/>
  <c r="S116" i="1"/>
  <c r="S114" i="1"/>
  <c r="S112" i="1"/>
  <c r="S110" i="1"/>
  <c r="S108" i="1"/>
  <c r="S106" i="1"/>
  <c r="S104" i="1"/>
  <c r="S102" i="1"/>
  <c r="S100" i="1"/>
  <c r="S98" i="1"/>
  <c r="S96" i="1"/>
  <c r="S94" i="1"/>
  <c r="S92" i="1"/>
  <c r="S90" i="1"/>
  <c r="S88" i="1"/>
  <c r="S86" i="1"/>
  <c r="S84" i="1"/>
  <c r="S82" i="1"/>
  <c r="S80" i="1"/>
  <c r="S78" i="1"/>
  <c r="S76" i="1"/>
  <c r="S74" i="1"/>
  <c r="S72" i="1"/>
  <c r="S70" i="1"/>
  <c r="S68" i="1"/>
  <c r="S66" i="1"/>
  <c r="S64" i="1"/>
  <c r="S62" i="1"/>
  <c r="S60" i="1"/>
  <c r="S58" i="1"/>
  <c r="S56" i="1"/>
  <c r="S54" i="1"/>
  <c r="S52" i="1"/>
  <c r="S50" i="1"/>
  <c r="S48" i="1"/>
  <c r="S46" i="1"/>
  <c r="S44" i="1"/>
  <c r="S42" i="1"/>
  <c r="S40" i="1"/>
  <c r="S38" i="1"/>
  <c r="S36" i="1"/>
  <c r="S34" i="1"/>
  <c r="S32" i="1"/>
  <c r="S30" i="1"/>
  <c r="S28" i="1"/>
  <c r="S26" i="1"/>
  <c r="S24" i="1"/>
  <c r="S22" i="1"/>
  <c r="S20" i="1"/>
  <c r="S18" i="1"/>
  <c r="S16" i="1"/>
  <c r="S14" i="1"/>
  <c r="S12" i="1"/>
  <c r="S10" i="1"/>
  <c r="S8" i="1"/>
  <c r="S6" i="1"/>
  <c r="S4" i="1"/>
  <c r="S2" i="1"/>
  <c r="R151" i="1"/>
  <c r="R149" i="1"/>
  <c r="R147" i="1"/>
  <c r="R145" i="1"/>
  <c r="R143" i="1"/>
  <c r="R141" i="1"/>
  <c r="R139" i="1"/>
  <c r="R137" i="1"/>
  <c r="R135" i="1"/>
  <c r="R133" i="1"/>
  <c r="R131" i="1"/>
  <c r="R129" i="1"/>
  <c r="R127" i="1"/>
  <c r="R125" i="1"/>
  <c r="R123" i="1"/>
  <c r="R121" i="1"/>
  <c r="R119" i="1"/>
  <c r="R117" i="1"/>
  <c r="R115" i="1"/>
  <c r="R113" i="1"/>
  <c r="R111" i="1"/>
  <c r="R109" i="1"/>
  <c r="R107" i="1"/>
  <c r="R105" i="1"/>
  <c r="R103" i="1"/>
  <c r="R101" i="1"/>
  <c r="R99" i="1"/>
  <c r="R97" i="1"/>
  <c r="R95" i="1"/>
  <c r="R93" i="1"/>
  <c r="R91" i="1"/>
  <c r="R89" i="1"/>
  <c r="R87" i="1"/>
  <c r="R85" i="1"/>
  <c r="R83" i="1"/>
  <c r="R81" i="1"/>
  <c r="R79" i="1"/>
  <c r="R77" i="1"/>
  <c r="R75" i="1"/>
  <c r="R73" i="1"/>
  <c r="R71" i="1"/>
  <c r="R69" i="1"/>
  <c r="R67" i="1"/>
  <c r="R65" i="1"/>
  <c r="R63" i="1"/>
  <c r="R61" i="1"/>
  <c r="R59" i="1"/>
  <c r="R57" i="1"/>
  <c r="R55" i="1"/>
  <c r="R53" i="1"/>
  <c r="R51" i="1"/>
  <c r="R49" i="1"/>
  <c r="R47" i="1"/>
  <c r="R45" i="1"/>
  <c r="R43" i="1"/>
  <c r="R41" i="1"/>
  <c r="R39" i="1"/>
  <c r="R37" i="1"/>
  <c r="R35" i="1"/>
  <c r="R33" i="1"/>
  <c r="R31" i="1"/>
  <c r="R29" i="1"/>
  <c r="R27" i="1"/>
  <c r="R25" i="1"/>
  <c r="R23" i="1"/>
  <c r="R21" i="1"/>
  <c r="R19" i="1"/>
  <c r="R17" i="1"/>
  <c r="R15" i="1"/>
  <c r="R13" i="1"/>
  <c r="R11" i="1"/>
  <c r="R9" i="1"/>
  <c r="R7" i="1"/>
  <c r="R5" i="1"/>
  <c r="R3" i="1"/>
  <c r="R150" i="1"/>
  <c r="R148" i="1"/>
  <c r="R146" i="1"/>
  <c r="R144" i="1"/>
  <c r="R142" i="1"/>
  <c r="R140" i="1"/>
  <c r="R138" i="1"/>
  <c r="R136" i="1"/>
  <c r="R134" i="1"/>
  <c r="R132" i="1"/>
  <c r="R130" i="1"/>
  <c r="R128" i="1"/>
  <c r="R126" i="1"/>
  <c r="R124" i="1"/>
  <c r="R122" i="1"/>
  <c r="R120" i="1"/>
  <c r="R118" i="1"/>
  <c r="R116" i="1"/>
  <c r="R114" i="1"/>
  <c r="R112" i="1"/>
  <c r="R110" i="1"/>
  <c r="R108" i="1"/>
  <c r="R106" i="1"/>
  <c r="R104" i="1"/>
  <c r="R102" i="1"/>
  <c r="R100" i="1"/>
  <c r="R98" i="1"/>
  <c r="R96" i="1"/>
  <c r="R94" i="1"/>
  <c r="R92" i="1"/>
  <c r="R90" i="1"/>
  <c r="R88" i="1"/>
  <c r="R86" i="1"/>
  <c r="R84" i="1"/>
  <c r="R82" i="1"/>
  <c r="R80" i="1"/>
  <c r="R78" i="1"/>
  <c r="R76" i="1"/>
  <c r="R74" i="1"/>
  <c r="R72" i="1"/>
  <c r="R70" i="1"/>
  <c r="R68" i="1"/>
  <c r="R66" i="1"/>
  <c r="R64" i="1"/>
  <c r="R62" i="1"/>
  <c r="R60" i="1"/>
  <c r="R58" i="1"/>
  <c r="R56" i="1"/>
  <c r="R54" i="1"/>
  <c r="R52" i="1"/>
  <c r="R50" i="1"/>
  <c r="R48" i="1"/>
  <c r="R46" i="1"/>
  <c r="R44" i="1"/>
  <c r="R42" i="1"/>
  <c r="R40" i="1"/>
  <c r="R38" i="1"/>
  <c r="R36" i="1"/>
  <c r="R34" i="1"/>
  <c r="R32" i="1"/>
  <c r="R30" i="1"/>
  <c r="R28" i="1"/>
  <c r="R26" i="1"/>
  <c r="R24" i="1"/>
  <c r="R22" i="1"/>
  <c r="R20" i="1"/>
  <c r="R18" i="1"/>
  <c r="R16" i="1"/>
  <c r="R14" i="1"/>
  <c r="R12" i="1"/>
  <c r="R10" i="1"/>
  <c r="R8" i="1"/>
  <c r="R6" i="1"/>
  <c r="R4" i="1"/>
  <c r="R2" i="1"/>
  <c r="Q144" i="1"/>
  <c r="Q132" i="1"/>
  <c r="Q114" i="1"/>
  <c r="Q96" i="1"/>
  <c r="Q82" i="1"/>
  <c r="Q70" i="1"/>
  <c r="Q58" i="1"/>
  <c r="Q140" i="1"/>
  <c r="Q134" i="1"/>
  <c r="Q120" i="1"/>
  <c r="Q108" i="1"/>
  <c r="Q92" i="1"/>
  <c r="Q80" i="1"/>
  <c r="Q66" i="1"/>
  <c r="Q52" i="1"/>
  <c r="Q142" i="1"/>
  <c r="Q128" i="1"/>
  <c r="Q112" i="1"/>
  <c r="Q100" i="1"/>
  <c r="Q76" i="1"/>
  <c r="Q56" i="1"/>
  <c r="Q151" i="1"/>
  <c r="Q149" i="1"/>
  <c r="Q147" i="1"/>
  <c r="Q145" i="1"/>
  <c r="Q143" i="1"/>
  <c r="Q141" i="1"/>
  <c r="Q139" i="1"/>
  <c r="Q137" i="1"/>
  <c r="Q135" i="1"/>
  <c r="Q133" i="1"/>
  <c r="Q131" i="1"/>
  <c r="Q129" i="1"/>
  <c r="Q127" i="1"/>
  <c r="Q125" i="1"/>
  <c r="Q123" i="1"/>
  <c r="Q121" i="1"/>
  <c r="Q119" i="1"/>
  <c r="Q117" i="1"/>
  <c r="Q115" i="1"/>
  <c r="Q113" i="1"/>
  <c r="Q111" i="1"/>
  <c r="Q109" i="1"/>
  <c r="Q107" i="1"/>
  <c r="Q105" i="1"/>
  <c r="Q103" i="1"/>
  <c r="Q101" i="1"/>
  <c r="Q99" i="1"/>
  <c r="Q97" i="1"/>
  <c r="Q95" i="1"/>
  <c r="Q93" i="1"/>
  <c r="Q91" i="1"/>
  <c r="Q89" i="1"/>
  <c r="Q87" i="1"/>
  <c r="Q85" i="1"/>
  <c r="Q83" i="1"/>
  <c r="Q81" i="1"/>
  <c r="Q79" i="1"/>
  <c r="Q77" i="1"/>
  <c r="Q75" i="1"/>
  <c r="Q73" i="1"/>
  <c r="Q71" i="1"/>
  <c r="Q69" i="1"/>
  <c r="Q67" i="1"/>
  <c r="Q65" i="1"/>
  <c r="Q63" i="1"/>
  <c r="Q61" i="1"/>
  <c r="Q59" i="1"/>
  <c r="Q57" i="1"/>
  <c r="Q55" i="1"/>
  <c r="Q53" i="1"/>
  <c r="Q51" i="1"/>
  <c r="Q49" i="1"/>
  <c r="Q47" i="1"/>
  <c r="Q45" i="1"/>
  <c r="Q43" i="1"/>
  <c r="Q41" i="1"/>
  <c r="Q39" i="1"/>
  <c r="Q37" i="1"/>
  <c r="Q35" i="1"/>
  <c r="Q33" i="1"/>
  <c r="Q31" i="1"/>
  <c r="Q29" i="1"/>
  <c r="Q27" i="1"/>
  <c r="Q25" i="1"/>
  <c r="Q23" i="1"/>
  <c r="Q21" i="1"/>
  <c r="Q19" i="1"/>
  <c r="Q17" i="1"/>
  <c r="Q15" i="1"/>
  <c r="Q13" i="1"/>
  <c r="Q11" i="1"/>
  <c r="Q9" i="1"/>
  <c r="Q7" i="1"/>
  <c r="Q5" i="1"/>
  <c r="Q3" i="1"/>
  <c r="Q146" i="1"/>
  <c r="Q130" i="1"/>
  <c r="Q116" i="1"/>
  <c r="Q98" i="1"/>
  <c r="Q84" i="1"/>
  <c r="Q64" i="1"/>
  <c r="Q2" i="1"/>
  <c r="Q138" i="1"/>
  <c r="Q136" i="1"/>
  <c r="Q126" i="1"/>
  <c r="Q118" i="1"/>
  <c r="Q106" i="1"/>
  <c r="Q94" i="1"/>
  <c r="Q86" i="1"/>
  <c r="Q74" i="1"/>
  <c r="Q62" i="1"/>
  <c r="Q50" i="1"/>
  <c r="Q150" i="1"/>
  <c r="Q122" i="1"/>
  <c r="Q104" i="1"/>
  <c r="Q88" i="1"/>
  <c r="Q68" i="1"/>
  <c r="Q54" i="1"/>
  <c r="Q148" i="1"/>
  <c r="Q124" i="1"/>
  <c r="Q110" i="1"/>
  <c r="Q102" i="1"/>
  <c r="Q90" i="1"/>
  <c r="Q78" i="1"/>
  <c r="Q72" i="1"/>
  <c r="Q60" i="1"/>
  <c r="Q48" i="1"/>
  <c r="Q44" i="1"/>
  <c r="Q28" i="1"/>
  <c r="Q12" i="1"/>
  <c r="Q26" i="1"/>
  <c r="Q10" i="1"/>
  <c r="Q40" i="1"/>
  <c r="Q24" i="1"/>
  <c r="Q38" i="1"/>
  <c r="Q22" i="1"/>
  <c r="Q36" i="1"/>
  <c r="Q20" i="1"/>
  <c r="Q18" i="1"/>
  <c r="Q32" i="1"/>
  <c r="Q30" i="1"/>
  <c r="Q42" i="1"/>
  <c r="Q8" i="1"/>
  <c r="Q6" i="1"/>
  <c r="Q4" i="1"/>
  <c r="Q34" i="1"/>
  <c r="Q16" i="1"/>
  <c r="Q14" i="1"/>
  <c r="Q46" i="1"/>
  <c r="J5" i="2"/>
  <c r="I7" i="2"/>
  <c r="I5" i="2"/>
  <c r="H7" i="2"/>
  <c r="H5" i="2"/>
  <c r="J7" i="2"/>
  <c r="G7" i="2"/>
  <c r="G5" i="2"/>
  <c r="J6" i="2"/>
  <c r="J4" i="2"/>
  <c r="I6" i="2"/>
  <c r="I4" i="2"/>
  <c r="H6" i="2"/>
  <c r="H4" i="2"/>
  <c r="G6" i="2"/>
  <c r="M14" i="2" l="1" a="1"/>
  <c r="M28" i="2" a="1"/>
  <c r="M31" i="2" a="1"/>
  <c r="M33" i="2" a="1"/>
  <c r="M40" i="2" a="1"/>
  <c r="M44" i="2" a="1"/>
  <c r="M50" i="2" a="1"/>
  <c r="M54" i="2" a="1"/>
  <c r="M61" i="2" a="1"/>
  <c r="M65" i="2" a="1"/>
  <c r="M76" i="2" a="1"/>
  <c r="M79" i="2" a="1"/>
  <c r="M81" i="2" a="1"/>
  <c r="M88" i="2" a="1"/>
  <c r="M92" i="2" a="1"/>
  <c r="M95" i="2" a="1"/>
  <c r="M97" i="2" a="1"/>
  <c r="M104" i="2" a="1"/>
  <c r="M109" i="2" a="1"/>
  <c r="M113" i="2" a="1"/>
  <c r="M118" i="2" a="1"/>
  <c r="M120" i="2" a="1"/>
  <c r="M138" i="2" a="1"/>
  <c r="M146" i="2" a="1"/>
  <c r="M74" i="2" a="1"/>
  <c r="M107" i="2" a="1"/>
  <c r="M145" i="2" a="1"/>
  <c r="M10" i="2" a="1"/>
  <c r="M24" i="2" a="1"/>
  <c r="M29" i="2" a="1"/>
  <c r="M34" i="2" a="1"/>
  <c r="M38" i="2" a="1"/>
  <c r="M45" i="2" a="1"/>
  <c r="M51" i="2" a="1"/>
  <c r="M66" i="2" a="1"/>
  <c r="M70" i="2" a="1"/>
  <c r="M72" i="2" a="1"/>
  <c r="M77" i="2" a="1"/>
  <c r="M82" i="2" a="1"/>
  <c r="M86" i="2" a="1"/>
  <c r="M93" i="2" a="1"/>
  <c r="M98" i="2" a="1"/>
  <c r="M102" i="2" a="1"/>
  <c r="M126" i="2" a="1"/>
  <c r="M128" i="2" a="1"/>
  <c r="M130" i="2" a="1"/>
  <c r="M136" i="2" a="1"/>
  <c r="M142" i="2" a="1"/>
  <c r="M150" i="2" a="1"/>
  <c r="M13" i="2" a="1"/>
  <c r="M46" i="2" a="1"/>
  <c r="M96" i="2" a="1"/>
  <c r="M148" i="2" a="1"/>
  <c r="M6" i="2" a="1"/>
  <c r="M8" i="2" a="1"/>
  <c r="M11" i="2" a="1"/>
  <c r="M17" i="2" a="1"/>
  <c r="M22" i="2" a="1"/>
  <c r="M35" i="2" a="1"/>
  <c r="M48" i="2" a="1"/>
  <c r="M55" i="2" a="1"/>
  <c r="M67" i="2" a="1"/>
  <c r="M83" i="2" a="1"/>
  <c r="M99" i="2" a="1"/>
  <c r="M114" i="2" a="1"/>
  <c r="M123" i="2" a="1"/>
  <c r="M134" i="2" a="1"/>
  <c r="M139" i="2" a="1"/>
  <c r="M147" i="2" a="1"/>
  <c r="M100" i="2" a="1"/>
  <c r="M127" i="2" a="1"/>
  <c r="M42" i="2" a="1"/>
  <c r="M78" i="2" a="1"/>
  <c r="M121" i="2" a="1"/>
  <c r="M15" i="2" a="1"/>
  <c r="M18" i="2" a="1"/>
  <c r="M32" i="2" a="1"/>
  <c r="M39" i="2" a="1"/>
  <c r="M52" i="2" a="1"/>
  <c r="M57" i="2" a="1"/>
  <c r="M64" i="2" a="1"/>
  <c r="M105" i="2" a="1"/>
  <c r="M110" i="2" a="1"/>
  <c r="M112" i="2" a="1"/>
  <c r="M115" i="2" a="1"/>
  <c r="M119" i="2" a="1"/>
  <c r="M131" i="2" a="1"/>
  <c r="M143" i="2" a="1"/>
  <c r="M151" i="2" a="1"/>
  <c r="M103" i="2" a="1"/>
  <c r="M135" i="2" a="1"/>
  <c r="M23" i="2" a="1"/>
  <c r="M69" i="2" a="1"/>
  <c r="M101" i="2" a="1"/>
  <c r="M137" i="2" a="1"/>
  <c r="M3" i="2" a="1"/>
  <c r="M12" i="2" a="1"/>
  <c r="M19" i="2" a="1"/>
  <c r="M25" i="2" a="1"/>
  <c r="M36" i="2" a="1"/>
  <c r="M41" i="2" a="1"/>
  <c r="M53" i="2" a="1"/>
  <c r="M58" i="2" a="1"/>
  <c r="M62" i="2" a="1"/>
  <c r="M68" i="2" a="1"/>
  <c r="M71" i="2" a="1"/>
  <c r="M73" i="2" a="1"/>
  <c r="M80" i="2" a="1"/>
  <c r="M84" i="2" a="1"/>
  <c r="M87" i="2" a="1"/>
  <c r="M89" i="2" a="1"/>
  <c r="M106" i="2" a="1"/>
  <c r="M26" i="2" a="1"/>
  <c r="M59" i="2" a="1"/>
  <c r="M94" i="2" a="1"/>
  <c r="M4" i="2" a="1"/>
  <c r="M7" i="2" a="1"/>
  <c r="M16" i="2" a="1"/>
  <c r="M20" i="2" a="1"/>
  <c r="M27" i="2" a="1"/>
  <c r="M43" i="2" a="1"/>
  <c r="M63" i="2" a="1"/>
  <c r="M75" i="2" a="1"/>
  <c r="M91" i="2" a="1"/>
  <c r="M116" i="2" a="1"/>
  <c r="M125" i="2" a="1"/>
  <c r="M129" i="2" a="1"/>
  <c r="M132" i="2" a="1"/>
  <c r="M141" i="2" a="1"/>
  <c r="M149" i="2" a="1"/>
  <c r="M30" i="2" a="1"/>
  <c r="M85" i="2" a="1"/>
  <c r="M140" i="2" a="1"/>
  <c r="M5" i="2" a="1"/>
  <c r="M9" i="2" a="1"/>
  <c r="M21" i="2" a="1"/>
  <c r="M47" i="2" a="1"/>
  <c r="M49" i="2" a="1"/>
  <c r="M56" i="2" a="1"/>
  <c r="M60" i="2" a="1"/>
  <c r="M108" i="2" a="1"/>
  <c r="M111" i="2" a="1"/>
  <c r="M117" i="2" a="1"/>
  <c r="M133" i="2" a="1"/>
  <c r="M122" i="2" a="1"/>
  <c r="M144" i="2" a="1"/>
  <c r="M2" i="2" a="1"/>
  <c r="M37" i="2" a="1"/>
  <c r="M90" i="2" a="1"/>
  <c r="M124" i="2" a="1"/>
  <c r="O20" i="2" l="1"/>
  <c r="N20" i="2"/>
  <c r="P20" i="2"/>
  <c r="M20" i="2"/>
  <c r="P127" i="2"/>
  <c r="N127" i="2"/>
  <c r="M127" i="2"/>
  <c r="O127" i="2"/>
  <c r="M138" i="2"/>
  <c r="N138" i="2"/>
  <c r="O138" i="2"/>
  <c r="P138" i="2"/>
  <c r="O124" i="2"/>
  <c r="M124" i="2"/>
  <c r="N124" i="2"/>
  <c r="P124" i="2"/>
  <c r="O111" i="2"/>
  <c r="M111" i="2"/>
  <c r="N111" i="2"/>
  <c r="P111" i="2"/>
  <c r="N5" i="2"/>
  <c r="M5" i="2"/>
  <c r="O5" i="2"/>
  <c r="P5" i="2"/>
  <c r="N125" i="2"/>
  <c r="O125" i="2"/>
  <c r="M125" i="2"/>
  <c r="P125" i="2"/>
  <c r="M16" i="2"/>
  <c r="O16" i="2"/>
  <c r="P16" i="2"/>
  <c r="N16" i="2"/>
  <c r="O87" i="2"/>
  <c r="M87" i="2"/>
  <c r="N87" i="2"/>
  <c r="P87" i="2"/>
  <c r="N53" i="2"/>
  <c r="M53" i="2"/>
  <c r="O53" i="2"/>
  <c r="P53" i="2"/>
  <c r="N101" i="2"/>
  <c r="P101" i="2"/>
  <c r="M101" i="2"/>
  <c r="O101" i="2"/>
  <c r="N119" i="2"/>
  <c r="M119" i="2"/>
  <c r="O119" i="2"/>
  <c r="P119" i="2"/>
  <c r="N39" i="2"/>
  <c r="M39" i="2"/>
  <c r="O39" i="2"/>
  <c r="P39" i="2"/>
  <c r="O100" i="2"/>
  <c r="M100" i="2"/>
  <c r="N100" i="2"/>
  <c r="P100" i="2"/>
  <c r="M67" i="2"/>
  <c r="O67" i="2"/>
  <c r="P67" i="2"/>
  <c r="N67" i="2"/>
  <c r="N6" i="2"/>
  <c r="M6" i="2"/>
  <c r="P6" i="2"/>
  <c r="O6" i="2"/>
  <c r="M130" i="2"/>
  <c r="N130" i="2"/>
  <c r="P130" i="2"/>
  <c r="O130" i="2"/>
  <c r="N77" i="2"/>
  <c r="M77" i="2"/>
  <c r="O77" i="2"/>
  <c r="P77" i="2"/>
  <c r="N29" i="2"/>
  <c r="M29" i="2"/>
  <c r="O29" i="2"/>
  <c r="P29" i="2"/>
  <c r="M120" i="2"/>
  <c r="N120" i="2"/>
  <c r="O120" i="2"/>
  <c r="P120" i="2"/>
  <c r="M88" i="2"/>
  <c r="N88" i="2"/>
  <c r="O88" i="2"/>
  <c r="P88" i="2"/>
  <c r="O44" i="2"/>
  <c r="N44" i="2"/>
  <c r="P44" i="2"/>
  <c r="M44" i="2"/>
  <c r="O9" i="2"/>
  <c r="N9" i="2"/>
  <c r="P9" i="2"/>
  <c r="M9" i="2"/>
  <c r="M131" i="2"/>
  <c r="N131" i="2"/>
  <c r="O131" i="2"/>
  <c r="P131" i="2"/>
  <c r="M82" i="2"/>
  <c r="N82" i="2"/>
  <c r="P82" i="2"/>
  <c r="O82" i="2"/>
  <c r="O108" i="2"/>
  <c r="N108" i="2"/>
  <c r="P108" i="2"/>
  <c r="M108" i="2"/>
  <c r="O140" i="2"/>
  <c r="P140" i="2"/>
  <c r="M140" i="2"/>
  <c r="N140" i="2"/>
  <c r="O116" i="2"/>
  <c r="P116" i="2"/>
  <c r="M116" i="2"/>
  <c r="N116" i="2"/>
  <c r="N7" i="2"/>
  <c r="O7" i="2"/>
  <c r="P7" i="2"/>
  <c r="M7" i="2"/>
  <c r="O84" i="2"/>
  <c r="N84" i="2"/>
  <c r="P84" i="2"/>
  <c r="M84" i="2"/>
  <c r="N41" i="2"/>
  <c r="P41" i="2"/>
  <c r="M41" i="2"/>
  <c r="O41" i="2"/>
  <c r="N69" i="2"/>
  <c r="P69" i="2"/>
  <c r="M69" i="2"/>
  <c r="O69" i="2"/>
  <c r="M115" i="2"/>
  <c r="O115" i="2"/>
  <c r="N115" i="2"/>
  <c r="P115" i="2"/>
  <c r="N32" i="2"/>
  <c r="M32" i="2"/>
  <c r="O32" i="2"/>
  <c r="P32" i="2"/>
  <c r="M147" i="2"/>
  <c r="O147" i="2"/>
  <c r="N147" i="2"/>
  <c r="P147" i="2"/>
  <c r="O55" i="2"/>
  <c r="M55" i="2"/>
  <c r="N55" i="2"/>
  <c r="P55" i="2"/>
  <c r="O148" i="2"/>
  <c r="M148" i="2"/>
  <c r="N148" i="2"/>
  <c r="P148" i="2"/>
  <c r="P128" i="2"/>
  <c r="M128" i="2"/>
  <c r="N128" i="2"/>
  <c r="O128" i="2"/>
  <c r="M72" i="2"/>
  <c r="N72" i="2"/>
  <c r="P72" i="2"/>
  <c r="O72" i="2"/>
  <c r="M24" i="2"/>
  <c r="N24" i="2"/>
  <c r="P24" i="2"/>
  <c r="O24" i="2"/>
  <c r="M118" i="2"/>
  <c r="O118" i="2"/>
  <c r="P118" i="2"/>
  <c r="N118" i="2"/>
  <c r="N81" i="2"/>
  <c r="O81" i="2"/>
  <c r="M81" i="2"/>
  <c r="P81" i="2"/>
  <c r="O40" i="2"/>
  <c r="M40" i="2"/>
  <c r="N40" i="2"/>
  <c r="P40" i="2"/>
  <c r="N129" i="2"/>
  <c r="P129" i="2"/>
  <c r="M129" i="2"/>
  <c r="O129" i="2"/>
  <c r="O52" i="2"/>
  <c r="P52" i="2"/>
  <c r="N52" i="2"/>
  <c r="M52" i="2"/>
  <c r="M34" i="2"/>
  <c r="O34" i="2"/>
  <c r="N34" i="2"/>
  <c r="P34" i="2"/>
  <c r="M90" i="2"/>
  <c r="O90" i="2"/>
  <c r="N90" i="2"/>
  <c r="P90" i="2"/>
  <c r="N85" i="2"/>
  <c r="P85" i="2"/>
  <c r="M85" i="2"/>
  <c r="O85" i="2"/>
  <c r="M91" i="2"/>
  <c r="O91" i="2"/>
  <c r="N91" i="2"/>
  <c r="P91" i="2"/>
  <c r="O4" i="2"/>
  <c r="P4" i="2"/>
  <c r="N4" i="2"/>
  <c r="M4" i="2"/>
  <c r="M80" i="2"/>
  <c r="O80" i="2"/>
  <c r="P80" i="2"/>
  <c r="N80" i="2"/>
  <c r="O36" i="2"/>
  <c r="M36" i="2"/>
  <c r="P36" i="2"/>
  <c r="N36" i="2"/>
  <c r="N23" i="2"/>
  <c r="P23" i="2"/>
  <c r="M23" i="2"/>
  <c r="O23" i="2"/>
  <c r="M112" i="2"/>
  <c r="O112" i="2"/>
  <c r="N112" i="2"/>
  <c r="P112" i="2"/>
  <c r="M18" i="2"/>
  <c r="N18" i="2"/>
  <c r="P18" i="2"/>
  <c r="O18" i="2"/>
  <c r="M139" i="2"/>
  <c r="N139" i="2"/>
  <c r="O139" i="2"/>
  <c r="P139" i="2"/>
  <c r="M48" i="2"/>
  <c r="O48" i="2"/>
  <c r="N48" i="2"/>
  <c r="P48" i="2"/>
  <c r="M96" i="2"/>
  <c r="N96" i="2"/>
  <c r="P96" i="2"/>
  <c r="O96" i="2"/>
  <c r="M126" i="2"/>
  <c r="O126" i="2"/>
  <c r="P126" i="2"/>
  <c r="N126" i="2"/>
  <c r="N70" i="2"/>
  <c r="M70" i="2"/>
  <c r="P70" i="2"/>
  <c r="O70" i="2"/>
  <c r="M10" i="2"/>
  <c r="P10" i="2"/>
  <c r="O10" i="2"/>
  <c r="N10" i="2"/>
  <c r="N113" i="2"/>
  <c r="P113" i="2"/>
  <c r="O113" i="2"/>
  <c r="M113" i="2"/>
  <c r="O79" i="2"/>
  <c r="M79" i="2"/>
  <c r="N79" i="2"/>
  <c r="P79" i="2"/>
  <c r="N33" i="2"/>
  <c r="O33" i="2"/>
  <c r="P33" i="2"/>
  <c r="M33" i="2"/>
  <c r="M58" i="2"/>
  <c r="N58" i="2"/>
  <c r="P58" i="2"/>
  <c r="O58" i="2"/>
  <c r="M83" i="2"/>
  <c r="O83" i="2"/>
  <c r="N83" i="2"/>
  <c r="P83" i="2"/>
  <c r="M50" i="2"/>
  <c r="N50" i="2"/>
  <c r="P50" i="2"/>
  <c r="O50" i="2"/>
  <c r="O60" i="2"/>
  <c r="P60" i="2"/>
  <c r="N60" i="2"/>
  <c r="M60" i="2"/>
  <c r="N2" i="2"/>
  <c r="M2" i="2"/>
  <c r="P2" i="2"/>
  <c r="O2" i="2"/>
  <c r="O56" i="2"/>
  <c r="M56" i="2"/>
  <c r="N56" i="2"/>
  <c r="P56" i="2"/>
  <c r="N30" i="2"/>
  <c r="M30" i="2"/>
  <c r="P30" i="2"/>
  <c r="O30" i="2"/>
  <c r="M75" i="2"/>
  <c r="O75" i="2"/>
  <c r="N75" i="2"/>
  <c r="P75" i="2"/>
  <c r="N94" i="2"/>
  <c r="M94" i="2"/>
  <c r="P94" i="2"/>
  <c r="O94" i="2"/>
  <c r="N73" i="2"/>
  <c r="P73" i="2"/>
  <c r="O73" i="2"/>
  <c r="M73" i="2"/>
  <c r="N25" i="2"/>
  <c r="M25" i="2"/>
  <c r="P25" i="2"/>
  <c r="O25" i="2"/>
  <c r="P135" i="2"/>
  <c r="M135" i="2"/>
  <c r="N135" i="2"/>
  <c r="O135" i="2"/>
  <c r="N110" i="2"/>
  <c r="O110" i="2"/>
  <c r="M110" i="2"/>
  <c r="P110" i="2"/>
  <c r="N15" i="2"/>
  <c r="M15" i="2"/>
  <c r="P15" i="2"/>
  <c r="O15" i="2"/>
  <c r="M134" i="2"/>
  <c r="P134" i="2"/>
  <c r="N134" i="2"/>
  <c r="O134" i="2"/>
  <c r="M35" i="2"/>
  <c r="O35" i="2"/>
  <c r="P35" i="2"/>
  <c r="N35" i="2"/>
  <c r="M46" i="2"/>
  <c r="P46" i="2"/>
  <c r="O46" i="2"/>
  <c r="N46" i="2"/>
  <c r="N102" i="2"/>
  <c r="M102" i="2"/>
  <c r="P102" i="2"/>
  <c r="O102" i="2"/>
  <c r="M66" i="2"/>
  <c r="P66" i="2"/>
  <c r="N66" i="2"/>
  <c r="O66" i="2"/>
  <c r="N145" i="2"/>
  <c r="M145" i="2"/>
  <c r="P145" i="2"/>
  <c r="O145" i="2"/>
  <c r="N109" i="2"/>
  <c r="M109" i="2"/>
  <c r="O109" i="2"/>
  <c r="P109" i="2"/>
  <c r="O76" i="2"/>
  <c r="P76" i="2"/>
  <c r="N76" i="2"/>
  <c r="M76" i="2"/>
  <c r="N31" i="2"/>
  <c r="M31" i="2"/>
  <c r="P31" i="2"/>
  <c r="O31" i="2"/>
  <c r="N89" i="2"/>
  <c r="M89" i="2"/>
  <c r="O89" i="2"/>
  <c r="P89" i="2"/>
  <c r="O8" i="2"/>
  <c r="M8" i="2"/>
  <c r="N8" i="2"/>
  <c r="P8" i="2"/>
  <c r="O92" i="2"/>
  <c r="M92" i="2"/>
  <c r="P92" i="2"/>
  <c r="N92" i="2"/>
  <c r="N37" i="2"/>
  <c r="P37" i="2"/>
  <c r="M37" i="2"/>
  <c r="O37" i="2"/>
  <c r="M144" i="2"/>
  <c r="N144" i="2"/>
  <c r="O144" i="2"/>
  <c r="P144" i="2"/>
  <c r="N49" i="2"/>
  <c r="P49" i="2"/>
  <c r="O49" i="2"/>
  <c r="M49" i="2"/>
  <c r="N149" i="2"/>
  <c r="M149" i="2"/>
  <c r="O149" i="2"/>
  <c r="P149" i="2"/>
  <c r="N63" i="2"/>
  <c r="O63" i="2"/>
  <c r="P63" i="2"/>
  <c r="M63" i="2"/>
  <c r="M59" i="2"/>
  <c r="O59" i="2"/>
  <c r="P59" i="2"/>
  <c r="N59" i="2"/>
  <c r="P71" i="2"/>
  <c r="M71" i="2"/>
  <c r="N71" i="2"/>
  <c r="O71" i="2"/>
  <c r="M19" i="2"/>
  <c r="O19" i="2"/>
  <c r="P19" i="2"/>
  <c r="N19" i="2"/>
  <c r="O103" i="2"/>
  <c r="M103" i="2"/>
  <c r="N103" i="2"/>
  <c r="P103" i="2"/>
  <c r="N105" i="2"/>
  <c r="M105" i="2"/>
  <c r="P105" i="2"/>
  <c r="O105" i="2"/>
  <c r="N121" i="2"/>
  <c r="M121" i="2"/>
  <c r="P121" i="2"/>
  <c r="O121" i="2"/>
  <c r="M123" i="2"/>
  <c r="N123" i="2"/>
  <c r="O123" i="2"/>
  <c r="P123" i="2"/>
  <c r="N22" i="2"/>
  <c r="M22" i="2"/>
  <c r="P22" i="2"/>
  <c r="O22" i="2"/>
  <c r="N13" i="2"/>
  <c r="M13" i="2"/>
  <c r="O13" i="2"/>
  <c r="P13" i="2"/>
  <c r="M98" i="2"/>
  <c r="O98" i="2"/>
  <c r="P98" i="2"/>
  <c r="N98" i="2"/>
  <c r="M51" i="2"/>
  <c r="O51" i="2"/>
  <c r="N51" i="2"/>
  <c r="P51" i="2"/>
  <c r="M107" i="2"/>
  <c r="O107" i="2"/>
  <c r="P107" i="2"/>
  <c r="N107" i="2"/>
  <c r="M104" i="2"/>
  <c r="N104" i="2"/>
  <c r="P104" i="2"/>
  <c r="O104" i="2"/>
  <c r="N65" i="2"/>
  <c r="M65" i="2"/>
  <c r="P65" i="2"/>
  <c r="O65" i="2"/>
  <c r="O28" i="2"/>
  <c r="N28" i="2"/>
  <c r="P28" i="2"/>
  <c r="M28" i="2"/>
  <c r="N117" i="2"/>
  <c r="M117" i="2"/>
  <c r="P117" i="2"/>
  <c r="O117" i="2"/>
  <c r="N137" i="2"/>
  <c r="M137" i="2"/>
  <c r="P137" i="2"/>
  <c r="O137" i="2"/>
  <c r="O136" i="2"/>
  <c r="M136" i="2"/>
  <c r="N136" i="2"/>
  <c r="P136" i="2"/>
  <c r="M122" i="2"/>
  <c r="N122" i="2"/>
  <c r="O122" i="2"/>
  <c r="P122" i="2"/>
  <c r="P47" i="2"/>
  <c r="M47" i="2"/>
  <c r="N47" i="2"/>
  <c r="O47" i="2"/>
  <c r="N141" i="2"/>
  <c r="M141" i="2"/>
  <c r="O141" i="2"/>
  <c r="P141" i="2"/>
  <c r="M43" i="2"/>
  <c r="O43" i="2"/>
  <c r="P43" i="2"/>
  <c r="N43" i="2"/>
  <c r="M26" i="2"/>
  <c r="P26" i="2"/>
  <c r="O26" i="2"/>
  <c r="N26" i="2"/>
  <c r="O68" i="2"/>
  <c r="M68" i="2"/>
  <c r="P68" i="2"/>
  <c r="N68" i="2"/>
  <c r="O12" i="2"/>
  <c r="M12" i="2"/>
  <c r="P12" i="2"/>
  <c r="N12" i="2"/>
  <c r="M151" i="2"/>
  <c r="N151" i="2"/>
  <c r="O151" i="2"/>
  <c r="P151" i="2"/>
  <c r="N64" i="2"/>
  <c r="M64" i="2"/>
  <c r="O64" i="2"/>
  <c r="P64" i="2"/>
  <c r="N78" i="2"/>
  <c r="M78" i="2"/>
  <c r="P78" i="2"/>
  <c r="O78" i="2"/>
  <c r="M114" i="2"/>
  <c r="O114" i="2"/>
  <c r="N114" i="2"/>
  <c r="P114" i="2"/>
  <c r="N17" i="2"/>
  <c r="M17" i="2"/>
  <c r="P17" i="2"/>
  <c r="O17" i="2"/>
  <c r="M150" i="2"/>
  <c r="P150" i="2"/>
  <c r="N150" i="2"/>
  <c r="O150" i="2"/>
  <c r="N93" i="2"/>
  <c r="M93" i="2"/>
  <c r="O93" i="2"/>
  <c r="P93" i="2"/>
  <c r="N45" i="2"/>
  <c r="M45" i="2"/>
  <c r="O45" i="2"/>
  <c r="P45" i="2"/>
  <c r="M74" i="2"/>
  <c r="O74" i="2"/>
  <c r="N74" i="2"/>
  <c r="P74" i="2"/>
  <c r="N97" i="2"/>
  <c r="M97" i="2"/>
  <c r="O97" i="2"/>
  <c r="P97" i="2"/>
  <c r="N61" i="2"/>
  <c r="M61" i="2"/>
  <c r="O61" i="2"/>
  <c r="P61" i="2"/>
  <c r="N14" i="2"/>
  <c r="M14" i="2"/>
  <c r="P14" i="2"/>
  <c r="O14" i="2"/>
  <c r="N133" i="2"/>
  <c r="M133" i="2"/>
  <c r="O133" i="2"/>
  <c r="P133" i="2"/>
  <c r="N21" i="2"/>
  <c r="M21" i="2"/>
  <c r="O21" i="2"/>
  <c r="P21" i="2"/>
  <c r="O132" i="2"/>
  <c r="N132" i="2"/>
  <c r="P132" i="2"/>
  <c r="M132" i="2"/>
  <c r="M27" i="2"/>
  <c r="O27" i="2"/>
  <c r="N27" i="2"/>
  <c r="P27" i="2"/>
  <c r="M106" i="2"/>
  <c r="O106" i="2"/>
  <c r="P106" i="2"/>
  <c r="N106" i="2"/>
  <c r="M62" i="2"/>
  <c r="P62" i="2"/>
  <c r="O62" i="2"/>
  <c r="N62" i="2"/>
  <c r="M3" i="2"/>
  <c r="O3" i="2"/>
  <c r="N3" i="2"/>
  <c r="P3" i="2"/>
  <c r="N143" i="2"/>
  <c r="M143" i="2"/>
  <c r="O143" i="2"/>
  <c r="P143" i="2"/>
  <c r="N57" i="2"/>
  <c r="O57" i="2"/>
  <c r="M57" i="2"/>
  <c r="P57" i="2"/>
  <c r="M42" i="2"/>
  <c r="O42" i="2"/>
  <c r="N42" i="2"/>
  <c r="P42" i="2"/>
  <c r="M99" i="2"/>
  <c r="O99" i="2"/>
  <c r="P99" i="2"/>
  <c r="N99" i="2"/>
  <c r="M11" i="2"/>
  <c r="O11" i="2"/>
  <c r="P11" i="2"/>
  <c r="N11" i="2"/>
  <c r="M142" i="2"/>
  <c r="P142" i="2"/>
  <c r="O142" i="2"/>
  <c r="N142" i="2"/>
  <c r="N86" i="2"/>
  <c r="M86" i="2"/>
  <c r="P86" i="2"/>
  <c r="O86" i="2"/>
  <c r="M38" i="2"/>
  <c r="P38" i="2"/>
  <c r="N38" i="2"/>
  <c r="O38" i="2"/>
  <c r="M146" i="2"/>
  <c r="N146" i="2"/>
  <c r="O146" i="2"/>
  <c r="P146" i="2"/>
  <c r="M95" i="2"/>
  <c r="N95" i="2"/>
  <c r="P95" i="2"/>
  <c r="O95" i="2"/>
  <c r="M54" i="2"/>
  <c r="P54" i="2"/>
  <c r="N54" i="2"/>
  <c r="O54" i="2"/>
  <c r="G26" i="2" l="1" a="1"/>
  <c r="J27" i="2" s="1"/>
  <c r="J21" i="2"/>
  <c r="J22" i="2"/>
  <c r="J23" i="2"/>
  <c r="K23" i="2"/>
  <c r="K21" i="2"/>
  <c r="K22" i="2"/>
  <c r="H23" i="2"/>
  <c r="H22" i="2"/>
  <c r="H21" i="2"/>
  <c r="I21" i="2"/>
  <c r="I22" i="2"/>
  <c r="I23" i="2"/>
  <c r="I26" i="2" l="1"/>
  <c r="H27" i="2"/>
  <c r="I28" i="2"/>
  <c r="H28" i="2"/>
  <c r="H29" i="2"/>
  <c r="I29" i="2"/>
  <c r="J29" i="2"/>
  <c r="J26" i="2"/>
  <c r="G27" i="2"/>
  <c r="J28" i="2"/>
  <c r="G29" i="2"/>
  <c r="G28" i="2"/>
  <c r="G26" i="2"/>
  <c r="I27" i="2"/>
  <c r="H26" i="2"/>
  <c r="T12" i="5" l="1"/>
  <c r="T11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<sst xmlns="http://schemas.openxmlformats.org/spreadsheetml/2006/main" count="911" uniqueCount="79">
  <si>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</si>
  <si>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</si>
  <si>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</si>
  <si>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</si>
  <si>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</si>
  <si>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</si>
  <si>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</si>
  <si>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</si>
  <si>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sl</t>
  </si>
  <si>
    <t>sw</t>
  </si>
  <si>
    <t>pl</t>
  </si>
  <si>
    <t>pw</t>
  </si>
  <si>
    <t>średnie</t>
  </si>
  <si>
    <t>odch. Std</t>
  </si>
  <si>
    <t>n</t>
  </si>
  <si>
    <t>Macierz Cov</t>
  </si>
  <si>
    <t>wariancja</t>
  </si>
  <si>
    <t>Suma</t>
  </si>
  <si>
    <t>vs</t>
  </si>
  <si>
    <t>Wektory/Wartości własne</t>
  </si>
  <si>
    <t>x1</t>
  </si>
  <si>
    <t>x2</t>
  </si>
  <si>
    <t>x3</t>
  </si>
  <si>
    <t>x4</t>
  </si>
  <si>
    <t>śr</t>
  </si>
  <si>
    <t>war</t>
  </si>
  <si>
    <t xml:space="preserve"> </t>
  </si>
  <si>
    <t>sl (centr)</t>
  </si>
  <si>
    <t>sw (centr)</t>
  </si>
  <si>
    <t>pl (centr)</t>
  </si>
  <si>
    <t>pw (centr)</t>
  </si>
  <si>
    <t>sl (stand)</t>
  </si>
  <si>
    <t>sw (stand)</t>
  </si>
  <si>
    <t>pl (stand)</t>
  </si>
  <si>
    <t>pw (stand)</t>
  </si>
  <si>
    <t>"eVECT"</t>
  </si>
  <si>
    <t>x1 (cent)</t>
  </si>
  <si>
    <t>x2 (cent)</t>
  </si>
  <si>
    <t>x1 (stand)</t>
  </si>
  <si>
    <t>x2 (stand)</t>
  </si>
  <si>
    <t>Prognoza(cent)</t>
  </si>
  <si>
    <t>G_X(cent)</t>
  </si>
  <si>
    <t>p1(cent)</t>
  </si>
  <si>
    <t>p2(cent)</t>
  </si>
  <si>
    <t>p3(cent)</t>
  </si>
  <si>
    <t>Prognoza(stand)</t>
  </si>
  <si>
    <t>G_X(stand)</t>
  </si>
  <si>
    <t>p1(stand)</t>
  </si>
  <si>
    <t>p2(stand)</t>
  </si>
  <si>
    <t>p3(stand)</t>
  </si>
  <si>
    <t>Macierz Kowariancji (setosa)</t>
  </si>
  <si>
    <t>pstwo a'priori</t>
  </si>
  <si>
    <t>min</t>
  </si>
  <si>
    <t>max</t>
  </si>
  <si>
    <t>Macierz Kowariancji (versicolor)</t>
  </si>
  <si>
    <t>Skuteczność algorytmów</t>
  </si>
  <si>
    <t>QDA (centr)</t>
  </si>
  <si>
    <t>QDA (stand)</t>
  </si>
  <si>
    <t>p2(2w)</t>
  </si>
  <si>
    <t>p3(2w)</t>
  </si>
  <si>
    <t>p1(2w)</t>
  </si>
  <si>
    <t>prognoza(all)</t>
  </si>
  <si>
    <t>G_X(all)</t>
  </si>
  <si>
    <t>p1(all)</t>
  </si>
  <si>
    <t>p2(all)</t>
  </si>
  <si>
    <t>p3(all)</t>
  </si>
  <si>
    <t>p. a'priori</t>
  </si>
  <si>
    <t>odch x1</t>
  </si>
  <si>
    <t>odch x2</t>
  </si>
  <si>
    <t>bw x1</t>
  </si>
  <si>
    <t>bw x2</t>
  </si>
  <si>
    <t>odch x3</t>
  </si>
  <si>
    <t>odch x4</t>
  </si>
  <si>
    <t>bw x3</t>
  </si>
  <si>
    <t>bw x4</t>
  </si>
  <si>
    <t>G_X(2w)</t>
  </si>
  <si>
    <t>prognoza(2w)</t>
  </si>
  <si>
    <t>Naiwny Bayes (2w)</t>
  </si>
  <si>
    <t>Naiwny Bayes 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</si>
</sst>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18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rgb="FF3F3F3F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rgb="FF7F7F7F"/>
      </right>
      <top/>
      <bottom style="double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n">
        <color rgb="FF7F7F7F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medium">
        <color indexed="64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medium">
        <color indexed="64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3F3F3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rgb="FF7F7F7F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indexed="64"/>
      </right>
      <top style="thin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3">
    <xf numFmtId="0" fontId="0" fillId="0" borderId="0" xfId="0"/>
    <xf numFmtId="0" fontId="0" fillId="0" borderId="0" xfId="0" applyAlignment="1">
      <alignment horizontal="center"/>
    </xf>
    <xf numFmtId="0" fontId="10" fillId="6" borderId="5" xfId="11" applyAlignment="1">
      <alignment horizontal="center"/>
    </xf>
    <xf numFmtId="0" fontId="11" fillId="6" borderId="4" xfId="12" applyAlignment="1">
      <alignment horizontal="center"/>
    </xf>
    <xf numFmtId="0" fontId="10" fillId="6" borderId="10" xfId="11" applyBorder="1" applyAlignment="1">
      <alignment horizontal="center"/>
    </xf>
    <xf numFmtId="0" fontId="10" fillId="6" borderId="17" xfId="11" applyBorder="1" applyAlignment="1">
      <alignment horizontal="center"/>
    </xf>
    <xf numFmtId="0" fontId="10" fillId="6" borderId="19" xfId="11" applyBorder="1" applyAlignment="1">
      <alignment horizontal="center"/>
    </xf>
    <xf numFmtId="0" fontId="10" fillId="6" borderId="20" xfId="11" applyBorder="1" applyAlignment="1">
      <alignment horizontal="center"/>
    </xf>
    <xf numFmtId="0" fontId="10" fillId="6" borderId="21" xfId="11" applyBorder="1" applyAlignment="1">
      <alignment horizontal="center"/>
    </xf>
    <xf numFmtId="0" fontId="10" fillId="6" borderId="22" xfId="11" applyBorder="1" applyAlignment="1">
      <alignment horizontal="center"/>
    </xf>
    <xf numFmtId="0" fontId="10" fillId="6" borderId="23" xfId="11" applyBorder="1" applyAlignment="1">
      <alignment horizontal="center"/>
    </xf>
    <xf numFmtId="0" fontId="10" fillId="6" borderId="24" xfId="11" applyBorder="1" applyAlignment="1">
      <alignment horizontal="center"/>
    </xf>
    <xf numFmtId="0" fontId="10" fillId="6" borderId="25" xfId="11" applyBorder="1" applyAlignment="1">
      <alignment horizontal="center"/>
    </xf>
    <xf numFmtId="0" fontId="10" fillId="6" borderId="26" xfId="11" applyBorder="1" applyAlignment="1">
      <alignment horizontal="center"/>
    </xf>
    <xf numFmtId="0" fontId="10" fillId="6" borderId="27" xfId="11" applyBorder="1" applyAlignment="1">
      <alignment horizontal="center"/>
    </xf>
    <xf numFmtId="0" fontId="10" fillId="6" borderId="28" xfId="11" applyBorder="1" applyAlignment="1">
      <alignment horizontal="center"/>
    </xf>
    <xf numFmtId="0" fontId="10" fillId="6" borderId="29" xfId="11" applyBorder="1" applyAlignment="1">
      <alignment horizontal="center"/>
    </xf>
    <xf numFmtId="0" fontId="10" fillId="6" borderId="30" xfId="11" applyBorder="1" applyAlignment="1">
      <alignment horizontal="center"/>
    </xf>
    <xf numFmtId="0" fontId="10" fillId="6" borderId="31" xfId="11" applyBorder="1" applyAlignment="1">
      <alignment horizontal="center"/>
    </xf>
    <xf numFmtId="0" fontId="10" fillId="6" borderId="32" xfId="11" applyBorder="1" applyAlignment="1">
      <alignment horizontal="center"/>
    </xf>
    <xf numFmtId="0" fontId="10" fillId="6" borderId="33" xfId="11" applyBorder="1" applyAlignment="1">
      <alignment horizontal="center"/>
    </xf>
    <xf numFmtId="0" fontId="10" fillId="6" borderId="34" xfId="11" applyBorder="1" applyAlignment="1">
      <alignment horizontal="center"/>
    </xf>
    <xf numFmtId="0" fontId="10" fillId="6" borderId="36" xfId="11" applyBorder="1" applyAlignment="1">
      <alignment horizontal="center"/>
    </xf>
    <xf numFmtId="0" fontId="10" fillId="6" borderId="37" xfId="11" applyBorder="1" applyAlignment="1">
      <alignment horizontal="center"/>
    </xf>
    <xf numFmtId="0" fontId="10" fillId="6" borderId="38" xfId="11" applyBorder="1" applyAlignment="1">
      <alignment horizontal="center"/>
    </xf>
    <xf numFmtId="0" fontId="10" fillId="6" borderId="39" xfId="11" applyBorder="1" applyAlignment="1">
      <alignment horizontal="center"/>
    </xf>
    <xf numFmtId="0" fontId="10" fillId="6" borderId="40" xfId="11" applyBorder="1" applyAlignment="1">
      <alignment horizontal="center"/>
    </xf>
    <xf numFmtId="0" fontId="10" fillId="6" borderId="41" xfId="11" applyBorder="1" applyAlignment="1">
      <alignment horizontal="center"/>
    </xf>
    <xf numFmtId="0" fontId="9" fillId="5" borderId="4" xfId="10" applyAlignment="1">
      <alignment horizontal="center"/>
    </xf>
    <xf numFmtId="0" fontId="13" fillId="7" borderId="7" xfId="14" applyAlignment="1">
      <alignment horizontal="center"/>
    </xf>
    <xf numFmtId="0" fontId="15" fillId="0" borderId="0" xfId="17" applyAlignment="1">
      <alignment horizontal="center"/>
    </xf>
    <xf numFmtId="10" fontId="12" fillId="0" borderId="6" xfId="13" applyNumberFormat="1" applyAlignment="1">
      <alignment horizontal="center"/>
    </xf>
    <xf numFmtId="164" fontId="9" fillId="5" borderId="4" xfId="10" applyNumberFormat="1" applyAlignment="1">
      <alignment horizontal="center"/>
    </xf>
    <xf numFmtId="0" fontId="10" fillId="6" borderId="43" xfId="11" applyBorder="1" applyAlignment="1">
      <alignment horizontal="center"/>
    </xf>
    <xf numFmtId="0" fontId="10" fillId="6" borderId="44" xfId="11" applyBorder="1" applyAlignment="1">
      <alignment horizontal="center"/>
    </xf>
    <xf numFmtId="0" fontId="10" fillId="6" borderId="46" xfId="11" applyBorder="1" applyAlignment="1">
      <alignment horizontal="center"/>
    </xf>
    <xf numFmtId="0" fontId="16" fillId="0" borderId="9" xfId="18" applyAlignment="1">
      <alignment horizontal="center"/>
    </xf>
    <xf numFmtId="0" fontId="10" fillId="6" borderId="5" xfId="11" applyNumberFormat="1" applyAlignment="1">
      <alignment horizontal="center"/>
    </xf>
    <xf numFmtId="0" fontId="0" fillId="0" borderId="10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50" xfId="0" applyBorder="1" applyAlignment="1">
      <alignment horizontal="center"/>
    </xf>
    <xf numFmtId="0" fontId="5" fillId="0" borderId="44" xfId="6" applyBorder="1" applyAlignment="1">
      <alignment horizontal="center"/>
    </xf>
    <xf numFmtId="0" fontId="5" fillId="0" borderId="46" xfId="6" applyBorder="1" applyAlignment="1">
      <alignment horizontal="center"/>
    </xf>
    <xf numFmtId="0" fontId="5" fillId="0" borderId="32" xfId="6" applyBorder="1" applyAlignment="1">
      <alignment horizontal="center"/>
    </xf>
    <xf numFmtId="0" fontId="5" fillId="0" borderId="33" xfId="6" applyBorder="1" applyAlignment="1">
      <alignment horizontal="center"/>
    </xf>
    <xf numFmtId="0" fontId="5" fillId="0" borderId="25" xfId="6" applyBorder="1" applyAlignment="1">
      <alignment horizontal="center"/>
    </xf>
    <xf numFmtId="0" fontId="5" fillId="0" borderId="27" xfId="6" applyBorder="1" applyAlignment="1">
      <alignment horizontal="center"/>
    </xf>
    <xf numFmtId="0" fontId="5" fillId="0" borderId="21" xfId="6" applyBorder="1" applyAlignment="1">
      <alignment horizontal="center"/>
    </xf>
    <xf numFmtId="0" fontId="5" fillId="0" borderId="28" xfId="6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2" xfId="0" applyBorder="1"/>
    <xf numFmtId="0" fontId="0" fillId="0" borderId="43" xfId="0" applyBorder="1"/>
    <xf numFmtId="0" fontId="0" fillId="0" borderId="45" xfId="0" applyBorder="1"/>
    <xf numFmtId="0" fontId="0" fillId="0" borderId="46" xfId="0" applyBorder="1"/>
    <xf numFmtId="0" fontId="1" fillId="22" borderId="25" xfId="32" applyBorder="1" applyAlignment="1">
      <alignment horizontal="center"/>
    </xf>
    <xf numFmtId="0" fontId="1" fillId="22" borderId="44" xfId="32" applyBorder="1" applyAlignment="1">
      <alignment horizontal="center"/>
    </xf>
    <xf numFmtId="0" fontId="1" fillId="22" borderId="27" xfId="32" applyBorder="1" applyAlignment="1">
      <alignment horizontal="center"/>
    </xf>
    <xf numFmtId="0" fontId="1" fillId="22" borderId="46" xfId="32" applyBorder="1" applyAlignment="1">
      <alignment horizontal="center"/>
    </xf>
    <xf numFmtId="0" fontId="1" fillId="30" borderId="25" xfId="40" applyBorder="1" applyAlignment="1">
      <alignment horizontal="center"/>
    </xf>
    <xf numFmtId="0" fontId="1" fillId="30" borderId="44" xfId="40" applyBorder="1" applyAlignment="1">
      <alignment horizontal="center"/>
    </xf>
    <xf numFmtId="0" fontId="1" fillId="30" borderId="27" xfId="40" applyBorder="1" applyAlignment="1">
      <alignment horizontal="center"/>
    </xf>
    <xf numFmtId="0" fontId="1" fillId="30" borderId="46" xfId="40" applyBorder="1" applyAlignment="1">
      <alignment horizontal="center"/>
    </xf>
    <xf numFmtId="0" fontId="10" fillId="6" borderId="56" xfId="11" applyBorder="1" applyAlignment="1">
      <alignment horizontal="center"/>
    </xf>
    <xf numFmtId="0" fontId="10" fillId="6" borderId="57" xfId="11" applyBorder="1" applyAlignment="1">
      <alignment horizontal="center"/>
    </xf>
    <xf numFmtId="0" fontId="1" fillId="22" borderId="58" xfId="32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6" xfId="0" applyBorder="1" applyAlignment="1">
      <alignment horizontal="center"/>
    </xf>
    <xf numFmtId="0" fontId="1" fillId="30" borderId="58" xfId="40" applyBorder="1" applyAlignment="1">
      <alignment horizontal="center"/>
    </xf>
    <xf numFmtId="0" fontId="0" fillId="0" borderId="43" xfId="0" applyBorder="1" applyAlignment="1">
      <alignment horizontal="center"/>
    </xf>
    <xf numFmtId="0" fontId="1" fillId="22" borderId="59" xfId="32" applyBorder="1" applyAlignment="1">
      <alignment horizontal="center"/>
    </xf>
    <xf numFmtId="0" fontId="1" fillId="22" borderId="60" xfId="32" applyBorder="1" applyAlignment="1">
      <alignment horizontal="center"/>
    </xf>
    <xf numFmtId="0" fontId="1" fillId="22" borderId="61" xfId="32" applyBorder="1" applyAlignment="1">
      <alignment horizontal="center"/>
    </xf>
    <xf numFmtId="0" fontId="1" fillId="30" borderId="62" xfId="40" applyBorder="1" applyAlignment="1">
      <alignment horizontal="center"/>
    </xf>
    <xf numFmtId="0" fontId="1" fillId="30" borderId="63" xfId="40" applyBorder="1" applyAlignment="1">
      <alignment horizontal="center"/>
    </xf>
    <xf numFmtId="0" fontId="1" fillId="30" borderId="64" xfId="40" applyBorder="1" applyAlignment="1">
      <alignment horizontal="center"/>
    </xf>
    <xf numFmtId="0" fontId="1" fillId="22" borderId="65" xfId="32" applyBorder="1" applyAlignment="1">
      <alignment horizontal="center"/>
    </xf>
    <xf numFmtId="0" fontId="5" fillId="0" borderId="43" xfId="6" applyBorder="1" applyAlignment="1">
      <alignment horizontal="center"/>
    </xf>
    <xf numFmtId="0" fontId="5" fillId="0" borderId="34" xfId="6" applyBorder="1" applyAlignment="1">
      <alignment horizontal="center"/>
    </xf>
    <xf numFmtId="0" fontId="5" fillId="0" borderId="35" xfId="6" applyBorder="1" applyAlignment="1">
      <alignment horizontal="center"/>
    </xf>
    <xf numFmtId="0" fontId="0" fillId="0" borderId="0" xfId="0" applyAlignment="1">
      <alignment horizontal="center" vertical="center"/>
    </xf>
    <xf numFmtId="0" fontId="10" fillId="6" borderId="66" xfId="11" applyBorder="1" applyAlignment="1">
      <alignment horizontal="center" vertical="center"/>
    </xf>
    <xf numFmtId="0" fontId="10" fillId="6" borderId="16" xfId="11" applyBorder="1" applyAlignment="1">
      <alignment horizontal="center" vertical="center"/>
    </xf>
    <xf numFmtId="0" fontId="11" fillId="6" borderId="67" xfId="12" applyBorder="1" applyAlignment="1">
      <alignment horizontal="center" vertical="center"/>
    </xf>
    <xf numFmtId="0" fontId="11" fillId="6" borderId="68" xfId="12" applyBorder="1" applyAlignment="1">
      <alignment horizontal="center" vertical="center"/>
    </xf>
    <xf numFmtId="0" fontId="10" fillId="6" borderId="15" xfId="11" applyBorder="1" applyAlignment="1">
      <alignment horizontal="center" vertical="center"/>
    </xf>
    <xf numFmtId="0" fontId="11" fillId="6" borderId="53" xfId="12" applyBorder="1" applyAlignment="1">
      <alignment horizontal="center" vertical="center"/>
    </xf>
    <xf numFmtId="0" fontId="10" fillId="6" borderId="11" xfId="11" applyBorder="1" applyAlignment="1">
      <alignment horizontal="center" vertical="center"/>
    </xf>
    <xf numFmtId="0" fontId="10" fillId="6" borderId="12" xfId="11" applyBorder="1" applyAlignment="1">
      <alignment horizontal="center" vertical="center"/>
    </xf>
    <xf numFmtId="0" fontId="10" fillId="6" borderId="13" xfId="11" applyBorder="1" applyAlignment="1">
      <alignment horizontal="center" vertical="center"/>
    </xf>
    <xf numFmtId="0" fontId="11" fillId="6" borderId="69" xfId="12" applyBorder="1" applyAlignment="1">
      <alignment horizontal="center" vertical="center"/>
    </xf>
    <xf numFmtId="0" fontId="11" fillId="6" borderId="70" xfId="12" applyBorder="1" applyAlignment="1">
      <alignment horizontal="center" vertical="center"/>
    </xf>
    <xf numFmtId="0" fontId="11" fillId="6" borderId="71" xfId="12" applyBorder="1" applyAlignment="1">
      <alignment horizontal="center" vertical="center"/>
    </xf>
    <xf numFmtId="0" fontId="11" fillId="6" borderId="72" xfId="12" applyBorder="1" applyAlignment="1">
      <alignment horizontal="center" vertical="center"/>
    </xf>
    <xf numFmtId="0" fontId="11" fillId="6" borderId="73" xfId="12" applyBorder="1" applyAlignment="1">
      <alignment horizontal="center" vertical="center"/>
    </xf>
    <xf numFmtId="0" fontId="11" fillId="6" borderId="74" xfId="12" applyBorder="1" applyAlignment="1">
      <alignment horizontal="center" vertical="center"/>
    </xf>
    <xf numFmtId="0" fontId="11" fillId="6" borderId="75" xfId="12" applyBorder="1" applyAlignment="1">
      <alignment horizontal="center" vertical="center"/>
    </xf>
    <xf numFmtId="0" fontId="11" fillId="6" borderId="76" xfId="12" applyBorder="1" applyAlignment="1">
      <alignment horizontal="center" vertical="center"/>
    </xf>
    <xf numFmtId="0" fontId="11" fillId="6" borderId="77" xfId="12" applyBorder="1" applyAlignment="1">
      <alignment horizontal="center" vertical="center"/>
    </xf>
    <xf numFmtId="0" fontId="10" fillId="6" borderId="14" xfId="11" applyBorder="1" applyAlignment="1">
      <alignment horizontal="center" vertical="center"/>
    </xf>
    <xf numFmtId="0" fontId="11" fillId="6" borderId="78" xfId="12" applyBorder="1" applyAlignment="1">
      <alignment horizontal="center" vertical="center"/>
    </xf>
    <xf numFmtId="0" fontId="11" fillId="6" borderId="79" xfId="12" applyBorder="1" applyAlignment="1">
      <alignment horizontal="center" vertical="center"/>
    </xf>
    <xf numFmtId="0" fontId="11" fillId="6" borderId="80" xfId="12" applyBorder="1" applyAlignment="1">
      <alignment horizontal="center" vertical="center"/>
    </xf>
    <xf numFmtId="0" fontId="11" fillId="6" borderId="81" xfId="12" applyBorder="1" applyAlignment="1">
      <alignment horizontal="center" vertical="center"/>
    </xf>
    <xf numFmtId="0" fontId="11" fillId="6" borderId="82" xfId="12" applyBorder="1" applyAlignment="1">
      <alignment horizontal="center" vertical="center"/>
    </xf>
    <xf numFmtId="0" fontId="11" fillId="6" borderId="83" xfId="12" applyBorder="1" applyAlignment="1">
      <alignment horizontal="center" vertical="center"/>
    </xf>
    <xf numFmtId="10" fontId="11" fillId="6" borderId="53" xfId="1" applyNumberFormat="1" applyFont="1" applyFill="1" applyBorder="1" applyAlignment="1">
      <alignment horizontal="center"/>
    </xf>
    <xf numFmtId="0" fontId="10" fillId="6" borderId="18" xfId="11" applyBorder="1" applyAlignment="1">
      <alignment horizontal="center"/>
    </xf>
    <xf numFmtId="0" fontId="10" fillId="6" borderId="0" xfId="11" applyBorder="1" applyAlignment="1">
      <alignment horizontal="center"/>
    </xf>
    <xf numFmtId="0" fontId="10" fillId="6" borderId="45" xfId="11" applyBorder="1" applyAlignment="1">
      <alignment horizontal="center"/>
    </xf>
    <xf numFmtId="0" fontId="10" fillId="6" borderId="5" xfId="11" applyAlignment="1">
      <alignment horizontal="center"/>
    </xf>
    <xf numFmtId="0" fontId="5" fillId="0" borderId="50" xfId="6" applyBorder="1" applyAlignment="1">
      <alignment horizontal="center"/>
    </xf>
    <xf numFmtId="0" fontId="5" fillId="0" borderId="51" xfId="6" applyBorder="1" applyAlignment="1">
      <alignment horizontal="center"/>
    </xf>
    <xf numFmtId="0" fontId="5" fillId="0" borderId="52" xfId="6" applyBorder="1" applyAlignment="1">
      <alignment horizontal="center"/>
    </xf>
    <xf numFmtId="0" fontId="5" fillId="0" borderId="54" xfId="6" applyBorder="1" applyAlignment="1">
      <alignment horizontal="center"/>
    </xf>
    <xf numFmtId="0" fontId="5" fillId="0" borderId="55" xfId="6" applyBorder="1" applyAlignment="1">
      <alignment horizontal="center"/>
    </xf>
    <xf numFmtId="10" fontId="12" fillId="0" borderId="6" xfId="1" applyNumberFormat="1" applyFont="1" applyBorder="1" applyAlignment="1">
      <alignment horizontal="center"/>
    </xf>
  </cellXfs>
  <cellStyles count="43">
    <cellStyle name="20% — akcent 1" xfId="20" builtinId="30" customBuiltin="1"/>
    <cellStyle name="20% — akcent 2" xfId="24" builtinId="34" customBuiltin="1"/>
    <cellStyle name="20% — akcent 3" xfId="28" builtinId="38" customBuiltin="1"/>
    <cellStyle name="20% — akcent 4" xfId="32" builtinId="42" customBuiltin="1"/>
    <cellStyle name="20% — akcent 5" xfId="36" builtinId="46" customBuiltin="1"/>
    <cellStyle name="20% — akcent 6" xfId="40" builtinId="50" customBuiltin="1"/>
    <cellStyle name="40% — akcent 1" xfId="21" builtinId="31" customBuiltin="1"/>
    <cellStyle name="40% — akcent 2" xfId="25" builtinId="35" customBuiltin="1"/>
    <cellStyle name="40% — akcent 3" xfId="29" builtinId="39" customBuiltin="1"/>
    <cellStyle name="40% — akcent 4" xfId="33" builtinId="43" customBuiltin="1"/>
    <cellStyle name="40% — akcent 5" xfId="37" builtinId="47" customBuiltin="1"/>
    <cellStyle name="40% — akcent 6" xfId="41" builtinId="51" customBuiltin="1"/>
    <cellStyle name="60% — akcent 1" xfId="22" builtinId="32" customBuiltin="1"/>
    <cellStyle name="60% — akcent 2" xfId="26" builtinId="36" customBuiltin="1"/>
    <cellStyle name="60% — akcent 3" xfId="30" builtinId="40" customBuiltin="1"/>
    <cellStyle name="60% — akcent 4" xfId="34" builtinId="44" customBuiltin="1"/>
    <cellStyle name="60% — akcent 5" xfId="38" builtinId="48" customBuiltin="1"/>
    <cellStyle name="60% — akcent 6" xfId="42" builtinId="52" customBuiltin="1"/>
    <cellStyle name="Akcent 1" xfId="19" builtinId="29" customBuiltin="1"/>
    <cellStyle name="Akcent 2" xfId="23" builtinId="33" customBuiltin="1"/>
    <cellStyle name="Akcent 3" xfId="27" builtinId="37" customBuiltin="1"/>
    <cellStyle name="Akcent 4" xfId="31" builtinId="41" customBuiltin="1"/>
    <cellStyle name="Akcent 5" xfId="35" builtinId="45" customBuiltin="1"/>
    <cellStyle name="Akcent 6" xfId="39" builtinId="49" customBuiltin="1"/>
    <cellStyle name="Dane wejściowe" xfId="10" builtinId="20" customBuiltin="1"/>
    <cellStyle name="Dane wyjściowe" xfId="11" builtinId="21" customBuiltin="1"/>
    <cellStyle name="Dobry" xfId="7" builtinId="26" customBuiltin="1"/>
    <cellStyle name="Komórka połączona" xfId="13" builtinId="24" customBuiltin="1"/>
    <cellStyle name="Komórka zaznaczona" xfId="14" builtinId="23" customBuiltin="1"/>
    <cellStyle name="Nagłówek 1" xfId="3" builtinId="16" customBuiltin="1"/>
    <cellStyle name="Nagłówek 2" xfId="4" builtinId="17" customBuiltin="1"/>
    <cellStyle name="Nagłówek 3" xfId="5" builtinId="18" customBuiltin="1"/>
    <cellStyle name="Nagłówek 4" xfId="6" builtinId="19" customBuiltin="1"/>
    <cellStyle name="Neutralny" xfId="9" builtinId="28" customBuiltin="1"/>
    <cellStyle name="Normalny" xfId="0" builtinId="0"/>
    <cellStyle name="Obliczenia" xfId="12" builtinId="22" customBuiltin="1"/>
    <cellStyle name="Procentowy" xfId="1" builtinId="5"/>
    <cellStyle name="Suma" xfId="18" builtinId="25" customBuiltin="1"/>
    <cellStyle name="Tekst objaśnienia" xfId="17" builtinId="53" customBuiltin="1"/>
    <cellStyle name="Tekst ostrzeżenia" xfId="15" builtinId="11" customBuiltin="1"/>
    <cellStyle name="Tytuł" xfId="2" builtinId="15" customBuiltin="1"/>
    <cellStyle name="Uwaga" xfId="16" builtinId="10" customBuiltin="1"/>
    <cellStyle name="Zły" xfId="8" builtinId="27" customBuiltin="1"/>
  </cellStyles>
  <dxfs count="12">
    <dxf>
      <fill>
        <patternFill>
          <bgColor rgb="FFFF5050"/>
        </patternFill>
      </fill>
    </dxf>
    <dxf>
      <fill>
        <patternFill patternType="solid">
          <fgColor auto="1"/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 patternType="solid">
          <fgColor auto="1"/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 patternType="solid">
          <fgColor auto="1"/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 patternType="solid">
          <fgColor auto="1"/>
          <bgColor rgb="FFFF5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Irysy!$A$1</c:f>
              <c:strCache>
                <c:ptCount val="1"/>
                <c:pt idx="0">
                  <c:v>Sepal.Length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4309601924759405"/>
                  <c:y val="-0.21267424905220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Irysy!$C$2:$C$151</c:f>
              <c:numCache>
                <c:formatCode>General</c:formatCode>
                <c:ptCount val="150"/>
                <c:pt idx="0">
                  <c:v>1.4</c:v>
                </c:pt>
                <c:pt idx="1">
                  <c:v>1.4</c:v>
                </c:pt>
                <c:pt idx="2">
                  <c:v>1.3</c:v>
                </c:pt>
                <c:pt idx="3">
                  <c:v>1.5</c:v>
                </c:pt>
                <c:pt idx="4">
                  <c:v>1.4</c:v>
                </c:pt>
                <c:pt idx="5">
                  <c:v>1.7</c:v>
                </c:pt>
                <c:pt idx="6">
                  <c:v>1.4</c:v>
                </c:pt>
                <c:pt idx="7">
                  <c:v>1.5</c:v>
                </c:pt>
                <c:pt idx="8">
                  <c:v>1.4</c:v>
                </c:pt>
                <c:pt idx="9">
                  <c:v>1.5</c:v>
                </c:pt>
                <c:pt idx="10">
                  <c:v>1.5</c:v>
                </c:pt>
                <c:pt idx="11">
                  <c:v>1.6</c:v>
                </c:pt>
                <c:pt idx="12">
                  <c:v>1.4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1.5</c:v>
                </c:pt>
                <c:pt idx="16">
                  <c:v>1.3</c:v>
                </c:pt>
                <c:pt idx="17">
                  <c:v>1.4</c:v>
                </c:pt>
                <c:pt idx="18">
                  <c:v>1.7</c:v>
                </c:pt>
                <c:pt idx="19">
                  <c:v>1.5</c:v>
                </c:pt>
                <c:pt idx="20">
                  <c:v>1.7</c:v>
                </c:pt>
                <c:pt idx="21">
                  <c:v>1.5</c:v>
                </c:pt>
                <c:pt idx="22">
                  <c:v>1</c:v>
                </c:pt>
                <c:pt idx="23">
                  <c:v>1.7</c:v>
                </c:pt>
                <c:pt idx="24">
                  <c:v>1.9</c:v>
                </c:pt>
                <c:pt idx="25">
                  <c:v>1.6</c:v>
                </c:pt>
                <c:pt idx="26">
                  <c:v>1.6</c:v>
                </c:pt>
                <c:pt idx="27">
                  <c:v>1.5</c:v>
                </c:pt>
                <c:pt idx="28">
                  <c:v>1.4</c:v>
                </c:pt>
                <c:pt idx="29">
                  <c:v>1.6</c:v>
                </c:pt>
                <c:pt idx="30">
                  <c:v>1.6</c:v>
                </c:pt>
                <c:pt idx="31">
                  <c:v>1.5</c:v>
                </c:pt>
                <c:pt idx="32">
                  <c:v>1.5</c:v>
                </c:pt>
                <c:pt idx="33">
                  <c:v>1.4</c:v>
                </c:pt>
                <c:pt idx="34">
                  <c:v>1.5</c:v>
                </c:pt>
                <c:pt idx="35">
                  <c:v>1.2</c:v>
                </c:pt>
                <c:pt idx="36">
                  <c:v>1.3</c:v>
                </c:pt>
                <c:pt idx="37">
                  <c:v>1.4</c:v>
                </c:pt>
                <c:pt idx="38">
                  <c:v>1.3</c:v>
                </c:pt>
                <c:pt idx="39">
                  <c:v>1.5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  <c:pt idx="43">
                  <c:v>1.6</c:v>
                </c:pt>
                <c:pt idx="44">
                  <c:v>1.9</c:v>
                </c:pt>
                <c:pt idx="45">
                  <c:v>1.4</c:v>
                </c:pt>
                <c:pt idx="46">
                  <c:v>1.6</c:v>
                </c:pt>
                <c:pt idx="47">
                  <c:v>1.4</c:v>
                </c:pt>
                <c:pt idx="48">
                  <c:v>1.5</c:v>
                </c:pt>
                <c:pt idx="49">
                  <c:v>1.4</c:v>
                </c:pt>
                <c:pt idx="50">
                  <c:v>4.7</c:v>
                </c:pt>
                <c:pt idx="51">
                  <c:v>4.5</c:v>
                </c:pt>
                <c:pt idx="52">
                  <c:v>4.9000000000000004</c:v>
                </c:pt>
                <c:pt idx="53">
                  <c:v>4</c:v>
                </c:pt>
                <c:pt idx="54">
                  <c:v>4.5999999999999996</c:v>
                </c:pt>
                <c:pt idx="55">
                  <c:v>4.5</c:v>
                </c:pt>
                <c:pt idx="56">
                  <c:v>4.7</c:v>
                </c:pt>
                <c:pt idx="57">
                  <c:v>3.3</c:v>
                </c:pt>
                <c:pt idx="58">
                  <c:v>4.5999999999999996</c:v>
                </c:pt>
                <c:pt idx="59">
                  <c:v>3.9</c:v>
                </c:pt>
                <c:pt idx="60">
                  <c:v>3.5</c:v>
                </c:pt>
                <c:pt idx="61">
                  <c:v>4.2</c:v>
                </c:pt>
                <c:pt idx="62">
                  <c:v>4</c:v>
                </c:pt>
                <c:pt idx="63">
                  <c:v>4.7</c:v>
                </c:pt>
                <c:pt idx="64">
                  <c:v>3.6</c:v>
                </c:pt>
                <c:pt idx="65">
                  <c:v>4.4000000000000004</c:v>
                </c:pt>
                <c:pt idx="66">
                  <c:v>4.5</c:v>
                </c:pt>
                <c:pt idx="67">
                  <c:v>4.0999999999999996</c:v>
                </c:pt>
                <c:pt idx="68">
                  <c:v>4.5</c:v>
                </c:pt>
                <c:pt idx="69">
                  <c:v>3.9</c:v>
                </c:pt>
                <c:pt idx="70">
                  <c:v>4.8</c:v>
                </c:pt>
                <c:pt idx="71">
                  <c:v>4</c:v>
                </c:pt>
                <c:pt idx="72">
                  <c:v>4.9000000000000004</c:v>
                </c:pt>
                <c:pt idx="73">
                  <c:v>4.7</c:v>
                </c:pt>
                <c:pt idx="74">
                  <c:v>4.3</c:v>
                </c:pt>
                <c:pt idx="75">
                  <c:v>4.4000000000000004</c:v>
                </c:pt>
                <c:pt idx="76">
                  <c:v>4.8</c:v>
                </c:pt>
                <c:pt idx="77">
                  <c:v>5</c:v>
                </c:pt>
                <c:pt idx="78">
                  <c:v>4.5</c:v>
                </c:pt>
                <c:pt idx="79">
                  <c:v>3.5</c:v>
                </c:pt>
                <c:pt idx="80">
                  <c:v>3.8</c:v>
                </c:pt>
                <c:pt idx="81">
                  <c:v>3.7</c:v>
                </c:pt>
                <c:pt idx="82">
                  <c:v>3.9</c:v>
                </c:pt>
                <c:pt idx="83">
                  <c:v>5.0999999999999996</c:v>
                </c:pt>
                <c:pt idx="84">
                  <c:v>4.5</c:v>
                </c:pt>
                <c:pt idx="85">
                  <c:v>4.5</c:v>
                </c:pt>
                <c:pt idx="86">
                  <c:v>4.7</c:v>
                </c:pt>
                <c:pt idx="87">
                  <c:v>4.4000000000000004</c:v>
                </c:pt>
                <c:pt idx="88">
                  <c:v>4.0999999999999996</c:v>
                </c:pt>
                <c:pt idx="89">
                  <c:v>4</c:v>
                </c:pt>
                <c:pt idx="90">
                  <c:v>4.4000000000000004</c:v>
                </c:pt>
                <c:pt idx="91">
                  <c:v>4.5999999999999996</c:v>
                </c:pt>
                <c:pt idx="92">
                  <c:v>4</c:v>
                </c:pt>
                <c:pt idx="93">
                  <c:v>3.3</c:v>
                </c:pt>
                <c:pt idx="94">
                  <c:v>4.2</c:v>
                </c:pt>
                <c:pt idx="95">
                  <c:v>4.2</c:v>
                </c:pt>
                <c:pt idx="96">
                  <c:v>4.2</c:v>
                </c:pt>
                <c:pt idx="97">
                  <c:v>4.3</c:v>
                </c:pt>
                <c:pt idx="98">
                  <c:v>3</c:v>
                </c:pt>
                <c:pt idx="99">
                  <c:v>4.0999999999999996</c:v>
                </c:pt>
                <c:pt idx="100">
                  <c:v>6</c:v>
                </c:pt>
                <c:pt idx="101">
                  <c:v>5.0999999999999996</c:v>
                </c:pt>
                <c:pt idx="102">
                  <c:v>5.9</c:v>
                </c:pt>
                <c:pt idx="103">
                  <c:v>5.6</c:v>
                </c:pt>
                <c:pt idx="104">
                  <c:v>5.8</c:v>
                </c:pt>
                <c:pt idx="105">
                  <c:v>6.6</c:v>
                </c:pt>
                <c:pt idx="106">
                  <c:v>4.5</c:v>
                </c:pt>
                <c:pt idx="107">
                  <c:v>6.3</c:v>
                </c:pt>
                <c:pt idx="108">
                  <c:v>5.8</c:v>
                </c:pt>
                <c:pt idx="109">
                  <c:v>6.1</c:v>
                </c:pt>
                <c:pt idx="110">
                  <c:v>5.0999999999999996</c:v>
                </c:pt>
                <c:pt idx="111">
                  <c:v>5.3</c:v>
                </c:pt>
                <c:pt idx="112">
                  <c:v>5.5</c:v>
                </c:pt>
                <c:pt idx="113">
                  <c:v>5</c:v>
                </c:pt>
                <c:pt idx="114">
                  <c:v>5.0999999999999996</c:v>
                </c:pt>
                <c:pt idx="115">
                  <c:v>5.3</c:v>
                </c:pt>
                <c:pt idx="116">
                  <c:v>5.5</c:v>
                </c:pt>
                <c:pt idx="117">
                  <c:v>6.7</c:v>
                </c:pt>
                <c:pt idx="118">
                  <c:v>6.9</c:v>
                </c:pt>
                <c:pt idx="119">
                  <c:v>5</c:v>
                </c:pt>
                <c:pt idx="120">
                  <c:v>5.7</c:v>
                </c:pt>
                <c:pt idx="121">
                  <c:v>4.9000000000000004</c:v>
                </c:pt>
                <c:pt idx="122">
                  <c:v>6.7</c:v>
                </c:pt>
                <c:pt idx="123">
                  <c:v>4.9000000000000004</c:v>
                </c:pt>
                <c:pt idx="124">
                  <c:v>5.7</c:v>
                </c:pt>
                <c:pt idx="125">
                  <c:v>6</c:v>
                </c:pt>
                <c:pt idx="126">
                  <c:v>4.8</c:v>
                </c:pt>
                <c:pt idx="127">
                  <c:v>4.9000000000000004</c:v>
                </c:pt>
                <c:pt idx="128">
                  <c:v>5.6</c:v>
                </c:pt>
                <c:pt idx="129">
                  <c:v>5.8</c:v>
                </c:pt>
                <c:pt idx="130">
                  <c:v>6.1</c:v>
                </c:pt>
                <c:pt idx="131">
                  <c:v>6.4</c:v>
                </c:pt>
                <c:pt idx="132">
                  <c:v>5.6</c:v>
                </c:pt>
                <c:pt idx="133">
                  <c:v>5.0999999999999996</c:v>
                </c:pt>
                <c:pt idx="134">
                  <c:v>5.6</c:v>
                </c:pt>
                <c:pt idx="135">
                  <c:v>6.1</c:v>
                </c:pt>
                <c:pt idx="136">
                  <c:v>5.6</c:v>
                </c:pt>
                <c:pt idx="137">
                  <c:v>5.5</c:v>
                </c:pt>
                <c:pt idx="138">
                  <c:v>4.8</c:v>
                </c:pt>
                <c:pt idx="139">
                  <c:v>5.4</c:v>
                </c:pt>
                <c:pt idx="140">
                  <c:v>5.6</c:v>
                </c:pt>
                <c:pt idx="141">
                  <c:v>5.0999999999999996</c:v>
                </c:pt>
                <c:pt idx="142">
                  <c:v>5.0999999999999996</c:v>
                </c:pt>
                <c:pt idx="143">
                  <c:v>5.9</c:v>
                </c:pt>
                <c:pt idx="144">
                  <c:v>5.7</c:v>
                </c:pt>
                <c:pt idx="145">
                  <c:v>5.2</c:v>
                </c:pt>
                <c:pt idx="146">
                  <c:v>5</c:v>
                </c:pt>
                <c:pt idx="147">
                  <c:v>5.2</c:v>
                </c:pt>
                <c:pt idx="148">
                  <c:v>5.4</c:v>
                </c:pt>
                <c:pt idx="149">
                  <c:v>5.0999999999999996</c:v>
                </c:pt>
              </c:numCache>
            </c:numRef>
          </c:xVal>
          <c:yVal>
            <c:numRef>
              <c:f>Irysy!$A$2:$A$151</c:f>
              <c:numCache>
                <c:formatCode>General</c:formatCode>
                <c:ptCount val="150"/>
                <c:pt idx="0">
                  <c:v>5.0999999999999996</c:v>
                </c:pt>
                <c:pt idx="1">
                  <c:v>4.9000000000000004</c:v>
                </c:pt>
                <c:pt idx="2">
                  <c:v>4.7</c:v>
                </c:pt>
                <c:pt idx="3">
                  <c:v>4.5999999999999996</c:v>
                </c:pt>
                <c:pt idx="4">
                  <c:v>5</c:v>
                </c:pt>
                <c:pt idx="5">
                  <c:v>5.4</c:v>
                </c:pt>
                <c:pt idx="6">
                  <c:v>4.5999999999999996</c:v>
                </c:pt>
                <c:pt idx="7">
                  <c:v>5</c:v>
                </c:pt>
                <c:pt idx="8">
                  <c:v>4.4000000000000004</c:v>
                </c:pt>
                <c:pt idx="9">
                  <c:v>4.9000000000000004</c:v>
                </c:pt>
                <c:pt idx="10">
                  <c:v>5.4</c:v>
                </c:pt>
                <c:pt idx="11">
                  <c:v>4.8</c:v>
                </c:pt>
                <c:pt idx="12">
                  <c:v>4.8</c:v>
                </c:pt>
                <c:pt idx="13">
                  <c:v>4.3</c:v>
                </c:pt>
                <c:pt idx="14">
                  <c:v>5.8</c:v>
                </c:pt>
                <c:pt idx="15">
                  <c:v>5.7</c:v>
                </c:pt>
                <c:pt idx="16">
                  <c:v>5.4</c:v>
                </c:pt>
                <c:pt idx="17">
                  <c:v>5.0999999999999996</c:v>
                </c:pt>
                <c:pt idx="18">
                  <c:v>5.7</c:v>
                </c:pt>
                <c:pt idx="19">
                  <c:v>5.0999999999999996</c:v>
                </c:pt>
                <c:pt idx="20">
                  <c:v>5.4</c:v>
                </c:pt>
                <c:pt idx="21">
                  <c:v>5.0999999999999996</c:v>
                </c:pt>
                <c:pt idx="22">
                  <c:v>4.5999999999999996</c:v>
                </c:pt>
                <c:pt idx="23">
                  <c:v>5.0999999999999996</c:v>
                </c:pt>
                <c:pt idx="24">
                  <c:v>4.8</c:v>
                </c:pt>
                <c:pt idx="25">
                  <c:v>5</c:v>
                </c:pt>
                <c:pt idx="26">
                  <c:v>5</c:v>
                </c:pt>
                <c:pt idx="27">
                  <c:v>5.2</c:v>
                </c:pt>
                <c:pt idx="28">
                  <c:v>5.2</c:v>
                </c:pt>
                <c:pt idx="29">
                  <c:v>4.7</c:v>
                </c:pt>
                <c:pt idx="30">
                  <c:v>4.8</c:v>
                </c:pt>
                <c:pt idx="31">
                  <c:v>5.4</c:v>
                </c:pt>
                <c:pt idx="32">
                  <c:v>5.2</c:v>
                </c:pt>
                <c:pt idx="33">
                  <c:v>5.5</c:v>
                </c:pt>
                <c:pt idx="34">
                  <c:v>4.9000000000000004</c:v>
                </c:pt>
                <c:pt idx="35">
                  <c:v>5</c:v>
                </c:pt>
                <c:pt idx="36">
                  <c:v>5.5</c:v>
                </c:pt>
                <c:pt idx="37">
                  <c:v>4.9000000000000004</c:v>
                </c:pt>
                <c:pt idx="38">
                  <c:v>4.4000000000000004</c:v>
                </c:pt>
                <c:pt idx="39">
                  <c:v>5.0999999999999996</c:v>
                </c:pt>
                <c:pt idx="40">
                  <c:v>5</c:v>
                </c:pt>
                <c:pt idx="41">
                  <c:v>4.5</c:v>
                </c:pt>
                <c:pt idx="42">
                  <c:v>4.4000000000000004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4.8</c:v>
                </c:pt>
                <c:pt idx="46">
                  <c:v>5.0999999999999996</c:v>
                </c:pt>
                <c:pt idx="47">
                  <c:v>4.5999999999999996</c:v>
                </c:pt>
                <c:pt idx="48">
                  <c:v>5.3</c:v>
                </c:pt>
                <c:pt idx="49">
                  <c:v>5</c:v>
                </c:pt>
                <c:pt idx="50">
                  <c:v>7</c:v>
                </c:pt>
                <c:pt idx="51">
                  <c:v>6.4</c:v>
                </c:pt>
                <c:pt idx="52">
                  <c:v>6.9</c:v>
                </c:pt>
                <c:pt idx="53">
                  <c:v>5.5</c:v>
                </c:pt>
                <c:pt idx="54">
                  <c:v>6.5</c:v>
                </c:pt>
                <c:pt idx="55">
                  <c:v>5.7</c:v>
                </c:pt>
                <c:pt idx="56">
                  <c:v>6.3</c:v>
                </c:pt>
                <c:pt idx="57">
                  <c:v>4.9000000000000004</c:v>
                </c:pt>
                <c:pt idx="58">
                  <c:v>6.6</c:v>
                </c:pt>
                <c:pt idx="59">
                  <c:v>5.2</c:v>
                </c:pt>
                <c:pt idx="60">
                  <c:v>5</c:v>
                </c:pt>
                <c:pt idx="61">
                  <c:v>5.9</c:v>
                </c:pt>
                <c:pt idx="62">
                  <c:v>6</c:v>
                </c:pt>
                <c:pt idx="63">
                  <c:v>6.1</c:v>
                </c:pt>
                <c:pt idx="64">
                  <c:v>5.6</c:v>
                </c:pt>
                <c:pt idx="65">
                  <c:v>6.7</c:v>
                </c:pt>
                <c:pt idx="66">
                  <c:v>5.6</c:v>
                </c:pt>
                <c:pt idx="67">
                  <c:v>5.8</c:v>
                </c:pt>
                <c:pt idx="68">
                  <c:v>6.2</c:v>
                </c:pt>
                <c:pt idx="69">
                  <c:v>5.6</c:v>
                </c:pt>
                <c:pt idx="70">
                  <c:v>5.9</c:v>
                </c:pt>
                <c:pt idx="71">
                  <c:v>6.1</c:v>
                </c:pt>
                <c:pt idx="72">
                  <c:v>6.3</c:v>
                </c:pt>
                <c:pt idx="73">
                  <c:v>6.1</c:v>
                </c:pt>
                <c:pt idx="74">
                  <c:v>6.4</c:v>
                </c:pt>
                <c:pt idx="75">
                  <c:v>6.6</c:v>
                </c:pt>
                <c:pt idx="76">
                  <c:v>6.8</c:v>
                </c:pt>
                <c:pt idx="77">
                  <c:v>6.7</c:v>
                </c:pt>
                <c:pt idx="78">
                  <c:v>6</c:v>
                </c:pt>
                <c:pt idx="79">
                  <c:v>5.7</c:v>
                </c:pt>
                <c:pt idx="80">
                  <c:v>5.5</c:v>
                </c:pt>
                <c:pt idx="81">
                  <c:v>5.5</c:v>
                </c:pt>
                <c:pt idx="82">
                  <c:v>5.8</c:v>
                </c:pt>
                <c:pt idx="83">
                  <c:v>6</c:v>
                </c:pt>
                <c:pt idx="84">
                  <c:v>5.4</c:v>
                </c:pt>
                <c:pt idx="85">
                  <c:v>6</c:v>
                </c:pt>
                <c:pt idx="86">
                  <c:v>6.7</c:v>
                </c:pt>
                <c:pt idx="87">
                  <c:v>6.3</c:v>
                </c:pt>
                <c:pt idx="88">
                  <c:v>5.6</c:v>
                </c:pt>
                <c:pt idx="89">
                  <c:v>5.5</c:v>
                </c:pt>
                <c:pt idx="90">
                  <c:v>5.5</c:v>
                </c:pt>
                <c:pt idx="91">
                  <c:v>6.1</c:v>
                </c:pt>
                <c:pt idx="92">
                  <c:v>5.8</c:v>
                </c:pt>
                <c:pt idx="93">
                  <c:v>5</c:v>
                </c:pt>
                <c:pt idx="94">
                  <c:v>5.6</c:v>
                </c:pt>
                <c:pt idx="95">
                  <c:v>5.7</c:v>
                </c:pt>
                <c:pt idx="96">
                  <c:v>5.7</c:v>
                </c:pt>
                <c:pt idx="97">
                  <c:v>6.2</c:v>
                </c:pt>
                <c:pt idx="98">
                  <c:v>5.0999999999999996</c:v>
                </c:pt>
                <c:pt idx="99">
                  <c:v>5.7</c:v>
                </c:pt>
                <c:pt idx="100">
                  <c:v>6.3</c:v>
                </c:pt>
                <c:pt idx="101">
                  <c:v>5.8</c:v>
                </c:pt>
                <c:pt idx="102">
                  <c:v>7.1</c:v>
                </c:pt>
                <c:pt idx="103">
                  <c:v>6.3</c:v>
                </c:pt>
                <c:pt idx="104">
                  <c:v>6.5</c:v>
                </c:pt>
                <c:pt idx="105">
                  <c:v>7.6</c:v>
                </c:pt>
                <c:pt idx="106">
                  <c:v>4.9000000000000004</c:v>
                </c:pt>
                <c:pt idx="107">
                  <c:v>7.3</c:v>
                </c:pt>
                <c:pt idx="108">
                  <c:v>6.7</c:v>
                </c:pt>
                <c:pt idx="109">
                  <c:v>7.2</c:v>
                </c:pt>
                <c:pt idx="110">
                  <c:v>6.5</c:v>
                </c:pt>
                <c:pt idx="111">
                  <c:v>6.4</c:v>
                </c:pt>
                <c:pt idx="112">
                  <c:v>6.8</c:v>
                </c:pt>
                <c:pt idx="113">
                  <c:v>5.7</c:v>
                </c:pt>
                <c:pt idx="114">
                  <c:v>5.8</c:v>
                </c:pt>
                <c:pt idx="115">
                  <c:v>6.4</c:v>
                </c:pt>
                <c:pt idx="116">
                  <c:v>6.5</c:v>
                </c:pt>
                <c:pt idx="117">
                  <c:v>7.7</c:v>
                </c:pt>
                <c:pt idx="118">
                  <c:v>7.7</c:v>
                </c:pt>
                <c:pt idx="119">
                  <c:v>6</c:v>
                </c:pt>
                <c:pt idx="120">
                  <c:v>6.9</c:v>
                </c:pt>
                <c:pt idx="121">
                  <c:v>5.6</c:v>
                </c:pt>
                <c:pt idx="122">
                  <c:v>7.7</c:v>
                </c:pt>
                <c:pt idx="123">
                  <c:v>6.3</c:v>
                </c:pt>
                <c:pt idx="124">
                  <c:v>6.7</c:v>
                </c:pt>
                <c:pt idx="125">
                  <c:v>7.2</c:v>
                </c:pt>
                <c:pt idx="126">
                  <c:v>6.2</c:v>
                </c:pt>
                <c:pt idx="127">
                  <c:v>6.1</c:v>
                </c:pt>
                <c:pt idx="128">
                  <c:v>6.4</c:v>
                </c:pt>
                <c:pt idx="129">
                  <c:v>7.2</c:v>
                </c:pt>
                <c:pt idx="130">
                  <c:v>7.4</c:v>
                </c:pt>
                <c:pt idx="131">
                  <c:v>7.9</c:v>
                </c:pt>
                <c:pt idx="132">
                  <c:v>6.4</c:v>
                </c:pt>
                <c:pt idx="133">
                  <c:v>6.3</c:v>
                </c:pt>
                <c:pt idx="134">
                  <c:v>6.1</c:v>
                </c:pt>
                <c:pt idx="135">
                  <c:v>7.7</c:v>
                </c:pt>
                <c:pt idx="136">
                  <c:v>6.3</c:v>
                </c:pt>
                <c:pt idx="137">
                  <c:v>6.4</c:v>
                </c:pt>
                <c:pt idx="138">
                  <c:v>6</c:v>
                </c:pt>
                <c:pt idx="139">
                  <c:v>6.9</c:v>
                </c:pt>
                <c:pt idx="140">
                  <c:v>6.7</c:v>
                </c:pt>
                <c:pt idx="141">
                  <c:v>6.9</c:v>
                </c:pt>
                <c:pt idx="142">
                  <c:v>5.8</c:v>
                </c:pt>
                <c:pt idx="143">
                  <c:v>6.8</c:v>
                </c:pt>
                <c:pt idx="144">
                  <c:v>6.7</c:v>
                </c:pt>
                <c:pt idx="145">
                  <c:v>6.7</c:v>
                </c:pt>
                <c:pt idx="146">
                  <c:v>6.3</c:v>
                </c:pt>
                <c:pt idx="147">
                  <c:v>6.5</c:v>
                </c:pt>
                <c:pt idx="148">
                  <c:v>6.2</c:v>
                </c:pt>
                <c:pt idx="149">
                  <c:v>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5-4221-ABAA-84B625A3C06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Irysy!$C$2:$C$51</c:f>
              <c:numCache>
                <c:formatCode>General</c:formatCode>
                <c:ptCount val="50"/>
                <c:pt idx="0">
                  <c:v>1.4</c:v>
                </c:pt>
                <c:pt idx="1">
                  <c:v>1.4</c:v>
                </c:pt>
                <c:pt idx="2">
                  <c:v>1.3</c:v>
                </c:pt>
                <c:pt idx="3">
                  <c:v>1.5</c:v>
                </c:pt>
                <c:pt idx="4">
                  <c:v>1.4</c:v>
                </c:pt>
                <c:pt idx="5">
                  <c:v>1.7</c:v>
                </c:pt>
                <c:pt idx="6">
                  <c:v>1.4</c:v>
                </c:pt>
                <c:pt idx="7">
                  <c:v>1.5</c:v>
                </c:pt>
                <c:pt idx="8">
                  <c:v>1.4</c:v>
                </c:pt>
                <c:pt idx="9">
                  <c:v>1.5</c:v>
                </c:pt>
                <c:pt idx="10">
                  <c:v>1.5</c:v>
                </c:pt>
                <c:pt idx="11">
                  <c:v>1.6</c:v>
                </c:pt>
                <c:pt idx="12">
                  <c:v>1.4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1.5</c:v>
                </c:pt>
                <c:pt idx="16">
                  <c:v>1.3</c:v>
                </c:pt>
                <c:pt idx="17">
                  <c:v>1.4</c:v>
                </c:pt>
                <c:pt idx="18">
                  <c:v>1.7</c:v>
                </c:pt>
                <c:pt idx="19">
                  <c:v>1.5</c:v>
                </c:pt>
                <c:pt idx="20">
                  <c:v>1.7</c:v>
                </c:pt>
                <c:pt idx="21">
                  <c:v>1.5</c:v>
                </c:pt>
                <c:pt idx="22">
                  <c:v>1</c:v>
                </c:pt>
                <c:pt idx="23">
                  <c:v>1.7</c:v>
                </c:pt>
                <c:pt idx="24">
                  <c:v>1.9</c:v>
                </c:pt>
                <c:pt idx="25">
                  <c:v>1.6</c:v>
                </c:pt>
                <c:pt idx="26">
                  <c:v>1.6</c:v>
                </c:pt>
                <c:pt idx="27">
                  <c:v>1.5</c:v>
                </c:pt>
                <c:pt idx="28">
                  <c:v>1.4</c:v>
                </c:pt>
                <c:pt idx="29">
                  <c:v>1.6</c:v>
                </c:pt>
                <c:pt idx="30">
                  <c:v>1.6</c:v>
                </c:pt>
                <c:pt idx="31">
                  <c:v>1.5</c:v>
                </c:pt>
                <c:pt idx="32">
                  <c:v>1.5</c:v>
                </c:pt>
                <c:pt idx="33">
                  <c:v>1.4</c:v>
                </c:pt>
                <c:pt idx="34">
                  <c:v>1.5</c:v>
                </c:pt>
                <c:pt idx="35">
                  <c:v>1.2</c:v>
                </c:pt>
                <c:pt idx="36">
                  <c:v>1.3</c:v>
                </c:pt>
                <c:pt idx="37">
                  <c:v>1.4</c:v>
                </c:pt>
                <c:pt idx="38">
                  <c:v>1.3</c:v>
                </c:pt>
                <c:pt idx="39">
                  <c:v>1.5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  <c:pt idx="43">
                  <c:v>1.6</c:v>
                </c:pt>
                <c:pt idx="44">
                  <c:v>1.9</c:v>
                </c:pt>
                <c:pt idx="45">
                  <c:v>1.4</c:v>
                </c:pt>
                <c:pt idx="46">
                  <c:v>1.6</c:v>
                </c:pt>
                <c:pt idx="47">
                  <c:v>1.4</c:v>
                </c:pt>
                <c:pt idx="48">
                  <c:v>1.5</c:v>
                </c:pt>
                <c:pt idx="49">
                  <c:v>1.4</c:v>
                </c:pt>
              </c:numCache>
            </c:numRef>
          </c:xVal>
          <c:yVal>
            <c:numRef>
              <c:f>Irysy!$A$2:$A$51</c:f>
              <c:numCache>
                <c:formatCode>General</c:formatCode>
                <c:ptCount val="50"/>
                <c:pt idx="0">
                  <c:v>5.0999999999999996</c:v>
                </c:pt>
                <c:pt idx="1">
                  <c:v>4.9000000000000004</c:v>
                </c:pt>
                <c:pt idx="2">
                  <c:v>4.7</c:v>
                </c:pt>
                <c:pt idx="3">
                  <c:v>4.5999999999999996</c:v>
                </c:pt>
                <c:pt idx="4">
                  <c:v>5</c:v>
                </c:pt>
                <c:pt idx="5">
                  <c:v>5.4</c:v>
                </c:pt>
                <c:pt idx="6">
                  <c:v>4.5999999999999996</c:v>
                </c:pt>
                <c:pt idx="7">
                  <c:v>5</c:v>
                </c:pt>
                <c:pt idx="8">
                  <c:v>4.4000000000000004</c:v>
                </c:pt>
                <c:pt idx="9">
                  <c:v>4.9000000000000004</c:v>
                </c:pt>
                <c:pt idx="10">
                  <c:v>5.4</c:v>
                </c:pt>
                <c:pt idx="11">
                  <c:v>4.8</c:v>
                </c:pt>
                <c:pt idx="12">
                  <c:v>4.8</c:v>
                </c:pt>
                <c:pt idx="13">
                  <c:v>4.3</c:v>
                </c:pt>
                <c:pt idx="14">
                  <c:v>5.8</c:v>
                </c:pt>
                <c:pt idx="15">
                  <c:v>5.7</c:v>
                </c:pt>
                <c:pt idx="16">
                  <c:v>5.4</c:v>
                </c:pt>
                <c:pt idx="17">
                  <c:v>5.0999999999999996</c:v>
                </c:pt>
                <c:pt idx="18">
                  <c:v>5.7</c:v>
                </c:pt>
                <c:pt idx="19">
                  <c:v>5.0999999999999996</c:v>
                </c:pt>
                <c:pt idx="20">
                  <c:v>5.4</c:v>
                </c:pt>
                <c:pt idx="21">
                  <c:v>5.0999999999999996</c:v>
                </c:pt>
                <c:pt idx="22">
                  <c:v>4.5999999999999996</c:v>
                </c:pt>
                <c:pt idx="23">
                  <c:v>5.0999999999999996</c:v>
                </c:pt>
                <c:pt idx="24">
                  <c:v>4.8</c:v>
                </c:pt>
                <c:pt idx="25">
                  <c:v>5</c:v>
                </c:pt>
                <c:pt idx="26">
                  <c:v>5</c:v>
                </c:pt>
                <c:pt idx="27">
                  <c:v>5.2</c:v>
                </c:pt>
                <c:pt idx="28">
                  <c:v>5.2</c:v>
                </c:pt>
                <c:pt idx="29">
                  <c:v>4.7</c:v>
                </c:pt>
                <c:pt idx="30">
                  <c:v>4.8</c:v>
                </c:pt>
                <c:pt idx="31">
                  <c:v>5.4</c:v>
                </c:pt>
                <c:pt idx="32">
                  <c:v>5.2</c:v>
                </c:pt>
                <c:pt idx="33">
                  <c:v>5.5</c:v>
                </c:pt>
                <c:pt idx="34">
                  <c:v>4.9000000000000004</c:v>
                </c:pt>
                <c:pt idx="35">
                  <c:v>5</c:v>
                </c:pt>
                <c:pt idx="36">
                  <c:v>5.5</c:v>
                </c:pt>
                <c:pt idx="37">
                  <c:v>4.9000000000000004</c:v>
                </c:pt>
                <c:pt idx="38">
                  <c:v>4.4000000000000004</c:v>
                </c:pt>
                <c:pt idx="39">
                  <c:v>5.0999999999999996</c:v>
                </c:pt>
                <c:pt idx="40">
                  <c:v>5</c:v>
                </c:pt>
                <c:pt idx="41">
                  <c:v>4.5</c:v>
                </c:pt>
                <c:pt idx="42">
                  <c:v>4.4000000000000004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4.8</c:v>
                </c:pt>
                <c:pt idx="46">
                  <c:v>5.0999999999999996</c:v>
                </c:pt>
                <c:pt idx="47">
                  <c:v>4.5999999999999996</c:v>
                </c:pt>
                <c:pt idx="48">
                  <c:v>5.3</c:v>
                </c:pt>
                <c:pt idx="49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5-4221-ABAA-84B625A3C06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Irysy!$C$102:$C$151</c:f>
              <c:numCache>
                <c:formatCode>General</c:formatCode>
                <c:ptCount val="50"/>
                <c:pt idx="0">
                  <c:v>6</c:v>
                </c:pt>
                <c:pt idx="1">
                  <c:v>5.0999999999999996</c:v>
                </c:pt>
                <c:pt idx="2">
                  <c:v>5.9</c:v>
                </c:pt>
                <c:pt idx="3">
                  <c:v>5.6</c:v>
                </c:pt>
                <c:pt idx="4">
                  <c:v>5.8</c:v>
                </c:pt>
                <c:pt idx="5">
                  <c:v>6.6</c:v>
                </c:pt>
                <c:pt idx="6">
                  <c:v>4.5</c:v>
                </c:pt>
                <c:pt idx="7">
                  <c:v>6.3</c:v>
                </c:pt>
                <c:pt idx="8">
                  <c:v>5.8</c:v>
                </c:pt>
                <c:pt idx="9">
                  <c:v>6.1</c:v>
                </c:pt>
                <c:pt idx="10">
                  <c:v>5.0999999999999996</c:v>
                </c:pt>
                <c:pt idx="11">
                  <c:v>5.3</c:v>
                </c:pt>
                <c:pt idx="12">
                  <c:v>5.5</c:v>
                </c:pt>
                <c:pt idx="13">
                  <c:v>5</c:v>
                </c:pt>
                <c:pt idx="14">
                  <c:v>5.0999999999999996</c:v>
                </c:pt>
                <c:pt idx="15">
                  <c:v>5.3</c:v>
                </c:pt>
                <c:pt idx="16">
                  <c:v>5.5</c:v>
                </c:pt>
                <c:pt idx="17">
                  <c:v>6.7</c:v>
                </c:pt>
                <c:pt idx="18">
                  <c:v>6.9</c:v>
                </c:pt>
                <c:pt idx="19">
                  <c:v>5</c:v>
                </c:pt>
                <c:pt idx="20">
                  <c:v>5.7</c:v>
                </c:pt>
                <c:pt idx="21">
                  <c:v>4.9000000000000004</c:v>
                </c:pt>
                <c:pt idx="22">
                  <c:v>6.7</c:v>
                </c:pt>
                <c:pt idx="23">
                  <c:v>4.9000000000000004</c:v>
                </c:pt>
                <c:pt idx="24">
                  <c:v>5.7</c:v>
                </c:pt>
                <c:pt idx="25">
                  <c:v>6</c:v>
                </c:pt>
                <c:pt idx="26">
                  <c:v>4.8</c:v>
                </c:pt>
                <c:pt idx="27">
                  <c:v>4.9000000000000004</c:v>
                </c:pt>
                <c:pt idx="28">
                  <c:v>5.6</c:v>
                </c:pt>
                <c:pt idx="29">
                  <c:v>5.8</c:v>
                </c:pt>
                <c:pt idx="30">
                  <c:v>6.1</c:v>
                </c:pt>
                <c:pt idx="31">
                  <c:v>6.4</c:v>
                </c:pt>
                <c:pt idx="32">
                  <c:v>5.6</c:v>
                </c:pt>
                <c:pt idx="33">
                  <c:v>5.0999999999999996</c:v>
                </c:pt>
                <c:pt idx="34">
                  <c:v>5.6</c:v>
                </c:pt>
                <c:pt idx="35">
                  <c:v>6.1</c:v>
                </c:pt>
                <c:pt idx="36">
                  <c:v>5.6</c:v>
                </c:pt>
                <c:pt idx="37">
                  <c:v>5.5</c:v>
                </c:pt>
                <c:pt idx="38">
                  <c:v>4.8</c:v>
                </c:pt>
                <c:pt idx="39">
                  <c:v>5.4</c:v>
                </c:pt>
                <c:pt idx="40">
                  <c:v>5.6</c:v>
                </c:pt>
                <c:pt idx="41">
                  <c:v>5.0999999999999996</c:v>
                </c:pt>
                <c:pt idx="42">
                  <c:v>5.0999999999999996</c:v>
                </c:pt>
                <c:pt idx="43">
                  <c:v>5.9</c:v>
                </c:pt>
                <c:pt idx="44">
                  <c:v>5.7</c:v>
                </c:pt>
                <c:pt idx="45">
                  <c:v>5.2</c:v>
                </c:pt>
                <c:pt idx="46">
                  <c:v>5</c:v>
                </c:pt>
                <c:pt idx="47">
                  <c:v>5.2</c:v>
                </c:pt>
                <c:pt idx="48">
                  <c:v>5.4</c:v>
                </c:pt>
                <c:pt idx="49">
                  <c:v>5.0999999999999996</c:v>
                </c:pt>
              </c:numCache>
            </c:numRef>
          </c:xVal>
          <c:yVal>
            <c:numRef>
              <c:f>Irysy!$A$102:$A$151</c:f>
              <c:numCache>
                <c:formatCode>General</c:formatCode>
                <c:ptCount val="50"/>
                <c:pt idx="0">
                  <c:v>6.3</c:v>
                </c:pt>
                <c:pt idx="1">
                  <c:v>5.8</c:v>
                </c:pt>
                <c:pt idx="2">
                  <c:v>7.1</c:v>
                </c:pt>
                <c:pt idx="3">
                  <c:v>6.3</c:v>
                </c:pt>
                <c:pt idx="4">
                  <c:v>6.5</c:v>
                </c:pt>
                <c:pt idx="5">
                  <c:v>7.6</c:v>
                </c:pt>
                <c:pt idx="6">
                  <c:v>4.9000000000000004</c:v>
                </c:pt>
                <c:pt idx="7">
                  <c:v>7.3</c:v>
                </c:pt>
                <c:pt idx="8">
                  <c:v>6.7</c:v>
                </c:pt>
                <c:pt idx="9">
                  <c:v>7.2</c:v>
                </c:pt>
                <c:pt idx="10">
                  <c:v>6.5</c:v>
                </c:pt>
                <c:pt idx="11">
                  <c:v>6.4</c:v>
                </c:pt>
                <c:pt idx="12">
                  <c:v>6.8</c:v>
                </c:pt>
                <c:pt idx="13">
                  <c:v>5.7</c:v>
                </c:pt>
                <c:pt idx="14">
                  <c:v>5.8</c:v>
                </c:pt>
                <c:pt idx="15">
                  <c:v>6.4</c:v>
                </c:pt>
                <c:pt idx="16">
                  <c:v>6.5</c:v>
                </c:pt>
                <c:pt idx="17">
                  <c:v>7.7</c:v>
                </c:pt>
                <c:pt idx="18">
                  <c:v>7.7</c:v>
                </c:pt>
                <c:pt idx="19">
                  <c:v>6</c:v>
                </c:pt>
                <c:pt idx="20">
                  <c:v>6.9</c:v>
                </c:pt>
                <c:pt idx="21">
                  <c:v>5.6</c:v>
                </c:pt>
                <c:pt idx="22">
                  <c:v>7.7</c:v>
                </c:pt>
                <c:pt idx="23">
                  <c:v>6.3</c:v>
                </c:pt>
                <c:pt idx="24">
                  <c:v>6.7</c:v>
                </c:pt>
                <c:pt idx="25">
                  <c:v>7.2</c:v>
                </c:pt>
                <c:pt idx="26">
                  <c:v>6.2</c:v>
                </c:pt>
                <c:pt idx="27">
                  <c:v>6.1</c:v>
                </c:pt>
                <c:pt idx="28">
                  <c:v>6.4</c:v>
                </c:pt>
                <c:pt idx="29">
                  <c:v>7.2</c:v>
                </c:pt>
                <c:pt idx="30">
                  <c:v>7.4</c:v>
                </c:pt>
                <c:pt idx="31">
                  <c:v>7.9</c:v>
                </c:pt>
                <c:pt idx="32">
                  <c:v>6.4</c:v>
                </c:pt>
                <c:pt idx="33">
                  <c:v>6.3</c:v>
                </c:pt>
                <c:pt idx="34">
                  <c:v>6.1</c:v>
                </c:pt>
                <c:pt idx="35">
                  <c:v>7.7</c:v>
                </c:pt>
                <c:pt idx="36">
                  <c:v>6.3</c:v>
                </c:pt>
                <c:pt idx="37">
                  <c:v>6.4</c:v>
                </c:pt>
                <c:pt idx="38">
                  <c:v>6</c:v>
                </c:pt>
                <c:pt idx="39">
                  <c:v>6.9</c:v>
                </c:pt>
                <c:pt idx="40">
                  <c:v>6.7</c:v>
                </c:pt>
                <c:pt idx="41">
                  <c:v>6.9</c:v>
                </c:pt>
                <c:pt idx="42">
                  <c:v>5.8</c:v>
                </c:pt>
                <c:pt idx="43">
                  <c:v>6.8</c:v>
                </c:pt>
                <c:pt idx="44">
                  <c:v>6.7</c:v>
                </c:pt>
                <c:pt idx="45">
                  <c:v>6.7</c:v>
                </c:pt>
                <c:pt idx="46">
                  <c:v>6.3</c:v>
                </c:pt>
                <c:pt idx="47">
                  <c:v>6.5</c:v>
                </c:pt>
                <c:pt idx="48">
                  <c:v>6.2</c:v>
                </c:pt>
                <c:pt idx="49">
                  <c:v>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35-4221-ABAA-84B625A3C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5097392"/>
        <c:axId val="1617120912"/>
      </c:scatterChart>
      <c:valAx>
        <c:axId val="1345097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17120912"/>
        <c:crosses val="autoZero"/>
        <c:crossBetween val="midCat"/>
      </c:valAx>
      <c:valAx>
        <c:axId val="161712091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45097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1590463692038495"/>
                  <c:y val="-0.4461676144648585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'PCA (centralizacja)'!$M$2:$M$151</c:f>
              <c:numCache>
                <c:formatCode>General</c:formatCode>
                <c:ptCount val="150"/>
                <c:pt idx="0">
                  <c:v>-2.6841256259695365</c:v>
                </c:pt>
                <c:pt idx="1">
                  <c:v>-2.7141416872943256</c:v>
                </c:pt>
                <c:pt idx="2">
                  <c:v>-2.8889905690592963</c:v>
                </c:pt>
                <c:pt idx="3">
                  <c:v>-2.7453428556414097</c:v>
                </c:pt>
                <c:pt idx="4">
                  <c:v>-2.7287165365545301</c:v>
                </c:pt>
                <c:pt idx="5">
                  <c:v>-2.2808596328444928</c:v>
                </c:pt>
                <c:pt idx="6">
                  <c:v>-2.8205377507406091</c:v>
                </c:pt>
                <c:pt idx="7">
                  <c:v>-2.6261449731466326</c:v>
                </c:pt>
                <c:pt idx="8">
                  <c:v>-2.8863827317805528</c:v>
                </c:pt>
                <c:pt idx="9">
                  <c:v>-2.6727557978209537</c:v>
                </c:pt>
                <c:pt idx="10">
                  <c:v>-2.5069470906518556</c:v>
                </c:pt>
                <c:pt idx="11">
                  <c:v>-2.6127552309087232</c:v>
                </c:pt>
                <c:pt idx="12">
                  <c:v>-2.786109266188018</c:v>
                </c:pt>
                <c:pt idx="13">
                  <c:v>-3.2238037438656519</c:v>
                </c:pt>
                <c:pt idx="14">
                  <c:v>-2.6447503899420295</c:v>
                </c:pt>
                <c:pt idx="15">
                  <c:v>-2.3860390335311337</c:v>
                </c:pt>
                <c:pt idx="16">
                  <c:v>-2.6235278752244269</c:v>
                </c:pt>
                <c:pt idx="17">
                  <c:v>-2.6482967062543814</c:v>
                </c:pt>
                <c:pt idx="18">
                  <c:v>-2.1998203236175802</c:v>
                </c:pt>
                <c:pt idx="19">
                  <c:v>-2.5879863998787682</c:v>
                </c:pt>
                <c:pt idx="20">
                  <c:v>-2.3102562152425183</c:v>
                </c:pt>
                <c:pt idx="21">
                  <c:v>-2.5437052287571569</c:v>
                </c:pt>
                <c:pt idx="22">
                  <c:v>-3.2159394156486112</c:v>
                </c:pt>
                <c:pt idx="23">
                  <c:v>-2.3027331822262069</c:v>
                </c:pt>
                <c:pt idx="24">
                  <c:v>-2.3557540491237727</c:v>
                </c:pt>
                <c:pt idx="25">
                  <c:v>-2.5066689069258219</c:v>
                </c:pt>
                <c:pt idx="26">
                  <c:v>-2.4688200731213397</c:v>
                </c:pt>
                <c:pt idx="27">
                  <c:v>-2.5623199061960156</c:v>
                </c:pt>
                <c:pt idx="28">
                  <c:v>-2.6395347153845425</c:v>
                </c:pt>
                <c:pt idx="29">
                  <c:v>-2.6319893872743458</c:v>
                </c:pt>
                <c:pt idx="30">
                  <c:v>-2.5873984766893523</c:v>
                </c:pt>
                <c:pt idx="31">
                  <c:v>-2.4099324970021754</c:v>
                </c:pt>
                <c:pt idx="32">
                  <c:v>-2.648862334349912</c:v>
                </c:pt>
                <c:pt idx="33">
                  <c:v>-2.5987367491005875</c:v>
                </c:pt>
                <c:pt idx="34">
                  <c:v>-2.6369268781057986</c:v>
                </c:pt>
                <c:pt idx="35">
                  <c:v>-2.8662416521186693</c:v>
                </c:pt>
                <c:pt idx="36">
                  <c:v>-2.6252380498503722</c:v>
                </c:pt>
                <c:pt idx="37">
                  <c:v>-2.800684115448222</c:v>
                </c:pt>
                <c:pt idx="38">
                  <c:v>-2.9805020437819931</c:v>
                </c:pt>
                <c:pt idx="39">
                  <c:v>-2.5900063139680958</c:v>
                </c:pt>
                <c:pt idx="40">
                  <c:v>-2.7701024260279015</c:v>
                </c:pt>
                <c:pt idx="41">
                  <c:v>-2.8493687050431031</c:v>
                </c:pt>
                <c:pt idx="42">
                  <c:v>-2.9974065465949069</c:v>
                </c:pt>
                <c:pt idx="43">
                  <c:v>-2.4056144850974861</c:v>
                </c:pt>
                <c:pt idx="44">
                  <c:v>-2.2094892377836799</c:v>
                </c:pt>
                <c:pt idx="45">
                  <c:v>-2.7144514267577078</c:v>
                </c:pt>
                <c:pt idx="46">
                  <c:v>-2.5381482589989401</c:v>
                </c:pt>
                <c:pt idx="47">
                  <c:v>-2.8394621676428504</c:v>
                </c:pt>
                <c:pt idx="48">
                  <c:v>-2.5430857498303929</c:v>
                </c:pt>
                <c:pt idx="49">
                  <c:v>-2.7033597823351596</c:v>
                </c:pt>
                <c:pt idx="50">
                  <c:v>1.2848256888583505</c:v>
                </c:pt>
                <c:pt idx="51">
                  <c:v>0.93248853231231754</c:v>
                </c:pt>
                <c:pt idx="52">
                  <c:v>1.4643023219913931</c:v>
                </c:pt>
                <c:pt idx="53">
                  <c:v>0.18331771995837018</c:v>
                </c:pt>
                <c:pt idx="54">
                  <c:v>1.0881032577116649</c:v>
                </c:pt>
                <c:pt idx="55">
                  <c:v>0.641669084258077</c:v>
                </c:pt>
                <c:pt idx="56">
                  <c:v>1.0950606626324459</c:v>
                </c:pt>
                <c:pt idx="57">
                  <c:v>-0.74912266982965758</c:v>
                </c:pt>
                <c:pt idx="58">
                  <c:v>1.0441318260534347</c:v>
                </c:pt>
                <c:pt idx="59">
                  <c:v>-8.7454040828963547E-3</c:v>
                </c:pt>
                <c:pt idx="60">
                  <c:v>-0.50784088383532611</c:v>
                </c:pt>
                <c:pt idx="61">
                  <c:v>0.51169855744759685</c:v>
                </c:pt>
                <c:pt idx="62">
                  <c:v>0.26497650811204604</c:v>
                </c:pt>
                <c:pt idx="63">
                  <c:v>0.98493451047088953</c:v>
                </c:pt>
                <c:pt idx="64">
                  <c:v>-0.1739253716817683</c:v>
                </c:pt>
                <c:pt idx="65">
                  <c:v>0.92786078094424662</c:v>
                </c:pt>
                <c:pt idx="66">
                  <c:v>0.66028376169693637</c:v>
                </c:pt>
                <c:pt idx="67">
                  <c:v>0.23610499331767115</c:v>
                </c:pt>
                <c:pt idx="68">
                  <c:v>0.94473372801981259</c:v>
                </c:pt>
                <c:pt idx="69">
                  <c:v>4.5226976298699463E-2</c:v>
                </c:pt>
                <c:pt idx="70">
                  <c:v>1.116283177350049</c:v>
                </c:pt>
                <c:pt idx="71">
                  <c:v>0.35788841799730675</c:v>
                </c:pt>
                <c:pt idx="72">
                  <c:v>1.298183875358913</c:v>
                </c:pt>
                <c:pt idx="73">
                  <c:v>0.9217289224470363</c:v>
                </c:pt>
                <c:pt idx="74">
                  <c:v>0.71485332591141104</c:v>
                </c:pt>
                <c:pt idx="75">
                  <c:v>0.90017437317216653</c:v>
                </c:pt>
                <c:pt idx="76">
                  <c:v>1.3320244367220875</c:v>
                </c:pt>
                <c:pt idx="77">
                  <c:v>1.5578021550660694</c:v>
                </c:pt>
                <c:pt idx="78">
                  <c:v>0.81329064981754073</c:v>
                </c:pt>
                <c:pt idx="79">
                  <c:v>-0.30558377802430942</c:v>
                </c:pt>
                <c:pt idx="80">
                  <c:v>-6.8126492068363964E-2</c:v>
                </c:pt>
                <c:pt idx="81">
                  <c:v>-0.18962247237850222</c:v>
                </c:pt>
                <c:pt idx="82">
                  <c:v>0.13642871155801445</c:v>
                </c:pt>
                <c:pt idx="83">
                  <c:v>1.3800264359155103</c:v>
                </c:pt>
                <c:pt idx="84">
                  <c:v>0.58800644333986296</c:v>
                </c:pt>
                <c:pt idx="85">
                  <c:v>0.8068583125004114</c:v>
                </c:pt>
                <c:pt idx="86">
                  <c:v>1.2206908824443521</c:v>
                </c:pt>
                <c:pt idx="87">
                  <c:v>0.81509523576659915</c:v>
                </c:pt>
                <c:pt idx="88">
                  <c:v>0.24595767988669195</c:v>
                </c:pt>
                <c:pt idx="89">
                  <c:v>0.1664132171454564</c:v>
                </c:pt>
                <c:pt idx="90">
                  <c:v>0.46480028840377868</c:v>
                </c:pt>
                <c:pt idx="91">
                  <c:v>0.89081519846944868</c:v>
                </c:pt>
                <c:pt idx="92">
                  <c:v>0.23054802355945489</c:v>
                </c:pt>
                <c:pt idx="93">
                  <c:v>-0.70453175924466394</c:v>
                </c:pt>
                <c:pt idx="94">
                  <c:v>0.35698149470104656</c:v>
                </c:pt>
                <c:pt idx="95">
                  <c:v>0.33193447994505787</c:v>
                </c:pt>
                <c:pt idx="96">
                  <c:v>0.37621565106666988</c:v>
                </c:pt>
                <c:pt idx="97">
                  <c:v>0.6425760075543373</c:v>
                </c:pt>
                <c:pt idx="98">
                  <c:v>-0.9064698649488363</c:v>
                </c:pt>
                <c:pt idx="99">
                  <c:v>0.29900084187814274</c:v>
                </c:pt>
                <c:pt idx="100">
                  <c:v>2.531192727803627</c:v>
                </c:pt>
                <c:pt idx="101">
                  <c:v>1.4152358767039015</c:v>
                </c:pt>
                <c:pt idx="102">
                  <c:v>2.6166760159956888</c:v>
                </c:pt>
                <c:pt idx="103">
                  <c:v>1.9715310530434347</c:v>
                </c:pt>
                <c:pt idx="104">
                  <c:v>2.350005920044639</c:v>
                </c:pt>
                <c:pt idx="105">
                  <c:v>3.3970387360532563</c:v>
                </c:pt>
                <c:pt idx="106">
                  <c:v>0.52123224390977319</c:v>
                </c:pt>
                <c:pt idx="107">
                  <c:v>2.9325870689936879</c:v>
                </c:pt>
                <c:pt idx="108">
                  <c:v>2.3212288165733765</c:v>
                </c:pt>
                <c:pt idx="109">
                  <c:v>2.9167509667860712</c:v>
                </c:pt>
                <c:pt idx="110">
                  <c:v>1.6617741536365305</c:v>
                </c:pt>
                <c:pt idx="111">
                  <c:v>1.80340195296509</c:v>
                </c:pt>
                <c:pt idx="112">
                  <c:v>2.1655917960801441</c:v>
                </c:pt>
                <c:pt idx="113">
                  <c:v>1.3461635794584508</c:v>
                </c:pt>
                <c:pt idx="114">
                  <c:v>1.58592822387322</c:v>
                </c:pt>
                <c:pt idx="115">
                  <c:v>1.9044563747934258</c:v>
                </c:pt>
                <c:pt idx="116">
                  <c:v>1.9496890593990683</c:v>
                </c:pt>
                <c:pt idx="117">
                  <c:v>3.4870553642902777</c:v>
                </c:pt>
                <c:pt idx="118">
                  <c:v>3.7956454220728828</c:v>
                </c:pt>
                <c:pt idx="119">
                  <c:v>1.3007917126376565</c:v>
                </c:pt>
                <c:pt idx="120">
                  <c:v>2.4278179130660447</c:v>
                </c:pt>
                <c:pt idx="121">
                  <c:v>1.1990011054655598</c:v>
                </c:pt>
                <c:pt idx="122">
                  <c:v>3.4999200389245364</c:v>
                </c:pt>
                <c:pt idx="123">
                  <c:v>1.3887661316914643</c:v>
                </c:pt>
                <c:pt idx="124">
                  <c:v>2.2754305038722036</c:v>
                </c:pt>
                <c:pt idx="125">
                  <c:v>2.6140904738108297</c:v>
                </c:pt>
                <c:pt idx="126">
                  <c:v>1.258508160511487</c:v>
                </c:pt>
                <c:pt idx="127">
                  <c:v>1.2911320591150199</c:v>
                </c:pt>
                <c:pt idx="128">
                  <c:v>2.1236087227738936</c:v>
                </c:pt>
                <c:pt idx="129">
                  <c:v>2.3880030160034664</c:v>
                </c:pt>
                <c:pt idx="130">
                  <c:v>2.8416727781038693</c:v>
                </c:pt>
                <c:pt idx="131">
                  <c:v>3.2306736614320908</c:v>
                </c:pt>
                <c:pt idx="132">
                  <c:v>2.1594376424890487</c:v>
                </c:pt>
                <c:pt idx="133">
                  <c:v>1.4441612423295089</c:v>
                </c:pt>
                <c:pt idx="134">
                  <c:v>1.7812948100451114</c:v>
                </c:pt>
                <c:pt idx="135">
                  <c:v>3.0764999316871866</c:v>
                </c:pt>
                <c:pt idx="136">
                  <c:v>2.1442433143020807</c:v>
                </c:pt>
                <c:pt idx="137">
                  <c:v>1.9050981488140748</c:v>
                </c:pt>
                <c:pt idx="138">
                  <c:v>1.1693263393414992</c:v>
                </c:pt>
                <c:pt idx="139">
                  <c:v>2.1076111432572411</c:v>
                </c:pt>
                <c:pt idx="140">
                  <c:v>2.3141547052355986</c:v>
                </c:pt>
                <c:pt idx="141">
                  <c:v>1.9222678009025997</c:v>
                </c:pt>
                <c:pt idx="142">
                  <c:v>1.4152358767039015</c:v>
                </c:pt>
                <c:pt idx="143">
                  <c:v>2.5630133750774746</c:v>
                </c:pt>
                <c:pt idx="144">
                  <c:v>2.418746182732824</c:v>
                </c:pt>
                <c:pt idx="145">
                  <c:v>1.9441097945469668</c:v>
                </c:pt>
                <c:pt idx="146">
                  <c:v>1.5271666148145164</c:v>
                </c:pt>
                <c:pt idx="147">
                  <c:v>1.7643457170444279</c:v>
                </c:pt>
                <c:pt idx="148">
                  <c:v>1.9009416142184223</c:v>
                </c:pt>
                <c:pt idx="149">
                  <c:v>1.390188861947913</c:v>
                </c:pt>
              </c:numCache>
            </c:numRef>
          </c:xVal>
          <c:yVal>
            <c:numRef>
              <c:f>'PCA (centralizacja)'!$N$2:$N$151</c:f>
              <c:numCache>
                <c:formatCode>General</c:formatCode>
                <c:ptCount val="150"/>
                <c:pt idx="0">
                  <c:v>0.31939724658510082</c:v>
                </c:pt>
                <c:pt idx="1">
                  <c:v>-0.17700122506478025</c:v>
                </c:pt>
                <c:pt idx="2">
                  <c:v>-0.14494942608555769</c:v>
                </c:pt>
                <c:pt idx="3">
                  <c:v>-0.31829897925191653</c:v>
                </c:pt>
                <c:pt idx="4">
                  <c:v>0.32675451293491953</c:v>
                </c:pt>
                <c:pt idx="5">
                  <c:v>0.74133044906291468</c:v>
                </c:pt>
                <c:pt idx="6">
                  <c:v>-8.9461384528569346E-2</c:v>
                </c:pt>
                <c:pt idx="7">
                  <c:v>0.16338495969832836</c:v>
                </c:pt>
                <c:pt idx="8">
                  <c:v>-0.57831175418670411</c:v>
                </c:pt>
                <c:pt idx="9">
                  <c:v>-0.11377424587411719</c:v>
                </c:pt>
                <c:pt idx="10">
                  <c:v>0.64506889864857364</c:v>
                </c:pt>
                <c:pt idx="11">
                  <c:v>1.4729939161373967E-2</c:v>
                </c:pt>
                <c:pt idx="12">
                  <c:v>-0.2351120002017186</c:v>
                </c:pt>
                <c:pt idx="13">
                  <c:v>-0.51139458700638263</c:v>
                </c:pt>
                <c:pt idx="14">
                  <c:v>1.1787646364375755</c:v>
                </c:pt>
                <c:pt idx="15">
                  <c:v>1.3380623304006525</c:v>
                </c:pt>
                <c:pt idx="16">
                  <c:v>0.81067951418125794</c:v>
                </c:pt>
                <c:pt idx="17">
                  <c:v>0.31184914459335461</c:v>
                </c:pt>
                <c:pt idx="18">
                  <c:v>0.87283903896221082</c:v>
                </c:pt>
                <c:pt idx="19">
                  <c:v>0.51356030874927661</c:v>
                </c:pt>
                <c:pt idx="20">
                  <c:v>0.39134593565389397</c:v>
                </c:pt>
                <c:pt idx="21">
                  <c:v>0.43299606327902795</c:v>
                </c:pt>
                <c:pt idx="22">
                  <c:v>0.1334680695385255</c:v>
                </c:pt>
                <c:pt idx="23">
                  <c:v>9.8708854814099412E-2</c:v>
                </c:pt>
                <c:pt idx="24">
                  <c:v>-3.7281859677383317E-2</c:v>
                </c:pt>
                <c:pt idx="25">
                  <c:v>-0.14601688049526793</c:v>
                </c:pt>
                <c:pt idx="26">
                  <c:v>0.13095148943525006</c:v>
                </c:pt>
                <c:pt idx="27">
                  <c:v>0.36771885743419974</c:v>
                </c:pt>
                <c:pt idx="28">
                  <c:v>0.31203998023528279</c:v>
                </c:pt>
                <c:pt idx="29">
                  <c:v>-0.19696122492431509</c:v>
                </c:pt>
                <c:pt idx="30">
                  <c:v>-0.20431849127413379</c:v>
                </c:pt>
                <c:pt idx="31">
                  <c:v>0.41092426422957307</c:v>
                </c:pt>
                <c:pt idx="32">
                  <c:v>0.81336382029696142</c:v>
                </c:pt>
                <c:pt idx="33">
                  <c:v>1.0931457594493568</c:v>
                </c:pt>
                <c:pt idx="34">
                  <c:v>-0.12132234786586341</c:v>
                </c:pt>
                <c:pt idx="35">
                  <c:v>6.9364471580080606E-2</c:v>
                </c:pt>
                <c:pt idx="36">
                  <c:v>0.59937002137942386</c:v>
                </c:pt>
                <c:pt idx="37">
                  <c:v>0.26864373779798179</c:v>
                </c:pt>
                <c:pt idx="38">
                  <c:v>-0.48795834442861574</c:v>
                </c:pt>
                <c:pt idx="39">
                  <c:v>0.22904383682701238</c:v>
                </c:pt>
                <c:pt idx="40">
                  <c:v>0.26352753374425641</c:v>
                </c:pt>
                <c:pt idx="41">
                  <c:v>-0.94096057364119623</c:v>
                </c:pt>
                <c:pt idx="42">
                  <c:v>-0.34192605747161031</c:v>
                </c:pt>
                <c:pt idx="43">
                  <c:v>0.18887142893026029</c:v>
                </c:pt>
                <c:pt idx="44">
                  <c:v>0.43666314163918729</c:v>
                </c:pt>
                <c:pt idx="45">
                  <c:v>-0.25020820418521106</c:v>
                </c:pt>
                <c:pt idx="46">
                  <c:v>0.503771144461437</c:v>
                </c:pt>
                <c:pt idx="47">
                  <c:v>-0.22794556949382808</c:v>
                </c:pt>
                <c:pt idx="48">
                  <c:v>0.57941002151988907</c:v>
                </c:pt>
                <c:pt idx="49">
                  <c:v>0.10770608249941147</c:v>
                </c:pt>
                <c:pt idx="50">
                  <c:v>0.68516047046730866</c:v>
                </c:pt>
                <c:pt idx="51">
                  <c:v>0.31833363826262873</c:v>
                </c:pt>
                <c:pt idx="52">
                  <c:v>0.50426281530920403</c:v>
                </c:pt>
                <c:pt idx="53">
                  <c:v>-0.82795901182063225</c:v>
                </c:pt>
                <c:pt idx="54">
                  <c:v>7.4590675197716241E-2</c:v>
                </c:pt>
                <c:pt idx="55">
                  <c:v>-0.41824687156867935</c:v>
                </c:pt>
                <c:pt idx="56">
                  <c:v>0.28346827006152869</c:v>
                </c:pt>
                <c:pt idx="57">
                  <c:v>-1.0048909611818957</c:v>
                </c:pt>
                <c:pt idx="58">
                  <c:v>0.22836189978839538</c:v>
                </c:pt>
                <c:pt idx="59">
                  <c:v>-0.7230819050048346</c:v>
                </c:pt>
                <c:pt idx="60">
                  <c:v>-1.2659711905263937</c:v>
                </c:pt>
                <c:pt idx="61">
                  <c:v>-0.10398123549904061</c:v>
                </c:pt>
                <c:pt idx="62">
                  <c:v>-0.55003646368047476</c:v>
                </c:pt>
                <c:pt idx="63">
                  <c:v>-0.12481785412635786</c:v>
                </c:pt>
                <c:pt idx="64">
                  <c:v>-0.25485420870258935</c:v>
                </c:pt>
                <c:pt idx="65">
                  <c:v>0.46717949444151058</c:v>
                </c:pt>
                <c:pt idx="66">
                  <c:v>-0.35296966572385102</c:v>
                </c:pt>
                <c:pt idx="67">
                  <c:v>-0.33361076682491586</c:v>
                </c:pt>
                <c:pt idx="68">
                  <c:v>-0.54314555077976612</c:v>
                </c:pt>
                <c:pt idx="69">
                  <c:v>-0.58383437747186462</c:v>
                </c:pt>
                <c:pt idx="70">
                  <c:v>-8.4616852194788483E-2</c:v>
                </c:pt>
                <c:pt idx="71">
                  <c:v>-6.892503165601388E-2</c:v>
                </c:pt>
                <c:pt idx="72">
                  <c:v>-0.3277873083339175</c:v>
                </c:pt>
                <c:pt idx="73">
                  <c:v>-0.18273779362136808</c:v>
                </c:pt>
                <c:pt idx="74">
                  <c:v>0.14905594436978467</c:v>
                </c:pt>
                <c:pt idx="75">
                  <c:v>0.3285044738343233</c:v>
                </c:pt>
                <c:pt idx="76">
                  <c:v>0.24444087601634359</c:v>
                </c:pt>
                <c:pt idx="77">
                  <c:v>0.2674954473102546</c:v>
                </c:pt>
                <c:pt idx="78">
                  <c:v>-0.16335030068761652</c:v>
                </c:pt>
                <c:pt idx="79">
                  <c:v>-0.36826218975458797</c:v>
                </c:pt>
                <c:pt idx="80">
                  <c:v>-0.70517213179946558</c:v>
                </c:pt>
                <c:pt idx="81">
                  <c:v>-0.68028676352813366</c:v>
                </c:pt>
                <c:pt idx="82">
                  <c:v>-0.31403243824923688</c:v>
                </c:pt>
                <c:pt idx="83">
                  <c:v>-0.42095428731388251</c:v>
                </c:pt>
                <c:pt idx="84">
                  <c:v>-0.4842874199812191</c:v>
                </c:pt>
                <c:pt idx="85">
                  <c:v>0.19418231471315028</c:v>
                </c:pt>
                <c:pt idx="86">
                  <c:v>0.40761959361100708</c:v>
                </c:pt>
                <c:pt idx="87">
                  <c:v>-0.37203705990950153</c:v>
                </c:pt>
                <c:pt idx="88">
                  <c:v>-0.26852439662201544</c:v>
                </c:pt>
                <c:pt idx="89">
                  <c:v>-0.68192672486362693</c:v>
                </c:pt>
                <c:pt idx="90">
                  <c:v>-0.6707115445117211</c:v>
                </c:pt>
                <c:pt idx="91">
                  <c:v>-3.4464444368269322E-2</c:v>
                </c:pt>
                <c:pt idx="92">
                  <c:v>-0.4043858480073253</c:v>
                </c:pt>
                <c:pt idx="93">
                  <c:v>-1.0122482275317144</c:v>
                </c:pt>
                <c:pt idx="94">
                  <c:v>-0.50491009333710901</c:v>
                </c:pt>
                <c:pt idx="95">
                  <c:v>-0.21265468378117047</c:v>
                </c:pt>
                <c:pt idx="96">
                  <c:v>-0.2932189292514194</c:v>
                </c:pt>
                <c:pt idx="97">
                  <c:v>1.7738190112416109E-2</c:v>
                </c:pt>
                <c:pt idx="98">
                  <c:v>-0.75609336659901394</c:v>
                </c:pt>
                <c:pt idx="99">
                  <c:v>-0.34889780645033619</c:v>
                </c:pt>
                <c:pt idx="100">
                  <c:v>-9.8491094988024386E-3</c:v>
                </c:pt>
                <c:pt idx="101">
                  <c:v>-0.57491634754648979</c:v>
                </c:pt>
                <c:pt idx="102">
                  <c:v>0.34390315134173433</c:v>
                </c:pt>
                <c:pt idx="103">
                  <c:v>-0.17972790435224606</c:v>
                </c:pt>
                <c:pt idx="104">
                  <c:v>-4.0260947142531339E-2</c:v>
                </c:pt>
                <c:pt idx="105">
                  <c:v>0.55083667302805539</c:v>
                </c:pt>
                <c:pt idx="106">
                  <c:v>-1.1927587270006459</c:v>
                </c:pt>
                <c:pt idx="107">
                  <c:v>0.35550000297749595</c:v>
                </c:pt>
                <c:pt idx="108">
                  <c:v>-0.24383150231069087</c:v>
                </c:pt>
                <c:pt idx="109">
                  <c:v>0.78279194881527836</c:v>
                </c:pt>
                <c:pt idx="110">
                  <c:v>0.24222840775506685</c:v>
                </c:pt>
                <c:pt idx="111">
                  <c:v>-0.21563761733355552</c:v>
                </c:pt>
                <c:pt idx="112">
                  <c:v>0.21627558507402489</c:v>
                </c:pt>
                <c:pt idx="113">
                  <c:v>-0.77681834734433974</c:v>
                </c:pt>
                <c:pt idx="114">
                  <c:v>-0.53964071402671854</c:v>
                </c:pt>
                <c:pt idx="115">
                  <c:v>0.11925069209197268</c:v>
                </c:pt>
                <c:pt idx="116">
                  <c:v>4.1943259663210913E-2</c:v>
                </c:pt>
                <c:pt idx="117">
                  <c:v>1.1757393297134286</c:v>
                </c:pt>
                <c:pt idx="118">
                  <c:v>0.25732297342047955</c:v>
                </c:pt>
                <c:pt idx="119">
                  <c:v>-0.76114963643506361</c:v>
                </c:pt>
                <c:pt idx="120">
                  <c:v>0.37819601261705077</c:v>
                </c:pt>
                <c:pt idx="121">
                  <c:v>-0.60609152775793085</c:v>
                </c:pt>
                <c:pt idx="122">
                  <c:v>0.46067409891189487</c:v>
                </c:pt>
                <c:pt idx="123">
                  <c:v>-0.20439932735215086</c:v>
                </c:pt>
                <c:pt idx="124">
                  <c:v>0.334990605821677</c:v>
                </c:pt>
                <c:pt idx="125">
                  <c:v>0.56090135512307726</c:v>
                </c:pt>
                <c:pt idx="126">
                  <c:v>-0.17970479472274661</c:v>
                </c:pt>
                <c:pt idx="127">
                  <c:v>-0.11666865117401171</c:v>
                </c:pt>
                <c:pt idx="128">
                  <c:v>-0.20972947667730291</c:v>
                </c:pt>
                <c:pt idx="129">
                  <c:v>0.46463980470873595</c:v>
                </c:pt>
                <c:pt idx="130">
                  <c:v>0.37526916719510323</c:v>
                </c:pt>
                <c:pt idx="131">
                  <c:v>1.3741650867930471</c:v>
                </c:pt>
                <c:pt idx="132">
                  <c:v>-0.21727757866904915</c:v>
                </c:pt>
                <c:pt idx="133">
                  <c:v>-0.14341341045758119</c:v>
                </c:pt>
                <c:pt idx="134">
                  <c:v>-0.49990168107813743</c:v>
                </c:pt>
                <c:pt idx="135">
                  <c:v>0.68808567757117622</c:v>
                </c:pt>
                <c:pt idx="136">
                  <c:v>0.14006420108978962</c:v>
                </c:pt>
                <c:pt idx="137">
                  <c:v>4.9300526013029616E-2</c:v>
                </c:pt>
                <c:pt idx="138">
                  <c:v>-0.16499026202310985</c:v>
                </c:pt>
                <c:pt idx="139">
                  <c:v>0.37228787196079777</c:v>
                </c:pt>
                <c:pt idx="140">
                  <c:v>0.18365127916901908</c:v>
                </c:pt>
                <c:pt idx="141">
                  <c:v>0.40920346681606273</c:v>
                </c:pt>
                <c:pt idx="142">
                  <c:v>-0.57491634754648979</c:v>
                </c:pt>
                <c:pt idx="143">
                  <c:v>0.27786260292919462</c:v>
                </c:pt>
                <c:pt idx="144">
                  <c:v>0.30479819785469209</c:v>
                </c:pt>
                <c:pt idx="145">
                  <c:v>0.18753230280060562</c:v>
                </c:pt>
                <c:pt idx="146">
                  <c:v>-0.37531698258048818</c:v>
                </c:pt>
                <c:pt idx="147">
                  <c:v>7.8858854518475713E-2</c:v>
                </c:pt>
                <c:pt idx="148">
                  <c:v>0.11662795851202327</c:v>
                </c:pt>
                <c:pt idx="149">
                  <c:v>-0.28266093799055114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1-4528-B379-6B22A3EAE921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'PCA (centralizacja)'!$M$2:$M$51</c:f>
              <c:numCache>
                <c:formatCode>General</c:formatCode>
                <c:ptCount val="50"/>
                <c:pt idx="0">
                  <c:v>-2.6841256259695365</c:v>
                </c:pt>
                <c:pt idx="1">
                  <c:v>-2.7141416872943256</c:v>
                </c:pt>
                <c:pt idx="2">
                  <c:v>-2.8889905690592963</c:v>
                </c:pt>
                <c:pt idx="3">
                  <c:v>-2.7453428556414097</c:v>
                </c:pt>
                <c:pt idx="4">
                  <c:v>-2.7287165365545301</c:v>
                </c:pt>
                <c:pt idx="5">
                  <c:v>-2.2808596328444928</c:v>
                </c:pt>
                <c:pt idx="6">
                  <c:v>-2.8205377507406091</c:v>
                </c:pt>
                <c:pt idx="7">
                  <c:v>-2.6261449731466326</c:v>
                </c:pt>
                <c:pt idx="8">
                  <c:v>-2.8863827317805528</c:v>
                </c:pt>
                <c:pt idx="9">
                  <c:v>-2.6727557978209537</c:v>
                </c:pt>
                <c:pt idx="10">
                  <c:v>-2.5069470906518556</c:v>
                </c:pt>
                <c:pt idx="11">
                  <c:v>-2.6127552309087232</c:v>
                </c:pt>
                <c:pt idx="12">
                  <c:v>-2.786109266188018</c:v>
                </c:pt>
                <c:pt idx="13">
                  <c:v>-3.2238037438656519</c:v>
                </c:pt>
                <c:pt idx="14">
                  <c:v>-2.6447503899420295</c:v>
                </c:pt>
                <c:pt idx="15">
                  <c:v>-2.3860390335311337</c:v>
                </c:pt>
                <c:pt idx="16">
                  <c:v>-2.6235278752244269</c:v>
                </c:pt>
                <c:pt idx="17">
                  <c:v>-2.6482967062543814</c:v>
                </c:pt>
                <c:pt idx="18">
                  <c:v>-2.1998203236175802</c:v>
                </c:pt>
                <c:pt idx="19">
                  <c:v>-2.5879863998787682</c:v>
                </c:pt>
                <c:pt idx="20">
                  <c:v>-2.3102562152425183</c:v>
                </c:pt>
                <c:pt idx="21">
                  <c:v>-2.5437052287571569</c:v>
                </c:pt>
                <c:pt idx="22">
                  <c:v>-3.2159394156486112</c:v>
                </c:pt>
                <c:pt idx="23">
                  <c:v>-2.3027331822262069</c:v>
                </c:pt>
                <c:pt idx="24">
                  <c:v>-2.3557540491237727</c:v>
                </c:pt>
                <c:pt idx="25">
                  <c:v>-2.5066689069258219</c:v>
                </c:pt>
                <c:pt idx="26">
                  <c:v>-2.4688200731213397</c:v>
                </c:pt>
                <c:pt idx="27">
                  <c:v>-2.5623199061960156</c:v>
                </c:pt>
                <c:pt idx="28">
                  <c:v>-2.6395347153845425</c:v>
                </c:pt>
                <c:pt idx="29">
                  <c:v>-2.6319893872743458</c:v>
                </c:pt>
                <c:pt idx="30">
                  <c:v>-2.5873984766893523</c:v>
                </c:pt>
                <c:pt idx="31">
                  <c:v>-2.4099324970021754</c:v>
                </c:pt>
                <c:pt idx="32">
                  <c:v>-2.648862334349912</c:v>
                </c:pt>
                <c:pt idx="33">
                  <c:v>-2.5987367491005875</c:v>
                </c:pt>
                <c:pt idx="34">
                  <c:v>-2.6369268781057986</c:v>
                </c:pt>
                <c:pt idx="35">
                  <c:v>-2.8662416521186693</c:v>
                </c:pt>
                <c:pt idx="36">
                  <c:v>-2.6252380498503722</c:v>
                </c:pt>
                <c:pt idx="37">
                  <c:v>-2.800684115448222</c:v>
                </c:pt>
                <c:pt idx="38">
                  <c:v>-2.9805020437819931</c:v>
                </c:pt>
                <c:pt idx="39">
                  <c:v>-2.5900063139680958</c:v>
                </c:pt>
                <c:pt idx="40">
                  <c:v>-2.7701024260279015</c:v>
                </c:pt>
                <c:pt idx="41">
                  <c:v>-2.8493687050431031</c:v>
                </c:pt>
                <c:pt idx="42">
                  <c:v>-2.9974065465949069</c:v>
                </c:pt>
                <c:pt idx="43">
                  <c:v>-2.4056144850974861</c:v>
                </c:pt>
                <c:pt idx="44">
                  <c:v>-2.2094892377836799</c:v>
                </c:pt>
                <c:pt idx="45">
                  <c:v>-2.7144514267577078</c:v>
                </c:pt>
                <c:pt idx="46">
                  <c:v>-2.5381482589989401</c:v>
                </c:pt>
                <c:pt idx="47">
                  <c:v>-2.8394621676428504</c:v>
                </c:pt>
                <c:pt idx="48">
                  <c:v>-2.5430857498303929</c:v>
                </c:pt>
                <c:pt idx="49">
                  <c:v>-2.7033597823351596</c:v>
                </c:pt>
              </c:numCache>
            </c:numRef>
          </c:xVal>
          <c:yVal>
            <c:numRef>
              <c:f>'PCA (centralizacja)'!$N$2:$N$51</c:f>
              <c:numCache>
                <c:formatCode>General</c:formatCode>
                <c:ptCount val="50"/>
                <c:pt idx="0">
                  <c:v>0.31939724658510082</c:v>
                </c:pt>
                <c:pt idx="1">
                  <c:v>-0.17700122506478025</c:v>
                </c:pt>
                <c:pt idx="2">
                  <c:v>-0.14494942608555769</c:v>
                </c:pt>
                <c:pt idx="3">
                  <c:v>-0.31829897925191653</c:v>
                </c:pt>
                <c:pt idx="4">
                  <c:v>0.32675451293491953</c:v>
                </c:pt>
                <c:pt idx="5">
                  <c:v>0.74133044906291468</c:v>
                </c:pt>
                <c:pt idx="6">
                  <c:v>-8.9461384528569346E-2</c:v>
                </c:pt>
                <c:pt idx="7">
                  <c:v>0.16338495969832836</c:v>
                </c:pt>
                <c:pt idx="8">
                  <c:v>-0.57831175418670411</c:v>
                </c:pt>
                <c:pt idx="9">
                  <c:v>-0.11377424587411719</c:v>
                </c:pt>
                <c:pt idx="10">
                  <c:v>0.64506889864857364</c:v>
                </c:pt>
                <c:pt idx="11">
                  <c:v>1.4729939161373967E-2</c:v>
                </c:pt>
                <c:pt idx="12">
                  <c:v>-0.2351120002017186</c:v>
                </c:pt>
                <c:pt idx="13">
                  <c:v>-0.51139458700638263</c:v>
                </c:pt>
                <c:pt idx="14">
                  <c:v>1.1787646364375755</c:v>
                </c:pt>
                <c:pt idx="15">
                  <c:v>1.3380623304006525</c:v>
                </c:pt>
                <c:pt idx="16">
                  <c:v>0.81067951418125794</c:v>
                </c:pt>
                <c:pt idx="17">
                  <c:v>0.31184914459335461</c:v>
                </c:pt>
                <c:pt idx="18">
                  <c:v>0.87283903896221082</c:v>
                </c:pt>
                <c:pt idx="19">
                  <c:v>0.51356030874927661</c:v>
                </c:pt>
                <c:pt idx="20">
                  <c:v>0.39134593565389397</c:v>
                </c:pt>
                <c:pt idx="21">
                  <c:v>0.43299606327902795</c:v>
                </c:pt>
                <c:pt idx="22">
                  <c:v>0.1334680695385255</c:v>
                </c:pt>
                <c:pt idx="23">
                  <c:v>9.8708854814099412E-2</c:v>
                </c:pt>
                <c:pt idx="24">
                  <c:v>-3.7281859677383317E-2</c:v>
                </c:pt>
                <c:pt idx="25">
                  <c:v>-0.14601688049526793</c:v>
                </c:pt>
                <c:pt idx="26">
                  <c:v>0.13095148943525006</c:v>
                </c:pt>
                <c:pt idx="27">
                  <c:v>0.36771885743419974</c:v>
                </c:pt>
                <c:pt idx="28">
                  <c:v>0.31203998023528279</c:v>
                </c:pt>
                <c:pt idx="29">
                  <c:v>-0.19696122492431509</c:v>
                </c:pt>
                <c:pt idx="30">
                  <c:v>-0.20431849127413379</c:v>
                </c:pt>
                <c:pt idx="31">
                  <c:v>0.41092426422957307</c:v>
                </c:pt>
                <c:pt idx="32">
                  <c:v>0.81336382029696142</c:v>
                </c:pt>
                <c:pt idx="33">
                  <c:v>1.0931457594493568</c:v>
                </c:pt>
                <c:pt idx="34">
                  <c:v>-0.12132234786586341</c:v>
                </c:pt>
                <c:pt idx="35">
                  <c:v>6.9364471580080606E-2</c:v>
                </c:pt>
                <c:pt idx="36">
                  <c:v>0.59937002137942386</c:v>
                </c:pt>
                <c:pt idx="37">
                  <c:v>0.26864373779798179</c:v>
                </c:pt>
                <c:pt idx="38">
                  <c:v>-0.48795834442861574</c:v>
                </c:pt>
                <c:pt idx="39">
                  <c:v>0.22904383682701238</c:v>
                </c:pt>
                <c:pt idx="40">
                  <c:v>0.26352753374425641</c:v>
                </c:pt>
                <c:pt idx="41">
                  <c:v>-0.94096057364119623</c:v>
                </c:pt>
                <c:pt idx="42">
                  <c:v>-0.34192605747161031</c:v>
                </c:pt>
                <c:pt idx="43">
                  <c:v>0.18887142893026029</c:v>
                </c:pt>
                <c:pt idx="44">
                  <c:v>0.43666314163918729</c:v>
                </c:pt>
                <c:pt idx="45">
                  <c:v>-0.25020820418521106</c:v>
                </c:pt>
                <c:pt idx="46">
                  <c:v>0.503771144461437</c:v>
                </c:pt>
                <c:pt idx="47">
                  <c:v>-0.22794556949382808</c:v>
                </c:pt>
                <c:pt idx="48">
                  <c:v>0.57941002151988907</c:v>
                </c:pt>
                <c:pt idx="49">
                  <c:v>0.10770608249941147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F11-4528-B379-6B22A3EAE92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'PCA (centralizacja)'!$M$102:$M$151</c:f>
              <c:numCache>
                <c:formatCode>General</c:formatCode>
                <c:ptCount val="50"/>
                <c:pt idx="0">
                  <c:v>2.531192727803627</c:v>
                </c:pt>
                <c:pt idx="1">
                  <c:v>1.4152358767039015</c:v>
                </c:pt>
                <c:pt idx="2">
                  <c:v>2.6166760159956888</c:v>
                </c:pt>
                <c:pt idx="3">
                  <c:v>1.9715310530434347</c:v>
                </c:pt>
                <c:pt idx="4">
                  <c:v>2.350005920044639</c:v>
                </c:pt>
                <c:pt idx="5">
                  <c:v>3.3970387360532563</c:v>
                </c:pt>
                <c:pt idx="6">
                  <c:v>0.52123224390977319</c:v>
                </c:pt>
                <c:pt idx="7">
                  <c:v>2.9325870689936879</c:v>
                </c:pt>
                <c:pt idx="8">
                  <c:v>2.3212288165733765</c:v>
                </c:pt>
                <c:pt idx="9">
                  <c:v>2.9167509667860712</c:v>
                </c:pt>
                <c:pt idx="10">
                  <c:v>1.6617741536365305</c:v>
                </c:pt>
                <c:pt idx="11">
                  <c:v>1.80340195296509</c:v>
                </c:pt>
                <c:pt idx="12">
                  <c:v>2.1655917960801441</c:v>
                </c:pt>
                <c:pt idx="13">
                  <c:v>1.3461635794584508</c:v>
                </c:pt>
                <c:pt idx="14">
                  <c:v>1.58592822387322</c:v>
                </c:pt>
                <c:pt idx="15">
                  <c:v>1.9044563747934258</c:v>
                </c:pt>
                <c:pt idx="16">
                  <c:v>1.9496890593990683</c:v>
                </c:pt>
                <c:pt idx="17">
                  <c:v>3.4870553642902777</c:v>
                </c:pt>
                <c:pt idx="18">
                  <c:v>3.7956454220728828</c:v>
                </c:pt>
                <c:pt idx="19">
                  <c:v>1.3007917126376565</c:v>
                </c:pt>
                <c:pt idx="20">
                  <c:v>2.4278179130660447</c:v>
                </c:pt>
                <c:pt idx="21">
                  <c:v>1.1990011054655598</c:v>
                </c:pt>
                <c:pt idx="22">
                  <c:v>3.4999200389245364</c:v>
                </c:pt>
                <c:pt idx="23">
                  <c:v>1.3887661316914643</c:v>
                </c:pt>
                <c:pt idx="24">
                  <c:v>2.2754305038722036</c:v>
                </c:pt>
                <c:pt idx="25">
                  <c:v>2.6140904738108297</c:v>
                </c:pt>
                <c:pt idx="26">
                  <c:v>1.258508160511487</c:v>
                </c:pt>
                <c:pt idx="27">
                  <c:v>1.2911320591150199</c:v>
                </c:pt>
                <c:pt idx="28">
                  <c:v>2.1236087227738936</c:v>
                </c:pt>
                <c:pt idx="29">
                  <c:v>2.3880030160034664</c:v>
                </c:pt>
                <c:pt idx="30">
                  <c:v>2.8416727781038693</c:v>
                </c:pt>
                <c:pt idx="31">
                  <c:v>3.2306736614320908</c:v>
                </c:pt>
                <c:pt idx="32">
                  <c:v>2.1594376424890487</c:v>
                </c:pt>
                <c:pt idx="33">
                  <c:v>1.4441612423295089</c:v>
                </c:pt>
                <c:pt idx="34">
                  <c:v>1.7812948100451114</c:v>
                </c:pt>
                <c:pt idx="35">
                  <c:v>3.0764999316871866</c:v>
                </c:pt>
                <c:pt idx="36">
                  <c:v>2.1442433143020807</c:v>
                </c:pt>
                <c:pt idx="37">
                  <c:v>1.9050981488140748</c:v>
                </c:pt>
                <c:pt idx="38">
                  <c:v>1.1693263393414992</c:v>
                </c:pt>
                <c:pt idx="39">
                  <c:v>2.1076111432572411</c:v>
                </c:pt>
                <c:pt idx="40">
                  <c:v>2.3141547052355986</c:v>
                </c:pt>
                <c:pt idx="41">
                  <c:v>1.9222678009025997</c:v>
                </c:pt>
                <c:pt idx="42">
                  <c:v>1.4152358767039015</c:v>
                </c:pt>
                <c:pt idx="43">
                  <c:v>2.5630133750774746</c:v>
                </c:pt>
                <c:pt idx="44">
                  <c:v>2.418746182732824</c:v>
                </c:pt>
                <c:pt idx="45">
                  <c:v>1.9441097945469668</c:v>
                </c:pt>
                <c:pt idx="46">
                  <c:v>1.5271666148145164</c:v>
                </c:pt>
                <c:pt idx="47">
                  <c:v>1.7643457170444279</c:v>
                </c:pt>
                <c:pt idx="48">
                  <c:v>1.9009416142184223</c:v>
                </c:pt>
                <c:pt idx="49">
                  <c:v>1.390188861947913</c:v>
                </c:pt>
              </c:numCache>
            </c:numRef>
          </c:xVal>
          <c:yVal>
            <c:numRef>
              <c:f>'PCA (centralizacja)'!$N$102:$N$151</c:f>
              <c:numCache>
                <c:formatCode>General</c:formatCode>
                <c:ptCount val="50"/>
                <c:pt idx="0">
                  <c:v>-9.8491094988024386E-3</c:v>
                </c:pt>
                <c:pt idx="1">
                  <c:v>-0.57491634754648979</c:v>
                </c:pt>
                <c:pt idx="2">
                  <c:v>0.34390315134173433</c:v>
                </c:pt>
                <c:pt idx="3">
                  <c:v>-0.17972790435224606</c:v>
                </c:pt>
                <c:pt idx="4">
                  <c:v>-4.0260947142531339E-2</c:v>
                </c:pt>
                <c:pt idx="5">
                  <c:v>0.55083667302805539</c:v>
                </c:pt>
                <c:pt idx="6">
                  <c:v>-1.1927587270006459</c:v>
                </c:pt>
                <c:pt idx="7">
                  <c:v>0.35550000297749595</c:v>
                </c:pt>
                <c:pt idx="8">
                  <c:v>-0.24383150231069087</c:v>
                </c:pt>
                <c:pt idx="9">
                  <c:v>0.78279194881527836</c:v>
                </c:pt>
                <c:pt idx="10">
                  <c:v>0.24222840775506685</c:v>
                </c:pt>
                <c:pt idx="11">
                  <c:v>-0.21563761733355552</c:v>
                </c:pt>
                <c:pt idx="12">
                  <c:v>0.21627558507402489</c:v>
                </c:pt>
                <c:pt idx="13">
                  <c:v>-0.77681834734433974</c:v>
                </c:pt>
                <c:pt idx="14">
                  <c:v>-0.53964071402671854</c:v>
                </c:pt>
                <c:pt idx="15">
                  <c:v>0.11925069209197268</c:v>
                </c:pt>
                <c:pt idx="16">
                  <c:v>4.1943259663210913E-2</c:v>
                </c:pt>
                <c:pt idx="17">
                  <c:v>1.1757393297134286</c:v>
                </c:pt>
                <c:pt idx="18">
                  <c:v>0.25732297342047955</c:v>
                </c:pt>
                <c:pt idx="19">
                  <c:v>-0.76114963643506361</c:v>
                </c:pt>
                <c:pt idx="20">
                  <c:v>0.37819601261705077</c:v>
                </c:pt>
                <c:pt idx="21">
                  <c:v>-0.60609152775793085</c:v>
                </c:pt>
                <c:pt idx="22">
                  <c:v>0.46067409891189487</c:v>
                </c:pt>
                <c:pt idx="23">
                  <c:v>-0.20439932735215086</c:v>
                </c:pt>
                <c:pt idx="24">
                  <c:v>0.334990605821677</c:v>
                </c:pt>
                <c:pt idx="25">
                  <c:v>0.56090135512307726</c:v>
                </c:pt>
                <c:pt idx="26">
                  <c:v>-0.17970479472274661</c:v>
                </c:pt>
                <c:pt idx="27">
                  <c:v>-0.11666865117401171</c:v>
                </c:pt>
                <c:pt idx="28">
                  <c:v>-0.20972947667730291</c:v>
                </c:pt>
                <c:pt idx="29">
                  <c:v>0.46463980470873595</c:v>
                </c:pt>
                <c:pt idx="30">
                  <c:v>0.37526916719510323</c:v>
                </c:pt>
                <c:pt idx="31">
                  <c:v>1.3741650867930471</c:v>
                </c:pt>
                <c:pt idx="32">
                  <c:v>-0.21727757866904915</c:v>
                </c:pt>
                <c:pt idx="33">
                  <c:v>-0.14341341045758119</c:v>
                </c:pt>
                <c:pt idx="34">
                  <c:v>-0.49990168107813743</c:v>
                </c:pt>
                <c:pt idx="35">
                  <c:v>0.68808567757117622</c:v>
                </c:pt>
                <c:pt idx="36">
                  <c:v>0.14006420108978962</c:v>
                </c:pt>
                <c:pt idx="37">
                  <c:v>4.9300526013029616E-2</c:v>
                </c:pt>
                <c:pt idx="38">
                  <c:v>-0.16499026202310985</c:v>
                </c:pt>
                <c:pt idx="39">
                  <c:v>0.37228787196079777</c:v>
                </c:pt>
                <c:pt idx="40">
                  <c:v>0.18365127916901908</c:v>
                </c:pt>
                <c:pt idx="41">
                  <c:v>0.40920346681606273</c:v>
                </c:pt>
                <c:pt idx="42">
                  <c:v>-0.57491634754648979</c:v>
                </c:pt>
                <c:pt idx="43">
                  <c:v>0.27786260292919462</c:v>
                </c:pt>
                <c:pt idx="44">
                  <c:v>0.30479819785469209</c:v>
                </c:pt>
                <c:pt idx="45">
                  <c:v>0.18753230280060562</c:v>
                </c:pt>
                <c:pt idx="46">
                  <c:v>-0.37531698258048818</c:v>
                </c:pt>
                <c:pt idx="47">
                  <c:v>7.8858854518475713E-2</c:v>
                </c:pt>
                <c:pt idx="48">
                  <c:v>0.11662795851202327</c:v>
                </c:pt>
                <c:pt idx="49">
                  <c:v>-0.28266093799055114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F11-4528-B379-6B22A3EAE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7112480"/>
        <c:axId val="1800040992"/>
      </c:scatterChart>
      <c:valAx>
        <c:axId val="187711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00040992"/>
        <c:crosses val="autoZero"/>
        <c:crossBetween val="midCat"/>
      </c:valAx>
      <c:valAx>
        <c:axId val="180004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7711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1590463692038495"/>
                  <c:y val="-0.4461676144648585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'PCA (Standaryzacja)'!$M$2:$M$151</c:f>
              <c:numCache>
                <c:formatCode>General</c:formatCode>
                <c:ptCount val="150"/>
                <c:pt idx="0">
                  <c:v>-2.2571411756481439</c:v>
                </c:pt>
                <c:pt idx="1">
                  <c:v>-2.0740130151996299</c:v>
                </c:pt>
                <c:pt idx="2">
                  <c:v>-2.3563351118061995</c:v>
                </c:pt>
                <c:pt idx="3">
                  <c:v>-2.2917067858697151</c:v>
                </c:pt>
                <c:pt idx="4">
                  <c:v>-2.38186270441697</c:v>
                </c:pt>
                <c:pt idx="5">
                  <c:v>-2.0687006084677302</c:v>
                </c:pt>
                <c:pt idx="6">
                  <c:v>-2.4358684489631726</c:v>
                </c:pt>
                <c:pt idx="7">
                  <c:v>-2.2253918887805764</c:v>
                </c:pt>
                <c:pt idx="8">
                  <c:v>-2.3268453293413325</c:v>
                </c:pt>
                <c:pt idx="9">
                  <c:v>-2.1770349052411246</c:v>
                </c:pt>
                <c:pt idx="10">
                  <c:v>-2.1590769916914381</c:v>
                </c:pt>
                <c:pt idx="11">
                  <c:v>-2.318364130681835</c:v>
                </c:pt>
                <c:pt idx="12">
                  <c:v>-2.2110436965113922</c:v>
                </c:pt>
                <c:pt idx="13">
                  <c:v>-2.6243090161435854</c:v>
                </c:pt>
                <c:pt idx="14">
                  <c:v>-2.1913992118090526</c:v>
                </c:pt>
                <c:pt idx="15">
                  <c:v>-2.2546612065689917</c:v>
                </c:pt>
                <c:pt idx="16">
                  <c:v>-2.2002167647434003</c:v>
                </c:pt>
                <c:pt idx="17">
                  <c:v>-2.18303613482147</c:v>
                </c:pt>
                <c:pt idx="18">
                  <c:v>-1.8922328395554022</c:v>
                </c:pt>
                <c:pt idx="19">
                  <c:v>-2.3355447606037663</c:v>
                </c:pt>
                <c:pt idx="20">
                  <c:v>-1.9079312487023887</c:v>
                </c:pt>
                <c:pt idx="21">
                  <c:v>-2.1996438314933542</c:v>
                </c:pt>
                <c:pt idx="22">
                  <c:v>-2.7650814226329929</c:v>
                </c:pt>
                <c:pt idx="23">
                  <c:v>-1.8125971593938925</c:v>
                </c:pt>
                <c:pt idx="24">
                  <c:v>-2.2197270134750831</c:v>
                </c:pt>
                <c:pt idx="25">
                  <c:v>-1.9453292965767066</c:v>
                </c:pt>
                <c:pt idx="26">
                  <c:v>-2.0443027680583103</c:v>
                </c:pt>
                <c:pt idx="27">
                  <c:v>-2.1613364960941386</c:v>
                </c:pt>
                <c:pt idx="28">
                  <c:v>-2.1324196468793177</c:v>
                </c:pt>
                <c:pt idx="29">
                  <c:v>-2.2576979945994475</c:v>
                </c:pt>
                <c:pt idx="30">
                  <c:v>-2.1329764658306214</c:v>
                </c:pt>
                <c:pt idx="31">
                  <c:v>-1.8254792451868751</c:v>
                </c:pt>
                <c:pt idx="32">
                  <c:v>-2.6062168666232406</c:v>
                </c:pt>
                <c:pt idx="33">
                  <c:v>-2.4380098316939582</c:v>
                </c:pt>
                <c:pt idx="34">
                  <c:v>-2.1029298644144503</c:v>
                </c:pt>
                <c:pt idx="35">
                  <c:v>-2.2004372294198529</c:v>
                </c:pt>
                <c:pt idx="36">
                  <c:v>-2.0383176527767093</c:v>
                </c:pt>
                <c:pt idx="37">
                  <c:v>-2.5188933857287323</c:v>
                </c:pt>
                <c:pt idx="38">
                  <c:v>-2.421520256693988</c:v>
                </c:pt>
                <c:pt idx="39">
                  <c:v>-2.1624662482954884</c:v>
                </c:pt>
                <c:pt idx="40">
                  <c:v>-2.2788408143754753</c:v>
                </c:pt>
                <c:pt idx="41">
                  <c:v>-1.8519183573960591</c:v>
                </c:pt>
                <c:pt idx="42">
                  <c:v>-2.5451120332614643</c:v>
                </c:pt>
                <c:pt idx="43">
                  <c:v>-1.9578885746886998</c:v>
                </c:pt>
                <c:pt idx="44">
                  <c:v>-2.1299235635014222</c:v>
                </c:pt>
                <c:pt idx="45">
                  <c:v>-2.062833614858044</c:v>
                </c:pt>
                <c:pt idx="46">
                  <c:v>-2.3767707623615228</c:v>
                </c:pt>
                <c:pt idx="47">
                  <c:v>-2.386381713222371</c:v>
                </c:pt>
                <c:pt idx="48">
                  <c:v>-2.2220026321765269</c:v>
                </c:pt>
                <c:pt idx="49">
                  <c:v>-2.196475039565756</c:v>
                </c:pt>
                <c:pt idx="50">
                  <c:v>1.098102437614114</c:v>
                </c:pt>
                <c:pt idx="51">
                  <c:v>0.72889555739242462</c:v>
                </c:pt>
                <c:pt idx="52">
                  <c:v>1.2368358043772738</c:v>
                </c:pt>
                <c:pt idx="53">
                  <c:v>0.40612251058233795</c:v>
                </c:pt>
                <c:pt idx="54">
                  <c:v>1.0718837900813827</c:v>
                </c:pt>
                <c:pt idx="55">
                  <c:v>0.38738954547841153</c:v>
                </c:pt>
                <c:pt idx="56">
                  <c:v>0.74403714758810779</c:v>
                </c:pt>
                <c:pt idx="57">
                  <c:v>-0.48569561657437421</c:v>
                </c:pt>
                <c:pt idx="58">
                  <c:v>0.92480346062938379</c:v>
                </c:pt>
                <c:pt idx="59">
                  <c:v>1.13880377498779E-2</c:v>
                </c:pt>
                <c:pt idx="60">
                  <c:v>-0.10982834481649904</c:v>
                </c:pt>
                <c:pt idx="61">
                  <c:v>0.4392220143277078</c:v>
                </c:pt>
                <c:pt idx="62">
                  <c:v>0.5602314788114936</c:v>
                </c:pt>
                <c:pt idx="63">
                  <c:v>0.71715933809953503</c:v>
                </c:pt>
                <c:pt idx="64">
                  <c:v>-3.3243334910672578E-2</c:v>
                </c:pt>
                <c:pt idx="65">
                  <c:v>0.87248428723583527</c:v>
                </c:pt>
                <c:pt idx="66">
                  <c:v>0.34908221007919538</c:v>
                </c:pt>
                <c:pt idx="67">
                  <c:v>0.15827979549154433</c:v>
                </c:pt>
                <c:pt idx="68">
                  <c:v>1.2210031592596291</c:v>
                </c:pt>
                <c:pt idx="69">
                  <c:v>0.16436725377768358</c:v>
                </c:pt>
                <c:pt idx="70">
                  <c:v>0.73521959465375941</c:v>
                </c:pt>
                <c:pt idx="71">
                  <c:v>0.47469691207417619</c:v>
                </c:pt>
                <c:pt idx="72">
                  <c:v>1.2300572911691732</c:v>
                </c:pt>
                <c:pt idx="73">
                  <c:v>0.63074514472992449</c:v>
                </c:pt>
                <c:pt idx="74">
                  <c:v>0.70031506245245534</c:v>
                </c:pt>
                <c:pt idx="75">
                  <c:v>0.87135453503448501</c:v>
                </c:pt>
                <c:pt idx="76">
                  <c:v>1.2523137488478076</c:v>
                </c:pt>
                <c:pt idx="77">
                  <c:v>1.3538695324131014</c:v>
                </c:pt>
                <c:pt idx="78">
                  <c:v>0.66258066030328633</c:v>
                </c:pt>
                <c:pt idx="79">
                  <c:v>-4.0124191123310435E-2</c:v>
                </c:pt>
                <c:pt idx="80">
                  <c:v>0.13035846250741628</c:v>
                </c:pt>
                <c:pt idx="81">
                  <c:v>2.3374382611824562E-2</c:v>
                </c:pt>
                <c:pt idx="82">
                  <c:v>0.24073179900705793</c:v>
                </c:pt>
                <c:pt idx="83">
                  <c:v>1.0575517121109415</c:v>
                </c:pt>
                <c:pt idx="84">
                  <c:v>0.22323092910901954</c:v>
                </c:pt>
                <c:pt idx="85">
                  <c:v>0.42770625971127019</c:v>
                </c:pt>
                <c:pt idx="86">
                  <c:v>1.0452264452692621</c:v>
                </c:pt>
                <c:pt idx="87">
                  <c:v>1.0410437907387131</c:v>
                </c:pt>
                <c:pt idx="88">
                  <c:v>6.9355972150176665E-2</c:v>
                </c:pt>
                <c:pt idx="89">
                  <c:v>0.28253073401486173</c:v>
                </c:pt>
                <c:pt idx="90">
                  <c:v>0.27814596118011942</c:v>
                </c:pt>
                <c:pt idx="91">
                  <c:v>0.6224844107468791</c:v>
                </c:pt>
                <c:pt idx="92">
                  <c:v>0.33540672635971353</c:v>
                </c:pt>
                <c:pt idx="93">
                  <c:v>-0.36097408780554829</c:v>
                </c:pt>
                <c:pt idx="94">
                  <c:v>0.2876226760703085</c:v>
                </c:pt>
                <c:pt idx="95">
                  <c:v>9.1055610877508492E-2</c:v>
                </c:pt>
                <c:pt idx="96">
                  <c:v>0.22695653998792101</c:v>
                </c:pt>
                <c:pt idx="97">
                  <c:v>0.57446378148227906</c:v>
                </c:pt>
                <c:pt idx="98">
                  <c:v>-0.44617230026801463</c:v>
                </c:pt>
                <c:pt idx="99">
                  <c:v>0.25587338920274139</c:v>
                </c:pt>
                <c:pt idx="100">
                  <c:v>1.8384100229241036</c:v>
                </c:pt>
                <c:pt idx="101">
                  <c:v>1.1540155536207879</c:v>
                </c:pt>
                <c:pt idx="102">
                  <c:v>2.1979036092804085</c:v>
                </c:pt>
                <c:pt idx="103">
                  <c:v>1.4353421339966659</c:v>
                </c:pt>
                <c:pt idx="104">
                  <c:v>1.8615757681276364</c:v>
                </c:pt>
                <c:pt idx="105">
                  <c:v>2.7426850851882718</c:v>
                </c:pt>
                <c:pt idx="106">
                  <c:v>0.36579224975561775</c:v>
                </c:pt>
                <c:pt idx="107">
                  <c:v>2.2947518123299697</c:v>
                </c:pt>
                <c:pt idx="108">
                  <c:v>1.999986327209806</c:v>
                </c:pt>
                <c:pt idx="109">
                  <c:v>2.2522321615076</c:v>
                </c:pt>
                <c:pt idx="110">
                  <c:v>1.359620636424389</c:v>
                </c:pt>
                <c:pt idx="111">
                  <c:v>1.5973274746691521</c:v>
                </c:pt>
                <c:pt idx="112">
                  <c:v>1.877610531549474</c:v>
                </c:pt>
                <c:pt idx="113">
                  <c:v>1.2559076914609331</c:v>
                </c:pt>
                <c:pt idx="114">
                  <c:v>1.4627448694704215</c:v>
                </c:pt>
                <c:pt idx="115">
                  <c:v>1.5847681965571589</c:v>
                </c:pt>
                <c:pt idx="116">
                  <c:v>1.4665184876141868</c:v>
                </c:pt>
                <c:pt idx="117">
                  <c:v>2.4182276992990475</c:v>
                </c:pt>
                <c:pt idx="118">
                  <c:v>3.2996414776684135</c:v>
                </c:pt>
                <c:pt idx="119">
                  <c:v>1.2595470736340402</c:v>
                </c:pt>
                <c:pt idx="120">
                  <c:v>2.0309125552582694</c:v>
                </c:pt>
                <c:pt idx="121">
                  <c:v>0.97471534705571328</c:v>
                </c:pt>
                <c:pt idx="122">
                  <c:v>2.8879765004830795</c:v>
                </c:pt>
                <c:pt idx="123">
                  <c:v>1.3287806370817197</c:v>
                </c:pt>
                <c:pt idx="124">
                  <c:v>1.695055304351007</c:v>
                </c:pt>
                <c:pt idx="125">
                  <c:v>1.9478013897869151</c:v>
                </c:pt>
                <c:pt idx="126">
                  <c:v>1.1711800692439762</c:v>
                </c:pt>
                <c:pt idx="127">
                  <c:v>1.0175416912603292</c:v>
                </c:pt>
                <c:pt idx="128">
                  <c:v>1.7823787852455153</c:v>
                </c:pt>
                <c:pt idx="129">
                  <c:v>1.8574250065632076</c:v>
                </c:pt>
                <c:pt idx="130">
                  <c:v>2.4278203037876356</c:v>
                </c:pt>
                <c:pt idx="131">
                  <c:v>2.2972317814091223</c:v>
                </c:pt>
                <c:pt idx="132">
                  <c:v>1.8564838260721896</c:v>
                </c:pt>
                <c:pt idx="133">
                  <c:v>1.1104277044557938</c:v>
                </c:pt>
                <c:pt idx="134">
                  <c:v>1.1984583545710061</c:v>
                </c:pt>
                <c:pt idx="135">
                  <c:v>2.7894256119821206</c:v>
                </c:pt>
                <c:pt idx="136">
                  <c:v>1.5709929375380209</c:v>
                </c:pt>
                <c:pt idx="137">
                  <c:v>1.3417969588453607</c:v>
                </c:pt>
                <c:pt idx="138">
                  <c:v>0.92173701170632349</c:v>
                </c:pt>
                <c:pt idx="139">
                  <c:v>1.8458612446819069</c:v>
                </c:pt>
                <c:pt idx="140">
                  <c:v>2.0080831643295878</c:v>
                </c:pt>
                <c:pt idx="141">
                  <c:v>1.8954342091285024</c:v>
                </c:pt>
                <c:pt idx="142">
                  <c:v>1.1540155536207879</c:v>
                </c:pt>
                <c:pt idx="143">
                  <c:v>2.0337449929110165</c:v>
                </c:pt>
                <c:pt idx="144">
                  <c:v>1.991475467657704</c:v>
                </c:pt>
                <c:pt idx="145">
                  <c:v>1.8642578555109819</c:v>
                </c:pt>
                <c:pt idx="146">
                  <c:v>1.5593564935447874</c:v>
                </c:pt>
                <c:pt idx="147">
                  <c:v>1.5160914520607829</c:v>
                </c:pt>
                <c:pt idx="148">
                  <c:v>1.368204178088424</c:v>
                </c:pt>
                <c:pt idx="149">
                  <c:v>0.95744848842798813</c:v>
                </c:pt>
              </c:numCache>
            </c:numRef>
          </c:xVal>
          <c:yVal>
            <c:numRef>
              <c:f>'PCA (Standaryzacja)'!$N$2:$N$151</c:f>
              <c:numCache>
                <c:formatCode>General</c:formatCode>
                <c:ptCount val="150"/>
                <c:pt idx="0">
                  <c:v>0.47842383212490475</c:v>
                </c:pt>
                <c:pt idx="1">
                  <c:v>-0.67188268702739196</c:v>
                </c:pt>
                <c:pt idx="2">
                  <c:v>-0.34076642462459067</c:v>
                </c:pt>
                <c:pt idx="3">
                  <c:v>-0.59539986268157252</c:v>
                </c:pt>
                <c:pt idx="4">
                  <c:v>0.64467565940054805</c:v>
                </c:pt>
                <c:pt idx="5">
                  <c:v>1.4842052973421975</c:v>
                </c:pt>
                <c:pt idx="6">
                  <c:v>4.748511806192604E-2</c:v>
                </c:pt>
                <c:pt idx="7">
                  <c:v>0.22240300191943785</c:v>
                </c:pt>
                <c:pt idx="8">
                  <c:v>-1.1116036995379619</c:v>
                </c:pt>
                <c:pt idx="9">
                  <c:v>-0.46744756851170033</c:v>
                </c:pt>
                <c:pt idx="10">
                  <c:v>1.0402058665204494</c:v>
                </c:pt>
                <c:pt idx="11">
                  <c:v>0.13263399898961414</c:v>
                </c:pt>
                <c:pt idx="12">
                  <c:v>-0.72624318301413815</c:v>
                </c:pt>
                <c:pt idx="13">
                  <c:v>-0.95829634715536627</c:v>
                </c:pt>
                <c:pt idx="14">
                  <c:v>1.853846554676003</c:v>
                </c:pt>
                <c:pt idx="15">
                  <c:v>2.6773152297366787</c:v>
                </c:pt>
                <c:pt idx="16">
                  <c:v>1.4786557287482562</c:v>
                </c:pt>
                <c:pt idx="17">
                  <c:v>0.48720613057249629</c:v>
                </c:pt>
                <c:pt idx="18">
                  <c:v>1.4003275666972714</c:v>
                </c:pt>
                <c:pt idx="19">
                  <c:v>1.124083597165374</c:v>
                </c:pt>
                <c:pt idx="20">
                  <c:v>0.40749057637302644</c:v>
                </c:pt>
                <c:pt idx="21">
                  <c:v>0.92103587079816895</c:v>
                </c:pt>
                <c:pt idx="22">
                  <c:v>0.45681330064998887</c:v>
                </c:pt>
                <c:pt idx="23">
                  <c:v>8.5272854283539729E-2</c:v>
                </c:pt>
                <c:pt idx="24">
                  <c:v>0.13679617543507006</c:v>
                </c:pt>
                <c:pt idx="25">
                  <c:v>-0.62352970519126694</c:v>
                </c:pt>
                <c:pt idx="26">
                  <c:v>0.24135499096310625</c:v>
                </c:pt>
                <c:pt idx="27">
                  <c:v>0.52538942181254478</c:v>
                </c:pt>
                <c:pt idx="28">
                  <c:v>0.31217200484926155</c:v>
                </c:pt>
                <c:pt idx="29">
                  <c:v>-0.33660424817913476</c:v>
                </c:pt>
                <c:pt idx="30">
                  <c:v>-0.50285607545477817</c:v>
                </c:pt>
                <c:pt idx="31">
                  <c:v>0.42228038897123887</c:v>
                </c:pt>
                <c:pt idx="32">
                  <c:v>1.7875872722537378</c:v>
                </c:pt>
                <c:pt idx="33">
                  <c:v>2.1435467959851069</c:v>
                </c:pt>
                <c:pt idx="34">
                  <c:v>-0.45866527006410879</c:v>
                </c:pt>
                <c:pt idx="35">
                  <c:v>-0.20541922415561267</c:v>
                </c:pt>
                <c:pt idx="36">
                  <c:v>0.65934923013303748</c:v>
                </c:pt>
                <c:pt idx="37">
                  <c:v>0.59031516341380219</c:v>
                </c:pt>
                <c:pt idx="38">
                  <c:v>-0.90116106687164943</c:v>
                </c:pt>
                <c:pt idx="39">
                  <c:v>0.26798119945859217</c:v>
                </c:pt>
                <c:pt idx="40">
                  <c:v>0.44024054088485676</c:v>
                </c:pt>
                <c:pt idx="41">
                  <c:v>-2.3296107445884875</c:v>
                </c:pt>
                <c:pt idx="42">
                  <c:v>-0.4775010172420539</c:v>
                </c:pt>
                <c:pt idx="43">
                  <c:v>0.47074961267308735</c:v>
                </c:pt>
                <c:pt idx="44">
                  <c:v>1.1384154642069069</c:v>
                </c:pt>
                <c:pt idx="45">
                  <c:v>-0.70867858611895507</c:v>
                </c:pt>
                <c:pt idx="46">
                  <c:v>1.1166886908662677</c:v>
                </c:pt>
                <c:pt idx="47">
                  <c:v>-0.38495723001526011</c:v>
                </c:pt>
                <c:pt idx="48">
                  <c:v>0.99462766898129473</c:v>
                </c:pt>
                <c:pt idx="49">
                  <c:v>9.1855849561548047E-3</c:v>
                </c:pt>
                <c:pt idx="50">
                  <c:v>0.86009103319556124</c:v>
                </c:pt>
                <c:pt idx="51">
                  <c:v>0.59262936211125539</c:v>
                </c:pt>
                <c:pt idx="52">
                  <c:v>0.61423989358617126</c:v>
                </c:pt>
                <c:pt idx="53">
                  <c:v>-1.7485461967119234</c:v>
                </c:pt>
                <c:pt idx="54">
                  <c:v>-0.20772514746029591</c:v>
                </c:pt>
                <c:pt idx="55">
                  <c:v>-0.59130271681720004</c:v>
                </c:pt>
                <c:pt idx="56">
                  <c:v>0.77043827213145977</c:v>
                </c:pt>
                <c:pt idx="57">
                  <c:v>-1.846243997514224</c:v>
                </c:pt>
                <c:pt idx="58">
                  <c:v>3.2118477998473033E-2</c:v>
                </c:pt>
                <c:pt idx="59">
                  <c:v>-1.0305657837710893</c:v>
                </c:pt>
                <c:pt idx="60">
                  <c:v>-2.6452111149372897</c:v>
                </c:pt>
                <c:pt idx="61">
                  <c:v>-6.3083851659568244E-2</c:v>
                </c:pt>
                <c:pt idx="62">
                  <c:v>-1.7588321291737226</c:v>
                </c:pt>
                <c:pt idx="63">
                  <c:v>-0.18560281910122242</c:v>
                </c:pt>
                <c:pt idx="64">
                  <c:v>-0.43753741887792469</c:v>
                </c:pt>
                <c:pt idx="65">
                  <c:v>0.50736423931784413</c:v>
                </c:pt>
                <c:pt idx="66">
                  <c:v>-0.19565626783157603</c:v>
                </c:pt>
                <c:pt idx="67">
                  <c:v>-0.78945100802955859</c:v>
                </c:pt>
                <c:pt idx="68">
                  <c:v>-1.6168272811150293</c:v>
                </c:pt>
                <c:pt idx="69">
                  <c:v>-1.2982599385868421</c:v>
                </c:pt>
                <c:pt idx="70">
                  <c:v>0.39524744620371377</c:v>
                </c:pt>
                <c:pt idx="71">
                  <c:v>-0.41592688740300898</c:v>
                </c:pt>
                <c:pt idx="72">
                  <c:v>-0.9302094405375414</c:v>
                </c:pt>
                <c:pt idx="73">
                  <c:v>-0.41499744081120332</c:v>
                </c:pt>
                <c:pt idx="74">
                  <c:v>-6.3200093525291545E-2</c:v>
                </c:pt>
                <c:pt idx="75">
                  <c:v>0.24995601696389175</c:v>
                </c:pt>
                <c:pt idx="76">
                  <c:v>-7.6998068993453572E-2</c:v>
                </c:pt>
                <c:pt idx="77">
                  <c:v>0.33020546273673296</c:v>
                </c:pt>
                <c:pt idx="78">
                  <c:v>-0.22517350248975582</c:v>
                </c:pt>
                <c:pt idx="79">
                  <c:v>-1.0551835832744223</c:v>
                </c:pt>
                <c:pt idx="80">
                  <c:v>-1.5570555530892793</c:v>
                </c:pt>
                <c:pt idx="81">
                  <c:v>-1.5672252436853562</c:v>
                </c:pt>
                <c:pt idx="82">
                  <c:v>-0.77466119543134604</c:v>
                </c:pt>
                <c:pt idx="83">
                  <c:v>-0.63172690078084692</c:v>
                </c:pt>
                <c:pt idx="84">
                  <c:v>-0.28681266290988461</c:v>
                </c:pt>
                <c:pt idx="85">
                  <c:v>0.84275892003182362</c:v>
                </c:pt>
                <c:pt idx="86">
                  <c:v>0.52030871421089164</c:v>
                </c:pt>
                <c:pt idx="87">
                  <c:v>-1.3783710478047464</c:v>
                </c:pt>
                <c:pt idx="88">
                  <c:v>-0.21877043332070037</c:v>
                </c:pt>
                <c:pt idx="89">
                  <c:v>-1.3248861470823279</c:v>
                </c:pt>
                <c:pt idx="90">
                  <c:v>-1.1162888521211805</c:v>
                </c:pt>
                <c:pt idx="91">
                  <c:v>2.4839813565090033E-2</c:v>
                </c:pt>
                <c:pt idx="92">
                  <c:v>-0.98510382809765851</c:v>
                </c:pt>
                <c:pt idx="93">
                  <c:v>-2.0124958247898674</c:v>
                </c:pt>
                <c:pt idx="94">
                  <c:v>-0.8528731156166075</c:v>
                </c:pt>
                <c:pt idx="95">
                  <c:v>-0.18058714208065191</c:v>
                </c:pt>
                <c:pt idx="96">
                  <c:v>-0.38363486844785816</c:v>
                </c:pt>
                <c:pt idx="97">
                  <c:v>-0.15435648860360052</c:v>
                </c:pt>
                <c:pt idx="98">
                  <c:v>-1.5386374556189821</c:v>
                </c:pt>
                <c:pt idx="99">
                  <c:v>-0.59685228541114133</c:v>
                </c:pt>
                <c:pt idx="100">
                  <c:v>0.86751505609009283</c:v>
                </c:pt>
                <c:pt idx="101">
                  <c:v>-0.69653640051638133</c:v>
                </c:pt>
                <c:pt idx="102">
                  <c:v>0.56013397602008463</c:v>
                </c:pt>
                <c:pt idx="103">
                  <c:v>-4.6830700896179384E-2</c:v>
                </c:pt>
                <c:pt idx="104">
                  <c:v>0.29405969708426433</c:v>
                </c:pt>
                <c:pt idx="105">
                  <c:v>0.79773670875525415</c:v>
                </c:pt>
                <c:pt idx="106">
                  <c:v>-1.5562891777844619</c:v>
                </c:pt>
                <c:pt idx="107">
                  <c:v>0.41866301953476237</c:v>
                </c:pt>
                <c:pt idx="108">
                  <c:v>-0.70906322570178082</c:v>
                </c:pt>
                <c:pt idx="109">
                  <c:v>1.9145963005353617</c:v>
                </c:pt>
                <c:pt idx="110">
                  <c:v>0.69044340477927957</c:v>
                </c:pt>
                <c:pt idx="111">
                  <c:v>-0.42029243098448377</c:v>
                </c:pt>
                <c:pt idx="112">
                  <c:v>0.41784981480868011</c:v>
                </c:pt>
                <c:pt idx="113">
                  <c:v>-1.1583797413860248</c:v>
                </c:pt>
                <c:pt idx="114">
                  <c:v>-0.44079488346362672</c:v>
                </c:pt>
                <c:pt idx="115">
                  <c:v>0.67398688687987041</c:v>
                </c:pt>
                <c:pt idx="116">
                  <c:v>0.25476832684844219</c:v>
                </c:pt>
                <c:pt idx="117">
                  <c:v>2.5481247954088659</c:v>
                </c:pt>
                <c:pt idx="118">
                  <c:v>1.7721580375857734E-2</c:v>
                </c:pt>
                <c:pt idx="119">
                  <c:v>-1.7010467154509117</c:v>
                </c:pt>
                <c:pt idx="120">
                  <c:v>0.9074274431695839</c:v>
                </c:pt>
                <c:pt idx="121">
                  <c:v>-0.5698552566292725</c:v>
                </c:pt>
                <c:pt idx="122">
                  <c:v>0.41225995036570706</c:v>
                </c:pt>
                <c:pt idx="123">
                  <c:v>-0.48020249556517125</c:v>
                </c:pt>
                <c:pt idx="124">
                  <c:v>1.0105364760108886</c:v>
                </c:pt>
                <c:pt idx="125">
                  <c:v>1.0044127199945454</c:v>
                </c:pt>
                <c:pt idx="126">
                  <c:v>-0.31533806043801393</c:v>
                </c:pt>
                <c:pt idx="127">
                  <c:v>6.4131183800912206E-2</c:v>
                </c:pt>
                <c:pt idx="128">
                  <c:v>-0.18673563282904782</c:v>
                </c:pt>
                <c:pt idx="129">
                  <c:v>0.56041328917279631</c:v>
                </c:pt>
                <c:pt idx="130">
                  <c:v>0.2584187064097403</c:v>
                </c:pt>
                <c:pt idx="131">
                  <c:v>2.6175544171465361</c:v>
                </c:pt>
                <c:pt idx="132">
                  <c:v>-0.17795333438145622</c:v>
                </c:pt>
                <c:pt idx="133">
                  <c:v>-0.29194458179617844</c:v>
                </c:pt>
                <c:pt idx="134">
                  <c:v>-0.80860636420924692</c:v>
                </c:pt>
                <c:pt idx="135">
                  <c:v>0.85394254244716539</c:v>
                </c:pt>
                <c:pt idx="136">
                  <c:v>1.0650132138633577</c:v>
                </c:pt>
                <c:pt idx="137">
                  <c:v>0.42102015412408555</c:v>
                </c:pt>
                <c:pt idx="138">
                  <c:v>1.7165594113272599E-2</c:v>
                </c:pt>
                <c:pt idx="139">
                  <c:v>0.67387064501414717</c:v>
                </c:pt>
                <c:pt idx="140">
                  <c:v>0.61183592957558341</c:v>
                </c:pt>
                <c:pt idx="141">
                  <c:v>0.68727306546387434</c:v>
                </c:pt>
                <c:pt idx="142">
                  <c:v>-0.69653640051638133</c:v>
                </c:pt>
                <c:pt idx="143">
                  <c:v>0.86462402992739995</c:v>
                </c:pt>
                <c:pt idx="144">
                  <c:v>1.0456656698012547</c:v>
                </c:pt>
                <c:pt idx="145">
                  <c:v>0.38567403771925285</c:v>
                </c:pt>
                <c:pt idx="146">
                  <c:v>-0.89369285459868986</c:v>
                </c:pt>
                <c:pt idx="147">
                  <c:v>0.26817074729816937</c:v>
                </c:pt>
                <c:pt idx="148">
                  <c:v>1.0078779335796413</c:v>
                </c:pt>
                <c:pt idx="149">
                  <c:v>-2.4250426980425774E-2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8DE-4BB1-9DD4-90029BDE23F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'PCA (Standaryzacja)'!$M$2:$M$51</c:f>
              <c:numCache>
                <c:formatCode>General</c:formatCode>
                <c:ptCount val="50"/>
                <c:pt idx="0">
                  <c:v>-2.2571411756481439</c:v>
                </c:pt>
                <c:pt idx="1">
                  <c:v>-2.0740130151996299</c:v>
                </c:pt>
                <c:pt idx="2">
                  <c:v>-2.3563351118061995</c:v>
                </c:pt>
                <c:pt idx="3">
                  <c:v>-2.2917067858697151</c:v>
                </c:pt>
                <c:pt idx="4">
                  <c:v>-2.38186270441697</c:v>
                </c:pt>
                <c:pt idx="5">
                  <c:v>-2.0687006084677302</c:v>
                </c:pt>
                <c:pt idx="6">
                  <c:v>-2.4358684489631726</c:v>
                </c:pt>
                <c:pt idx="7">
                  <c:v>-2.2253918887805764</c:v>
                </c:pt>
                <c:pt idx="8">
                  <c:v>-2.3268453293413325</c:v>
                </c:pt>
                <c:pt idx="9">
                  <c:v>-2.1770349052411246</c:v>
                </c:pt>
                <c:pt idx="10">
                  <c:v>-2.1590769916914381</c:v>
                </c:pt>
                <c:pt idx="11">
                  <c:v>-2.318364130681835</c:v>
                </c:pt>
                <c:pt idx="12">
                  <c:v>-2.2110436965113922</c:v>
                </c:pt>
                <c:pt idx="13">
                  <c:v>-2.6243090161435854</c:v>
                </c:pt>
                <c:pt idx="14">
                  <c:v>-2.1913992118090526</c:v>
                </c:pt>
                <c:pt idx="15">
                  <c:v>-2.2546612065689917</c:v>
                </c:pt>
                <c:pt idx="16">
                  <c:v>-2.2002167647434003</c:v>
                </c:pt>
                <c:pt idx="17">
                  <c:v>-2.18303613482147</c:v>
                </c:pt>
                <c:pt idx="18">
                  <c:v>-1.8922328395554022</c:v>
                </c:pt>
                <c:pt idx="19">
                  <c:v>-2.3355447606037663</c:v>
                </c:pt>
                <c:pt idx="20">
                  <c:v>-1.9079312487023887</c:v>
                </c:pt>
                <c:pt idx="21">
                  <c:v>-2.1996438314933542</c:v>
                </c:pt>
                <c:pt idx="22">
                  <c:v>-2.7650814226329929</c:v>
                </c:pt>
                <c:pt idx="23">
                  <c:v>-1.8125971593938925</c:v>
                </c:pt>
                <c:pt idx="24">
                  <c:v>-2.2197270134750831</c:v>
                </c:pt>
                <c:pt idx="25">
                  <c:v>-1.9453292965767066</c:v>
                </c:pt>
                <c:pt idx="26">
                  <c:v>-2.0443027680583103</c:v>
                </c:pt>
                <c:pt idx="27">
                  <c:v>-2.1613364960941386</c:v>
                </c:pt>
                <c:pt idx="28">
                  <c:v>-2.1324196468793177</c:v>
                </c:pt>
                <c:pt idx="29">
                  <c:v>-2.2576979945994475</c:v>
                </c:pt>
                <c:pt idx="30">
                  <c:v>-2.1329764658306214</c:v>
                </c:pt>
                <c:pt idx="31">
                  <c:v>-1.8254792451868751</c:v>
                </c:pt>
                <c:pt idx="32">
                  <c:v>-2.6062168666232406</c:v>
                </c:pt>
                <c:pt idx="33">
                  <c:v>-2.4380098316939582</c:v>
                </c:pt>
                <c:pt idx="34">
                  <c:v>-2.1029298644144503</c:v>
                </c:pt>
                <c:pt idx="35">
                  <c:v>-2.2004372294198529</c:v>
                </c:pt>
                <c:pt idx="36">
                  <c:v>-2.0383176527767093</c:v>
                </c:pt>
                <c:pt idx="37">
                  <c:v>-2.5188933857287323</c:v>
                </c:pt>
                <c:pt idx="38">
                  <c:v>-2.421520256693988</c:v>
                </c:pt>
                <c:pt idx="39">
                  <c:v>-2.1624662482954884</c:v>
                </c:pt>
                <c:pt idx="40">
                  <c:v>-2.2788408143754753</c:v>
                </c:pt>
                <c:pt idx="41">
                  <c:v>-1.8519183573960591</c:v>
                </c:pt>
                <c:pt idx="42">
                  <c:v>-2.5451120332614643</c:v>
                </c:pt>
                <c:pt idx="43">
                  <c:v>-1.9578885746886998</c:v>
                </c:pt>
                <c:pt idx="44">
                  <c:v>-2.1299235635014222</c:v>
                </c:pt>
                <c:pt idx="45">
                  <c:v>-2.062833614858044</c:v>
                </c:pt>
                <c:pt idx="46">
                  <c:v>-2.3767707623615228</c:v>
                </c:pt>
                <c:pt idx="47">
                  <c:v>-2.386381713222371</c:v>
                </c:pt>
                <c:pt idx="48">
                  <c:v>-2.2220026321765269</c:v>
                </c:pt>
                <c:pt idx="49">
                  <c:v>-2.196475039565756</c:v>
                </c:pt>
              </c:numCache>
            </c:numRef>
          </c:xVal>
          <c:yVal>
            <c:numRef>
              <c:f>'PCA (Standaryzacja)'!$N$2:$N$51</c:f>
              <c:numCache>
                <c:formatCode>General</c:formatCode>
                <c:ptCount val="50"/>
                <c:pt idx="0">
                  <c:v>0.47842383212490475</c:v>
                </c:pt>
                <c:pt idx="1">
                  <c:v>-0.67188268702739196</c:v>
                </c:pt>
                <c:pt idx="2">
                  <c:v>-0.34076642462459067</c:v>
                </c:pt>
                <c:pt idx="3">
                  <c:v>-0.59539986268157252</c:v>
                </c:pt>
                <c:pt idx="4">
                  <c:v>0.64467565940054805</c:v>
                </c:pt>
                <c:pt idx="5">
                  <c:v>1.4842052973421975</c:v>
                </c:pt>
                <c:pt idx="6">
                  <c:v>4.748511806192604E-2</c:v>
                </c:pt>
                <c:pt idx="7">
                  <c:v>0.22240300191943785</c:v>
                </c:pt>
                <c:pt idx="8">
                  <c:v>-1.1116036995379619</c:v>
                </c:pt>
                <c:pt idx="9">
                  <c:v>-0.46744756851170033</c:v>
                </c:pt>
                <c:pt idx="10">
                  <c:v>1.0402058665204494</c:v>
                </c:pt>
                <c:pt idx="11">
                  <c:v>0.13263399898961414</c:v>
                </c:pt>
                <c:pt idx="12">
                  <c:v>-0.72624318301413815</c:v>
                </c:pt>
                <c:pt idx="13">
                  <c:v>-0.95829634715536627</c:v>
                </c:pt>
                <c:pt idx="14">
                  <c:v>1.853846554676003</c:v>
                </c:pt>
                <c:pt idx="15">
                  <c:v>2.6773152297366787</c:v>
                </c:pt>
                <c:pt idx="16">
                  <c:v>1.4786557287482562</c:v>
                </c:pt>
                <c:pt idx="17">
                  <c:v>0.48720613057249629</c:v>
                </c:pt>
                <c:pt idx="18">
                  <c:v>1.4003275666972714</c:v>
                </c:pt>
                <c:pt idx="19">
                  <c:v>1.124083597165374</c:v>
                </c:pt>
                <c:pt idx="20">
                  <c:v>0.40749057637302644</c:v>
                </c:pt>
                <c:pt idx="21">
                  <c:v>0.92103587079816895</c:v>
                </c:pt>
                <c:pt idx="22">
                  <c:v>0.45681330064998887</c:v>
                </c:pt>
                <c:pt idx="23">
                  <c:v>8.5272854283539729E-2</c:v>
                </c:pt>
                <c:pt idx="24">
                  <c:v>0.13679617543507006</c:v>
                </c:pt>
                <c:pt idx="25">
                  <c:v>-0.62352970519126694</c:v>
                </c:pt>
                <c:pt idx="26">
                  <c:v>0.24135499096310625</c:v>
                </c:pt>
                <c:pt idx="27">
                  <c:v>0.52538942181254478</c:v>
                </c:pt>
                <c:pt idx="28">
                  <c:v>0.31217200484926155</c:v>
                </c:pt>
                <c:pt idx="29">
                  <c:v>-0.33660424817913476</c:v>
                </c:pt>
                <c:pt idx="30">
                  <c:v>-0.50285607545477817</c:v>
                </c:pt>
                <c:pt idx="31">
                  <c:v>0.42228038897123887</c:v>
                </c:pt>
                <c:pt idx="32">
                  <c:v>1.7875872722537378</c:v>
                </c:pt>
                <c:pt idx="33">
                  <c:v>2.1435467959851069</c:v>
                </c:pt>
                <c:pt idx="34">
                  <c:v>-0.45866527006410879</c:v>
                </c:pt>
                <c:pt idx="35">
                  <c:v>-0.20541922415561267</c:v>
                </c:pt>
                <c:pt idx="36">
                  <c:v>0.65934923013303748</c:v>
                </c:pt>
                <c:pt idx="37">
                  <c:v>0.59031516341380219</c:v>
                </c:pt>
                <c:pt idx="38">
                  <c:v>-0.90116106687164943</c:v>
                </c:pt>
                <c:pt idx="39">
                  <c:v>0.26798119945859217</c:v>
                </c:pt>
                <c:pt idx="40">
                  <c:v>0.44024054088485676</c:v>
                </c:pt>
                <c:pt idx="41">
                  <c:v>-2.3296107445884875</c:v>
                </c:pt>
                <c:pt idx="42">
                  <c:v>-0.4775010172420539</c:v>
                </c:pt>
                <c:pt idx="43">
                  <c:v>0.47074961267308735</c:v>
                </c:pt>
                <c:pt idx="44">
                  <c:v>1.1384154642069069</c:v>
                </c:pt>
                <c:pt idx="45">
                  <c:v>-0.70867858611895507</c:v>
                </c:pt>
                <c:pt idx="46">
                  <c:v>1.1166886908662677</c:v>
                </c:pt>
                <c:pt idx="47">
                  <c:v>-0.38495723001526011</c:v>
                </c:pt>
                <c:pt idx="48">
                  <c:v>0.99462766898129473</c:v>
                </c:pt>
                <c:pt idx="49">
                  <c:v>9.1855849561548047E-3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8DE-4BB1-9DD4-90029BDE23F3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'PCA (Standaryzacja)'!$M$102:$M$151</c:f>
              <c:numCache>
                <c:formatCode>General</c:formatCode>
                <c:ptCount val="50"/>
                <c:pt idx="0">
                  <c:v>1.8384100229241036</c:v>
                </c:pt>
                <c:pt idx="1">
                  <c:v>1.1540155536207879</c:v>
                </c:pt>
                <c:pt idx="2">
                  <c:v>2.1979036092804085</c:v>
                </c:pt>
                <c:pt idx="3">
                  <c:v>1.4353421339966659</c:v>
                </c:pt>
                <c:pt idx="4">
                  <c:v>1.8615757681276364</c:v>
                </c:pt>
                <c:pt idx="5">
                  <c:v>2.7426850851882718</c:v>
                </c:pt>
                <c:pt idx="6">
                  <c:v>0.36579224975561775</c:v>
                </c:pt>
                <c:pt idx="7">
                  <c:v>2.2947518123299697</c:v>
                </c:pt>
                <c:pt idx="8">
                  <c:v>1.999986327209806</c:v>
                </c:pt>
                <c:pt idx="9">
                  <c:v>2.2522321615076</c:v>
                </c:pt>
                <c:pt idx="10">
                  <c:v>1.359620636424389</c:v>
                </c:pt>
                <c:pt idx="11">
                  <c:v>1.5973274746691521</c:v>
                </c:pt>
                <c:pt idx="12">
                  <c:v>1.877610531549474</c:v>
                </c:pt>
                <c:pt idx="13">
                  <c:v>1.2559076914609331</c:v>
                </c:pt>
                <c:pt idx="14">
                  <c:v>1.4627448694704215</c:v>
                </c:pt>
                <c:pt idx="15">
                  <c:v>1.5847681965571589</c:v>
                </c:pt>
                <c:pt idx="16">
                  <c:v>1.4665184876141868</c:v>
                </c:pt>
                <c:pt idx="17">
                  <c:v>2.4182276992990475</c:v>
                </c:pt>
                <c:pt idx="18">
                  <c:v>3.2996414776684135</c:v>
                </c:pt>
                <c:pt idx="19">
                  <c:v>1.2595470736340402</c:v>
                </c:pt>
                <c:pt idx="20">
                  <c:v>2.0309125552582694</c:v>
                </c:pt>
                <c:pt idx="21">
                  <c:v>0.97471534705571328</c:v>
                </c:pt>
                <c:pt idx="22">
                  <c:v>2.8879765004830795</c:v>
                </c:pt>
                <c:pt idx="23">
                  <c:v>1.3287806370817197</c:v>
                </c:pt>
                <c:pt idx="24">
                  <c:v>1.695055304351007</c:v>
                </c:pt>
                <c:pt idx="25">
                  <c:v>1.9478013897869151</c:v>
                </c:pt>
                <c:pt idx="26">
                  <c:v>1.1711800692439762</c:v>
                </c:pt>
                <c:pt idx="27">
                  <c:v>1.0175416912603292</c:v>
                </c:pt>
                <c:pt idx="28">
                  <c:v>1.7823787852455153</c:v>
                </c:pt>
                <c:pt idx="29">
                  <c:v>1.8574250065632076</c:v>
                </c:pt>
                <c:pt idx="30">
                  <c:v>2.4278203037876356</c:v>
                </c:pt>
                <c:pt idx="31">
                  <c:v>2.2972317814091223</c:v>
                </c:pt>
                <c:pt idx="32">
                  <c:v>1.8564838260721896</c:v>
                </c:pt>
                <c:pt idx="33">
                  <c:v>1.1104277044557938</c:v>
                </c:pt>
                <c:pt idx="34">
                  <c:v>1.1984583545710061</c:v>
                </c:pt>
                <c:pt idx="35">
                  <c:v>2.7894256119821206</c:v>
                </c:pt>
                <c:pt idx="36">
                  <c:v>1.5709929375380209</c:v>
                </c:pt>
                <c:pt idx="37">
                  <c:v>1.3417969588453607</c:v>
                </c:pt>
                <c:pt idx="38">
                  <c:v>0.92173701170632349</c:v>
                </c:pt>
                <c:pt idx="39">
                  <c:v>1.8458612446819069</c:v>
                </c:pt>
                <c:pt idx="40">
                  <c:v>2.0080831643295878</c:v>
                </c:pt>
                <c:pt idx="41">
                  <c:v>1.8954342091285024</c:v>
                </c:pt>
                <c:pt idx="42">
                  <c:v>1.1540155536207879</c:v>
                </c:pt>
                <c:pt idx="43">
                  <c:v>2.0337449929110165</c:v>
                </c:pt>
                <c:pt idx="44">
                  <c:v>1.991475467657704</c:v>
                </c:pt>
                <c:pt idx="45">
                  <c:v>1.8642578555109819</c:v>
                </c:pt>
                <c:pt idx="46">
                  <c:v>1.5593564935447874</c:v>
                </c:pt>
                <c:pt idx="47">
                  <c:v>1.5160914520607829</c:v>
                </c:pt>
                <c:pt idx="48">
                  <c:v>1.368204178088424</c:v>
                </c:pt>
                <c:pt idx="49">
                  <c:v>0.95744848842798813</c:v>
                </c:pt>
              </c:numCache>
            </c:numRef>
          </c:xVal>
          <c:yVal>
            <c:numRef>
              <c:f>'PCA (Standaryzacja)'!$N$102:$N$151</c:f>
              <c:numCache>
                <c:formatCode>General</c:formatCode>
                <c:ptCount val="50"/>
                <c:pt idx="0">
                  <c:v>0.86751505609009283</c:v>
                </c:pt>
                <c:pt idx="1">
                  <c:v>-0.69653640051638133</c:v>
                </c:pt>
                <c:pt idx="2">
                  <c:v>0.56013397602008463</c:v>
                </c:pt>
                <c:pt idx="3">
                  <c:v>-4.6830700896179384E-2</c:v>
                </c:pt>
                <c:pt idx="4">
                  <c:v>0.29405969708426433</c:v>
                </c:pt>
                <c:pt idx="5">
                  <c:v>0.79773670875525415</c:v>
                </c:pt>
                <c:pt idx="6">
                  <c:v>-1.5562891777844619</c:v>
                </c:pt>
                <c:pt idx="7">
                  <c:v>0.41866301953476237</c:v>
                </c:pt>
                <c:pt idx="8">
                  <c:v>-0.70906322570178082</c:v>
                </c:pt>
                <c:pt idx="9">
                  <c:v>1.9145963005353617</c:v>
                </c:pt>
                <c:pt idx="10">
                  <c:v>0.69044340477927957</c:v>
                </c:pt>
                <c:pt idx="11">
                  <c:v>-0.42029243098448377</c:v>
                </c:pt>
                <c:pt idx="12">
                  <c:v>0.41784981480868011</c:v>
                </c:pt>
                <c:pt idx="13">
                  <c:v>-1.1583797413860248</c:v>
                </c:pt>
                <c:pt idx="14">
                  <c:v>-0.44079488346362672</c:v>
                </c:pt>
                <c:pt idx="15">
                  <c:v>0.67398688687987041</c:v>
                </c:pt>
                <c:pt idx="16">
                  <c:v>0.25476832684844219</c:v>
                </c:pt>
                <c:pt idx="17">
                  <c:v>2.5481247954088659</c:v>
                </c:pt>
                <c:pt idx="18">
                  <c:v>1.7721580375857734E-2</c:v>
                </c:pt>
                <c:pt idx="19">
                  <c:v>-1.7010467154509117</c:v>
                </c:pt>
                <c:pt idx="20">
                  <c:v>0.9074274431695839</c:v>
                </c:pt>
                <c:pt idx="21">
                  <c:v>-0.5698552566292725</c:v>
                </c:pt>
                <c:pt idx="22">
                  <c:v>0.41225995036570706</c:v>
                </c:pt>
                <c:pt idx="23">
                  <c:v>-0.48020249556517125</c:v>
                </c:pt>
                <c:pt idx="24">
                  <c:v>1.0105364760108886</c:v>
                </c:pt>
                <c:pt idx="25">
                  <c:v>1.0044127199945454</c:v>
                </c:pt>
                <c:pt idx="26">
                  <c:v>-0.31533806043801393</c:v>
                </c:pt>
                <c:pt idx="27">
                  <c:v>6.4131183800912206E-2</c:v>
                </c:pt>
                <c:pt idx="28">
                  <c:v>-0.18673563282904782</c:v>
                </c:pt>
                <c:pt idx="29">
                  <c:v>0.56041328917279631</c:v>
                </c:pt>
                <c:pt idx="30">
                  <c:v>0.2584187064097403</c:v>
                </c:pt>
                <c:pt idx="31">
                  <c:v>2.6175544171465361</c:v>
                </c:pt>
                <c:pt idx="32">
                  <c:v>-0.17795333438145622</c:v>
                </c:pt>
                <c:pt idx="33">
                  <c:v>-0.29194458179617844</c:v>
                </c:pt>
                <c:pt idx="34">
                  <c:v>-0.80860636420924692</c:v>
                </c:pt>
                <c:pt idx="35">
                  <c:v>0.85394254244716539</c:v>
                </c:pt>
                <c:pt idx="36">
                  <c:v>1.0650132138633577</c:v>
                </c:pt>
                <c:pt idx="37">
                  <c:v>0.42102015412408555</c:v>
                </c:pt>
                <c:pt idx="38">
                  <c:v>1.7165594113272599E-2</c:v>
                </c:pt>
                <c:pt idx="39">
                  <c:v>0.67387064501414717</c:v>
                </c:pt>
                <c:pt idx="40">
                  <c:v>0.61183592957558341</c:v>
                </c:pt>
                <c:pt idx="41">
                  <c:v>0.68727306546387434</c:v>
                </c:pt>
                <c:pt idx="42">
                  <c:v>-0.69653640051638133</c:v>
                </c:pt>
                <c:pt idx="43">
                  <c:v>0.86462402992739995</c:v>
                </c:pt>
                <c:pt idx="44">
                  <c:v>1.0456656698012547</c:v>
                </c:pt>
                <c:pt idx="45">
                  <c:v>0.38567403771925285</c:v>
                </c:pt>
                <c:pt idx="46">
                  <c:v>-0.89369285459868986</c:v>
                </c:pt>
                <c:pt idx="47">
                  <c:v>0.26817074729816937</c:v>
                </c:pt>
                <c:pt idx="48">
                  <c:v>1.0078779335796413</c:v>
                </c:pt>
                <c:pt idx="49">
                  <c:v>-2.4250426980425774E-2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8DE-4BB1-9DD4-90029BDE2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7112480"/>
        <c:axId val="1800040992"/>
      </c:scatterChart>
      <c:valAx>
        <c:axId val="187711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00040992"/>
        <c:crosses val="autoZero"/>
        <c:crossBetween val="midCat"/>
      </c:valAx>
      <c:valAx>
        <c:axId val="180004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7711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523875</xdr:colOff>
      <xdr:row>5</xdr:row>
      <xdr:rowOff>152400</xdr:rowOff>
    </xdr:from>
    <xdr:to>
      <xdr:col>12</xdr:col>
      <xdr:colOff>180975</xdr:colOff>
      <xdr:row>20</xdr:row>
      <xdr:rowOff>38100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5BC61EDF-AB81-4AD8-8DF1-7BE2D656CC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161925</xdr:colOff>
      <xdr:row>29</xdr:row>
      <xdr:rowOff>61912</xdr:rowOff>
    </xdr:from>
    <xdr:to>
      <xdr:col>10</xdr:col>
      <xdr:colOff>466725</xdr:colOff>
      <xdr:row>43</xdr:row>
      <xdr:rowOff>138112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C0A6E8D4-227C-45EF-8228-5550461BC9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29</xdr:row>
      <xdr:rowOff>71437</xdr:rowOff>
    </xdr:from>
    <xdr:to>
      <xdr:col>10</xdr:col>
      <xdr:colOff>476250</xdr:colOff>
      <xdr:row>43</xdr:row>
      <xdr:rowOff>147637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856CC59B-5788-4A6D-98B0-2DCD3634B9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T151"/>
  <sheetViews>
    <sheetView workbookViewId="0">
      <selection activeCell="J27" sqref="J27"/>
    </sheetView>
  </sheetViews>
  <sheetFormatPr defaultRowHeight="15" x14ac:dyDescent="0.25"/>
  <cols>
    <col min="1" max="1" width="12.42578125" bestFit="1" customWidth="1"/>
    <col min="2" max="2" width="11.85546875" bestFit="1" customWidth="1"/>
    <col min="3" max="3" width="12.140625" bestFit="1" customWidth="1"/>
    <col min="4" max="4" width="11.5703125" bestFit="1" customWidth="1"/>
    <col min="5" max="5" width="9.7109375" bestFit="1" customWidth="1"/>
    <col min="6" max="11" width="9.140625" style="1"/>
    <col min="13" max="20" width="11.140625" style="1" customWidth="1"/>
  </cols>
  <sheetData>
    <row r="1" spans="1:20" ht="15.75" thickBot="1" x14ac:dyDescent="0.3">
      <c r="A1" s="9" t="s">
        <v>0</v>
      </c>
      <c r="B1" s="10" t="s">
        <v>1</v>
      </c>
      <c r="C1" s="10" t="s">
        <v>2</v>
      </c>
      <c r="D1" s="17" t="s">
        <v>3</v>
      </c>
      <c r="E1" s="4" t="s">
        <v>4</v>
      </c>
      <c r="M1" s="9" t="s">
        <v>27</v>
      </c>
      <c r="N1" s="10" t="s">
        <v>28</v>
      </c>
      <c r="O1" s="10" t="s">
        <v>29</v>
      </c>
      <c r="P1" s="11" t="s">
        <v>30</v>
      </c>
      <c r="Q1" s="22" t="s">
        <v>31</v>
      </c>
      <c r="R1" s="10" t="s">
        <v>32</v>
      </c>
      <c r="S1" s="10" t="s">
        <v>33</v>
      </c>
      <c r="T1" s="11" t="s">
        <v>34</v>
      </c>
    </row>
    <row r="2" spans="1:20" x14ac:dyDescent="0.25">
      <c r="A2" s="12">
        <v>5.0999999999999996</v>
      </c>
      <c r="B2" s="8">
        <v>3.5</v>
      </c>
      <c r="C2" s="8">
        <v>1.4</v>
      </c>
      <c r="D2" s="7">
        <v>0.2</v>
      </c>
      <c r="E2" s="19" t="s">
        <v>5</v>
      </c>
      <c r="H2" s="2" t="s">
        <v>8</v>
      </c>
      <c r="I2" s="2" t="s">
        <v>9</v>
      </c>
      <c r="J2" s="2" t="s">
        <v>10</v>
      </c>
      <c r="K2" s="2" t="s">
        <v>11</v>
      </c>
      <c r="M2" s="12">
        <f>A2-H$3</f>
        <v>-0.74333333333333496</v>
      </c>
      <c r="N2" s="8">
        <f t="shared" ref="N2:P2" si="0">B2-I$3</f>
        <v>0.44266666666666588</v>
      </c>
      <c r="O2" s="8">
        <f t="shared" si="0"/>
        <v>-2.3580000000000028</v>
      </c>
      <c r="P2" s="13">
        <f t="shared" si="0"/>
        <v>-0.99933333333333407</v>
      </c>
      <c r="Q2" s="5">
        <f t="shared" ref="Q2:Q33" si="1">(A2-H$3)/H$4</f>
        <v>-0.89767387919678832</v>
      </c>
      <c r="R2" s="8">
        <f t="shared" ref="R2:R33" si="2">(B2-I$3)/I$4</f>
        <v>1.0156019907136655</v>
      </c>
      <c r="S2" s="8">
        <f t="shared" ref="S2:S33" si="3">(C2-J$3)/J$4</f>
        <v>-1.3357516342415243</v>
      </c>
      <c r="T2" s="13">
        <f t="shared" ref="T2:T33" si="4">(D2-K$3)/K$4</f>
        <v>-1.3110521482051325</v>
      </c>
    </row>
    <row r="3" spans="1:20" x14ac:dyDescent="0.25">
      <c r="A3" s="12">
        <v>4.9000000000000004</v>
      </c>
      <c r="B3" s="8">
        <v>3</v>
      </c>
      <c r="C3" s="8">
        <v>1.4</v>
      </c>
      <c r="D3" s="7">
        <v>0.2</v>
      </c>
      <c r="E3" s="19" t="s">
        <v>5</v>
      </c>
      <c r="G3" s="2" t="s">
        <v>12</v>
      </c>
      <c r="H3" s="3">
        <f>AVERAGE(A:A)</f>
        <v>5.8433333333333346</v>
      </c>
      <c r="I3" s="3">
        <f t="shared" ref="I3:K3" si="5">AVERAGE(B:B)</f>
        <v>3.0573333333333341</v>
      </c>
      <c r="J3" s="3">
        <f t="shared" si="5"/>
        <v>3.7580000000000027</v>
      </c>
      <c r="K3" s="3">
        <f t="shared" si="5"/>
        <v>1.199333333333334</v>
      </c>
      <c r="M3" s="12">
        <f t="shared" ref="M3:M66" si="6">A3-H$3</f>
        <v>-0.94333333333333425</v>
      </c>
      <c r="N3" s="8">
        <f t="shared" ref="N3:N66" si="7">B3-I$3</f>
        <v>-5.7333333333334124E-2</v>
      </c>
      <c r="O3" s="8">
        <f t="shared" ref="O3:O66" si="8">C3-J$3</f>
        <v>-2.3580000000000028</v>
      </c>
      <c r="P3" s="13">
        <f t="shared" ref="P3:P66" si="9">D3-K$3</f>
        <v>-0.99933333333333407</v>
      </c>
      <c r="Q3" s="5">
        <f t="shared" si="1"/>
        <v>-1.1392004834649812</v>
      </c>
      <c r="R3" s="8">
        <f t="shared" si="2"/>
        <v>-0.13153881205026594</v>
      </c>
      <c r="S3" s="8">
        <f t="shared" si="3"/>
        <v>-1.3357516342415243</v>
      </c>
      <c r="T3" s="13">
        <f t="shared" si="4"/>
        <v>-1.3110521482051325</v>
      </c>
    </row>
    <row r="4" spans="1:20" x14ac:dyDescent="0.25">
      <c r="A4" s="12">
        <v>4.7</v>
      </c>
      <c r="B4" s="8">
        <v>3.2</v>
      </c>
      <c r="C4" s="8">
        <v>1.3</v>
      </c>
      <c r="D4" s="7">
        <v>0.2</v>
      </c>
      <c r="E4" s="19" t="s">
        <v>5</v>
      </c>
      <c r="G4" s="2" t="s">
        <v>13</v>
      </c>
      <c r="H4" s="3">
        <f>_xlfn.STDEV.S(A:A)</f>
        <v>0.82806612797784351</v>
      </c>
      <c r="I4" s="3">
        <f t="shared" ref="I4:K4" si="10">_xlfn.STDEV.S(B:B)</f>
        <v>0.43586628493668389</v>
      </c>
      <c r="J4" s="3">
        <f t="shared" si="10"/>
        <v>1.7652982332594624</v>
      </c>
      <c r="K4" s="3">
        <f t="shared" si="10"/>
        <v>0.76223766896034584</v>
      </c>
      <c r="M4" s="12">
        <f t="shared" si="6"/>
        <v>-1.1433333333333344</v>
      </c>
      <c r="N4" s="8">
        <f t="shared" si="7"/>
        <v>0.14266666666666605</v>
      </c>
      <c r="O4" s="8">
        <f t="shared" si="8"/>
        <v>-2.4580000000000028</v>
      </c>
      <c r="P4" s="13">
        <f t="shared" si="9"/>
        <v>-0.99933333333333407</v>
      </c>
      <c r="Q4" s="5">
        <f t="shared" si="1"/>
        <v>-1.380727087733175</v>
      </c>
      <c r="R4" s="8">
        <f t="shared" si="2"/>
        <v>0.32731750905530699</v>
      </c>
      <c r="S4" s="8">
        <f t="shared" si="3"/>
        <v>-1.3923992862449817</v>
      </c>
      <c r="T4" s="13">
        <f t="shared" si="4"/>
        <v>-1.3110521482051325</v>
      </c>
    </row>
    <row r="5" spans="1:20" x14ac:dyDescent="0.25">
      <c r="A5" s="12">
        <v>4.5999999999999996</v>
      </c>
      <c r="B5" s="8">
        <v>3.1</v>
      </c>
      <c r="C5" s="8">
        <v>1.5</v>
      </c>
      <c r="D5" s="7">
        <v>0.2</v>
      </c>
      <c r="E5" s="19" t="s">
        <v>5</v>
      </c>
      <c r="G5" s="2" t="s">
        <v>16</v>
      </c>
      <c r="H5" s="3">
        <f>_xlfn.VAR.S(A:A)</f>
        <v>0.68569351230421827</v>
      </c>
      <c r="I5" s="3">
        <f t="shared" ref="I5:K5" si="11">_xlfn.VAR.S(B:B)</f>
        <v>0.18997941834450652</v>
      </c>
      <c r="J5" s="3">
        <f t="shared" si="11"/>
        <v>3.1162778523489791</v>
      </c>
      <c r="K5" s="3">
        <f t="shared" si="11"/>
        <v>0.58100626398210176</v>
      </c>
      <c r="M5" s="12">
        <f t="shared" si="6"/>
        <v>-1.243333333333335</v>
      </c>
      <c r="N5" s="8">
        <f t="shared" si="7"/>
        <v>4.2666666666665964E-2</v>
      </c>
      <c r="O5" s="8">
        <f t="shared" si="8"/>
        <v>-2.2580000000000027</v>
      </c>
      <c r="P5" s="13">
        <f t="shared" si="9"/>
        <v>-0.99933333333333407</v>
      </c>
      <c r="Q5" s="5">
        <f t="shared" si="1"/>
        <v>-1.5014903898672725</v>
      </c>
      <c r="R5" s="8">
        <f t="shared" si="2"/>
        <v>9.7889348502520526E-2</v>
      </c>
      <c r="S5" s="8">
        <f t="shared" si="3"/>
        <v>-1.279103982238067</v>
      </c>
      <c r="T5" s="13">
        <f t="shared" si="4"/>
        <v>-1.3110521482051325</v>
      </c>
    </row>
    <row r="6" spans="1:20" x14ac:dyDescent="0.25">
      <c r="A6" s="12">
        <v>5</v>
      </c>
      <c r="B6" s="8">
        <v>3.6</v>
      </c>
      <c r="C6" s="8">
        <v>1.4</v>
      </c>
      <c r="D6" s="7">
        <v>0.2</v>
      </c>
      <c r="E6" s="19" t="s">
        <v>5</v>
      </c>
      <c r="M6" s="12">
        <f t="shared" si="6"/>
        <v>-0.8433333333333346</v>
      </c>
      <c r="N6" s="8">
        <f t="shared" si="7"/>
        <v>0.54266666666666596</v>
      </c>
      <c r="O6" s="8">
        <f t="shared" si="8"/>
        <v>-2.3580000000000028</v>
      </c>
      <c r="P6" s="13">
        <f t="shared" si="9"/>
        <v>-0.99933333333333407</v>
      </c>
      <c r="Q6" s="5">
        <f t="shared" si="1"/>
        <v>-1.0184371813308848</v>
      </c>
      <c r="R6" s="8">
        <f t="shared" si="2"/>
        <v>1.2450301512664519</v>
      </c>
      <c r="S6" s="8">
        <f t="shared" si="3"/>
        <v>-1.3357516342415243</v>
      </c>
      <c r="T6" s="13">
        <f t="shared" si="4"/>
        <v>-1.3110521482051325</v>
      </c>
    </row>
    <row r="7" spans="1:20" x14ac:dyDescent="0.25">
      <c r="A7" s="12">
        <v>5.4</v>
      </c>
      <c r="B7" s="8">
        <v>3.9</v>
      </c>
      <c r="C7" s="8">
        <v>1.7</v>
      </c>
      <c r="D7" s="7">
        <v>0.4</v>
      </c>
      <c r="E7" s="19" t="s">
        <v>5</v>
      </c>
      <c r="M7" s="12">
        <f t="shared" si="6"/>
        <v>-0.44333333333333425</v>
      </c>
      <c r="N7" s="8">
        <f t="shared" si="7"/>
        <v>0.84266666666666579</v>
      </c>
      <c r="O7" s="8">
        <f t="shared" si="8"/>
        <v>-2.0580000000000025</v>
      </c>
      <c r="P7" s="13">
        <f t="shared" si="9"/>
        <v>-0.79933333333333401</v>
      </c>
      <c r="Q7" s="5">
        <f t="shared" si="1"/>
        <v>-0.53538397279449701</v>
      </c>
      <c r="R7" s="8">
        <f t="shared" si="2"/>
        <v>1.9333146329248103</v>
      </c>
      <c r="S7" s="8">
        <f t="shared" si="3"/>
        <v>-1.1658086782311523</v>
      </c>
      <c r="T7" s="13">
        <f t="shared" si="4"/>
        <v>-1.0486667949952995</v>
      </c>
    </row>
    <row r="8" spans="1:20" x14ac:dyDescent="0.25">
      <c r="A8" s="12">
        <v>4.5999999999999996</v>
      </c>
      <c r="B8" s="8">
        <v>3.4</v>
      </c>
      <c r="C8" s="8">
        <v>1.4</v>
      </c>
      <c r="D8" s="7">
        <v>0.3</v>
      </c>
      <c r="E8" s="19" t="s">
        <v>5</v>
      </c>
      <c r="M8" s="12">
        <f t="shared" si="6"/>
        <v>-1.243333333333335</v>
      </c>
      <c r="N8" s="8">
        <f t="shared" si="7"/>
        <v>0.34266666666666579</v>
      </c>
      <c r="O8" s="8">
        <f t="shared" si="8"/>
        <v>-2.3580000000000028</v>
      </c>
      <c r="P8" s="13">
        <f t="shared" si="9"/>
        <v>-0.89933333333333398</v>
      </c>
      <c r="Q8" s="5">
        <f t="shared" si="1"/>
        <v>-1.5014903898672725</v>
      </c>
      <c r="R8" s="8">
        <f t="shared" si="2"/>
        <v>0.78617383016087894</v>
      </c>
      <c r="S8" s="8">
        <f t="shared" si="3"/>
        <v>-1.3357516342415243</v>
      </c>
      <c r="T8" s="13">
        <f t="shared" si="4"/>
        <v>-1.179859471600216</v>
      </c>
    </row>
    <row r="9" spans="1:20" x14ac:dyDescent="0.25">
      <c r="A9" s="12">
        <v>5</v>
      </c>
      <c r="B9" s="8">
        <v>3.4</v>
      </c>
      <c r="C9" s="8">
        <v>1.5</v>
      </c>
      <c r="D9" s="7">
        <v>0.2</v>
      </c>
      <c r="E9" s="19" t="s">
        <v>5</v>
      </c>
      <c r="M9" s="12">
        <f t="shared" si="6"/>
        <v>-0.8433333333333346</v>
      </c>
      <c r="N9" s="8">
        <f t="shared" si="7"/>
        <v>0.34266666666666579</v>
      </c>
      <c r="O9" s="8">
        <f t="shared" si="8"/>
        <v>-2.2580000000000027</v>
      </c>
      <c r="P9" s="13">
        <f t="shared" si="9"/>
        <v>-0.99933333333333407</v>
      </c>
      <c r="Q9" s="5">
        <f t="shared" si="1"/>
        <v>-1.0184371813308848</v>
      </c>
      <c r="R9" s="8">
        <f t="shared" si="2"/>
        <v>0.78617383016087894</v>
      </c>
      <c r="S9" s="8">
        <f t="shared" si="3"/>
        <v>-1.279103982238067</v>
      </c>
      <c r="T9" s="13">
        <f t="shared" si="4"/>
        <v>-1.3110521482051325</v>
      </c>
    </row>
    <row r="10" spans="1:20" x14ac:dyDescent="0.25">
      <c r="A10" s="12">
        <v>4.4000000000000004</v>
      </c>
      <c r="B10" s="8">
        <v>2.9</v>
      </c>
      <c r="C10" s="8">
        <v>1.4</v>
      </c>
      <c r="D10" s="7">
        <v>0.2</v>
      </c>
      <c r="E10" s="19" t="s">
        <v>5</v>
      </c>
      <c r="M10" s="12">
        <f t="shared" si="6"/>
        <v>-1.4433333333333342</v>
      </c>
      <c r="N10" s="8">
        <f t="shared" si="7"/>
        <v>-0.15733333333333421</v>
      </c>
      <c r="O10" s="8">
        <f t="shared" si="8"/>
        <v>-2.3580000000000028</v>
      </c>
      <c r="P10" s="13">
        <f t="shared" si="9"/>
        <v>-0.99933333333333407</v>
      </c>
      <c r="Q10" s="5">
        <f t="shared" si="1"/>
        <v>-1.7430169941354652</v>
      </c>
      <c r="R10" s="8">
        <f t="shared" si="2"/>
        <v>-0.36096697260305244</v>
      </c>
      <c r="S10" s="8">
        <f t="shared" si="3"/>
        <v>-1.3357516342415243</v>
      </c>
      <c r="T10" s="13">
        <f t="shared" si="4"/>
        <v>-1.3110521482051325</v>
      </c>
    </row>
    <row r="11" spans="1:20" x14ac:dyDescent="0.25">
      <c r="A11" s="12">
        <v>4.9000000000000004</v>
      </c>
      <c r="B11" s="8">
        <v>3.1</v>
      </c>
      <c r="C11" s="8">
        <v>1.5</v>
      </c>
      <c r="D11" s="7">
        <v>0.1</v>
      </c>
      <c r="E11" s="19" t="s">
        <v>5</v>
      </c>
      <c r="M11" s="12">
        <f t="shared" si="6"/>
        <v>-0.94333333333333425</v>
      </c>
      <c r="N11" s="8">
        <f t="shared" si="7"/>
        <v>4.2666666666665964E-2</v>
      </c>
      <c r="O11" s="8">
        <f t="shared" si="8"/>
        <v>-2.2580000000000027</v>
      </c>
      <c r="P11" s="13">
        <f t="shared" si="9"/>
        <v>-1.0993333333333339</v>
      </c>
      <c r="Q11" s="5">
        <f t="shared" si="1"/>
        <v>-1.1392004834649812</v>
      </c>
      <c r="R11" s="8">
        <f t="shared" si="2"/>
        <v>9.7889348502520526E-2</v>
      </c>
      <c r="S11" s="8">
        <f t="shared" si="3"/>
        <v>-1.279103982238067</v>
      </c>
      <c r="T11" s="13">
        <f t="shared" si="4"/>
        <v>-1.4422448248100488</v>
      </c>
    </row>
    <row r="12" spans="1:20" x14ac:dyDescent="0.25">
      <c r="A12" s="12">
        <v>5.4</v>
      </c>
      <c r="B12" s="8">
        <v>3.7</v>
      </c>
      <c r="C12" s="8">
        <v>1.5</v>
      </c>
      <c r="D12" s="7">
        <v>0.2</v>
      </c>
      <c r="E12" s="19" t="s">
        <v>5</v>
      </c>
      <c r="M12" s="12">
        <f t="shared" si="6"/>
        <v>-0.44333333333333425</v>
      </c>
      <c r="N12" s="8">
        <f t="shared" si="7"/>
        <v>0.64266666666666605</v>
      </c>
      <c r="O12" s="8">
        <f t="shared" si="8"/>
        <v>-2.2580000000000027</v>
      </c>
      <c r="P12" s="13">
        <f t="shared" si="9"/>
        <v>-0.99933333333333407</v>
      </c>
      <c r="Q12" s="5">
        <f t="shared" si="1"/>
        <v>-0.53538397279449701</v>
      </c>
      <c r="R12" s="8">
        <f t="shared" si="2"/>
        <v>1.4744583118192385</v>
      </c>
      <c r="S12" s="8">
        <f t="shared" si="3"/>
        <v>-1.279103982238067</v>
      </c>
      <c r="T12" s="13">
        <f t="shared" si="4"/>
        <v>-1.3110521482051325</v>
      </c>
    </row>
    <row r="13" spans="1:20" x14ac:dyDescent="0.25">
      <c r="A13" s="12">
        <v>4.8</v>
      </c>
      <c r="B13" s="8">
        <v>3.4</v>
      </c>
      <c r="C13" s="8">
        <v>1.6</v>
      </c>
      <c r="D13" s="7">
        <v>0.2</v>
      </c>
      <c r="E13" s="19" t="s">
        <v>5</v>
      </c>
      <c r="M13" s="12">
        <f t="shared" si="6"/>
        <v>-1.0433333333333348</v>
      </c>
      <c r="N13" s="8">
        <f t="shared" si="7"/>
        <v>0.34266666666666579</v>
      </c>
      <c r="O13" s="8">
        <f t="shared" si="8"/>
        <v>-2.1580000000000026</v>
      </c>
      <c r="P13" s="13">
        <f t="shared" si="9"/>
        <v>-0.99933333333333407</v>
      </c>
      <c r="Q13" s="5">
        <f t="shared" si="1"/>
        <v>-1.2599637855990786</v>
      </c>
      <c r="R13" s="8">
        <f t="shared" si="2"/>
        <v>0.78617383016087894</v>
      </c>
      <c r="S13" s="8">
        <f t="shared" si="3"/>
        <v>-1.2224563302346096</v>
      </c>
      <c r="T13" s="13">
        <f t="shared" si="4"/>
        <v>-1.3110521482051325</v>
      </c>
    </row>
    <row r="14" spans="1:20" x14ac:dyDescent="0.25">
      <c r="A14" s="12">
        <v>4.8</v>
      </c>
      <c r="B14" s="8">
        <v>3</v>
      </c>
      <c r="C14" s="8">
        <v>1.4</v>
      </c>
      <c r="D14" s="7">
        <v>0.1</v>
      </c>
      <c r="E14" s="19" t="s">
        <v>5</v>
      </c>
      <c r="M14" s="12">
        <f t="shared" si="6"/>
        <v>-1.0433333333333348</v>
      </c>
      <c r="N14" s="8">
        <f t="shared" si="7"/>
        <v>-5.7333333333334124E-2</v>
      </c>
      <c r="O14" s="8">
        <f t="shared" si="8"/>
        <v>-2.3580000000000028</v>
      </c>
      <c r="P14" s="13">
        <f t="shared" si="9"/>
        <v>-1.0993333333333339</v>
      </c>
      <c r="Q14" s="5">
        <f t="shared" si="1"/>
        <v>-1.2599637855990786</v>
      </c>
      <c r="R14" s="8">
        <f t="shared" si="2"/>
        <v>-0.13153881205026594</v>
      </c>
      <c r="S14" s="8">
        <f t="shared" si="3"/>
        <v>-1.3357516342415243</v>
      </c>
      <c r="T14" s="13">
        <f t="shared" si="4"/>
        <v>-1.4422448248100488</v>
      </c>
    </row>
    <row r="15" spans="1:20" x14ac:dyDescent="0.25">
      <c r="A15" s="12">
        <v>4.3</v>
      </c>
      <c r="B15" s="8">
        <v>3</v>
      </c>
      <c r="C15" s="8">
        <v>1.1000000000000001</v>
      </c>
      <c r="D15" s="7">
        <v>0.1</v>
      </c>
      <c r="E15" s="19" t="s">
        <v>5</v>
      </c>
      <c r="M15" s="12">
        <f t="shared" si="6"/>
        <v>-1.5433333333333348</v>
      </c>
      <c r="N15" s="8">
        <f t="shared" si="7"/>
        <v>-5.7333333333334124E-2</v>
      </c>
      <c r="O15" s="8">
        <f t="shared" si="8"/>
        <v>-2.6580000000000026</v>
      </c>
      <c r="P15" s="13">
        <f t="shared" si="9"/>
        <v>-1.0993333333333339</v>
      </c>
      <c r="Q15" s="5">
        <f t="shared" si="1"/>
        <v>-1.8637802962695627</v>
      </c>
      <c r="R15" s="8">
        <f t="shared" si="2"/>
        <v>-0.13153881205026594</v>
      </c>
      <c r="S15" s="8">
        <f t="shared" si="3"/>
        <v>-1.5056945902518961</v>
      </c>
      <c r="T15" s="13">
        <f t="shared" si="4"/>
        <v>-1.4422448248100488</v>
      </c>
    </row>
    <row r="16" spans="1:20" x14ac:dyDescent="0.25">
      <c r="A16" s="12">
        <v>5.8</v>
      </c>
      <c r="B16" s="8">
        <v>4</v>
      </c>
      <c r="C16" s="8">
        <v>1.2</v>
      </c>
      <c r="D16" s="7">
        <v>0.2</v>
      </c>
      <c r="E16" s="19" t="s">
        <v>5</v>
      </c>
      <c r="M16" s="12">
        <f t="shared" si="6"/>
        <v>-4.3333333333334778E-2</v>
      </c>
      <c r="N16" s="8">
        <f t="shared" si="7"/>
        <v>0.94266666666666588</v>
      </c>
      <c r="O16" s="8">
        <f>C16-J$3</f>
        <v>-2.5580000000000025</v>
      </c>
      <c r="P16" s="13">
        <f t="shared" si="9"/>
        <v>-0.99933333333333407</v>
      </c>
      <c r="Q16" s="5">
        <f t="shared" si="1"/>
        <v>-5.2330764258110368E-2</v>
      </c>
      <c r="R16" s="8">
        <f t="shared" si="2"/>
        <v>2.1627427934775967</v>
      </c>
      <c r="S16" s="8">
        <f t="shared" si="3"/>
        <v>-1.4490469382484388</v>
      </c>
      <c r="T16" s="13">
        <f t="shared" si="4"/>
        <v>-1.3110521482051325</v>
      </c>
    </row>
    <row r="17" spans="1:20" x14ac:dyDescent="0.25">
      <c r="A17" s="12">
        <v>5.7</v>
      </c>
      <c r="B17" s="8">
        <v>4.4000000000000004</v>
      </c>
      <c r="C17" s="8">
        <v>1.5</v>
      </c>
      <c r="D17" s="7">
        <v>0.4</v>
      </c>
      <c r="E17" s="19" t="s">
        <v>5</v>
      </c>
      <c r="M17" s="12">
        <f t="shared" si="6"/>
        <v>-0.14333333333333442</v>
      </c>
      <c r="N17" s="8">
        <f t="shared" si="7"/>
        <v>1.3426666666666662</v>
      </c>
      <c r="O17" s="8">
        <f t="shared" si="8"/>
        <v>-2.2580000000000027</v>
      </c>
      <c r="P17" s="13">
        <f t="shared" si="9"/>
        <v>-0.79933333333333401</v>
      </c>
      <c r="Q17" s="5">
        <f t="shared" si="1"/>
        <v>-0.17309406639220676</v>
      </c>
      <c r="R17" s="8">
        <f t="shared" si="2"/>
        <v>3.0804554356887426</v>
      </c>
      <c r="S17" s="8">
        <f t="shared" si="3"/>
        <v>-1.279103982238067</v>
      </c>
      <c r="T17" s="13">
        <f t="shared" si="4"/>
        <v>-1.0486667949952995</v>
      </c>
    </row>
    <row r="18" spans="1:20" x14ac:dyDescent="0.25">
      <c r="A18" s="12">
        <v>5.4</v>
      </c>
      <c r="B18" s="8">
        <v>3.9</v>
      </c>
      <c r="C18" s="8">
        <v>1.3</v>
      </c>
      <c r="D18" s="7">
        <v>0.4</v>
      </c>
      <c r="E18" s="19" t="s">
        <v>5</v>
      </c>
      <c r="M18" s="12">
        <f t="shared" si="6"/>
        <v>-0.44333333333333425</v>
      </c>
      <c r="N18" s="8">
        <f t="shared" si="7"/>
        <v>0.84266666666666579</v>
      </c>
      <c r="O18" s="8">
        <f t="shared" si="8"/>
        <v>-2.4580000000000028</v>
      </c>
      <c r="P18" s="13">
        <f t="shared" si="9"/>
        <v>-0.79933333333333401</v>
      </c>
      <c r="Q18" s="5">
        <f t="shared" si="1"/>
        <v>-0.53538397279449701</v>
      </c>
      <c r="R18" s="8">
        <f t="shared" si="2"/>
        <v>1.9333146329248103</v>
      </c>
      <c r="S18" s="8">
        <f t="shared" si="3"/>
        <v>-1.3923992862449817</v>
      </c>
      <c r="T18" s="13">
        <f t="shared" si="4"/>
        <v>-1.0486667949952995</v>
      </c>
    </row>
    <row r="19" spans="1:20" x14ac:dyDescent="0.25">
      <c r="A19" s="12">
        <v>5.0999999999999996</v>
      </c>
      <c r="B19" s="8">
        <v>3.5</v>
      </c>
      <c r="C19" s="8">
        <v>1.4</v>
      </c>
      <c r="D19" s="7">
        <v>0.3</v>
      </c>
      <c r="E19" s="19" t="s">
        <v>5</v>
      </c>
      <c r="M19" s="12">
        <f t="shared" si="6"/>
        <v>-0.74333333333333496</v>
      </c>
      <c r="N19" s="8">
        <f t="shared" si="7"/>
        <v>0.44266666666666588</v>
      </c>
      <c r="O19" s="8">
        <f t="shared" si="8"/>
        <v>-2.3580000000000028</v>
      </c>
      <c r="P19" s="13">
        <f t="shared" si="9"/>
        <v>-0.89933333333333398</v>
      </c>
      <c r="Q19" s="5">
        <f t="shared" si="1"/>
        <v>-0.89767387919678832</v>
      </c>
      <c r="R19" s="8">
        <f t="shared" si="2"/>
        <v>1.0156019907136655</v>
      </c>
      <c r="S19" s="8">
        <f t="shared" si="3"/>
        <v>-1.3357516342415243</v>
      </c>
      <c r="T19" s="13">
        <f t="shared" si="4"/>
        <v>-1.179859471600216</v>
      </c>
    </row>
    <row r="20" spans="1:20" x14ac:dyDescent="0.25">
      <c r="A20" s="12">
        <v>5.7</v>
      </c>
      <c r="B20" s="8">
        <v>3.8</v>
      </c>
      <c r="C20" s="8">
        <v>1.7</v>
      </c>
      <c r="D20" s="7">
        <v>0.3</v>
      </c>
      <c r="E20" s="19" t="s">
        <v>5</v>
      </c>
      <c r="M20" s="12">
        <f t="shared" si="6"/>
        <v>-0.14333333333333442</v>
      </c>
      <c r="N20" s="8">
        <f t="shared" si="7"/>
        <v>0.7426666666666657</v>
      </c>
      <c r="O20" s="8">
        <f t="shared" si="8"/>
        <v>-2.0580000000000025</v>
      </c>
      <c r="P20" s="13">
        <f t="shared" si="9"/>
        <v>-0.89933333333333398</v>
      </c>
      <c r="Q20" s="5">
        <f t="shared" si="1"/>
        <v>-0.17309406639220676</v>
      </c>
      <c r="R20" s="8">
        <f t="shared" si="2"/>
        <v>1.7038864723720237</v>
      </c>
      <c r="S20" s="8">
        <f t="shared" si="3"/>
        <v>-1.1658086782311523</v>
      </c>
      <c r="T20" s="13">
        <f t="shared" si="4"/>
        <v>-1.179859471600216</v>
      </c>
    </row>
    <row r="21" spans="1:20" x14ac:dyDescent="0.25">
      <c r="A21" s="12">
        <v>5.0999999999999996</v>
      </c>
      <c r="B21" s="8">
        <v>3.8</v>
      </c>
      <c r="C21" s="8">
        <v>1.5</v>
      </c>
      <c r="D21" s="7">
        <v>0.3</v>
      </c>
      <c r="E21" s="19" t="s">
        <v>5</v>
      </c>
      <c r="M21" s="12">
        <f t="shared" si="6"/>
        <v>-0.74333333333333496</v>
      </c>
      <c r="N21" s="8">
        <f t="shared" si="7"/>
        <v>0.7426666666666657</v>
      </c>
      <c r="O21" s="8">
        <f t="shared" si="8"/>
        <v>-2.2580000000000027</v>
      </c>
      <c r="P21" s="13">
        <f t="shared" si="9"/>
        <v>-0.89933333333333398</v>
      </c>
      <c r="Q21" s="5">
        <f t="shared" si="1"/>
        <v>-0.89767387919678832</v>
      </c>
      <c r="R21" s="8">
        <f t="shared" si="2"/>
        <v>1.7038864723720237</v>
      </c>
      <c r="S21" s="8">
        <f t="shared" si="3"/>
        <v>-1.279103982238067</v>
      </c>
      <c r="T21" s="13">
        <f t="shared" si="4"/>
        <v>-1.179859471600216</v>
      </c>
    </row>
    <row r="22" spans="1:20" x14ac:dyDescent="0.25">
      <c r="A22" s="12">
        <v>5.4</v>
      </c>
      <c r="B22" s="8">
        <v>3.4</v>
      </c>
      <c r="C22" s="8">
        <v>1.7</v>
      </c>
      <c r="D22" s="7">
        <v>0.2</v>
      </c>
      <c r="E22" s="19" t="s">
        <v>5</v>
      </c>
      <c r="M22" s="12">
        <f t="shared" si="6"/>
        <v>-0.44333333333333425</v>
      </c>
      <c r="N22" s="8">
        <f t="shared" si="7"/>
        <v>0.34266666666666579</v>
      </c>
      <c r="O22" s="8">
        <f t="shared" si="8"/>
        <v>-2.0580000000000025</v>
      </c>
      <c r="P22" s="13">
        <f t="shared" si="9"/>
        <v>-0.99933333333333407</v>
      </c>
      <c r="Q22" s="5">
        <f t="shared" si="1"/>
        <v>-0.53538397279449701</v>
      </c>
      <c r="R22" s="8">
        <f t="shared" si="2"/>
        <v>0.78617383016087894</v>
      </c>
      <c r="S22" s="8">
        <f t="shared" si="3"/>
        <v>-1.1658086782311523</v>
      </c>
      <c r="T22" s="13">
        <f t="shared" si="4"/>
        <v>-1.3110521482051325</v>
      </c>
    </row>
    <row r="23" spans="1:20" x14ac:dyDescent="0.25">
      <c r="A23" s="12">
        <v>5.0999999999999996</v>
      </c>
      <c r="B23" s="8">
        <v>3.7</v>
      </c>
      <c r="C23" s="8">
        <v>1.5</v>
      </c>
      <c r="D23" s="7">
        <v>0.4</v>
      </c>
      <c r="E23" s="19" t="s">
        <v>5</v>
      </c>
      <c r="M23" s="12">
        <f t="shared" si="6"/>
        <v>-0.74333333333333496</v>
      </c>
      <c r="N23" s="8">
        <f t="shared" si="7"/>
        <v>0.64266666666666605</v>
      </c>
      <c r="O23" s="8">
        <f t="shared" si="8"/>
        <v>-2.2580000000000027</v>
      </c>
      <c r="P23" s="13">
        <f t="shared" si="9"/>
        <v>-0.79933333333333401</v>
      </c>
      <c r="Q23" s="5">
        <f t="shared" si="1"/>
        <v>-0.89767387919678832</v>
      </c>
      <c r="R23" s="8">
        <f t="shared" si="2"/>
        <v>1.4744583118192385</v>
      </c>
      <c r="S23" s="8">
        <f t="shared" si="3"/>
        <v>-1.279103982238067</v>
      </c>
      <c r="T23" s="13">
        <f t="shared" si="4"/>
        <v>-1.0486667949952995</v>
      </c>
    </row>
    <row r="24" spans="1:20" x14ac:dyDescent="0.25">
      <c r="A24" s="12">
        <v>4.5999999999999996</v>
      </c>
      <c r="B24" s="8">
        <v>3.6</v>
      </c>
      <c r="C24" s="8">
        <v>1</v>
      </c>
      <c r="D24" s="7">
        <v>0.2</v>
      </c>
      <c r="E24" s="19" t="s">
        <v>5</v>
      </c>
      <c r="M24" s="12">
        <f t="shared" si="6"/>
        <v>-1.243333333333335</v>
      </c>
      <c r="N24" s="8">
        <f t="shared" si="7"/>
        <v>0.54266666666666596</v>
      </c>
      <c r="O24" s="8">
        <f t="shared" si="8"/>
        <v>-2.7580000000000027</v>
      </c>
      <c r="P24" s="13">
        <f t="shared" si="9"/>
        <v>-0.99933333333333407</v>
      </c>
      <c r="Q24" s="5">
        <f t="shared" si="1"/>
        <v>-1.5014903898672725</v>
      </c>
      <c r="R24" s="8">
        <f t="shared" si="2"/>
        <v>1.2450301512664519</v>
      </c>
      <c r="S24" s="8">
        <f t="shared" si="3"/>
        <v>-1.5623422422553535</v>
      </c>
      <c r="T24" s="13">
        <f t="shared" si="4"/>
        <v>-1.3110521482051325</v>
      </c>
    </row>
    <row r="25" spans="1:20" x14ac:dyDescent="0.25">
      <c r="A25" s="12">
        <v>5.0999999999999996</v>
      </c>
      <c r="B25" s="8">
        <v>3.3</v>
      </c>
      <c r="C25" s="8">
        <v>1.7</v>
      </c>
      <c r="D25" s="7">
        <v>0.5</v>
      </c>
      <c r="E25" s="19" t="s">
        <v>5</v>
      </c>
      <c r="M25" s="12">
        <f t="shared" si="6"/>
        <v>-0.74333333333333496</v>
      </c>
      <c r="N25" s="8">
        <f t="shared" si="7"/>
        <v>0.2426666666666657</v>
      </c>
      <c r="O25" s="8">
        <f t="shared" si="8"/>
        <v>-2.0580000000000025</v>
      </c>
      <c r="P25" s="13">
        <f t="shared" si="9"/>
        <v>-0.69933333333333403</v>
      </c>
      <c r="Q25" s="5">
        <f t="shared" si="1"/>
        <v>-0.89767387919678832</v>
      </c>
      <c r="R25" s="8">
        <f t="shared" si="2"/>
        <v>0.55674566960809246</v>
      </c>
      <c r="S25" s="8">
        <f t="shared" si="3"/>
        <v>-1.1658086782311523</v>
      </c>
      <c r="T25" s="13">
        <f t="shared" si="4"/>
        <v>-0.91747411839038318</v>
      </c>
    </row>
    <row r="26" spans="1:20" x14ac:dyDescent="0.25">
      <c r="A26" s="12">
        <v>4.8</v>
      </c>
      <c r="B26" s="8">
        <v>3.4</v>
      </c>
      <c r="C26" s="8">
        <v>1.9</v>
      </c>
      <c r="D26" s="7">
        <v>0.2</v>
      </c>
      <c r="E26" s="19" t="s">
        <v>5</v>
      </c>
      <c r="J26" s="1" t="s">
        <v>26</v>
      </c>
      <c r="M26" s="12">
        <f t="shared" si="6"/>
        <v>-1.0433333333333348</v>
      </c>
      <c r="N26" s="8">
        <f t="shared" si="7"/>
        <v>0.34266666666666579</v>
      </c>
      <c r="O26" s="8">
        <f t="shared" si="8"/>
        <v>-1.8580000000000028</v>
      </c>
      <c r="P26" s="13">
        <f t="shared" si="9"/>
        <v>-0.99933333333333407</v>
      </c>
      <c r="Q26" s="5">
        <f t="shared" si="1"/>
        <v>-1.2599637855990786</v>
      </c>
      <c r="R26" s="8">
        <f t="shared" si="2"/>
        <v>0.78617383016087894</v>
      </c>
      <c r="S26" s="8">
        <f t="shared" si="3"/>
        <v>-1.0525133742242381</v>
      </c>
      <c r="T26" s="13">
        <f t="shared" si="4"/>
        <v>-1.3110521482051325</v>
      </c>
    </row>
    <row r="27" spans="1:20" x14ac:dyDescent="0.25">
      <c r="A27" s="12">
        <v>5</v>
      </c>
      <c r="B27" s="8">
        <v>3</v>
      </c>
      <c r="C27" s="8">
        <v>1.6</v>
      </c>
      <c r="D27" s="7">
        <v>0.2</v>
      </c>
      <c r="E27" s="19" t="s">
        <v>5</v>
      </c>
      <c r="M27" s="12">
        <f t="shared" si="6"/>
        <v>-0.8433333333333346</v>
      </c>
      <c r="N27" s="8">
        <f t="shared" si="7"/>
        <v>-5.7333333333334124E-2</v>
      </c>
      <c r="O27" s="8">
        <f t="shared" si="8"/>
        <v>-2.1580000000000026</v>
      </c>
      <c r="P27" s="13">
        <f t="shared" si="9"/>
        <v>-0.99933333333333407</v>
      </c>
      <c r="Q27" s="5">
        <f t="shared" si="1"/>
        <v>-1.0184371813308848</v>
      </c>
      <c r="R27" s="8">
        <f t="shared" si="2"/>
        <v>-0.13153881205026594</v>
      </c>
      <c r="S27" s="8">
        <f t="shared" si="3"/>
        <v>-1.2224563302346096</v>
      </c>
      <c r="T27" s="13">
        <f t="shared" si="4"/>
        <v>-1.3110521482051325</v>
      </c>
    </row>
    <row r="28" spans="1:20" x14ac:dyDescent="0.25">
      <c r="A28" s="12">
        <v>5</v>
      </c>
      <c r="B28" s="8">
        <v>3.4</v>
      </c>
      <c r="C28" s="8">
        <v>1.6</v>
      </c>
      <c r="D28" s="7">
        <v>0.4</v>
      </c>
      <c r="E28" s="19" t="s">
        <v>5</v>
      </c>
      <c r="M28" s="12">
        <f t="shared" si="6"/>
        <v>-0.8433333333333346</v>
      </c>
      <c r="N28" s="8">
        <f t="shared" si="7"/>
        <v>0.34266666666666579</v>
      </c>
      <c r="O28" s="8">
        <f t="shared" si="8"/>
        <v>-2.1580000000000026</v>
      </c>
      <c r="P28" s="13">
        <f t="shared" si="9"/>
        <v>-0.79933333333333401</v>
      </c>
      <c r="Q28" s="5">
        <f t="shared" si="1"/>
        <v>-1.0184371813308848</v>
      </c>
      <c r="R28" s="8">
        <f t="shared" si="2"/>
        <v>0.78617383016087894</v>
      </c>
      <c r="S28" s="8">
        <f t="shared" si="3"/>
        <v>-1.2224563302346096</v>
      </c>
      <c r="T28" s="13">
        <f t="shared" si="4"/>
        <v>-1.0486667949952995</v>
      </c>
    </row>
    <row r="29" spans="1:20" x14ac:dyDescent="0.25">
      <c r="A29" s="12">
        <v>5.2</v>
      </c>
      <c r="B29" s="8">
        <v>3.5</v>
      </c>
      <c r="C29" s="8">
        <v>1.5</v>
      </c>
      <c r="D29" s="7">
        <v>0.2</v>
      </c>
      <c r="E29" s="19" t="s">
        <v>5</v>
      </c>
      <c r="M29" s="12">
        <f t="shared" si="6"/>
        <v>-0.64333333333333442</v>
      </c>
      <c r="N29" s="8">
        <f t="shared" si="7"/>
        <v>0.44266666666666588</v>
      </c>
      <c r="O29" s="8">
        <f t="shared" si="8"/>
        <v>-2.2580000000000027</v>
      </c>
      <c r="P29" s="13">
        <f t="shared" si="9"/>
        <v>-0.99933333333333407</v>
      </c>
      <c r="Q29" s="5">
        <f t="shared" si="1"/>
        <v>-0.77691057706269084</v>
      </c>
      <c r="R29" s="8">
        <f t="shared" si="2"/>
        <v>1.0156019907136655</v>
      </c>
      <c r="S29" s="8">
        <f t="shared" si="3"/>
        <v>-1.279103982238067</v>
      </c>
      <c r="T29" s="13">
        <f t="shared" si="4"/>
        <v>-1.3110521482051325</v>
      </c>
    </row>
    <row r="30" spans="1:20" x14ac:dyDescent="0.25">
      <c r="A30" s="12">
        <v>5.2</v>
      </c>
      <c r="B30" s="8">
        <v>3.4</v>
      </c>
      <c r="C30" s="8">
        <v>1.4</v>
      </c>
      <c r="D30" s="7">
        <v>0.2</v>
      </c>
      <c r="E30" s="19" t="s">
        <v>5</v>
      </c>
      <c r="M30" s="12">
        <f t="shared" si="6"/>
        <v>-0.64333333333333442</v>
      </c>
      <c r="N30" s="8">
        <f t="shared" si="7"/>
        <v>0.34266666666666579</v>
      </c>
      <c r="O30" s="8">
        <f t="shared" si="8"/>
        <v>-2.3580000000000028</v>
      </c>
      <c r="P30" s="13">
        <f t="shared" si="9"/>
        <v>-0.99933333333333407</v>
      </c>
      <c r="Q30" s="5">
        <f t="shared" si="1"/>
        <v>-0.77691057706269084</v>
      </c>
      <c r="R30" s="8">
        <f t="shared" si="2"/>
        <v>0.78617383016087894</v>
      </c>
      <c r="S30" s="8">
        <f t="shared" si="3"/>
        <v>-1.3357516342415243</v>
      </c>
      <c r="T30" s="13">
        <f t="shared" si="4"/>
        <v>-1.3110521482051325</v>
      </c>
    </row>
    <row r="31" spans="1:20" x14ac:dyDescent="0.25">
      <c r="A31" s="12">
        <v>4.7</v>
      </c>
      <c r="B31" s="8">
        <v>3.2</v>
      </c>
      <c r="C31" s="8">
        <v>1.6</v>
      </c>
      <c r="D31" s="7">
        <v>0.2</v>
      </c>
      <c r="E31" s="19" t="s">
        <v>5</v>
      </c>
      <c r="M31" s="12">
        <f t="shared" si="6"/>
        <v>-1.1433333333333344</v>
      </c>
      <c r="N31" s="8">
        <f t="shared" si="7"/>
        <v>0.14266666666666605</v>
      </c>
      <c r="O31" s="8">
        <f t="shared" si="8"/>
        <v>-2.1580000000000026</v>
      </c>
      <c r="P31" s="13">
        <f t="shared" si="9"/>
        <v>-0.99933333333333407</v>
      </c>
      <c r="Q31" s="5">
        <f t="shared" si="1"/>
        <v>-1.380727087733175</v>
      </c>
      <c r="R31" s="8">
        <f t="shared" si="2"/>
        <v>0.32731750905530699</v>
      </c>
      <c r="S31" s="8">
        <f t="shared" si="3"/>
        <v>-1.2224563302346096</v>
      </c>
      <c r="T31" s="13">
        <f t="shared" si="4"/>
        <v>-1.3110521482051325</v>
      </c>
    </row>
    <row r="32" spans="1:20" x14ac:dyDescent="0.25">
      <c r="A32" s="12">
        <v>4.8</v>
      </c>
      <c r="B32" s="8">
        <v>3.1</v>
      </c>
      <c r="C32" s="8">
        <v>1.6</v>
      </c>
      <c r="D32" s="7">
        <v>0.2</v>
      </c>
      <c r="E32" s="19" t="s">
        <v>5</v>
      </c>
      <c r="M32" s="12">
        <f t="shared" si="6"/>
        <v>-1.0433333333333348</v>
      </c>
      <c r="N32" s="8">
        <f t="shared" si="7"/>
        <v>4.2666666666665964E-2</v>
      </c>
      <c r="O32" s="8">
        <f t="shared" si="8"/>
        <v>-2.1580000000000026</v>
      </c>
      <c r="P32" s="13">
        <f t="shared" si="9"/>
        <v>-0.99933333333333407</v>
      </c>
      <c r="Q32" s="5">
        <f t="shared" si="1"/>
        <v>-1.2599637855990786</v>
      </c>
      <c r="R32" s="8">
        <f t="shared" si="2"/>
        <v>9.7889348502520526E-2</v>
      </c>
      <c r="S32" s="8">
        <f t="shared" si="3"/>
        <v>-1.2224563302346096</v>
      </c>
      <c r="T32" s="13">
        <f t="shared" si="4"/>
        <v>-1.3110521482051325</v>
      </c>
    </row>
    <row r="33" spans="1:20" x14ac:dyDescent="0.25">
      <c r="A33" s="12">
        <v>5.4</v>
      </c>
      <c r="B33" s="8">
        <v>3.4</v>
      </c>
      <c r="C33" s="8">
        <v>1.5</v>
      </c>
      <c r="D33" s="7">
        <v>0.4</v>
      </c>
      <c r="E33" s="19" t="s">
        <v>5</v>
      </c>
      <c r="M33" s="12">
        <f t="shared" si="6"/>
        <v>-0.44333333333333425</v>
      </c>
      <c r="N33" s="8">
        <f t="shared" si="7"/>
        <v>0.34266666666666579</v>
      </c>
      <c r="O33" s="8">
        <f t="shared" si="8"/>
        <v>-2.2580000000000027</v>
      </c>
      <c r="P33" s="13">
        <f t="shared" si="9"/>
        <v>-0.79933333333333401</v>
      </c>
      <c r="Q33" s="5">
        <f t="shared" si="1"/>
        <v>-0.53538397279449701</v>
      </c>
      <c r="R33" s="8">
        <f t="shared" si="2"/>
        <v>0.78617383016087894</v>
      </c>
      <c r="S33" s="8">
        <f t="shared" si="3"/>
        <v>-1.279103982238067</v>
      </c>
      <c r="T33" s="13">
        <f t="shared" si="4"/>
        <v>-1.0486667949952995</v>
      </c>
    </row>
    <row r="34" spans="1:20" x14ac:dyDescent="0.25">
      <c r="A34" s="12">
        <v>5.2</v>
      </c>
      <c r="B34" s="8">
        <v>4.0999999999999996</v>
      </c>
      <c r="C34" s="8">
        <v>1.5</v>
      </c>
      <c r="D34" s="7">
        <v>0.1</v>
      </c>
      <c r="E34" s="19" t="s">
        <v>5</v>
      </c>
      <c r="M34" s="12">
        <f t="shared" si="6"/>
        <v>-0.64333333333333442</v>
      </c>
      <c r="N34" s="8">
        <f t="shared" si="7"/>
        <v>1.0426666666666655</v>
      </c>
      <c r="O34" s="8">
        <f t="shared" si="8"/>
        <v>-2.2580000000000027</v>
      </c>
      <c r="P34" s="13">
        <f t="shared" si="9"/>
        <v>-1.0993333333333339</v>
      </c>
      <c r="Q34" s="5">
        <f t="shared" ref="Q34:Q65" si="12">(A34-H$3)/H$4</f>
        <v>-0.77691057706269084</v>
      </c>
      <c r="R34" s="8">
        <f t="shared" ref="R34:R65" si="13">(B34-I$3)/I$4</f>
        <v>2.3921709540303824</v>
      </c>
      <c r="S34" s="8">
        <f t="shared" ref="S34:S65" si="14">(C34-J$3)/J$4</f>
        <v>-1.279103982238067</v>
      </c>
      <c r="T34" s="13">
        <f t="shared" ref="T34:T65" si="15">(D34-K$3)/K$4</f>
        <v>-1.4422448248100488</v>
      </c>
    </row>
    <row r="35" spans="1:20" x14ac:dyDescent="0.25">
      <c r="A35" s="12">
        <v>5.5</v>
      </c>
      <c r="B35" s="8">
        <v>4.2</v>
      </c>
      <c r="C35" s="8">
        <v>1.4</v>
      </c>
      <c r="D35" s="7">
        <v>0.2</v>
      </c>
      <c r="E35" s="19" t="s">
        <v>5</v>
      </c>
      <c r="M35" s="12">
        <f t="shared" si="6"/>
        <v>-0.3433333333333346</v>
      </c>
      <c r="N35" s="8">
        <f t="shared" si="7"/>
        <v>1.1426666666666661</v>
      </c>
      <c r="O35" s="8">
        <f t="shared" si="8"/>
        <v>-2.3580000000000028</v>
      </c>
      <c r="P35" s="13">
        <f t="shared" si="9"/>
        <v>-0.99933333333333407</v>
      </c>
      <c r="Q35" s="5">
        <f t="shared" si="12"/>
        <v>-0.41462067066040059</v>
      </c>
      <c r="R35" s="8">
        <f t="shared" si="13"/>
        <v>2.6215991145831699</v>
      </c>
      <c r="S35" s="8">
        <f t="shared" si="14"/>
        <v>-1.3357516342415243</v>
      </c>
      <c r="T35" s="13">
        <f t="shared" si="15"/>
        <v>-1.3110521482051325</v>
      </c>
    </row>
    <row r="36" spans="1:20" x14ac:dyDescent="0.25">
      <c r="A36" s="12">
        <v>4.9000000000000004</v>
      </c>
      <c r="B36" s="8">
        <v>3.1</v>
      </c>
      <c r="C36" s="8">
        <v>1.5</v>
      </c>
      <c r="D36" s="7">
        <v>0.2</v>
      </c>
      <c r="E36" s="19" t="s">
        <v>5</v>
      </c>
      <c r="M36" s="12">
        <f t="shared" si="6"/>
        <v>-0.94333333333333425</v>
      </c>
      <c r="N36" s="8">
        <f t="shared" si="7"/>
        <v>4.2666666666665964E-2</v>
      </c>
      <c r="O36" s="8">
        <f t="shared" si="8"/>
        <v>-2.2580000000000027</v>
      </c>
      <c r="P36" s="13">
        <f t="shared" si="9"/>
        <v>-0.99933333333333407</v>
      </c>
      <c r="Q36" s="5">
        <f t="shared" si="12"/>
        <v>-1.1392004834649812</v>
      </c>
      <c r="R36" s="8">
        <f t="shared" si="13"/>
        <v>9.7889348502520526E-2</v>
      </c>
      <c r="S36" s="8">
        <f t="shared" si="14"/>
        <v>-1.279103982238067</v>
      </c>
      <c r="T36" s="13">
        <f t="shared" si="15"/>
        <v>-1.3110521482051325</v>
      </c>
    </row>
    <row r="37" spans="1:20" x14ac:dyDescent="0.25">
      <c r="A37" s="12">
        <v>5</v>
      </c>
      <c r="B37" s="8">
        <v>3.2</v>
      </c>
      <c r="C37" s="8">
        <v>1.2</v>
      </c>
      <c r="D37" s="7">
        <v>0.2</v>
      </c>
      <c r="E37" s="19" t="s">
        <v>5</v>
      </c>
      <c r="M37" s="12">
        <f t="shared" si="6"/>
        <v>-0.8433333333333346</v>
      </c>
      <c r="N37" s="8">
        <f t="shared" si="7"/>
        <v>0.14266666666666605</v>
      </c>
      <c r="O37" s="8">
        <f t="shared" si="8"/>
        <v>-2.5580000000000025</v>
      </c>
      <c r="P37" s="13">
        <f t="shared" si="9"/>
        <v>-0.99933333333333407</v>
      </c>
      <c r="Q37" s="5">
        <f t="shared" si="12"/>
        <v>-1.0184371813308848</v>
      </c>
      <c r="R37" s="8">
        <f t="shared" si="13"/>
        <v>0.32731750905530699</v>
      </c>
      <c r="S37" s="8">
        <f t="shared" si="14"/>
        <v>-1.4490469382484388</v>
      </c>
      <c r="T37" s="13">
        <f t="shared" si="15"/>
        <v>-1.3110521482051325</v>
      </c>
    </row>
    <row r="38" spans="1:20" x14ac:dyDescent="0.25">
      <c r="A38" s="12">
        <v>5.5</v>
      </c>
      <c r="B38" s="8">
        <v>3.5</v>
      </c>
      <c r="C38" s="8">
        <v>1.3</v>
      </c>
      <c r="D38" s="7">
        <v>0.2</v>
      </c>
      <c r="E38" s="19" t="s">
        <v>5</v>
      </c>
      <c r="M38" s="12">
        <f t="shared" si="6"/>
        <v>-0.3433333333333346</v>
      </c>
      <c r="N38" s="8">
        <f t="shared" si="7"/>
        <v>0.44266666666666588</v>
      </c>
      <c r="O38" s="8">
        <f t="shared" si="8"/>
        <v>-2.4580000000000028</v>
      </c>
      <c r="P38" s="13">
        <f t="shared" si="9"/>
        <v>-0.99933333333333407</v>
      </c>
      <c r="Q38" s="5">
        <f t="shared" si="12"/>
        <v>-0.41462067066040059</v>
      </c>
      <c r="R38" s="8">
        <f t="shared" si="13"/>
        <v>1.0156019907136655</v>
      </c>
      <c r="S38" s="8">
        <f t="shared" si="14"/>
        <v>-1.3923992862449817</v>
      </c>
      <c r="T38" s="13">
        <f t="shared" si="15"/>
        <v>-1.3110521482051325</v>
      </c>
    </row>
    <row r="39" spans="1:20" x14ac:dyDescent="0.25">
      <c r="A39" s="12">
        <v>4.9000000000000004</v>
      </c>
      <c r="B39" s="8">
        <v>3.6</v>
      </c>
      <c r="C39" s="8">
        <v>1.4</v>
      </c>
      <c r="D39" s="7">
        <v>0.1</v>
      </c>
      <c r="E39" s="19" t="s">
        <v>5</v>
      </c>
      <c r="M39" s="12">
        <f t="shared" si="6"/>
        <v>-0.94333333333333425</v>
      </c>
      <c r="N39" s="8">
        <f t="shared" si="7"/>
        <v>0.54266666666666596</v>
      </c>
      <c r="O39" s="8">
        <f t="shared" si="8"/>
        <v>-2.3580000000000028</v>
      </c>
      <c r="P39" s="13">
        <f t="shared" si="9"/>
        <v>-1.0993333333333339</v>
      </c>
      <c r="Q39" s="5">
        <f t="shared" si="12"/>
        <v>-1.1392004834649812</v>
      </c>
      <c r="R39" s="8">
        <f t="shared" si="13"/>
        <v>1.2450301512664519</v>
      </c>
      <c r="S39" s="8">
        <f t="shared" si="14"/>
        <v>-1.3357516342415243</v>
      </c>
      <c r="T39" s="13">
        <f t="shared" si="15"/>
        <v>-1.4422448248100488</v>
      </c>
    </row>
    <row r="40" spans="1:20" x14ac:dyDescent="0.25">
      <c r="A40" s="12">
        <v>4.4000000000000004</v>
      </c>
      <c r="B40" s="8">
        <v>3</v>
      </c>
      <c r="C40" s="8">
        <v>1.3</v>
      </c>
      <c r="D40" s="7">
        <v>0.2</v>
      </c>
      <c r="E40" s="19" t="s">
        <v>5</v>
      </c>
      <c r="M40" s="12">
        <f t="shared" si="6"/>
        <v>-1.4433333333333342</v>
      </c>
      <c r="N40" s="8">
        <f t="shared" si="7"/>
        <v>-5.7333333333334124E-2</v>
      </c>
      <c r="O40" s="8">
        <f t="shared" si="8"/>
        <v>-2.4580000000000028</v>
      </c>
      <c r="P40" s="13">
        <f t="shared" si="9"/>
        <v>-0.99933333333333407</v>
      </c>
      <c r="Q40" s="5">
        <f t="shared" si="12"/>
        <v>-1.7430169941354652</v>
      </c>
      <c r="R40" s="8">
        <f t="shared" si="13"/>
        <v>-0.13153881205026594</v>
      </c>
      <c r="S40" s="8">
        <f t="shared" si="14"/>
        <v>-1.3923992862449817</v>
      </c>
      <c r="T40" s="13">
        <f t="shared" si="15"/>
        <v>-1.3110521482051325</v>
      </c>
    </row>
    <row r="41" spans="1:20" x14ac:dyDescent="0.25">
      <c r="A41" s="12">
        <v>5.0999999999999996</v>
      </c>
      <c r="B41" s="8">
        <v>3.4</v>
      </c>
      <c r="C41" s="8">
        <v>1.5</v>
      </c>
      <c r="D41" s="7">
        <v>0.2</v>
      </c>
      <c r="E41" s="19" t="s">
        <v>5</v>
      </c>
      <c r="M41" s="12">
        <f t="shared" si="6"/>
        <v>-0.74333333333333496</v>
      </c>
      <c r="N41" s="8">
        <f t="shared" si="7"/>
        <v>0.34266666666666579</v>
      </c>
      <c r="O41" s="8">
        <f t="shared" si="8"/>
        <v>-2.2580000000000027</v>
      </c>
      <c r="P41" s="13">
        <f t="shared" si="9"/>
        <v>-0.99933333333333407</v>
      </c>
      <c r="Q41" s="5">
        <f t="shared" si="12"/>
        <v>-0.89767387919678832</v>
      </c>
      <c r="R41" s="8">
        <f t="shared" si="13"/>
        <v>0.78617383016087894</v>
      </c>
      <c r="S41" s="8">
        <f t="shared" si="14"/>
        <v>-1.279103982238067</v>
      </c>
      <c r="T41" s="13">
        <f t="shared" si="15"/>
        <v>-1.3110521482051325</v>
      </c>
    </row>
    <row r="42" spans="1:20" x14ac:dyDescent="0.25">
      <c r="A42" s="12">
        <v>5</v>
      </c>
      <c r="B42" s="8">
        <v>3.5</v>
      </c>
      <c r="C42" s="8">
        <v>1.3</v>
      </c>
      <c r="D42" s="7">
        <v>0.3</v>
      </c>
      <c r="E42" s="19" t="s">
        <v>5</v>
      </c>
      <c r="M42" s="12">
        <f t="shared" si="6"/>
        <v>-0.8433333333333346</v>
      </c>
      <c r="N42" s="8">
        <f t="shared" si="7"/>
        <v>0.44266666666666588</v>
      </c>
      <c r="O42" s="8">
        <f t="shared" si="8"/>
        <v>-2.4580000000000028</v>
      </c>
      <c r="P42" s="13">
        <f t="shared" si="9"/>
        <v>-0.89933333333333398</v>
      </c>
      <c r="Q42" s="5">
        <f t="shared" si="12"/>
        <v>-1.0184371813308848</v>
      </c>
      <c r="R42" s="8">
        <f t="shared" si="13"/>
        <v>1.0156019907136655</v>
      </c>
      <c r="S42" s="8">
        <f t="shared" si="14"/>
        <v>-1.3923992862449817</v>
      </c>
      <c r="T42" s="13">
        <f t="shared" si="15"/>
        <v>-1.179859471600216</v>
      </c>
    </row>
    <row r="43" spans="1:20" x14ac:dyDescent="0.25">
      <c r="A43" s="12">
        <v>4.5</v>
      </c>
      <c r="B43" s="8">
        <v>2.2999999999999998</v>
      </c>
      <c r="C43" s="8">
        <v>1.3</v>
      </c>
      <c r="D43" s="7">
        <v>0.3</v>
      </c>
      <c r="E43" s="19" t="s">
        <v>5</v>
      </c>
      <c r="M43" s="12">
        <f t="shared" si="6"/>
        <v>-1.3433333333333346</v>
      </c>
      <c r="N43" s="8">
        <f t="shared" si="7"/>
        <v>-0.7573333333333343</v>
      </c>
      <c r="O43" s="8">
        <f t="shared" si="8"/>
        <v>-2.4580000000000028</v>
      </c>
      <c r="P43" s="13">
        <f t="shared" si="9"/>
        <v>-0.89933333333333398</v>
      </c>
      <c r="Q43" s="5">
        <f t="shared" si="12"/>
        <v>-1.6222536920013688</v>
      </c>
      <c r="R43" s="8">
        <f t="shared" si="13"/>
        <v>-1.7375359359197702</v>
      </c>
      <c r="S43" s="8">
        <f t="shared" si="14"/>
        <v>-1.3923992862449817</v>
      </c>
      <c r="T43" s="13">
        <f t="shared" si="15"/>
        <v>-1.179859471600216</v>
      </c>
    </row>
    <row r="44" spans="1:20" x14ac:dyDescent="0.25">
      <c r="A44" s="12">
        <v>4.4000000000000004</v>
      </c>
      <c r="B44" s="8">
        <v>3.2</v>
      </c>
      <c r="C44" s="8">
        <v>1.3</v>
      </c>
      <c r="D44" s="7">
        <v>0.2</v>
      </c>
      <c r="E44" s="19" t="s">
        <v>5</v>
      </c>
      <c r="M44" s="12">
        <f t="shared" si="6"/>
        <v>-1.4433333333333342</v>
      </c>
      <c r="N44" s="8">
        <f t="shared" si="7"/>
        <v>0.14266666666666605</v>
      </c>
      <c r="O44" s="8">
        <f t="shared" si="8"/>
        <v>-2.4580000000000028</v>
      </c>
      <c r="P44" s="13">
        <f t="shared" si="9"/>
        <v>-0.99933333333333407</v>
      </c>
      <c r="Q44" s="5">
        <f t="shared" si="12"/>
        <v>-1.7430169941354652</v>
      </c>
      <c r="R44" s="8">
        <f t="shared" si="13"/>
        <v>0.32731750905530699</v>
      </c>
      <c r="S44" s="8">
        <f t="shared" si="14"/>
        <v>-1.3923992862449817</v>
      </c>
      <c r="T44" s="13">
        <f t="shared" si="15"/>
        <v>-1.3110521482051325</v>
      </c>
    </row>
    <row r="45" spans="1:20" x14ac:dyDescent="0.25">
      <c r="A45" s="12">
        <v>5</v>
      </c>
      <c r="B45" s="8">
        <v>3.5</v>
      </c>
      <c r="C45" s="8">
        <v>1.6</v>
      </c>
      <c r="D45" s="7">
        <v>0.6</v>
      </c>
      <c r="E45" s="19" t="s">
        <v>5</v>
      </c>
      <c r="M45" s="12">
        <f t="shared" si="6"/>
        <v>-0.8433333333333346</v>
      </c>
      <c r="N45" s="8">
        <f t="shared" si="7"/>
        <v>0.44266666666666588</v>
      </c>
      <c r="O45" s="8">
        <f t="shared" si="8"/>
        <v>-2.1580000000000026</v>
      </c>
      <c r="P45" s="13">
        <f t="shared" si="9"/>
        <v>-0.59933333333333405</v>
      </c>
      <c r="Q45" s="5">
        <f t="shared" si="12"/>
        <v>-1.0184371813308848</v>
      </c>
      <c r="R45" s="8">
        <f t="shared" si="13"/>
        <v>1.0156019907136655</v>
      </c>
      <c r="S45" s="8">
        <f t="shared" si="14"/>
        <v>-1.2224563302346096</v>
      </c>
      <c r="T45" s="13">
        <f t="shared" si="15"/>
        <v>-0.78628144178546677</v>
      </c>
    </row>
    <row r="46" spans="1:20" x14ac:dyDescent="0.25">
      <c r="A46" s="12">
        <v>5.0999999999999996</v>
      </c>
      <c r="B46" s="8">
        <v>3.8</v>
      </c>
      <c r="C46" s="8">
        <v>1.9</v>
      </c>
      <c r="D46" s="7">
        <v>0.4</v>
      </c>
      <c r="E46" s="19" t="s">
        <v>5</v>
      </c>
      <c r="M46" s="12">
        <f t="shared" si="6"/>
        <v>-0.74333333333333496</v>
      </c>
      <c r="N46" s="8">
        <f t="shared" si="7"/>
        <v>0.7426666666666657</v>
      </c>
      <c r="O46" s="8">
        <f t="shared" si="8"/>
        <v>-1.8580000000000028</v>
      </c>
      <c r="P46" s="13">
        <f t="shared" si="9"/>
        <v>-0.79933333333333401</v>
      </c>
      <c r="Q46" s="5">
        <f t="shared" si="12"/>
        <v>-0.89767387919678832</v>
      </c>
      <c r="R46" s="8">
        <f t="shared" si="13"/>
        <v>1.7038864723720237</v>
      </c>
      <c r="S46" s="8">
        <f t="shared" si="14"/>
        <v>-1.0525133742242381</v>
      </c>
      <c r="T46" s="13">
        <f t="shared" si="15"/>
        <v>-1.0486667949952995</v>
      </c>
    </row>
    <row r="47" spans="1:20" x14ac:dyDescent="0.25">
      <c r="A47" s="12">
        <v>4.8</v>
      </c>
      <c r="B47" s="8">
        <v>3</v>
      </c>
      <c r="C47" s="8">
        <v>1.4</v>
      </c>
      <c r="D47" s="7">
        <v>0.3</v>
      </c>
      <c r="E47" s="19" t="s">
        <v>5</v>
      </c>
      <c r="M47" s="12">
        <f t="shared" si="6"/>
        <v>-1.0433333333333348</v>
      </c>
      <c r="N47" s="8">
        <f t="shared" si="7"/>
        <v>-5.7333333333334124E-2</v>
      </c>
      <c r="O47" s="8">
        <f t="shared" si="8"/>
        <v>-2.3580000000000028</v>
      </c>
      <c r="P47" s="13">
        <f t="shared" si="9"/>
        <v>-0.89933333333333398</v>
      </c>
      <c r="Q47" s="5">
        <f t="shared" si="12"/>
        <v>-1.2599637855990786</v>
      </c>
      <c r="R47" s="8">
        <f t="shared" si="13"/>
        <v>-0.13153881205026594</v>
      </c>
      <c r="S47" s="8">
        <f t="shared" si="14"/>
        <v>-1.3357516342415243</v>
      </c>
      <c r="T47" s="13">
        <f t="shared" si="15"/>
        <v>-1.179859471600216</v>
      </c>
    </row>
    <row r="48" spans="1:20" x14ac:dyDescent="0.25">
      <c r="A48" s="12">
        <v>5.0999999999999996</v>
      </c>
      <c r="B48" s="8">
        <v>3.8</v>
      </c>
      <c r="C48" s="8">
        <v>1.6</v>
      </c>
      <c r="D48" s="7">
        <v>0.2</v>
      </c>
      <c r="E48" s="19" t="s">
        <v>5</v>
      </c>
      <c r="M48" s="12">
        <f t="shared" si="6"/>
        <v>-0.74333333333333496</v>
      </c>
      <c r="N48" s="8">
        <f t="shared" si="7"/>
        <v>0.7426666666666657</v>
      </c>
      <c r="O48" s="8">
        <f t="shared" si="8"/>
        <v>-2.1580000000000026</v>
      </c>
      <c r="P48" s="13">
        <f t="shared" si="9"/>
        <v>-0.99933333333333407</v>
      </c>
      <c r="Q48" s="5">
        <f t="shared" si="12"/>
        <v>-0.89767387919678832</v>
      </c>
      <c r="R48" s="8">
        <f t="shared" si="13"/>
        <v>1.7038864723720237</v>
      </c>
      <c r="S48" s="8">
        <f t="shared" si="14"/>
        <v>-1.2224563302346096</v>
      </c>
      <c r="T48" s="13">
        <f t="shared" si="15"/>
        <v>-1.3110521482051325</v>
      </c>
    </row>
    <row r="49" spans="1:20" x14ac:dyDescent="0.25">
      <c r="A49" s="12">
        <v>4.5999999999999996</v>
      </c>
      <c r="B49" s="8">
        <v>3.2</v>
      </c>
      <c r="C49" s="8">
        <v>1.4</v>
      </c>
      <c r="D49" s="7">
        <v>0.2</v>
      </c>
      <c r="E49" s="19" t="s">
        <v>5</v>
      </c>
      <c r="M49" s="12">
        <f t="shared" si="6"/>
        <v>-1.243333333333335</v>
      </c>
      <c r="N49" s="8">
        <f t="shared" si="7"/>
        <v>0.14266666666666605</v>
      </c>
      <c r="O49" s="8">
        <f t="shared" si="8"/>
        <v>-2.3580000000000028</v>
      </c>
      <c r="P49" s="13">
        <f t="shared" si="9"/>
        <v>-0.99933333333333407</v>
      </c>
      <c r="Q49" s="5">
        <f t="shared" si="12"/>
        <v>-1.5014903898672725</v>
      </c>
      <c r="R49" s="8">
        <f t="shared" si="13"/>
        <v>0.32731750905530699</v>
      </c>
      <c r="S49" s="8">
        <f t="shared" si="14"/>
        <v>-1.3357516342415243</v>
      </c>
      <c r="T49" s="13">
        <f t="shared" si="15"/>
        <v>-1.3110521482051325</v>
      </c>
    </row>
    <row r="50" spans="1:20" x14ac:dyDescent="0.25">
      <c r="A50" s="12">
        <v>5.3</v>
      </c>
      <c r="B50" s="8">
        <v>3.7</v>
      </c>
      <c r="C50" s="8">
        <v>1.5</v>
      </c>
      <c r="D50" s="7">
        <v>0.2</v>
      </c>
      <c r="E50" s="19" t="s">
        <v>5</v>
      </c>
      <c r="M50" s="12">
        <f t="shared" si="6"/>
        <v>-0.54333333333333478</v>
      </c>
      <c r="N50" s="8">
        <f t="shared" si="7"/>
        <v>0.64266666666666605</v>
      </c>
      <c r="O50" s="8">
        <f t="shared" si="8"/>
        <v>-2.2580000000000027</v>
      </c>
      <c r="P50" s="13">
        <f t="shared" si="9"/>
        <v>-0.99933333333333407</v>
      </c>
      <c r="Q50" s="5">
        <f t="shared" si="12"/>
        <v>-0.65614727492859448</v>
      </c>
      <c r="R50" s="8">
        <f t="shared" si="13"/>
        <v>1.4744583118192385</v>
      </c>
      <c r="S50" s="8">
        <f t="shared" si="14"/>
        <v>-1.279103982238067</v>
      </c>
      <c r="T50" s="13">
        <f t="shared" si="15"/>
        <v>-1.3110521482051325</v>
      </c>
    </row>
    <row r="51" spans="1:20" x14ac:dyDescent="0.25">
      <c r="A51" s="12">
        <v>5</v>
      </c>
      <c r="B51" s="8">
        <v>3.3</v>
      </c>
      <c r="C51" s="8">
        <v>1.4</v>
      </c>
      <c r="D51" s="7">
        <v>0.2</v>
      </c>
      <c r="E51" s="19" t="s">
        <v>5</v>
      </c>
      <c r="M51" s="12">
        <f t="shared" si="6"/>
        <v>-0.8433333333333346</v>
      </c>
      <c r="N51" s="8">
        <f t="shared" si="7"/>
        <v>0.2426666666666657</v>
      </c>
      <c r="O51" s="8">
        <f t="shared" si="8"/>
        <v>-2.3580000000000028</v>
      </c>
      <c r="P51" s="13">
        <f t="shared" si="9"/>
        <v>-0.99933333333333407</v>
      </c>
      <c r="Q51" s="5">
        <f t="shared" si="12"/>
        <v>-1.0184371813308848</v>
      </c>
      <c r="R51" s="8">
        <f t="shared" si="13"/>
        <v>0.55674566960809246</v>
      </c>
      <c r="S51" s="8">
        <f t="shared" si="14"/>
        <v>-1.3357516342415243</v>
      </c>
      <c r="T51" s="13">
        <f t="shared" si="15"/>
        <v>-1.3110521482051325</v>
      </c>
    </row>
    <row r="52" spans="1:20" x14ac:dyDescent="0.25">
      <c r="A52" s="12">
        <v>7</v>
      </c>
      <c r="B52" s="8">
        <v>3.2</v>
      </c>
      <c r="C52" s="8">
        <v>4.7</v>
      </c>
      <c r="D52" s="7">
        <v>1.4</v>
      </c>
      <c r="E52" s="19" t="s">
        <v>6</v>
      </c>
      <c r="M52" s="12">
        <f t="shared" si="6"/>
        <v>1.1566666666666654</v>
      </c>
      <c r="N52" s="8">
        <f t="shared" si="7"/>
        <v>0.14266666666666605</v>
      </c>
      <c r="O52" s="8">
        <f t="shared" si="8"/>
        <v>0.94199999999999751</v>
      </c>
      <c r="P52" s="13">
        <f t="shared" si="9"/>
        <v>0.20066666666666588</v>
      </c>
      <c r="Q52" s="5">
        <f t="shared" si="12"/>
        <v>1.3968288613510518</v>
      </c>
      <c r="R52" s="8">
        <f t="shared" si="13"/>
        <v>0.32731750905530699</v>
      </c>
      <c r="S52" s="8">
        <f t="shared" si="14"/>
        <v>0.53362088187256629</v>
      </c>
      <c r="T52" s="13">
        <f t="shared" si="15"/>
        <v>0.26325997105386462</v>
      </c>
    </row>
    <row r="53" spans="1:20" x14ac:dyDescent="0.25">
      <c r="A53" s="12">
        <v>6.4</v>
      </c>
      <c r="B53" s="8">
        <v>3.2</v>
      </c>
      <c r="C53" s="8">
        <v>4.5</v>
      </c>
      <c r="D53" s="7">
        <v>1.5</v>
      </c>
      <c r="E53" s="19" t="s">
        <v>6</v>
      </c>
      <c r="M53" s="12">
        <f t="shared" si="6"/>
        <v>0.55666666666666575</v>
      </c>
      <c r="N53" s="8">
        <f t="shared" si="7"/>
        <v>0.14266666666666605</v>
      </c>
      <c r="O53" s="8">
        <f t="shared" si="8"/>
        <v>0.74199999999999733</v>
      </c>
      <c r="P53" s="13">
        <f t="shared" si="9"/>
        <v>0.30066666666666597</v>
      </c>
      <c r="Q53" s="5">
        <f t="shared" si="12"/>
        <v>0.67224904854647116</v>
      </c>
      <c r="R53" s="8">
        <f t="shared" si="13"/>
        <v>0.32731750905530699</v>
      </c>
      <c r="S53" s="8">
        <f t="shared" si="14"/>
        <v>0.42032557786565156</v>
      </c>
      <c r="T53" s="13">
        <f t="shared" si="15"/>
        <v>0.39445264765878119</v>
      </c>
    </row>
    <row r="54" spans="1:20" x14ac:dyDescent="0.25">
      <c r="A54" s="12">
        <v>6.9</v>
      </c>
      <c r="B54" s="8">
        <v>3.1</v>
      </c>
      <c r="C54" s="8">
        <v>4.9000000000000004</v>
      </c>
      <c r="D54" s="7">
        <v>1.5</v>
      </c>
      <c r="E54" s="19" t="s">
        <v>6</v>
      </c>
      <c r="M54" s="12">
        <f t="shared" si="6"/>
        <v>1.0566666666666658</v>
      </c>
      <c r="N54" s="8">
        <f t="shared" si="7"/>
        <v>4.2666666666665964E-2</v>
      </c>
      <c r="O54" s="8">
        <f t="shared" si="8"/>
        <v>1.1419999999999977</v>
      </c>
      <c r="P54" s="13">
        <f t="shared" si="9"/>
        <v>0.30066666666666597</v>
      </c>
      <c r="Q54" s="5">
        <f t="shared" si="12"/>
        <v>1.2760655592169552</v>
      </c>
      <c r="R54" s="8">
        <f t="shared" si="13"/>
        <v>9.7889348502520526E-2</v>
      </c>
      <c r="S54" s="8">
        <f t="shared" si="14"/>
        <v>0.64691618587948096</v>
      </c>
      <c r="T54" s="13">
        <f t="shared" si="15"/>
        <v>0.39445264765878119</v>
      </c>
    </row>
    <row r="55" spans="1:20" x14ac:dyDescent="0.25">
      <c r="A55" s="12">
        <v>5.5</v>
      </c>
      <c r="B55" s="8">
        <v>2.2999999999999998</v>
      </c>
      <c r="C55" s="8">
        <v>4</v>
      </c>
      <c r="D55" s="7">
        <v>1.3</v>
      </c>
      <c r="E55" s="19" t="s">
        <v>6</v>
      </c>
      <c r="M55" s="12">
        <f t="shared" si="6"/>
        <v>-0.3433333333333346</v>
      </c>
      <c r="N55" s="8">
        <f t="shared" si="7"/>
        <v>-0.7573333333333343</v>
      </c>
      <c r="O55" s="8">
        <f t="shared" si="8"/>
        <v>0.24199999999999733</v>
      </c>
      <c r="P55" s="13">
        <f t="shared" si="9"/>
        <v>0.10066666666666602</v>
      </c>
      <c r="Q55" s="5">
        <f t="shared" si="12"/>
        <v>-0.41462067066040059</v>
      </c>
      <c r="R55" s="8">
        <f t="shared" si="13"/>
        <v>-1.7375359359197702</v>
      </c>
      <c r="S55" s="8">
        <f t="shared" si="14"/>
        <v>0.13708731784836511</v>
      </c>
      <c r="T55" s="13">
        <f t="shared" si="15"/>
        <v>0.13206729444894835</v>
      </c>
    </row>
    <row r="56" spans="1:20" x14ac:dyDescent="0.25">
      <c r="A56" s="12">
        <v>6.5</v>
      </c>
      <c r="B56" s="8">
        <v>2.8</v>
      </c>
      <c r="C56" s="8">
        <v>4.5999999999999996</v>
      </c>
      <c r="D56" s="7">
        <v>1.5</v>
      </c>
      <c r="E56" s="19" t="s">
        <v>6</v>
      </c>
      <c r="M56" s="12">
        <f t="shared" si="6"/>
        <v>0.6566666666666654</v>
      </c>
      <c r="N56" s="8">
        <f t="shared" si="7"/>
        <v>-0.2573333333333343</v>
      </c>
      <c r="O56" s="8">
        <f t="shared" si="8"/>
        <v>0.84199999999999697</v>
      </c>
      <c r="P56" s="13">
        <f t="shared" si="9"/>
        <v>0.30066666666666597</v>
      </c>
      <c r="Q56" s="5">
        <f t="shared" si="12"/>
        <v>0.79301235068056763</v>
      </c>
      <c r="R56" s="8">
        <f t="shared" si="13"/>
        <v>-0.59039513315583891</v>
      </c>
      <c r="S56" s="8">
        <f t="shared" si="14"/>
        <v>0.47697322986910867</v>
      </c>
      <c r="T56" s="13">
        <f t="shared" si="15"/>
        <v>0.39445264765878119</v>
      </c>
    </row>
    <row r="57" spans="1:20" x14ac:dyDescent="0.25">
      <c r="A57" s="12">
        <v>5.7</v>
      </c>
      <c r="B57" s="8">
        <v>2.8</v>
      </c>
      <c r="C57" s="8">
        <v>4.5</v>
      </c>
      <c r="D57" s="7">
        <v>1.3</v>
      </c>
      <c r="E57" s="19" t="s">
        <v>6</v>
      </c>
      <c r="M57" s="12">
        <f t="shared" si="6"/>
        <v>-0.14333333333333442</v>
      </c>
      <c r="N57" s="8">
        <f t="shared" si="7"/>
        <v>-0.2573333333333343</v>
      </c>
      <c r="O57" s="8">
        <f t="shared" si="8"/>
        <v>0.74199999999999733</v>
      </c>
      <c r="P57" s="13">
        <f t="shared" si="9"/>
        <v>0.10066666666666602</v>
      </c>
      <c r="Q57" s="5">
        <f t="shared" si="12"/>
        <v>-0.17309406639220676</v>
      </c>
      <c r="R57" s="8">
        <f t="shared" si="13"/>
        <v>-0.59039513315583891</v>
      </c>
      <c r="S57" s="8">
        <f t="shared" si="14"/>
        <v>0.42032557786565156</v>
      </c>
      <c r="T57" s="13">
        <f t="shared" si="15"/>
        <v>0.13206729444894835</v>
      </c>
    </row>
    <row r="58" spans="1:20" x14ac:dyDescent="0.25">
      <c r="A58" s="12">
        <v>6.3</v>
      </c>
      <c r="B58" s="8">
        <v>3.3</v>
      </c>
      <c r="C58" s="8">
        <v>4.7</v>
      </c>
      <c r="D58" s="7">
        <v>1.6</v>
      </c>
      <c r="E58" s="19" t="s">
        <v>6</v>
      </c>
      <c r="M58" s="12">
        <f t="shared" si="6"/>
        <v>0.45666666666666522</v>
      </c>
      <c r="N58" s="8">
        <f t="shared" si="7"/>
        <v>0.2426666666666657</v>
      </c>
      <c r="O58" s="8">
        <f t="shared" si="8"/>
        <v>0.94199999999999751</v>
      </c>
      <c r="P58" s="13">
        <f t="shared" si="9"/>
        <v>0.40066666666666606</v>
      </c>
      <c r="Q58" s="5">
        <f t="shared" si="12"/>
        <v>0.55148574641237369</v>
      </c>
      <c r="R58" s="8">
        <f t="shared" si="13"/>
        <v>0.55674566960809246</v>
      </c>
      <c r="S58" s="8">
        <f t="shared" si="14"/>
        <v>0.53362088187256629</v>
      </c>
      <c r="T58" s="13">
        <f t="shared" si="15"/>
        <v>0.5256453242636977</v>
      </c>
    </row>
    <row r="59" spans="1:20" x14ac:dyDescent="0.25">
      <c r="A59" s="12">
        <v>4.9000000000000004</v>
      </c>
      <c r="B59" s="8">
        <v>2.4</v>
      </c>
      <c r="C59" s="8">
        <v>3.3</v>
      </c>
      <c r="D59" s="7">
        <v>1</v>
      </c>
      <c r="E59" s="19" t="s">
        <v>6</v>
      </c>
      <c r="M59" s="12">
        <f t="shared" si="6"/>
        <v>-0.94333333333333425</v>
      </c>
      <c r="N59" s="8">
        <f t="shared" si="7"/>
        <v>-0.65733333333333421</v>
      </c>
      <c r="O59" s="8">
        <f t="shared" si="8"/>
        <v>-0.45800000000000285</v>
      </c>
      <c r="P59" s="13">
        <f t="shared" si="9"/>
        <v>-0.19933333333333403</v>
      </c>
      <c r="Q59" s="5">
        <f t="shared" si="12"/>
        <v>-1.1392004834649812</v>
      </c>
      <c r="R59" s="8">
        <f t="shared" si="13"/>
        <v>-1.5081077753669838</v>
      </c>
      <c r="S59" s="8">
        <f t="shared" si="14"/>
        <v>-0.259446246175836</v>
      </c>
      <c r="T59" s="13">
        <f t="shared" si="15"/>
        <v>-0.26151073536580099</v>
      </c>
    </row>
    <row r="60" spans="1:20" x14ac:dyDescent="0.25">
      <c r="A60" s="12">
        <v>6.6</v>
      </c>
      <c r="B60" s="8">
        <v>2.9</v>
      </c>
      <c r="C60" s="8">
        <v>4.5999999999999996</v>
      </c>
      <c r="D60" s="7">
        <v>1.3</v>
      </c>
      <c r="E60" s="19" t="s">
        <v>6</v>
      </c>
      <c r="M60" s="12">
        <f t="shared" si="6"/>
        <v>0.75666666666666504</v>
      </c>
      <c r="N60" s="8">
        <f t="shared" si="7"/>
        <v>-0.15733333333333421</v>
      </c>
      <c r="O60" s="8">
        <f t="shared" si="8"/>
        <v>0.84199999999999697</v>
      </c>
      <c r="P60" s="13">
        <f t="shared" si="9"/>
        <v>0.10066666666666602</v>
      </c>
      <c r="Q60" s="5">
        <f t="shared" si="12"/>
        <v>0.913775652814664</v>
      </c>
      <c r="R60" s="8">
        <f t="shared" si="13"/>
        <v>-0.36096697260305244</v>
      </c>
      <c r="S60" s="8">
        <f t="shared" si="14"/>
        <v>0.47697322986910867</v>
      </c>
      <c r="T60" s="13">
        <f t="shared" si="15"/>
        <v>0.13206729444894835</v>
      </c>
    </row>
    <row r="61" spans="1:20" x14ac:dyDescent="0.25">
      <c r="A61" s="12">
        <v>5.2</v>
      </c>
      <c r="B61" s="8">
        <v>2.7</v>
      </c>
      <c r="C61" s="8">
        <v>3.9</v>
      </c>
      <c r="D61" s="7">
        <v>1.4</v>
      </c>
      <c r="E61" s="19" t="s">
        <v>6</v>
      </c>
      <c r="M61" s="12">
        <f t="shared" si="6"/>
        <v>-0.64333333333333442</v>
      </c>
      <c r="N61" s="8">
        <f t="shared" si="7"/>
        <v>-0.35733333333333395</v>
      </c>
      <c r="O61" s="8">
        <f t="shared" si="8"/>
        <v>0.14199999999999724</v>
      </c>
      <c r="P61" s="13">
        <f t="shared" si="9"/>
        <v>0.20066666666666588</v>
      </c>
      <c r="Q61" s="5">
        <f t="shared" si="12"/>
        <v>-0.77691057706269084</v>
      </c>
      <c r="R61" s="8">
        <f t="shared" si="13"/>
        <v>-0.81982329370862439</v>
      </c>
      <c r="S61" s="8">
        <f t="shared" si="14"/>
        <v>8.043966584490779E-2</v>
      </c>
      <c r="T61" s="13">
        <f t="shared" si="15"/>
        <v>0.26325997105386462</v>
      </c>
    </row>
    <row r="62" spans="1:20" x14ac:dyDescent="0.25">
      <c r="A62" s="12">
        <v>5</v>
      </c>
      <c r="B62" s="8">
        <v>2</v>
      </c>
      <c r="C62" s="8">
        <v>3.5</v>
      </c>
      <c r="D62" s="7">
        <v>1</v>
      </c>
      <c r="E62" s="19" t="s">
        <v>6</v>
      </c>
      <c r="M62" s="12">
        <f t="shared" si="6"/>
        <v>-0.8433333333333346</v>
      </c>
      <c r="N62" s="8">
        <f t="shared" si="7"/>
        <v>-1.0573333333333341</v>
      </c>
      <c r="O62" s="8">
        <f t="shared" si="8"/>
        <v>-0.25800000000000267</v>
      </c>
      <c r="P62" s="13">
        <f t="shared" si="9"/>
        <v>-0.19933333333333403</v>
      </c>
      <c r="Q62" s="5">
        <f t="shared" si="12"/>
        <v>-1.0184371813308848</v>
      </c>
      <c r="R62" s="8">
        <f t="shared" si="13"/>
        <v>-2.4258204175781288</v>
      </c>
      <c r="S62" s="8">
        <f t="shared" si="14"/>
        <v>-0.14615094216892133</v>
      </c>
      <c r="T62" s="13">
        <f t="shared" si="15"/>
        <v>-0.26151073536580099</v>
      </c>
    </row>
    <row r="63" spans="1:20" x14ac:dyDescent="0.25">
      <c r="A63" s="12">
        <v>5.9</v>
      </c>
      <c r="B63" s="8">
        <v>3</v>
      </c>
      <c r="C63" s="8">
        <v>4.2</v>
      </c>
      <c r="D63" s="7">
        <v>1.5</v>
      </c>
      <c r="E63" s="19" t="s">
        <v>6</v>
      </c>
      <c r="M63" s="12">
        <f t="shared" si="6"/>
        <v>5.6666666666665755E-2</v>
      </c>
      <c r="N63" s="8">
        <f t="shared" si="7"/>
        <v>-5.7333333333334124E-2</v>
      </c>
      <c r="O63" s="8">
        <f t="shared" si="8"/>
        <v>0.44199999999999751</v>
      </c>
      <c r="P63" s="13">
        <f t="shared" si="9"/>
        <v>0.30066666666666597</v>
      </c>
      <c r="Q63" s="5">
        <f t="shared" si="12"/>
        <v>6.843253787598709E-2</v>
      </c>
      <c r="R63" s="8">
        <f t="shared" si="13"/>
        <v>-0.13153881205026594</v>
      </c>
      <c r="S63" s="8">
        <f t="shared" si="14"/>
        <v>0.25038262185527982</v>
      </c>
      <c r="T63" s="13">
        <f t="shared" si="15"/>
        <v>0.39445264765878119</v>
      </c>
    </row>
    <row r="64" spans="1:20" x14ac:dyDescent="0.25">
      <c r="A64" s="12">
        <v>6</v>
      </c>
      <c r="B64" s="8">
        <v>2.2000000000000002</v>
      </c>
      <c r="C64" s="8">
        <v>4</v>
      </c>
      <c r="D64" s="7">
        <v>1</v>
      </c>
      <c r="E64" s="19" t="s">
        <v>6</v>
      </c>
      <c r="M64" s="12">
        <f t="shared" si="6"/>
        <v>0.1566666666666654</v>
      </c>
      <c r="N64" s="8">
        <f t="shared" si="7"/>
        <v>-0.85733333333333395</v>
      </c>
      <c r="O64" s="8">
        <f t="shared" si="8"/>
        <v>0.24199999999999733</v>
      </c>
      <c r="P64" s="13">
        <f t="shared" si="9"/>
        <v>-0.19933333333333403</v>
      </c>
      <c r="Q64" s="5">
        <f t="shared" si="12"/>
        <v>0.18919584001008349</v>
      </c>
      <c r="R64" s="8">
        <f t="shared" si="13"/>
        <v>-1.9669640964725557</v>
      </c>
      <c r="S64" s="8">
        <f t="shared" si="14"/>
        <v>0.13708731784836511</v>
      </c>
      <c r="T64" s="13">
        <f t="shared" si="15"/>
        <v>-0.26151073536580099</v>
      </c>
    </row>
    <row r="65" spans="1:20" x14ac:dyDescent="0.25">
      <c r="A65" s="12">
        <v>6.1</v>
      </c>
      <c r="B65" s="8">
        <v>2.9</v>
      </c>
      <c r="C65" s="8">
        <v>4.7</v>
      </c>
      <c r="D65" s="7">
        <v>1.4</v>
      </c>
      <c r="E65" s="19" t="s">
        <v>6</v>
      </c>
      <c r="M65" s="12">
        <f t="shared" si="6"/>
        <v>0.25666666666666504</v>
      </c>
      <c r="N65" s="8">
        <f t="shared" si="7"/>
        <v>-0.15733333333333421</v>
      </c>
      <c r="O65" s="8">
        <f t="shared" si="8"/>
        <v>0.94199999999999751</v>
      </c>
      <c r="P65" s="13">
        <f t="shared" si="9"/>
        <v>0.20066666666666588</v>
      </c>
      <c r="Q65" s="5">
        <f t="shared" si="12"/>
        <v>0.30995914214417986</v>
      </c>
      <c r="R65" s="8">
        <f t="shared" si="13"/>
        <v>-0.36096697260305244</v>
      </c>
      <c r="S65" s="8">
        <f t="shared" si="14"/>
        <v>0.53362088187256629</v>
      </c>
      <c r="T65" s="13">
        <f t="shared" si="15"/>
        <v>0.26325997105386462</v>
      </c>
    </row>
    <row r="66" spans="1:20" x14ac:dyDescent="0.25">
      <c r="A66" s="12">
        <v>5.6</v>
      </c>
      <c r="B66" s="8">
        <v>2.9</v>
      </c>
      <c r="C66" s="8">
        <v>3.6</v>
      </c>
      <c r="D66" s="7">
        <v>1.3</v>
      </c>
      <c r="E66" s="19" t="s">
        <v>6</v>
      </c>
      <c r="M66" s="12">
        <f t="shared" si="6"/>
        <v>-0.24333333333333496</v>
      </c>
      <c r="N66" s="8">
        <f t="shared" si="7"/>
        <v>-0.15733333333333421</v>
      </c>
      <c r="O66" s="8">
        <f t="shared" si="8"/>
        <v>-0.15800000000000258</v>
      </c>
      <c r="P66" s="13">
        <f t="shared" si="9"/>
        <v>0.10066666666666602</v>
      </c>
      <c r="Q66" s="5">
        <f t="shared" ref="Q66:Q97" si="16">(A66-H$3)/H$4</f>
        <v>-0.29385736852630423</v>
      </c>
      <c r="R66" s="8">
        <f t="shared" ref="R66:R97" si="17">(B66-I$3)/I$4</f>
        <v>-0.36096697260305244</v>
      </c>
      <c r="S66" s="8">
        <f t="shared" ref="S66:S97" si="18">(C66-J$3)/J$4</f>
        <v>-8.9503290165463975E-2</v>
      </c>
      <c r="T66" s="13">
        <f t="shared" ref="T66:T97" si="19">(D66-K$3)/K$4</f>
        <v>0.13206729444894835</v>
      </c>
    </row>
    <row r="67" spans="1:20" x14ac:dyDescent="0.25">
      <c r="A67" s="12">
        <v>6.7</v>
      </c>
      <c r="B67" s="8">
        <v>3.1</v>
      </c>
      <c r="C67" s="8">
        <v>4.4000000000000004</v>
      </c>
      <c r="D67" s="7">
        <v>1.4</v>
      </c>
      <c r="E67" s="19" t="s">
        <v>6</v>
      </c>
      <c r="M67" s="12">
        <f t="shared" ref="M67:M130" si="20">A67-H$3</f>
        <v>0.85666666666666558</v>
      </c>
      <c r="N67" s="8">
        <f t="shared" ref="N67:N130" si="21">B67-I$3</f>
        <v>4.2666666666665964E-2</v>
      </c>
      <c r="O67" s="8">
        <f t="shared" ref="O67:O130" si="22">C67-J$3</f>
        <v>0.64199999999999768</v>
      </c>
      <c r="P67" s="13">
        <f t="shared" ref="P67:P130" si="23">D67-K$3</f>
        <v>0.20066666666666588</v>
      </c>
      <c r="Q67" s="5">
        <f t="shared" si="16"/>
        <v>1.0345389549487614</v>
      </c>
      <c r="R67" s="8">
        <f t="shared" si="17"/>
        <v>9.7889348502520526E-2</v>
      </c>
      <c r="S67" s="8">
        <f t="shared" si="18"/>
        <v>0.3636779258621945</v>
      </c>
      <c r="T67" s="13">
        <f t="shared" si="19"/>
        <v>0.26325997105386462</v>
      </c>
    </row>
    <row r="68" spans="1:20" x14ac:dyDescent="0.25">
      <c r="A68" s="12">
        <v>5.6</v>
      </c>
      <c r="B68" s="8">
        <v>3</v>
      </c>
      <c r="C68" s="8">
        <v>4.5</v>
      </c>
      <c r="D68" s="7">
        <v>1.5</v>
      </c>
      <c r="E68" s="19" t="s">
        <v>6</v>
      </c>
      <c r="M68" s="12">
        <f t="shared" si="20"/>
        <v>-0.24333333333333496</v>
      </c>
      <c r="N68" s="8">
        <f t="shared" si="21"/>
        <v>-5.7333333333334124E-2</v>
      </c>
      <c r="O68" s="8">
        <f t="shared" si="22"/>
        <v>0.74199999999999733</v>
      </c>
      <c r="P68" s="13">
        <f t="shared" si="23"/>
        <v>0.30066666666666597</v>
      </c>
      <c r="Q68" s="5">
        <f t="shared" si="16"/>
        <v>-0.29385736852630423</v>
      </c>
      <c r="R68" s="8">
        <f t="shared" si="17"/>
        <v>-0.13153881205026594</v>
      </c>
      <c r="S68" s="8">
        <f t="shared" si="18"/>
        <v>0.42032557786565156</v>
      </c>
      <c r="T68" s="13">
        <f t="shared" si="19"/>
        <v>0.39445264765878119</v>
      </c>
    </row>
    <row r="69" spans="1:20" x14ac:dyDescent="0.25">
      <c r="A69" s="12">
        <v>5.8</v>
      </c>
      <c r="B69" s="8">
        <v>2.7</v>
      </c>
      <c r="C69" s="8">
        <v>4.0999999999999996</v>
      </c>
      <c r="D69" s="7">
        <v>1</v>
      </c>
      <c r="E69" s="19" t="s">
        <v>6</v>
      </c>
      <c r="M69" s="12">
        <f t="shared" si="20"/>
        <v>-4.3333333333334778E-2</v>
      </c>
      <c r="N69" s="8">
        <f t="shared" si="21"/>
        <v>-0.35733333333333395</v>
      </c>
      <c r="O69" s="8">
        <f t="shared" si="22"/>
        <v>0.34199999999999697</v>
      </c>
      <c r="P69" s="13">
        <f t="shared" si="23"/>
        <v>-0.19933333333333403</v>
      </c>
      <c r="Q69" s="5">
        <f t="shared" si="16"/>
        <v>-5.2330764258110368E-2</v>
      </c>
      <c r="R69" s="8">
        <f t="shared" si="17"/>
        <v>-0.81982329370862439</v>
      </c>
      <c r="S69" s="8">
        <f t="shared" si="18"/>
        <v>0.1937349698518222</v>
      </c>
      <c r="T69" s="13">
        <f t="shared" si="19"/>
        <v>-0.26151073536580099</v>
      </c>
    </row>
    <row r="70" spans="1:20" x14ac:dyDescent="0.25">
      <c r="A70" s="12">
        <v>6.2</v>
      </c>
      <c r="B70" s="8">
        <v>2.2000000000000002</v>
      </c>
      <c r="C70" s="8">
        <v>4.5</v>
      </c>
      <c r="D70" s="7">
        <v>1.5</v>
      </c>
      <c r="E70" s="19" t="s">
        <v>6</v>
      </c>
      <c r="M70" s="12">
        <f t="shared" si="20"/>
        <v>0.35666666666666558</v>
      </c>
      <c r="N70" s="8">
        <f t="shared" si="21"/>
        <v>-0.85733333333333395</v>
      </c>
      <c r="O70" s="8">
        <f t="shared" si="22"/>
        <v>0.74199999999999733</v>
      </c>
      <c r="P70" s="13">
        <f t="shared" si="23"/>
        <v>0.30066666666666597</v>
      </c>
      <c r="Q70" s="5">
        <f t="shared" si="16"/>
        <v>0.43072244427827733</v>
      </c>
      <c r="R70" s="8">
        <f t="shared" si="17"/>
        <v>-1.9669640964725557</v>
      </c>
      <c r="S70" s="8">
        <f t="shared" si="18"/>
        <v>0.42032557786565156</v>
      </c>
      <c r="T70" s="13">
        <f t="shared" si="19"/>
        <v>0.39445264765878119</v>
      </c>
    </row>
    <row r="71" spans="1:20" x14ac:dyDescent="0.25">
      <c r="A71" s="12">
        <v>5.6</v>
      </c>
      <c r="B71" s="8">
        <v>2.5</v>
      </c>
      <c r="C71" s="8">
        <v>3.9</v>
      </c>
      <c r="D71" s="7">
        <v>1.1000000000000001</v>
      </c>
      <c r="E71" s="19" t="s">
        <v>6</v>
      </c>
      <c r="M71" s="12">
        <f t="shared" si="20"/>
        <v>-0.24333333333333496</v>
      </c>
      <c r="N71" s="8">
        <f t="shared" si="21"/>
        <v>-0.55733333333333412</v>
      </c>
      <c r="O71" s="8">
        <f t="shared" si="22"/>
        <v>0.14199999999999724</v>
      </c>
      <c r="P71" s="13">
        <f t="shared" si="23"/>
        <v>-9.933333333333394E-2</v>
      </c>
      <c r="Q71" s="5">
        <f t="shared" si="16"/>
        <v>-0.29385736852630423</v>
      </c>
      <c r="R71" s="8">
        <f t="shared" si="17"/>
        <v>-1.2786796148141972</v>
      </c>
      <c r="S71" s="8">
        <f t="shared" si="18"/>
        <v>8.043966584490779E-2</v>
      </c>
      <c r="T71" s="13">
        <f t="shared" si="19"/>
        <v>-0.13031805876088445</v>
      </c>
    </row>
    <row r="72" spans="1:20" x14ac:dyDescent="0.25">
      <c r="A72" s="12">
        <v>5.9</v>
      </c>
      <c r="B72" s="8">
        <v>3.2</v>
      </c>
      <c r="C72" s="8">
        <v>4.8</v>
      </c>
      <c r="D72" s="7">
        <v>1.8</v>
      </c>
      <c r="E72" s="19" t="s">
        <v>6</v>
      </c>
      <c r="M72" s="12">
        <f t="shared" si="20"/>
        <v>5.6666666666665755E-2</v>
      </c>
      <c r="N72" s="8">
        <f t="shared" si="21"/>
        <v>0.14266666666666605</v>
      </c>
      <c r="O72" s="8">
        <f t="shared" si="22"/>
        <v>1.0419999999999972</v>
      </c>
      <c r="P72" s="13">
        <f t="shared" si="23"/>
        <v>0.60066666666666602</v>
      </c>
      <c r="Q72" s="5">
        <f t="shared" si="16"/>
        <v>6.843253787598709E-2</v>
      </c>
      <c r="R72" s="8">
        <f t="shared" si="17"/>
        <v>0.32731750905530699</v>
      </c>
      <c r="S72" s="8">
        <f t="shared" si="18"/>
        <v>0.59026853387602329</v>
      </c>
      <c r="T72" s="13">
        <f t="shared" si="19"/>
        <v>0.78803067747353051</v>
      </c>
    </row>
    <row r="73" spans="1:20" x14ac:dyDescent="0.25">
      <c r="A73" s="12">
        <v>6.1</v>
      </c>
      <c r="B73" s="8">
        <v>2.8</v>
      </c>
      <c r="C73" s="8">
        <v>4</v>
      </c>
      <c r="D73" s="7">
        <v>1.3</v>
      </c>
      <c r="E73" s="19" t="s">
        <v>6</v>
      </c>
      <c r="M73" s="12">
        <f t="shared" si="20"/>
        <v>0.25666666666666504</v>
      </c>
      <c r="N73" s="8">
        <f t="shared" si="21"/>
        <v>-0.2573333333333343</v>
      </c>
      <c r="O73" s="8">
        <f t="shared" si="22"/>
        <v>0.24199999999999733</v>
      </c>
      <c r="P73" s="13">
        <f t="shared" si="23"/>
        <v>0.10066666666666602</v>
      </c>
      <c r="Q73" s="5">
        <f t="shared" si="16"/>
        <v>0.30995914214417986</v>
      </c>
      <c r="R73" s="8">
        <f t="shared" si="17"/>
        <v>-0.59039513315583891</v>
      </c>
      <c r="S73" s="8">
        <f t="shared" si="18"/>
        <v>0.13708731784836511</v>
      </c>
      <c r="T73" s="13">
        <f t="shared" si="19"/>
        <v>0.13206729444894835</v>
      </c>
    </row>
    <row r="74" spans="1:20" x14ac:dyDescent="0.25">
      <c r="A74" s="12">
        <v>6.3</v>
      </c>
      <c r="B74" s="8">
        <v>2.5</v>
      </c>
      <c r="C74" s="8">
        <v>4.9000000000000004</v>
      </c>
      <c r="D74" s="7">
        <v>1.5</v>
      </c>
      <c r="E74" s="19" t="s">
        <v>6</v>
      </c>
      <c r="M74" s="12">
        <f t="shared" si="20"/>
        <v>0.45666666666666522</v>
      </c>
      <c r="N74" s="8">
        <f t="shared" si="21"/>
        <v>-0.55733333333333412</v>
      </c>
      <c r="O74" s="8">
        <f t="shared" si="22"/>
        <v>1.1419999999999977</v>
      </c>
      <c r="P74" s="13">
        <f t="shared" si="23"/>
        <v>0.30066666666666597</v>
      </c>
      <c r="Q74" s="5">
        <f t="shared" si="16"/>
        <v>0.55148574641237369</v>
      </c>
      <c r="R74" s="8">
        <f t="shared" si="17"/>
        <v>-1.2786796148141972</v>
      </c>
      <c r="S74" s="8">
        <f t="shared" si="18"/>
        <v>0.64691618587948096</v>
      </c>
      <c r="T74" s="13">
        <f t="shared" si="19"/>
        <v>0.39445264765878119</v>
      </c>
    </row>
    <row r="75" spans="1:20" x14ac:dyDescent="0.25">
      <c r="A75" s="12">
        <v>6.1</v>
      </c>
      <c r="B75" s="8">
        <v>2.8</v>
      </c>
      <c r="C75" s="8">
        <v>4.7</v>
      </c>
      <c r="D75" s="7">
        <v>1.2</v>
      </c>
      <c r="E75" s="19" t="s">
        <v>6</v>
      </c>
      <c r="M75" s="12">
        <f t="shared" si="20"/>
        <v>0.25666666666666504</v>
      </c>
      <c r="N75" s="8">
        <f t="shared" si="21"/>
        <v>-0.2573333333333343</v>
      </c>
      <c r="O75" s="8">
        <f t="shared" si="22"/>
        <v>0.94199999999999751</v>
      </c>
      <c r="P75" s="13">
        <f t="shared" si="23"/>
        <v>6.6666666666592711E-4</v>
      </c>
      <c r="Q75" s="5">
        <f t="shared" si="16"/>
        <v>0.30995914214417986</v>
      </c>
      <c r="R75" s="8">
        <f t="shared" si="17"/>
        <v>-0.59039513315583891</v>
      </c>
      <c r="S75" s="8">
        <f t="shared" si="18"/>
        <v>0.53362088187256629</v>
      </c>
      <c r="T75" s="13">
        <f t="shared" si="19"/>
        <v>8.7461784403180599E-4</v>
      </c>
    </row>
    <row r="76" spans="1:20" x14ac:dyDescent="0.25">
      <c r="A76" s="12">
        <v>6.4</v>
      </c>
      <c r="B76" s="8">
        <v>2.9</v>
      </c>
      <c r="C76" s="8">
        <v>4.3</v>
      </c>
      <c r="D76" s="7">
        <v>1.3</v>
      </c>
      <c r="E76" s="19" t="s">
        <v>6</v>
      </c>
      <c r="M76" s="12">
        <f t="shared" si="20"/>
        <v>0.55666666666666575</v>
      </c>
      <c r="N76" s="8">
        <f t="shared" si="21"/>
        <v>-0.15733333333333421</v>
      </c>
      <c r="O76" s="8">
        <f t="shared" si="22"/>
        <v>0.54199999999999715</v>
      </c>
      <c r="P76" s="13">
        <f t="shared" si="23"/>
        <v>0.10066666666666602</v>
      </c>
      <c r="Q76" s="5">
        <f t="shared" si="16"/>
        <v>0.67224904854647116</v>
      </c>
      <c r="R76" s="8">
        <f t="shared" si="17"/>
        <v>-0.36096697260305244</v>
      </c>
      <c r="S76" s="8">
        <f t="shared" si="18"/>
        <v>0.30703027385873688</v>
      </c>
      <c r="T76" s="13">
        <f t="shared" si="19"/>
        <v>0.13206729444894835</v>
      </c>
    </row>
    <row r="77" spans="1:20" x14ac:dyDescent="0.25">
      <c r="A77" s="12">
        <v>6.6</v>
      </c>
      <c r="B77" s="8">
        <v>3</v>
      </c>
      <c r="C77" s="8">
        <v>4.4000000000000004</v>
      </c>
      <c r="D77" s="7">
        <v>1.4</v>
      </c>
      <c r="E77" s="19" t="s">
        <v>6</v>
      </c>
      <c r="M77" s="12">
        <f t="shared" si="20"/>
        <v>0.75666666666666504</v>
      </c>
      <c r="N77" s="8">
        <f t="shared" si="21"/>
        <v>-5.7333333333334124E-2</v>
      </c>
      <c r="O77" s="8">
        <f t="shared" si="22"/>
        <v>0.64199999999999768</v>
      </c>
      <c r="P77" s="13">
        <f t="shared" si="23"/>
        <v>0.20066666666666588</v>
      </c>
      <c r="Q77" s="5">
        <f t="shared" si="16"/>
        <v>0.913775652814664</v>
      </c>
      <c r="R77" s="8">
        <f t="shared" si="17"/>
        <v>-0.13153881205026594</v>
      </c>
      <c r="S77" s="8">
        <f t="shared" si="18"/>
        <v>0.3636779258621945</v>
      </c>
      <c r="T77" s="13">
        <f t="shared" si="19"/>
        <v>0.26325997105386462</v>
      </c>
    </row>
    <row r="78" spans="1:20" x14ac:dyDescent="0.25">
      <c r="A78" s="12">
        <v>6.8</v>
      </c>
      <c r="B78" s="8">
        <v>2.8</v>
      </c>
      <c r="C78" s="8">
        <v>4.8</v>
      </c>
      <c r="D78" s="7">
        <v>1.4</v>
      </c>
      <c r="E78" s="19" t="s">
        <v>6</v>
      </c>
      <c r="M78" s="12">
        <f t="shared" si="20"/>
        <v>0.95666666666666522</v>
      </c>
      <c r="N78" s="8">
        <f t="shared" si="21"/>
        <v>-0.2573333333333343</v>
      </c>
      <c r="O78" s="8">
        <f t="shared" si="22"/>
        <v>1.0419999999999972</v>
      </c>
      <c r="P78" s="13">
        <f t="shared" si="23"/>
        <v>0.20066666666666588</v>
      </c>
      <c r="Q78" s="5">
        <f t="shared" si="16"/>
        <v>1.1553022570828579</v>
      </c>
      <c r="R78" s="8">
        <f t="shared" si="17"/>
        <v>-0.59039513315583891</v>
      </c>
      <c r="S78" s="8">
        <f t="shared" si="18"/>
        <v>0.59026853387602329</v>
      </c>
      <c r="T78" s="13">
        <f t="shared" si="19"/>
        <v>0.26325997105386462</v>
      </c>
    </row>
    <row r="79" spans="1:20" x14ac:dyDescent="0.25">
      <c r="A79" s="12">
        <v>6.7</v>
      </c>
      <c r="B79" s="8">
        <v>3</v>
      </c>
      <c r="C79" s="8">
        <v>5</v>
      </c>
      <c r="D79" s="7">
        <v>1.7</v>
      </c>
      <c r="E79" s="19" t="s">
        <v>6</v>
      </c>
      <c r="M79" s="12">
        <f t="shared" si="20"/>
        <v>0.85666666666666558</v>
      </c>
      <c r="N79" s="8">
        <f t="shared" si="21"/>
        <v>-5.7333333333334124E-2</v>
      </c>
      <c r="O79" s="8">
        <f t="shared" si="22"/>
        <v>1.2419999999999973</v>
      </c>
      <c r="P79" s="13">
        <f t="shared" si="23"/>
        <v>0.50066666666666593</v>
      </c>
      <c r="Q79" s="5">
        <f t="shared" si="16"/>
        <v>1.0345389549487614</v>
      </c>
      <c r="R79" s="8">
        <f t="shared" si="17"/>
        <v>-0.13153881205026594</v>
      </c>
      <c r="S79" s="8">
        <f t="shared" si="18"/>
        <v>0.70356383788293797</v>
      </c>
      <c r="T79" s="13">
        <f t="shared" si="19"/>
        <v>0.65683800086861399</v>
      </c>
    </row>
    <row r="80" spans="1:20" x14ac:dyDescent="0.25">
      <c r="A80" s="12">
        <v>6</v>
      </c>
      <c r="B80" s="8">
        <v>2.9</v>
      </c>
      <c r="C80" s="8">
        <v>4.5</v>
      </c>
      <c r="D80" s="7">
        <v>1.5</v>
      </c>
      <c r="E80" s="19" t="s">
        <v>6</v>
      </c>
      <c r="M80" s="12">
        <f t="shared" si="20"/>
        <v>0.1566666666666654</v>
      </c>
      <c r="N80" s="8">
        <f t="shared" si="21"/>
        <v>-0.15733333333333421</v>
      </c>
      <c r="O80" s="8">
        <f t="shared" si="22"/>
        <v>0.74199999999999733</v>
      </c>
      <c r="P80" s="13">
        <f t="shared" si="23"/>
        <v>0.30066666666666597</v>
      </c>
      <c r="Q80" s="5">
        <f t="shared" si="16"/>
        <v>0.18919584001008349</v>
      </c>
      <c r="R80" s="8">
        <f t="shared" si="17"/>
        <v>-0.36096697260305244</v>
      </c>
      <c r="S80" s="8">
        <f t="shared" si="18"/>
        <v>0.42032557786565156</v>
      </c>
      <c r="T80" s="13">
        <f t="shared" si="19"/>
        <v>0.39445264765878119</v>
      </c>
    </row>
    <row r="81" spans="1:20" x14ac:dyDescent="0.25">
      <c r="A81" s="12">
        <v>5.7</v>
      </c>
      <c r="B81" s="8">
        <v>2.6</v>
      </c>
      <c r="C81" s="8">
        <v>3.5</v>
      </c>
      <c r="D81" s="7">
        <v>1</v>
      </c>
      <c r="E81" s="19" t="s">
        <v>6</v>
      </c>
      <c r="M81" s="12">
        <f t="shared" si="20"/>
        <v>-0.14333333333333442</v>
      </c>
      <c r="N81" s="8">
        <f t="shared" si="21"/>
        <v>-0.45733333333333404</v>
      </c>
      <c r="O81" s="8">
        <f t="shared" si="22"/>
        <v>-0.25800000000000267</v>
      </c>
      <c r="P81" s="13">
        <f t="shared" si="23"/>
        <v>-0.19933333333333403</v>
      </c>
      <c r="Q81" s="5">
        <f t="shared" si="16"/>
        <v>-0.17309406639220676</v>
      </c>
      <c r="R81" s="8">
        <f t="shared" si="17"/>
        <v>-1.0492514542614109</v>
      </c>
      <c r="S81" s="8">
        <f t="shared" si="18"/>
        <v>-0.14615094216892133</v>
      </c>
      <c r="T81" s="13">
        <f t="shared" si="19"/>
        <v>-0.26151073536580099</v>
      </c>
    </row>
    <row r="82" spans="1:20" x14ac:dyDescent="0.25">
      <c r="A82" s="12">
        <v>5.5</v>
      </c>
      <c r="B82" s="8">
        <v>2.4</v>
      </c>
      <c r="C82" s="8">
        <v>3.8</v>
      </c>
      <c r="D82" s="7">
        <v>1.1000000000000001</v>
      </c>
      <c r="E82" s="19" t="s">
        <v>6</v>
      </c>
      <c r="M82" s="12">
        <f t="shared" si="20"/>
        <v>-0.3433333333333346</v>
      </c>
      <c r="N82" s="8">
        <f t="shared" si="21"/>
        <v>-0.65733333333333421</v>
      </c>
      <c r="O82" s="8">
        <f t="shared" si="22"/>
        <v>4.1999999999997151E-2</v>
      </c>
      <c r="P82" s="13">
        <f t="shared" si="23"/>
        <v>-9.933333333333394E-2</v>
      </c>
      <c r="Q82" s="5">
        <f t="shared" si="16"/>
        <v>-0.41462067066040059</v>
      </c>
      <c r="R82" s="8">
        <f t="shared" si="17"/>
        <v>-1.5081077753669838</v>
      </c>
      <c r="S82" s="8">
        <f t="shared" si="18"/>
        <v>2.3792013841450448E-2</v>
      </c>
      <c r="T82" s="13">
        <f t="shared" si="19"/>
        <v>-0.13031805876088445</v>
      </c>
    </row>
    <row r="83" spans="1:20" x14ac:dyDescent="0.25">
      <c r="A83" s="12">
        <v>5.5</v>
      </c>
      <c r="B83" s="8">
        <v>2.4</v>
      </c>
      <c r="C83" s="8">
        <v>3.7</v>
      </c>
      <c r="D83" s="7">
        <v>1</v>
      </c>
      <c r="E83" s="19" t="s">
        <v>6</v>
      </c>
      <c r="M83" s="12">
        <f t="shared" si="20"/>
        <v>-0.3433333333333346</v>
      </c>
      <c r="N83" s="8">
        <f t="shared" si="21"/>
        <v>-0.65733333333333421</v>
      </c>
      <c r="O83" s="8">
        <f t="shared" si="22"/>
        <v>-5.8000000000002494E-2</v>
      </c>
      <c r="P83" s="13">
        <f t="shared" si="23"/>
        <v>-0.19933333333333403</v>
      </c>
      <c r="Q83" s="5">
        <f t="shared" si="16"/>
        <v>-0.41462067066040059</v>
      </c>
      <c r="R83" s="8">
        <f t="shared" si="17"/>
        <v>-1.5081077753669838</v>
      </c>
      <c r="S83" s="8">
        <f t="shared" si="18"/>
        <v>-3.2855638162006637E-2</v>
      </c>
      <c r="T83" s="13">
        <f t="shared" si="19"/>
        <v>-0.26151073536580099</v>
      </c>
    </row>
    <row r="84" spans="1:20" x14ac:dyDescent="0.25">
      <c r="A84" s="12">
        <v>5.8</v>
      </c>
      <c r="B84" s="8">
        <v>2.7</v>
      </c>
      <c r="C84" s="8">
        <v>3.9</v>
      </c>
      <c r="D84" s="7">
        <v>1.2</v>
      </c>
      <c r="E84" s="19" t="s">
        <v>6</v>
      </c>
      <c r="M84" s="12">
        <f t="shared" si="20"/>
        <v>-4.3333333333334778E-2</v>
      </c>
      <c r="N84" s="8">
        <f t="shared" si="21"/>
        <v>-0.35733333333333395</v>
      </c>
      <c r="O84" s="8">
        <f t="shared" si="22"/>
        <v>0.14199999999999724</v>
      </c>
      <c r="P84" s="13">
        <f t="shared" si="23"/>
        <v>6.6666666666592711E-4</v>
      </c>
      <c r="Q84" s="5">
        <f t="shared" si="16"/>
        <v>-5.2330764258110368E-2</v>
      </c>
      <c r="R84" s="8">
        <f t="shared" si="17"/>
        <v>-0.81982329370862439</v>
      </c>
      <c r="S84" s="8">
        <f t="shared" si="18"/>
        <v>8.043966584490779E-2</v>
      </c>
      <c r="T84" s="13">
        <f t="shared" si="19"/>
        <v>8.7461784403180599E-4</v>
      </c>
    </row>
    <row r="85" spans="1:20" x14ac:dyDescent="0.25">
      <c r="A85" s="12">
        <v>6</v>
      </c>
      <c r="B85" s="8">
        <v>2.7</v>
      </c>
      <c r="C85" s="8">
        <v>5.0999999999999996</v>
      </c>
      <c r="D85" s="7">
        <v>1.6</v>
      </c>
      <c r="E85" s="19" t="s">
        <v>6</v>
      </c>
      <c r="M85" s="12">
        <f t="shared" si="20"/>
        <v>0.1566666666666654</v>
      </c>
      <c r="N85" s="8">
        <f t="shared" si="21"/>
        <v>-0.35733333333333395</v>
      </c>
      <c r="O85" s="8">
        <f t="shared" si="22"/>
        <v>1.341999999999997</v>
      </c>
      <c r="P85" s="13">
        <f t="shared" si="23"/>
        <v>0.40066666666666606</v>
      </c>
      <c r="Q85" s="5">
        <f t="shared" si="16"/>
        <v>0.18919584001008349</v>
      </c>
      <c r="R85" s="8">
        <f t="shared" si="17"/>
        <v>-0.81982329370862439</v>
      </c>
      <c r="S85" s="8">
        <f t="shared" si="18"/>
        <v>0.76021148988639509</v>
      </c>
      <c r="T85" s="13">
        <f t="shared" si="19"/>
        <v>0.5256453242636977</v>
      </c>
    </row>
    <row r="86" spans="1:20" x14ac:dyDescent="0.25">
      <c r="A86" s="12">
        <v>5.4</v>
      </c>
      <c r="B86" s="8">
        <v>3</v>
      </c>
      <c r="C86" s="8">
        <v>4.5</v>
      </c>
      <c r="D86" s="7">
        <v>1.5</v>
      </c>
      <c r="E86" s="19" t="s">
        <v>6</v>
      </c>
      <c r="M86" s="12">
        <f t="shared" si="20"/>
        <v>-0.44333333333333425</v>
      </c>
      <c r="N86" s="8">
        <f t="shared" si="21"/>
        <v>-5.7333333333334124E-2</v>
      </c>
      <c r="O86" s="8">
        <f t="shared" si="22"/>
        <v>0.74199999999999733</v>
      </c>
      <c r="P86" s="13">
        <f t="shared" si="23"/>
        <v>0.30066666666666597</v>
      </c>
      <c r="Q86" s="5">
        <f t="shared" si="16"/>
        <v>-0.53538397279449701</v>
      </c>
      <c r="R86" s="8">
        <f t="shared" si="17"/>
        <v>-0.13153881205026594</v>
      </c>
      <c r="S86" s="8">
        <f t="shared" si="18"/>
        <v>0.42032557786565156</v>
      </c>
      <c r="T86" s="13">
        <f t="shared" si="19"/>
        <v>0.39445264765878119</v>
      </c>
    </row>
    <row r="87" spans="1:20" x14ac:dyDescent="0.25">
      <c r="A87" s="12">
        <v>6</v>
      </c>
      <c r="B87" s="8">
        <v>3.4</v>
      </c>
      <c r="C87" s="8">
        <v>4.5</v>
      </c>
      <c r="D87" s="7">
        <v>1.6</v>
      </c>
      <c r="E87" s="19" t="s">
        <v>6</v>
      </c>
      <c r="M87" s="12">
        <f t="shared" si="20"/>
        <v>0.1566666666666654</v>
      </c>
      <c r="N87" s="8">
        <f t="shared" si="21"/>
        <v>0.34266666666666579</v>
      </c>
      <c r="O87" s="8">
        <f t="shared" si="22"/>
        <v>0.74199999999999733</v>
      </c>
      <c r="P87" s="13">
        <f t="shared" si="23"/>
        <v>0.40066666666666606</v>
      </c>
      <c r="Q87" s="5">
        <f t="shared" si="16"/>
        <v>0.18919584001008349</v>
      </c>
      <c r="R87" s="8">
        <f t="shared" si="17"/>
        <v>0.78617383016087894</v>
      </c>
      <c r="S87" s="8">
        <f t="shared" si="18"/>
        <v>0.42032557786565156</v>
      </c>
      <c r="T87" s="13">
        <f t="shared" si="19"/>
        <v>0.5256453242636977</v>
      </c>
    </row>
    <row r="88" spans="1:20" x14ac:dyDescent="0.25">
      <c r="A88" s="12">
        <v>6.7</v>
      </c>
      <c r="B88" s="8">
        <v>3.1</v>
      </c>
      <c r="C88" s="8">
        <v>4.7</v>
      </c>
      <c r="D88" s="7">
        <v>1.5</v>
      </c>
      <c r="E88" s="19" t="s">
        <v>6</v>
      </c>
      <c r="M88" s="12">
        <f t="shared" si="20"/>
        <v>0.85666666666666558</v>
      </c>
      <c r="N88" s="8">
        <f t="shared" si="21"/>
        <v>4.2666666666665964E-2</v>
      </c>
      <c r="O88" s="8">
        <f t="shared" si="22"/>
        <v>0.94199999999999751</v>
      </c>
      <c r="P88" s="13">
        <f t="shared" si="23"/>
        <v>0.30066666666666597</v>
      </c>
      <c r="Q88" s="5">
        <f t="shared" si="16"/>
        <v>1.0345389549487614</v>
      </c>
      <c r="R88" s="8">
        <f t="shared" si="17"/>
        <v>9.7889348502520526E-2</v>
      </c>
      <c r="S88" s="8">
        <f t="shared" si="18"/>
        <v>0.53362088187256629</v>
      </c>
      <c r="T88" s="13">
        <f t="shared" si="19"/>
        <v>0.39445264765878119</v>
      </c>
    </row>
    <row r="89" spans="1:20" x14ac:dyDescent="0.25">
      <c r="A89" s="12">
        <v>6.3</v>
      </c>
      <c r="B89" s="8">
        <v>2.2999999999999998</v>
      </c>
      <c r="C89" s="8">
        <v>4.4000000000000004</v>
      </c>
      <c r="D89" s="7">
        <v>1.3</v>
      </c>
      <c r="E89" s="19" t="s">
        <v>6</v>
      </c>
      <c r="M89" s="12">
        <f t="shared" si="20"/>
        <v>0.45666666666666522</v>
      </c>
      <c r="N89" s="8">
        <f t="shared" si="21"/>
        <v>-0.7573333333333343</v>
      </c>
      <c r="O89" s="8">
        <f t="shared" si="22"/>
        <v>0.64199999999999768</v>
      </c>
      <c r="P89" s="13">
        <f t="shared" si="23"/>
        <v>0.10066666666666602</v>
      </c>
      <c r="Q89" s="5">
        <f t="shared" si="16"/>
        <v>0.55148574641237369</v>
      </c>
      <c r="R89" s="8">
        <f t="shared" si="17"/>
        <v>-1.7375359359197702</v>
      </c>
      <c r="S89" s="8">
        <f t="shared" si="18"/>
        <v>0.3636779258621945</v>
      </c>
      <c r="T89" s="13">
        <f t="shared" si="19"/>
        <v>0.13206729444894835</v>
      </c>
    </row>
    <row r="90" spans="1:20" x14ac:dyDescent="0.25">
      <c r="A90" s="12">
        <v>5.6</v>
      </c>
      <c r="B90" s="8">
        <v>3</v>
      </c>
      <c r="C90" s="8">
        <v>4.0999999999999996</v>
      </c>
      <c r="D90" s="7">
        <v>1.3</v>
      </c>
      <c r="E90" s="19" t="s">
        <v>6</v>
      </c>
      <c r="M90" s="12">
        <f t="shared" si="20"/>
        <v>-0.24333333333333496</v>
      </c>
      <c r="N90" s="8">
        <f t="shared" si="21"/>
        <v>-5.7333333333334124E-2</v>
      </c>
      <c r="O90" s="8">
        <f t="shared" si="22"/>
        <v>0.34199999999999697</v>
      </c>
      <c r="P90" s="13">
        <f t="shared" si="23"/>
        <v>0.10066666666666602</v>
      </c>
      <c r="Q90" s="5">
        <f t="shared" si="16"/>
        <v>-0.29385736852630423</v>
      </c>
      <c r="R90" s="8">
        <f t="shared" si="17"/>
        <v>-0.13153881205026594</v>
      </c>
      <c r="S90" s="8">
        <f t="shared" si="18"/>
        <v>0.1937349698518222</v>
      </c>
      <c r="T90" s="13">
        <f t="shared" si="19"/>
        <v>0.13206729444894835</v>
      </c>
    </row>
    <row r="91" spans="1:20" x14ac:dyDescent="0.25">
      <c r="A91" s="12">
        <v>5.5</v>
      </c>
      <c r="B91" s="8">
        <v>2.5</v>
      </c>
      <c r="C91" s="8">
        <v>4</v>
      </c>
      <c r="D91" s="7">
        <v>1.3</v>
      </c>
      <c r="E91" s="19" t="s">
        <v>6</v>
      </c>
      <c r="M91" s="12">
        <f t="shared" si="20"/>
        <v>-0.3433333333333346</v>
      </c>
      <c r="N91" s="8">
        <f t="shared" si="21"/>
        <v>-0.55733333333333412</v>
      </c>
      <c r="O91" s="8">
        <f t="shared" si="22"/>
        <v>0.24199999999999733</v>
      </c>
      <c r="P91" s="13">
        <f t="shared" si="23"/>
        <v>0.10066666666666602</v>
      </c>
      <c r="Q91" s="5">
        <f t="shared" si="16"/>
        <v>-0.41462067066040059</v>
      </c>
      <c r="R91" s="8">
        <f t="shared" si="17"/>
        <v>-1.2786796148141972</v>
      </c>
      <c r="S91" s="8">
        <f t="shared" si="18"/>
        <v>0.13708731784836511</v>
      </c>
      <c r="T91" s="13">
        <f t="shared" si="19"/>
        <v>0.13206729444894835</v>
      </c>
    </row>
    <row r="92" spans="1:20" x14ac:dyDescent="0.25">
      <c r="A92" s="12">
        <v>5.5</v>
      </c>
      <c r="B92" s="8">
        <v>2.6</v>
      </c>
      <c r="C92" s="8">
        <v>4.4000000000000004</v>
      </c>
      <c r="D92" s="7">
        <v>1.2</v>
      </c>
      <c r="E92" s="19" t="s">
        <v>6</v>
      </c>
      <c r="M92" s="12">
        <f t="shared" si="20"/>
        <v>-0.3433333333333346</v>
      </c>
      <c r="N92" s="8">
        <f t="shared" si="21"/>
        <v>-0.45733333333333404</v>
      </c>
      <c r="O92" s="8">
        <f t="shared" si="22"/>
        <v>0.64199999999999768</v>
      </c>
      <c r="P92" s="13">
        <f t="shared" si="23"/>
        <v>6.6666666666592711E-4</v>
      </c>
      <c r="Q92" s="5">
        <f t="shared" si="16"/>
        <v>-0.41462067066040059</v>
      </c>
      <c r="R92" s="8">
        <f t="shared" si="17"/>
        <v>-1.0492514542614109</v>
      </c>
      <c r="S92" s="8">
        <f t="shared" si="18"/>
        <v>0.3636779258621945</v>
      </c>
      <c r="T92" s="13">
        <f t="shared" si="19"/>
        <v>8.7461784403180599E-4</v>
      </c>
    </row>
    <row r="93" spans="1:20" x14ac:dyDescent="0.25">
      <c r="A93" s="12">
        <v>6.1</v>
      </c>
      <c r="B93" s="8">
        <v>3</v>
      </c>
      <c r="C93" s="8">
        <v>4.5999999999999996</v>
      </c>
      <c r="D93" s="7">
        <v>1.4</v>
      </c>
      <c r="E93" s="19" t="s">
        <v>6</v>
      </c>
      <c r="M93" s="12">
        <f t="shared" si="20"/>
        <v>0.25666666666666504</v>
      </c>
      <c r="N93" s="8">
        <f t="shared" si="21"/>
        <v>-5.7333333333334124E-2</v>
      </c>
      <c r="O93" s="8">
        <f t="shared" si="22"/>
        <v>0.84199999999999697</v>
      </c>
      <c r="P93" s="13">
        <f t="shared" si="23"/>
        <v>0.20066666666666588</v>
      </c>
      <c r="Q93" s="5">
        <f t="shared" si="16"/>
        <v>0.30995914214417986</v>
      </c>
      <c r="R93" s="8">
        <f t="shared" si="17"/>
        <v>-0.13153881205026594</v>
      </c>
      <c r="S93" s="8">
        <f t="shared" si="18"/>
        <v>0.47697322986910867</v>
      </c>
      <c r="T93" s="13">
        <f t="shared" si="19"/>
        <v>0.26325997105386462</v>
      </c>
    </row>
    <row r="94" spans="1:20" x14ac:dyDescent="0.25">
      <c r="A94" s="12">
        <v>5.8</v>
      </c>
      <c r="B94" s="8">
        <v>2.6</v>
      </c>
      <c r="C94" s="8">
        <v>4</v>
      </c>
      <c r="D94" s="7">
        <v>1.2</v>
      </c>
      <c r="E94" s="19" t="s">
        <v>6</v>
      </c>
      <c r="M94" s="12">
        <f t="shared" si="20"/>
        <v>-4.3333333333334778E-2</v>
      </c>
      <c r="N94" s="8">
        <f t="shared" si="21"/>
        <v>-0.45733333333333404</v>
      </c>
      <c r="O94" s="8">
        <f t="shared" si="22"/>
        <v>0.24199999999999733</v>
      </c>
      <c r="P94" s="13">
        <f t="shared" si="23"/>
        <v>6.6666666666592711E-4</v>
      </c>
      <c r="Q94" s="5">
        <f t="shared" si="16"/>
        <v>-5.2330764258110368E-2</v>
      </c>
      <c r="R94" s="8">
        <f t="shared" si="17"/>
        <v>-1.0492514542614109</v>
      </c>
      <c r="S94" s="8">
        <f t="shared" si="18"/>
        <v>0.13708731784836511</v>
      </c>
      <c r="T94" s="13">
        <f t="shared" si="19"/>
        <v>8.7461784403180599E-4</v>
      </c>
    </row>
    <row r="95" spans="1:20" x14ac:dyDescent="0.25">
      <c r="A95" s="12">
        <v>5</v>
      </c>
      <c r="B95" s="8">
        <v>2.2999999999999998</v>
      </c>
      <c r="C95" s="8">
        <v>3.3</v>
      </c>
      <c r="D95" s="7">
        <v>1</v>
      </c>
      <c r="E95" s="19" t="s">
        <v>6</v>
      </c>
      <c r="M95" s="12">
        <f t="shared" si="20"/>
        <v>-0.8433333333333346</v>
      </c>
      <c r="N95" s="8">
        <f t="shared" si="21"/>
        <v>-0.7573333333333343</v>
      </c>
      <c r="O95" s="8">
        <f t="shared" si="22"/>
        <v>-0.45800000000000285</v>
      </c>
      <c r="P95" s="13">
        <f t="shared" si="23"/>
        <v>-0.19933333333333403</v>
      </c>
      <c r="Q95" s="5">
        <f t="shared" si="16"/>
        <v>-1.0184371813308848</v>
      </c>
      <c r="R95" s="8">
        <f t="shared" si="17"/>
        <v>-1.7375359359197702</v>
      </c>
      <c r="S95" s="8">
        <f t="shared" si="18"/>
        <v>-0.259446246175836</v>
      </c>
      <c r="T95" s="13">
        <f t="shared" si="19"/>
        <v>-0.26151073536580099</v>
      </c>
    </row>
    <row r="96" spans="1:20" x14ac:dyDescent="0.25">
      <c r="A96" s="12">
        <v>5.6</v>
      </c>
      <c r="B96" s="8">
        <v>2.7</v>
      </c>
      <c r="C96" s="8">
        <v>4.2</v>
      </c>
      <c r="D96" s="7">
        <v>1.3</v>
      </c>
      <c r="E96" s="19" t="s">
        <v>6</v>
      </c>
      <c r="M96" s="12">
        <f t="shared" si="20"/>
        <v>-0.24333333333333496</v>
      </c>
      <c r="N96" s="8">
        <f t="shared" si="21"/>
        <v>-0.35733333333333395</v>
      </c>
      <c r="O96" s="8">
        <f t="shared" si="22"/>
        <v>0.44199999999999751</v>
      </c>
      <c r="P96" s="13">
        <f t="shared" si="23"/>
        <v>0.10066666666666602</v>
      </c>
      <c r="Q96" s="5">
        <f t="shared" si="16"/>
        <v>-0.29385736852630423</v>
      </c>
      <c r="R96" s="8">
        <f t="shared" si="17"/>
        <v>-0.81982329370862439</v>
      </c>
      <c r="S96" s="8">
        <f t="shared" si="18"/>
        <v>0.25038262185527982</v>
      </c>
      <c r="T96" s="13">
        <f t="shared" si="19"/>
        <v>0.13206729444894835</v>
      </c>
    </row>
    <row r="97" spans="1:20" x14ac:dyDescent="0.25">
      <c r="A97" s="12">
        <v>5.7</v>
      </c>
      <c r="B97" s="8">
        <v>3</v>
      </c>
      <c r="C97" s="8">
        <v>4.2</v>
      </c>
      <c r="D97" s="7">
        <v>1.2</v>
      </c>
      <c r="E97" s="19" t="s">
        <v>6</v>
      </c>
      <c r="M97" s="12">
        <f t="shared" si="20"/>
        <v>-0.14333333333333442</v>
      </c>
      <c r="N97" s="8">
        <f t="shared" si="21"/>
        <v>-5.7333333333334124E-2</v>
      </c>
      <c r="O97" s="8">
        <f t="shared" si="22"/>
        <v>0.44199999999999751</v>
      </c>
      <c r="P97" s="13">
        <f t="shared" si="23"/>
        <v>6.6666666666592711E-4</v>
      </c>
      <c r="Q97" s="5">
        <f t="shared" si="16"/>
        <v>-0.17309406639220676</v>
      </c>
      <c r="R97" s="8">
        <f t="shared" si="17"/>
        <v>-0.13153881205026594</v>
      </c>
      <c r="S97" s="8">
        <f t="shared" si="18"/>
        <v>0.25038262185527982</v>
      </c>
      <c r="T97" s="13">
        <f t="shared" si="19"/>
        <v>8.7461784403180599E-4</v>
      </c>
    </row>
    <row r="98" spans="1:20" x14ac:dyDescent="0.25">
      <c r="A98" s="12">
        <v>5.7</v>
      </c>
      <c r="B98" s="8">
        <v>2.9</v>
      </c>
      <c r="C98" s="8">
        <v>4.2</v>
      </c>
      <c r="D98" s="7">
        <v>1.3</v>
      </c>
      <c r="E98" s="19" t="s">
        <v>6</v>
      </c>
      <c r="M98" s="12">
        <f t="shared" si="20"/>
        <v>-0.14333333333333442</v>
      </c>
      <c r="N98" s="8">
        <f t="shared" si="21"/>
        <v>-0.15733333333333421</v>
      </c>
      <c r="O98" s="8">
        <f t="shared" si="22"/>
        <v>0.44199999999999751</v>
      </c>
      <c r="P98" s="13">
        <f t="shared" si="23"/>
        <v>0.10066666666666602</v>
      </c>
      <c r="Q98" s="5">
        <f t="shared" ref="Q98:Q129" si="24">(A98-H$3)/H$4</f>
        <v>-0.17309406639220676</v>
      </c>
      <c r="R98" s="8">
        <f t="shared" ref="R98:R129" si="25">(B98-I$3)/I$4</f>
        <v>-0.36096697260305244</v>
      </c>
      <c r="S98" s="8">
        <f t="shared" ref="S98:S129" si="26">(C98-J$3)/J$4</f>
        <v>0.25038262185527982</v>
      </c>
      <c r="T98" s="13">
        <f t="shared" ref="T98:T129" si="27">(D98-K$3)/K$4</f>
        <v>0.13206729444894835</v>
      </c>
    </row>
    <row r="99" spans="1:20" x14ac:dyDescent="0.25">
      <c r="A99" s="12">
        <v>6.2</v>
      </c>
      <c r="B99" s="8">
        <v>2.9</v>
      </c>
      <c r="C99" s="8">
        <v>4.3</v>
      </c>
      <c r="D99" s="7">
        <v>1.3</v>
      </c>
      <c r="E99" s="19" t="s">
        <v>6</v>
      </c>
      <c r="M99" s="12">
        <f t="shared" si="20"/>
        <v>0.35666666666666558</v>
      </c>
      <c r="N99" s="8">
        <f t="shared" si="21"/>
        <v>-0.15733333333333421</v>
      </c>
      <c r="O99" s="8">
        <f t="shared" si="22"/>
        <v>0.54199999999999715</v>
      </c>
      <c r="P99" s="13">
        <f t="shared" si="23"/>
        <v>0.10066666666666602</v>
      </c>
      <c r="Q99" s="5">
        <f t="shared" si="24"/>
        <v>0.43072244427827733</v>
      </c>
      <c r="R99" s="8">
        <f t="shared" si="25"/>
        <v>-0.36096697260305244</v>
      </c>
      <c r="S99" s="8">
        <f t="shared" si="26"/>
        <v>0.30703027385873688</v>
      </c>
      <c r="T99" s="13">
        <f t="shared" si="27"/>
        <v>0.13206729444894835</v>
      </c>
    </row>
    <row r="100" spans="1:20" x14ac:dyDescent="0.25">
      <c r="A100" s="12">
        <v>5.0999999999999996</v>
      </c>
      <c r="B100" s="8">
        <v>2.5</v>
      </c>
      <c r="C100" s="8">
        <v>3</v>
      </c>
      <c r="D100" s="7">
        <v>1.1000000000000001</v>
      </c>
      <c r="E100" s="19" t="s">
        <v>6</v>
      </c>
      <c r="M100" s="12">
        <f t="shared" si="20"/>
        <v>-0.74333333333333496</v>
      </c>
      <c r="N100" s="8">
        <f t="shared" si="21"/>
        <v>-0.55733333333333412</v>
      </c>
      <c r="O100" s="8">
        <f t="shared" si="22"/>
        <v>-0.75800000000000267</v>
      </c>
      <c r="P100" s="13">
        <f t="shared" si="23"/>
        <v>-9.933333333333394E-2</v>
      </c>
      <c r="Q100" s="5">
        <f t="shared" si="24"/>
        <v>-0.89767387919678832</v>
      </c>
      <c r="R100" s="8">
        <f t="shared" si="25"/>
        <v>-1.2786796148141972</v>
      </c>
      <c r="S100" s="8">
        <f t="shared" si="26"/>
        <v>-0.42938920218620774</v>
      </c>
      <c r="T100" s="13">
        <f t="shared" si="27"/>
        <v>-0.13031805876088445</v>
      </c>
    </row>
    <row r="101" spans="1:20" x14ac:dyDescent="0.25">
      <c r="A101" s="12">
        <v>5.7</v>
      </c>
      <c r="B101" s="8">
        <v>2.8</v>
      </c>
      <c r="C101" s="8">
        <v>4.0999999999999996</v>
      </c>
      <c r="D101" s="7">
        <v>1.3</v>
      </c>
      <c r="E101" s="19" t="s">
        <v>6</v>
      </c>
      <c r="M101" s="12">
        <f t="shared" si="20"/>
        <v>-0.14333333333333442</v>
      </c>
      <c r="N101" s="8">
        <f t="shared" si="21"/>
        <v>-0.2573333333333343</v>
      </c>
      <c r="O101" s="8">
        <f t="shared" si="22"/>
        <v>0.34199999999999697</v>
      </c>
      <c r="P101" s="13">
        <f t="shared" si="23"/>
        <v>0.10066666666666602</v>
      </c>
      <c r="Q101" s="5">
        <f t="shared" si="24"/>
        <v>-0.17309406639220676</v>
      </c>
      <c r="R101" s="8">
        <f t="shared" si="25"/>
        <v>-0.59039513315583891</v>
      </c>
      <c r="S101" s="8">
        <f t="shared" si="26"/>
        <v>0.1937349698518222</v>
      </c>
      <c r="T101" s="13">
        <f t="shared" si="27"/>
        <v>0.13206729444894835</v>
      </c>
    </row>
    <row r="102" spans="1:20" x14ac:dyDescent="0.25">
      <c r="A102" s="12">
        <v>6.3</v>
      </c>
      <c r="B102" s="8">
        <v>3.3</v>
      </c>
      <c r="C102" s="8">
        <v>6</v>
      </c>
      <c r="D102" s="7">
        <v>2.5</v>
      </c>
      <c r="E102" s="19" t="s">
        <v>7</v>
      </c>
      <c r="M102" s="12">
        <f t="shared" si="20"/>
        <v>0.45666666666666522</v>
      </c>
      <c r="N102" s="8">
        <f t="shared" si="21"/>
        <v>0.2426666666666657</v>
      </c>
      <c r="O102" s="8">
        <f t="shared" si="22"/>
        <v>2.2419999999999973</v>
      </c>
      <c r="P102" s="13">
        <f t="shared" si="23"/>
        <v>1.300666666666666</v>
      </c>
      <c r="Q102" s="5">
        <f t="shared" si="24"/>
        <v>0.55148574641237369</v>
      </c>
      <c r="R102" s="8">
        <f t="shared" si="25"/>
        <v>0.55674566960809246</v>
      </c>
      <c r="S102" s="8">
        <f t="shared" si="26"/>
        <v>1.2700403579175108</v>
      </c>
      <c r="T102" s="13">
        <f t="shared" si="27"/>
        <v>1.7063794137079455</v>
      </c>
    </row>
    <row r="103" spans="1:20" x14ac:dyDescent="0.25">
      <c r="A103" s="12">
        <v>5.8</v>
      </c>
      <c r="B103" s="8">
        <v>2.7</v>
      </c>
      <c r="C103" s="8">
        <v>5.0999999999999996</v>
      </c>
      <c r="D103" s="7">
        <v>1.9</v>
      </c>
      <c r="E103" s="19" t="s">
        <v>7</v>
      </c>
      <c r="M103" s="12">
        <f t="shared" si="20"/>
        <v>-4.3333333333334778E-2</v>
      </c>
      <c r="N103" s="8">
        <f t="shared" si="21"/>
        <v>-0.35733333333333395</v>
      </c>
      <c r="O103" s="8">
        <f t="shared" si="22"/>
        <v>1.341999999999997</v>
      </c>
      <c r="P103" s="13">
        <f t="shared" si="23"/>
        <v>0.70066666666666588</v>
      </c>
      <c r="Q103" s="5">
        <f t="shared" si="24"/>
        <v>-5.2330764258110368E-2</v>
      </c>
      <c r="R103" s="8">
        <f t="shared" si="25"/>
        <v>-0.81982329370862439</v>
      </c>
      <c r="S103" s="8">
        <f t="shared" si="26"/>
        <v>0.76021148988639509</v>
      </c>
      <c r="T103" s="13">
        <f t="shared" si="27"/>
        <v>0.9192233540784468</v>
      </c>
    </row>
    <row r="104" spans="1:20" x14ac:dyDescent="0.25">
      <c r="A104" s="12">
        <v>7.1</v>
      </c>
      <c r="B104" s="8">
        <v>3</v>
      </c>
      <c r="C104" s="8">
        <v>5.9</v>
      </c>
      <c r="D104" s="7">
        <v>2.1</v>
      </c>
      <c r="E104" s="19" t="s">
        <v>7</v>
      </c>
      <c r="M104" s="12">
        <f t="shared" si="20"/>
        <v>1.256666666666665</v>
      </c>
      <c r="N104" s="8">
        <f t="shared" si="21"/>
        <v>-5.7333333333334124E-2</v>
      </c>
      <c r="O104" s="8">
        <f t="shared" si="22"/>
        <v>2.1419999999999977</v>
      </c>
      <c r="P104" s="13">
        <f t="shared" si="23"/>
        <v>0.90066666666666606</v>
      </c>
      <c r="Q104" s="5">
        <f t="shared" si="24"/>
        <v>1.5175921634851481</v>
      </c>
      <c r="R104" s="8">
        <f t="shared" si="25"/>
        <v>-0.13153881205026594</v>
      </c>
      <c r="S104" s="8">
        <f t="shared" si="26"/>
        <v>1.2133927059140539</v>
      </c>
      <c r="T104" s="13">
        <f t="shared" si="27"/>
        <v>1.1816087072882799</v>
      </c>
    </row>
    <row r="105" spans="1:20" x14ac:dyDescent="0.25">
      <c r="A105" s="12">
        <v>6.3</v>
      </c>
      <c r="B105" s="8">
        <v>2.9</v>
      </c>
      <c r="C105" s="8">
        <v>5.6</v>
      </c>
      <c r="D105" s="7">
        <v>1.8</v>
      </c>
      <c r="E105" s="19" t="s">
        <v>7</v>
      </c>
      <c r="M105" s="12">
        <f t="shared" si="20"/>
        <v>0.45666666666666522</v>
      </c>
      <c r="N105" s="8">
        <f t="shared" si="21"/>
        <v>-0.15733333333333421</v>
      </c>
      <c r="O105" s="8">
        <f t="shared" si="22"/>
        <v>1.841999999999997</v>
      </c>
      <c r="P105" s="13">
        <f t="shared" si="23"/>
        <v>0.60066666666666602</v>
      </c>
      <c r="Q105" s="5">
        <f t="shared" si="24"/>
        <v>0.55148574641237369</v>
      </c>
      <c r="R105" s="8">
        <f t="shared" si="25"/>
        <v>-0.36096697260305244</v>
      </c>
      <c r="S105" s="8">
        <f t="shared" si="26"/>
        <v>1.0434497499036814</v>
      </c>
      <c r="T105" s="13">
        <f t="shared" si="27"/>
        <v>0.78803067747353051</v>
      </c>
    </row>
    <row r="106" spans="1:20" x14ac:dyDescent="0.25">
      <c r="A106" s="12">
        <v>6.5</v>
      </c>
      <c r="B106" s="8">
        <v>3</v>
      </c>
      <c r="C106" s="8">
        <v>5.8</v>
      </c>
      <c r="D106" s="7">
        <v>2.2000000000000002</v>
      </c>
      <c r="E106" s="19" t="s">
        <v>7</v>
      </c>
      <c r="M106" s="12">
        <f t="shared" si="20"/>
        <v>0.6566666666666654</v>
      </c>
      <c r="N106" s="8">
        <f t="shared" si="21"/>
        <v>-5.7333333333334124E-2</v>
      </c>
      <c r="O106" s="8">
        <f t="shared" si="22"/>
        <v>2.0419999999999972</v>
      </c>
      <c r="P106" s="13">
        <f t="shared" si="23"/>
        <v>1.0006666666666661</v>
      </c>
      <c r="Q106" s="5">
        <f t="shared" si="24"/>
        <v>0.79301235068056763</v>
      </c>
      <c r="R106" s="8">
        <f t="shared" si="25"/>
        <v>-0.13153881205026594</v>
      </c>
      <c r="S106" s="8">
        <f t="shared" si="26"/>
        <v>1.1567450539105961</v>
      </c>
      <c r="T106" s="13">
        <f t="shared" si="27"/>
        <v>1.3128013838931964</v>
      </c>
    </row>
    <row r="107" spans="1:20" x14ac:dyDescent="0.25">
      <c r="A107" s="12">
        <v>7.6</v>
      </c>
      <c r="B107" s="8">
        <v>3</v>
      </c>
      <c r="C107" s="8">
        <v>6.6</v>
      </c>
      <c r="D107" s="7">
        <v>2.1</v>
      </c>
      <c r="E107" s="19" t="s">
        <v>7</v>
      </c>
      <c r="M107" s="12">
        <f t="shared" si="20"/>
        <v>1.756666666666665</v>
      </c>
      <c r="N107" s="8">
        <f t="shared" si="21"/>
        <v>-5.7333333333334124E-2</v>
      </c>
      <c r="O107" s="8">
        <f t="shared" si="22"/>
        <v>2.841999999999997</v>
      </c>
      <c r="P107" s="13">
        <f t="shared" si="23"/>
        <v>0.90066666666666606</v>
      </c>
      <c r="Q107" s="5">
        <f t="shared" si="24"/>
        <v>2.1214086741556324</v>
      </c>
      <c r="R107" s="8">
        <f t="shared" si="25"/>
        <v>-0.13153881205026594</v>
      </c>
      <c r="S107" s="8">
        <f t="shared" si="26"/>
        <v>1.6099262699382544</v>
      </c>
      <c r="T107" s="13">
        <f t="shared" si="27"/>
        <v>1.1816087072882799</v>
      </c>
    </row>
    <row r="108" spans="1:20" x14ac:dyDescent="0.25">
      <c r="A108" s="12">
        <v>4.9000000000000004</v>
      </c>
      <c r="B108" s="8">
        <v>2.5</v>
      </c>
      <c r="C108" s="8">
        <v>4.5</v>
      </c>
      <c r="D108" s="7">
        <v>1.7</v>
      </c>
      <c r="E108" s="19" t="s">
        <v>7</v>
      </c>
      <c r="M108" s="12">
        <f t="shared" si="20"/>
        <v>-0.94333333333333425</v>
      </c>
      <c r="N108" s="8">
        <f t="shared" si="21"/>
        <v>-0.55733333333333412</v>
      </c>
      <c r="O108" s="8">
        <f t="shared" si="22"/>
        <v>0.74199999999999733</v>
      </c>
      <c r="P108" s="13">
        <f t="shared" si="23"/>
        <v>0.50066666666666593</v>
      </c>
      <c r="Q108" s="5">
        <f t="shared" si="24"/>
        <v>-1.1392004834649812</v>
      </c>
      <c r="R108" s="8">
        <f t="shared" si="25"/>
        <v>-1.2786796148141972</v>
      </c>
      <c r="S108" s="8">
        <f t="shared" si="26"/>
        <v>0.42032557786565156</v>
      </c>
      <c r="T108" s="13">
        <f t="shared" si="27"/>
        <v>0.65683800086861399</v>
      </c>
    </row>
    <row r="109" spans="1:20" x14ac:dyDescent="0.25">
      <c r="A109" s="12">
        <v>7.3</v>
      </c>
      <c r="B109" s="8">
        <v>2.9</v>
      </c>
      <c r="C109" s="8">
        <v>6.3</v>
      </c>
      <c r="D109" s="7">
        <v>1.8</v>
      </c>
      <c r="E109" s="19" t="s">
        <v>7</v>
      </c>
      <c r="M109" s="12">
        <f t="shared" si="20"/>
        <v>1.4566666666666652</v>
      </c>
      <c r="N109" s="8">
        <f t="shared" si="21"/>
        <v>-0.15733333333333421</v>
      </c>
      <c r="O109" s="8">
        <f t="shared" si="22"/>
        <v>2.5419999999999972</v>
      </c>
      <c r="P109" s="13">
        <f t="shared" si="23"/>
        <v>0.60066666666666602</v>
      </c>
      <c r="Q109" s="5">
        <f t="shared" si="24"/>
        <v>1.759118767753342</v>
      </c>
      <c r="R109" s="8">
        <f t="shared" si="25"/>
        <v>-0.36096697260305244</v>
      </c>
      <c r="S109" s="8">
        <f t="shared" si="26"/>
        <v>1.4399833139278826</v>
      </c>
      <c r="T109" s="13">
        <f t="shared" si="27"/>
        <v>0.78803067747353051</v>
      </c>
    </row>
    <row r="110" spans="1:20" x14ac:dyDescent="0.25">
      <c r="A110" s="12">
        <v>6.7</v>
      </c>
      <c r="B110" s="8">
        <v>2.5</v>
      </c>
      <c r="C110" s="8">
        <v>5.8</v>
      </c>
      <c r="D110" s="7">
        <v>1.8</v>
      </c>
      <c r="E110" s="19" t="s">
        <v>7</v>
      </c>
      <c r="M110" s="12">
        <f t="shared" si="20"/>
        <v>0.85666666666666558</v>
      </c>
      <c r="N110" s="8">
        <f t="shared" si="21"/>
        <v>-0.55733333333333412</v>
      </c>
      <c r="O110" s="8">
        <f t="shared" si="22"/>
        <v>2.0419999999999972</v>
      </c>
      <c r="P110" s="13">
        <f t="shared" si="23"/>
        <v>0.60066666666666602</v>
      </c>
      <c r="Q110" s="5">
        <f t="shared" si="24"/>
        <v>1.0345389549487614</v>
      </c>
      <c r="R110" s="8">
        <f t="shared" si="25"/>
        <v>-1.2786796148141972</v>
      </c>
      <c r="S110" s="8">
        <f t="shared" si="26"/>
        <v>1.1567450539105961</v>
      </c>
      <c r="T110" s="13">
        <f t="shared" si="27"/>
        <v>0.78803067747353051</v>
      </c>
    </row>
    <row r="111" spans="1:20" x14ac:dyDescent="0.25">
      <c r="A111" s="12">
        <v>7.2</v>
      </c>
      <c r="B111" s="8">
        <v>3.6</v>
      </c>
      <c r="C111" s="8">
        <v>6.1</v>
      </c>
      <c r="D111" s="7">
        <v>2.5</v>
      </c>
      <c r="E111" s="19" t="s">
        <v>7</v>
      </c>
      <c r="M111" s="12">
        <f t="shared" si="20"/>
        <v>1.3566666666666656</v>
      </c>
      <c r="N111" s="8">
        <f t="shared" si="21"/>
        <v>0.54266666666666596</v>
      </c>
      <c r="O111" s="8">
        <f t="shared" si="22"/>
        <v>2.341999999999997</v>
      </c>
      <c r="P111" s="13">
        <f t="shared" si="23"/>
        <v>1.300666666666666</v>
      </c>
      <c r="Q111" s="5">
        <f t="shared" si="24"/>
        <v>1.6383554656192456</v>
      </c>
      <c r="R111" s="8">
        <f t="shared" si="25"/>
        <v>1.2450301512664519</v>
      </c>
      <c r="S111" s="8">
        <f t="shared" si="26"/>
        <v>1.3266880099209679</v>
      </c>
      <c r="T111" s="13">
        <f t="shared" si="27"/>
        <v>1.7063794137079455</v>
      </c>
    </row>
    <row r="112" spans="1:20" x14ac:dyDescent="0.25">
      <c r="A112" s="12">
        <v>6.5</v>
      </c>
      <c r="B112" s="8">
        <v>3.2</v>
      </c>
      <c r="C112" s="8">
        <v>5.0999999999999996</v>
      </c>
      <c r="D112" s="7">
        <v>2</v>
      </c>
      <c r="E112" s="19" t="s">
        <v>7</v>
      </c>
      <c r="M112" s="12">
        <f t="shared" si="20"/>
        <v>0.6566666666666654</v>
      </c>
      <c r="N112" s="8">
        <f t="shared" si="21"/>
        <v>0.14266666666666605</v>
      </c>
      <c r="O112" s="8">
        <f t="shared" si="22"/>
        <v>1.341999999999997</v>
      </c>
      <c r="P112" s="13">
        <f t="shared" si="23"/>
        <v>0.80066666666666597</v>
      </c>
      <c r="Q112" s="5">
        <f t="shared" si="24"/>
        <v>0.79301235068056763</v>
      </c>
      <c r="R112" s="8">
        <f t="shared" si="25"/>
        <v>0.32731750905530699</v>
      </c>
      <c r="S112" s="8">
        <f t="shared" si="26"/>
        <v>0.76021148988639509</v>
      </c>
      <c r="T112" s="13">
        <f t="shared" si="27"/>
        <v>1.0504160306833634</v>
      </c>
    </row>
    <row r="113" spans="1:20" x14ac:dyDescent="0.25">
      <c r="A113" s="12">
        <v>6.4</v>
      </c>
      <c r="B113" s="8">
        <v>2.7</v>
      </c>
      <c r="C113" s="8">
        <v>5.3</v>
      </c>
      <c r="D113" s="7">
        <v>1.9</v>
      </c>
      <c r="E113" s="19" t="s">
        <v>7</v>
      </c>
      <c r="M113" s="12">
        <f t="shared" si="20"/>
        <v>0.55666666666666575</v>
      </c>
      <c r="N113" s="8">
        <f t="shared" si="21"/>
        <v>-0.35733333333333395</v>
      </c>
      <c r="O113" s="8">
        <f t="shared" si="22"/>
        <v>1.5419999999999972</v>
      </c>
      <c r="P113" s="13">
        <f t="shared" si="23"/>
        <v>0.70066666666666588</v>
      </c>
      <c r="Q113" s="5">
        <f t="shared" si="24"/>
        <v>0.67224904854647116</v>
      </c>
      <c r="R113" s="8">
        <f t="shared" si="25"/>
        <v>-0.81982329370862439</v>
      </c>
      <c r="S113" s="8">
        <f t="shared" si="26"/>
        <v>0.87350679389330976</v>
      </c>
      <c r="T113" s="13">
        <f t="shared" si="27"/>
        <v>0.9192233540784468</v>
      </c>
    </row>
    <row r="114" spans="1:20" x14ac:dyDescent="0.25">
      <c r="A114" s="12">
        <v>6.8</v>
      </c>
      <c r="B114" s="8">
        <v>3</v>
      </c>
      <c r="C114" s="8">
        <v>5.5</v>
      </c>
      <c r="D114" s="7">
        <v>2.1</v>
      </c>
      <c r="E114" s="19" t="s">
        <v>7</v>
      </c>
      <c r="M114" s="12">
        <f t="shared" si="20"/>
        <v>0.95666666666666522</v>
      </c>
      <c r="N114" s="8">
        <f t="shared" si="21"/>
        <v>-5.7333333333334124E-2</v>
      </c>
      <c r="O114" s="8">
        <f t="shared" si="22"/>
        <v>1.7419999999999973</v>
      </c>
      <c r="P114" s="13">
        <f t="shared" si="23"/>
        <v>0.90066666666666606</v>
      </c>
      <c r="Q114" s="5">
        <f t="shared" si="24"/>
        <v>1.1553022570828579</v>
      </c>
      <c r="R114" s="8">
        <f t="shared" si="25"/>
        <v>-0.13153881205026594</v>
      </c>
      <c r="S114" s="8">
        <f t="shared" si="26"/>
        <v>0.98680209790022444</v>
      </c>
      <c r="T114" s="13">
        <f t="shared" si="27"/>
        <v>1.1816087072882799</v>
      </c>
    </row>
    <row r="115" spans="1:20" x14ac:dyDescent="0.25">
      <c r="A115" s="12">
        <v>5.7</v>
      </c>
      <c r="B115" s="8">
        <v>2.5</v>
      </c>
      <c r="C115" s="8">
        <v>5</v>
      </c>
      <c r="D115" s="7">
        <v>2</v>
      </c>
      <c r="E115" s="19" t="s">
        <v>7</v>
      </c>
      <c r="M115" s="12">
        <f t="shared" si="20"/>
        <v>-0.14333333333333442</v>
      </c>
      <c r="N115" s="8">
        <f t="shared" si="21"/>
        <v>-0.55733333333333412</v>
      </c>
      <c r="O115" s="8">
        <f t="shared" si="22"/>
        <v>1.2419999999999973</v>
      </c>
      <c r="P115" s="13">
        <f t="shared" si="23"/>
        <v>0.80066666666666597</v>
      </c>
      <c r="Q115" s="5">
        <f t="shared" si="24"/>
        <v>-0.17309406639220676</v>
      </c>
      <c r="R115" s="8">
        <f t="shared" si="25"/>
        <v>-1.2786796148141972</v>
      </c>
      <c r="S115" s="8">
        <f t="shared" si="26"/>
        <v>0.70356383788293797</v>
      </c>
      <c r="T115" s="13">
        <f t="shared" si="27"/>
        <v>1.0504160306833634</v>
      </c>
    </row>
    <row r="116" spans="1:20" x14ac:dyDescent="0.25">
      <c r="A116" s="12">
        <v>5.8</v>
      </c>
      <c r="B116" s="8">
        <v>2.8</v>
      </c>
      <c r="C116" s="8">
        <v>5.0999999999999996</v>
      </c>
      <c r="D116" s="7">
        <v>2.4</v>
      </c>
      <c r="E116" s="19" t="s">
        <v>7</v>
      </c>
      <c r="M116" s="12">
        <f t="shared" si="20"/>
        <v>-4.3333333333334778E-2</v>
      </c>
      <c r="N116" s="8">
        <f t="shared" si="21"/>
        <v>-0.2573333333333343</v>
      </c>
      <c r="O116" s="8">
        <f t="shared" si="22"/>
        <v>1.341999999999997</v>
      </c>
      <c r="P116" s="13">
        <f t="shared" si="23"/>
        <v>1.2006666666666659</v>
      </c>
      <c r="Q116" s="5">
        <f t="shared" si="24"/>
        <v>-5.2330764258110368E-2</v>
      </c>
      <c r="R116" s="8">
        <f t="shared" si="25"/>
        <v>-0.59039513315583891</v>
      </c>
      <c r="S116" s="8">
        <f t="shared" si="26"/>
        <v>0.76021148988639509</v>
      </c>
      <c r="T116" s="13">
        <f t="shared" si="27"/>
        <v>1.575186737103029</v>
      </c>
    </row>
    <row r="117" spans="1:20" x14ac:dyDescent="0.25">
      <c r="A117" s="12">
        <v>6.4</v>
      </c>
      <c r="B117" s="8">
        <v>3.2</v>
      </c>
      <c r="C117" s="8">
        <v>5.3</v>
      </c>
      <c r="D117" s="7">
        <v>2.2999999999999998</v>
      </c>
      <c r="E117" s="19" t="s">
        <v>7</v>
      </c>
      <c r="M117" s="12">
        <f t="shared" si="20"/>
        <v>0.55666666666666575</v>
      </c>
      <c r="N117" s="8">
        <f t="shared" si="21"/>
        <v>0.14266666666666605</v>
      </c>
      <c r="O117" s="8">
        <f t="shared" si="22"/>
        <v>1.5419999999999972</v>
      </c>
      <c r="P117" s="13">
        <f t="shared" si="23"/>
        <v>1.1006666666666658</v>
      </c>
      <c r="Q117" s="5">
        <f t="shared" si="24"/>
        <v>0.67224904854647116</v>
      </c>
      <c r="R117" s="8">
        <f t="shared" si="25"/>
        <v>0.32731750905530699</v>
      </c>
      <c r="S117" s="8">
        <f t="shared" si="26"/>
        <v>0.87350679389330976</v>
      </c>
      <c r="T117" s="13">
        <f t="shared" si="27"/>
        <v>1.4439940604981123</v>
      </c>
    </row>
    <row r="118" spans="1:20" x14ac:dyDescent="0.25">
      <c r="A118" s="12">
        <v>6.5</v>
      </c>
      <c r="B118" s="8">
        <v>3</v>
      </c>
      <c r="C118" s="8">
        <v>5.5</v>
      </c>
      <c r="D118" s="7">
        <v>1.8</v>
      </c>
      <c r="E118" s="19" t="s">
        <v>7</v>
      </c>
      <c r="M118" s="12">
        <f t="shared" si="20"/>
        <v>0.6566666666666654</v>
      </c>
      <c r="N118" s="8">
        <f t="shared" si="21"/>
        <v>-5.7333333333334124E-2</v>
      </c>
      <c r="O118" s="8">
        <f t="shared" si="22"/>
        <v>1.7419999999999973</v>
      </c>
      <c r="P118" s="13">
        <f t="shared" si="23"/>
        <v>0.60066666666666602</v>
      </c>
      <c r="Q118" s="5">
        <f t="shared" si="24"/>
        <v>0.79301235068056763</v>
      </c>
      <c r="R118" s="8">
        <f t="shared" si="25"/>
        <v>-0.13153881205026594</v>
      </c>
      <c r="S118" s="8">
        <f t="shared" si="26"/>
        <v>0.98680209790022444</v>
      </c>
      <c r="T118" s="13">
        <f t="shared" si="27"/>
        <v>0.78803067747353051</v>
      </c>
    </row>
    <row r="119" spans="1:20" x14ac:dyDescent="0.25">
      <c r="A119" s="12">
        <v>7.7</v>
      </c>
      <c r="B119" s="8">
        <v>3.8</v>
      </c>
      <c r="C119" s="8">
        <v>6.7</v>
      </c>
      <c r="D119" s="7">
        <v>2.2000000000000002</v>
      </c>
      <c r="E119" s="19" t="s">
        <v>7</v>
      </c>
      <c r="M119" s="12">
        <f t="shared" si="20"/>
        <v>1.8566666666666656</v>
      </c>
      <c r="N119" s="8">
        <f t="shared" si="21"/>
        <v>0.7426666666666657</v>
      </c>
      <c r="O119" s="8">
        <f t="shared" si="22"/>
        <v>2.9419999999999975</v>
      </c>
      <c r="P119" s="13">
        <f t="shared" si="23"/>
        <v>1.0006666666666661</v>
      </c>
      <c r="Q119" s="5">
        <f t="shared" si="24"/>
        <v>2.2421719762897299</v>
      </c>
      <c r="R119" s="8">
        <f t="shared" si="25"/>
        <v>1.7038864723720237</v>
      </c>
      <c r="S119" s="8">
        <f t="shared" si="26"/>
        <v>1.6665739219417119</v>
      </c>
      <c r="T119" s="13">
        <f t="shared" si="27"/>
        <v>1.3128013838931964</v>
      </c>
    </row>
    <row r="120" spans="1:20" x14ac:dyDescent="0.25">
      <c r="A120" s="12">
        <v>7.7</v>
      </c>
      <c r="B120" s="8">
        <v>2.6</v>
      </c>
      <c r="C120" s="8">
        <v>6.9</v>
      </c>
      <c r="D120" s="7">
        <v>2.2999999999999998</v>
      </c>
      <c r="E120" s="19" t="s">
        <v>7</v>
      </c>
      <c r="M120" s="12">
        <f t="shared" si="20"/>
        <v>1.8566666666666656</v>
      </c>
      <c r="N120" s="8">
        <f t="shared" si="21"/>
        <v>-0.45733333333333404</v>
      </c>
      <c r="O120" s="8">
        <f t="shared" si="22"/>
        <v>3.1419999999999977</v>
      </c>
      <c r="P120" s="13">
        <f t="shared" si="23"/>
        <v>1.1006666666666658</v>
      </c>
      <c r="Q120" s="5">
        <f t="shared" si="24"/>
        <v>2.2421719762897299</v>
      </c>
      <c r="R120" s="8">
        <f t="shared" si="25"/>
        <v>-1.0492514542614109</v>
      </c>
      <c r="S120" s="8">
        <f t="shared" si="26"/>
        <v>1.7798692259486266</v>
      </c>
      <c r="T120" s="13">
        <f t="shared" si="27"/>
        <v>1.4439940604981123</v>
      </c>
    </row>
    <row r="121" spans="1:20" x14ac:dyDescent="0.25">
      <c r="A121" s="12">
        <v>6</v>
      </c>
      <c r="B121" s="8">
        <v>2.2000000000000002</v>
      </c>
      <c r="C121" s="8">
        <v>5</v>
      </c>
      <c r="D121" s="7">
        <v>1.5</v>
      </c>
      <c r="E121" s="19" t="s">
        <v>7</v>
      </c>
      <c r="M121" s="12">
        <f t="shared" si="20"/>
        <v>0.1566666666666654</v>
      </c>
      <c r="N121" s="8">
        <f t="shared" si="21"/>
        <v>-0.85733333333333395</v>
      </c>
      <c r="O121" s="8">
        <f t="shared" si="22"/>
        <v>1.2419999999999973</v>
      </c>
      <c r="P121" s="13">
        <f t="shared" si="23"/>
        <v>0.30066666666666597</v>
      </c>
      <c r="Q121" s="5">
        <f t="shared" si="24"/>
        <v>0.18919584001008349</v>
      </c>
      <c r="R121" s="8">
        <f t="shared" si="25"/>
        <v>-1.9669640964725557</v>
      </c>
      <c r="S121" s="8">
        <f t="shared" si="26"/>
        <v>0.70356383788293797</v>
      </c>
      <c r="T121" s="13">
        <f t="shared" si="27"/>
        <v>0.39445264765878119</v>
      </c>
    </row>
    <row r="122" spans="1:20" x14ac:dyDescent="0.25">
      <c r="A122" s="12">
        <v>6.9</v>
      </c>
      <c r="B122" s="8">
        <v>3.2</v>
      </c>
      <c r="C122" s="8">
        <v>5.7</v>
      </c>
      <c r="D122" s="7">
        <v>2.2999999999999998</v>
      </c>
      <c r="E122" s="19" t="s">
        <v>7</v>
      </c>
      <c r="M122" s="12">
        <f t="shared" si="20"/>
        <v>1.0566666666666658</v>
      </c>
      <c r="N122" s="8">
        <f t="shared" si="21"/>
        <v>0.14266666666666605</v>
      </c>
      <c r="O122" s="8">
        <f t="shared" si="22"/>
        <v>1.9419999999999975</v>
      </c>
      <c r="P122" s="13">
        <f t="shared" si="23"/>
        <v>1.1006666666666658</v>
      </c>
      <c r="Q122" s="5">
        <f t="shared" si="24"/>
        <v>1.2760655592169552</v>
      </c>
      <c r="R122" s="8">
        <f t="shared" si="25"/>
        <v>0.32731750905530699</v>
      </c>
      <c r="S122" s="8">
        <f t="shared" si="26"/>
        <v>1.1000974019071392</v>
      </c>
      <c r="T122" s="13">
        <f t="shared" si="27"/>
        <v>1.4439940604981123</v>
      </c>
    </row>
    <row r="123" spans="1:20" x14ac:dyDescent="0.25">
      <c r="A123" s="12">
        <v>5.6</v>
      </c>
      <c r="B123" s="8">
        <v>2.8</v>
      </c>
      <c r="C123" s="8">
        <v>4.9000000000000004</v>
      </c>
      <c r="D123" s="7">
        <v>2</v>
      </c>
      <c r="E123" s="19" t="s">
        <v>7</v>
      </c>
      <c r="M123" s="12">
        <f t="shared" si="20"/>
        <v>-0.24333333333333496</v>
      </c>
      <c r="N123" s="8">
        <f t="shared" si="21"/>
        <v>-0.2573333333333343</v>
      </c>
      <c r="O123" s="8">
        <f t="shared" si="22"/>
        <v>1.1419999999999977</v>
      </c>
      <c r="P123" s="13">
        <f t="shared" si="23"/>
        <v>0.80066666666666597</v>
      </c>
      <c r="Q123" s="5">
        <f t="shared" si="24"/>
        <v>-0.29385736852630423</v>
      </c>
      <c r="R123" s="8">
        <f t="shared" si="25"/>
        <v>-0.59039513315583891</v>
      </c>
      <c r="S123" s="8">
        <f t="shared" si="26"/>
        <v>0.64691618587948096</v>
      </c>
      <c r="T123" s="13">
        <f t="shared" si="27"/>
        <v>1.0504160306833634</v>
      </c>
    </row>
    <row r="124" spans="1:20" x14ac:dyDescent="0.25">
      <c r="A124" s="12">
        <v>7.7</v>
      </c>
      <c r="B124" s="8">
        <v>2.8</v>
      </c>
      <c r="C124" s="8">
        <v>6.7</v>
      </c>
      <c r="D124" s="7">
        <v>2</v>
      </c>
      <c r="E124" s="19" t="s">
        <v>7</v>
      </c>
      <c r="M124" s="12">
        <f t="shared" si="20"/>
        <v>1.8566666666666656</v>
      </c>
      <c r="N124" s="8">
        <f t="shared" si="21"/>
        <v>-0.2573333333333343</v>
      </c>
      <c r="O124" s="8">
        <f t="shared" si="22"/>
        <v>2.9419999999999975</v>
      </c>
      <c r="P124" s="13">
        <f t="shared" si="23"/>
        <v>0.80066666666666597</v>
      </c>
      <c r="Q124" s="5">
        <f t="shared" si="24"/>
        <v>2.2421719762897299</v>
      </c>
      <c r="R124" s="8">
        <f t="shared" si="25"/>
        <v>-0.59039513315583891</v>
      </c>
      <c r="S124" s="8">
        <f t="shared" si="26"/>
        <v>1.6665739219417119</v>
      </c>
      <c r="T124" s="13">
        <f t="shared" si="27"/>
        <v>1.0504160306833634</v>
      </c>
    </row>
    <row r="125" spans="1:20" x14ac:dyDescent="0.25">
      <c r="A125" s="12">
        <v>6.3</v>
      </c>
      <c r="B125" s="8">
        <v>2.7</v>
      </c>
      <c r="C125" s="8">
        <v>4.9000000000000004</v>
      </c>
      <c r="D125" s="7">
        <v>1.8</v>
      </c>
      <c r="E125" s="19" t="s">
        <v>7</v>
      </c>
      <c r="M125" s="12">
        <f t="shared" si="20"/>
        <v>0.45666666666666522</v>
      </c>
      <c r="N125" s="8">
        <f t="shared" si="21"/>
        <v>-0.35733333333333395</v>
      </c>
      <c r="O125" s="8">
        <f t="shared" si="22"/>
        <v>1.1419999999999977</v>
      </c>
      <c r="P125" s="13">
        <f t="shared" si="23"/>
        <v>0.60066666666666602</v>
      </c>
      <c r="Q125" s="5">
        <f t="shared" si="24"/>
        <v>0.55148574641237369</v>
      </c>
      <c r="R125" s="8">
        <f t="shared" si="25"/>
        <v>-0.81982329370862439</v>
      </c>
      <c r="S125" s="8">
        <f t="shared" si="26"/>
        <v>0.64691618587948096</v>
      </c>
      <c r="T125" s="13">
        <f t="shared" si="27"/>
        <v>0.78803067747353051</v>
      </c>
    </row>
    <row r="126" spans="1:20" x14ac:dyDescent="0.25">
      <c r="A126" s="12">
        <v>6.7</v>
      </c>
      <c r="B126" s="8">
        <v>3.3</v>
      </c>
      <c r="C126" s="8">
        <v>5.7</v>
      </c>
      <c r="D126" s="7">
        <v>2.1</v>
      </c>
      <c r="E126" s="19" t="s">
        <v>7</v>
      </c>
      <c r="M126" s="12">
        <f t="shared" si="20"/>
        <v>0.85666666666666558</v>
      </c>
      <c r="N126" s="8">
        <f t="shared" si="21"/>
        <v>0.2426666666666657</v>
      </c>
      <c r="O126" s="8">
        <f t="shared" si="22"/>
        <v>1.9419999999999975</v>
      </c>
      <c r="P126" s="13">
        <f t="shared" si="23"/>
        <v>0.90066666666666606</v>
      </c>
      <c r="Q126" s="5">
        <f t="shared" si="24"/>
        <v>1.0345389549487614</v>
      </c>
      <c r="R126" s="8">
        <f t="shared" si="25"/>
        <v>0.55674566960809246</v>
      </c>
      <c r="S126" s="8">
        <f t="shared" si="26"/>
        <v>1.1000974019071392</v>
      </c>
      <c r="T126" s="13">
        <f t="shared" si="27"/>
        <v>1.1816087072882799</v>
      </c>
    </row>
    <row r="127" spans="1:20" x14ac:dyDescent="0.25">
      <c r="A127" s="12">
        <v>7.2</v>
      </c>
      <c r="B127" s="8">
        <v>3.2</v>
      </c>
      <c r="C127" s="8">
        <v>6</v>
      </c>
      <c r="D127" s="7">
        <v>1.8</v>
      </c>
      <c r="E127" s="19" t="s">
        <v>7</v>
      </c>
      <c r="M127" s="12">
        <f t="shared" si="20"/>
        <v>1.3566666666666656</v>
      </c>
      <c r="N127" s="8">
        <f t="shared" si="21"/>
        <v>0.14266666666666605</v>
      </c>
      <c r="O127" s="8">
        <f t="shared" si="22"/>
        <v>2.2419999999999973</v>
      </c>
      <c r="P127" s="13">
        <f t="shared" si="23"/>
        <v>0.60066666666666602</v>
      </c>
      <c r="Q127" s="5">
        <f t="shared" si="24"/>
        <v>1.6383554656192456</v>
      </c>
      <c r="R127" s="8">
        <f t="shared" si="25"/>
        <v>0.32731750905530699</v>
      </c>
      <c r="S127" s="8">
        <f t="shared" si="26"/>
        <v>1.2700403579175108</v>
      </c>
      <c r="T127" s="13">
        <f t="shared" si="27"/>
        <v>0.78803067747353051</v>
      </c>
    </row>
    <row r="128" spans="1:20" x14ac:dyDescent="0.25">
      <c r="A128" s="12">
        <v>6.2</v>
      </c>
      <c r="B128" s="8">
        <v>2.8</v>
      </c>
      <c r="C128" s="8">
        <v>4.8</v>
      </c>
      <c r="D128" s="7">
        <v>1.8</v>
      </c>
      <c r="E128" s="19" t="s">
        <v>7</v>
      </c>
      <c r="M128" s="12">
        <f t="shared" si="20"/>
        <v>0.35666666666666558</v>
      </c>
      <c r="N128" s="8">
        <f t="shared" si="21"/>
        <v>-0.2573333333333343</v>
      </c>
      <c r="O128" s="8">
        <f t="shared" si="22"/>
        <v>1.0419999999999972</v>
      </c>
      <c r="P128" s="13">
        <f t="shared" si="23"/>
        <v>0.60066666666666602</v>
      </c>
      <c r="Q128" s="5">
        <f t="shared" si="24"/>
        <v>0.43072244427827733</v>
      </c>
      <c r="R128" s="8">
        <f t="shared" si="25"/>
        <v>-0.59039513315583891</v>
      </c>
      <c r="S128" s="8">
        <f t="shared" si="26"/>
        <v>0.59026853387602329</v>
      </c>
      <c r="T128" s="13">
        <f t="shared" si="27"/>
        <v>0.78803067747353051</v>
      </c>
    </row>
    <row r="129" spans="1:20" x14ac:dyDescent="0.25">
      <c r="A129" s="12">
        <v>6.1</v>
      </c>
      <c r="B129" s="8">
        <v>3</v>
      </c>
      <c r="C129" s="8">
        <v>4.9000000000000004</v>
      </c>
      <c r="D129" s="7">
        <v>1.8</v>
      </c>
      <c r="E129" s="19" t="s">
        <v>7</v>
      </c>
      <c r="M129" s="12">
        <f t="shared" si="20"/>
        <v>0.25666666666666504</v>
      </c>
      <c r="N129" s="8">
        <f t="shared" si="21"/>
        <v>-5.7333333333334124E-2</v>
      </c>
      <c r="O129" s="8">
        <f t="shared" si="22"/>
        <v>1.1419999999999977</v>
      </c>
      <c r="P129" s="13">
        <f t="shared" si="23"/>
        <v>0.60066666666666602</v>
      </c>
      <c r="Q129" s="5">
        <f t="shared" si="24"/>
        <v>0.30995914214417986</v>
      </c>
      <c r="R129" s="8">
        <f t="shared" si="25"/>
        <v>-0.13153881205026594</v>
      </c>
      <c r="S129" s="8">
        <f t="shared" si="26"/>
        <v>0.64691618587948096</v>
      </c>
      <c r="T129" s="13">
        <f t="shared" si="27"/>
        <v>0.78803067747353051</v>
      </c>
    </row>
    <row r="130" spans="1:20" x14ac:dyDescent="0.25">
      <c r="A130" s="12">
        <v>6.4</v>
      </c>
      <c r="B130" s="8">
        <v>2.8</v>
      </c>
      <c r="C130" s="8">
        <v>5.6</v>
      </c>
      <c r="D130" s="7">
        <v>2.1</v>
      </c>
      <c r="E130" s="19" t="s">
        <v>7</v>
      </c>
      <c r="M130" s="12">
        <f t="shared" si="20"/>
        <v>0.55666666666666575</v>
      </c>
      <c r="N130" s="8">
        <f t="shared" si="21"/>
        <v>-0.2573333333333343</v>
      </c>
      <c r="O130" s="8">
        <f t="shared" si="22"/>
        <v>1.841999999999997</v>
      </c>
      <c r="P130" s="13">
        <f t="shared" si="23"/>
        <v>0.90066666666666606</v>
      </c>
      <c r="Q130" s="5">
        <f t="shared" ref="Q130:Q151" si="28">(A130-H$3)/H$4</f>
        <v>0.67224904854647116</v>
      </c>
      <c r="R130" s="8">
        <f t="shared" ref="R130:R151" si="29">(B130-I$3)/I$4</f>
        <v>-0.59039513315583891</v>
      </c>
      <c r="S130" s="8">
        <f t="shared" ref="S130:S151" si="30">(C130-J$3)/J$4</f>
        <v>1.0434497499036814</v>
      </c>
      <c r="T130" s="13">
        <f t="shared" ref="T130:T151" si="31">(D130-K$3)/K$4</f>
        <v>1.1816087072882799</v>
      </c>
    </row>
    <row r="131" spans="1:20" x14ac:dyDescent="0.25">
      <c r="A131" s="12">
        <v>7.2</v>
      </c>
      <c r="B131" s="8">
        <v>3</v>
      </c>
      <c r="C131" s="8">
        <v>5.8</v>
      </c>
      <c r="D131" s="7">
        <v>1.6</v>
      </c>
      <c r="E131" s="19" t="s">
        <v>7</v>
      </c>
      <c r="M131" s="12">
        <f t="shared" ref="M131:M151" si="32">A131-H$3</f>
        <v>1.3566666666666656</v>
      </c>
      <c r="N131" s="8">
        <f t="shared" ref="N131:N151" si="33">B131-I$3</f>
        <v>-5.7333333333334124E-2</v>
      </c>
      <c r="O131" s="8">
        <f t="shared" ref="O131:O151" si="34">C131-J$3</f>
        <v>2.0419999999999972</v>
      </c>
      <c r="P131" s="13">
        <f t="shared" ref="P131:P151" si="35">D131-K$3</f>
        <v>0.40066666666666606</v>
      </c>
      <c r="Q131" s="5">
        <f t="shared" si="28"/>
        <v>1.6383554656192456</v>
      </c>
      <c r="R131" s="8">
        <f t="shared" si="29"/>
        <v>-0.13153881205026594</v>
      </c>
      <c r="S131" s="8">
        <f t="shared" si="30"/>
        <v>1.1567450539105961</v>
      </c>
      <c r="T131" s="13">
        <f t="shared" si="31"/>
        <v>0.5256453242636977</v>
      </c>
    </row>
    <row r="132" spans="1:20" x14ac:dyDescent="0.25">
      <c r="A132" s="12">
        <v>7.4</v>
      </c>
      <c r="B132" s="8">
        <v>2.8</v>
      </c>
      <c r="C132" s="8">
        <v>6.1</v>
      </c>
      <c r="D132" s="7">
        <v>1.9</v>
      </c>
      <c r="E132" s="19" t="s">
        <v>7</v>
      </c>
      <c r="M132" s="12">
        <f t="shared" si="32"/>
        <v>1.5566666666666658</v>
      </c>
      <c r="N132" s="8">
        <f t="shared" si="33"/>
        <v>-0.2573333333333343</v>
      </c>
      <c r="O132" s="8">
        <f t="shared" si="34"/>
        <v>2.341999999999997</v>
      </c>
      <c r="P132" s="13">
        <f t="shared" si="35"/>
        <v>0.70066666666666588</v>
      </c>
      <c r="Q132" s="5">
        <f t="shared" si="28"/>
        <v>1.8798820698874394</v>
      </c>
      <c r="R132" s="8">
        <f t="shared" si="29"/>
        <v>-0.59039513315583891</v>
      </c>
      <c r="S132" s="8">
        <f t="shared" si="30"/>
        <v>1.3266880099209679</v>
      </c>
      <c r="T132" s="13">
        <f t="shared" si="31"/>
        <v>0.9192233540784468</v>
      </c>
    </row>
    <row r="133" spans="1:20" x14ac:dyDescent="0.25">
      <c r="A133" s="12">
        <v>7.9</v>
      </c>
      <c r="B133" s="8">
        <v>3.8</v>
      </c>
      <c r="C133" s="8">
        <v>6.4</v>
      </c>
      <c r="D133" s="7">
        <v>2</v>
      </c>
      <c r="E133" s="19" t="s">
        <v>7</v>
      </c>
      <c r="M133" s="12">
        <f t="shared" si="32"/>
        <v>2.0566666666666658</v>
      </c>
      <c r="N133" s="8">
        <f t="shared" si="33"/>
        <v>0.7426666666666657</v>
      </c>
      <c r="O133" s="8">
        <f t="shared" si="34"/>
        <v>2.6419999999999977</v>
      </c>
      <c r="P133" s="13">
        <f t="shared" si="35"/>
        <v>0.80066666666666597</v>
      </c>
      <c r="Q133" s="5">
        <f t="shared" si="28"/>
        <v>2.4836985805579235</v>
      </c>
      <c r="R133" s="8">
        <f t="shared" si="29"/>
        <v>1.7038864723720237</v>
      </c>
      <c r="S133" s="8">
        <f t="shared" si="30"/>
        <v>1.4966309659313402</v>
      </c>
      <c r="T133" s="13">
        <f t="shared" si="31"/>
        <v>1.0504160306833634</v>
      </c>
    </row>
    <row r="134" spans="1:20" x14ac:dyDescent="0.25">
      <c r="A134" s="12">
        <v>6.4</v>
      </c>
      <c r="B134" s="8">
        <v>2.8</v>
      </c>
      <c r="C134" s="8">
        <v>5.6</v>
      </c>
      <c r="D134" s="7">
        <v>2.2000000000000002</v>
      </c>
      <c r="E134" s="19" t="s">
        <v>7</v>
      </c>
      <c r="M134" s="12">
        <f t="shared" si="32"/>
        <v>0.55666666666666575</v>
      </c>
      <c r="N134" s="8">
        <f t="shared" si="33"/>
        <v>-0.2573333333333343</v>
      </c>
      <c r="O134" s="8">
        <f t="shared" si="34"/>
        <v>1.841999999999997</v>
      </c>
      <c r="P134" s="13">
        <f t="shared" si="35"/>
        <v>1.0006666666666661</v>
      </c>
      <c r="Q134" s="5">
        <f t="shared" si="28"/>
        <v>0.67224904854647116</v>
      </c>
      <c r="R134" s="8">
        <f t="shared" si="29"/>
        <v>-0.59039513315583891</v>
      </c>
      <c r="S134" s="8">
        <f t="shared" si="30"/>
        <v>1.0434497499036814</v>
      </c>
      <c r="T134" s="13">
        <f t="shared" si="31"/>
        <v>1.3128013838931964</v>
      </c>
    </row>
    <row r="135" spans="1:20" x14ac:dyDescent="0.25">
      <c r="A135" s="12">
        <v>6.3</v>
      </c>
      <c r="B135" s="8">
        <v>2.8</v>
      </c>
      <c r="C135" s="8">
        <v>5.0999999999999996</v>
      </c>
      <c r="D135" s="7">
        <v>1.5</v>
      </c>
      <c r="E135" s="19" t="s">
        <v>7</v>
      </c>
      <c r="M135" s="12">
        <f t="shared" si="32"/>
        <v>0.45666666666666522</v>
      </c>
      <c r="N135" s="8">
        <f t="shared" si="33"/>
        <v>-0.2573333333333343</v>
      </c>
      <c r="O135" s="8">
        <f t="shared" si="34"/>
        <v>1.341999999999997</v>
      </c>
      <c r="P135" s="13">
        <f t="shared" si="35"/>
        <v>0.30066666666666597</v>
      </c>
      <c r="Q135" s="5">
        <f t="shared" si="28"/>
        <v>0.55148574641237369</v>
      </c>
      <c r="R135" s="8">
        <f t="shared" si="29"/>
        <v>-0.59039513315583891</v>
      </c>
      <c r="S135" s="8">
        <f t="shared" si="30"/>
        <v>0.76021148988639509</v>
      </c>
      <c r="T135" s="13">
        <f t="shared" si="31"/>
        <v>0.39445264765878119</v>
      </c>
    </row>
    <row r="136" spans="1:20" x14ac:dyDescent="0.25">
      <c r="A136" s="12">
        <v>6.1</v>
      </c>
      <c r="B136" s="8">
        <v>2.6</v>
      </c>
      <c r="C136" s="8">
        <v>5.6</v>
      </c>
      <c r="D136" s="7">
        <v>1.4</v>
      </c>
      <c r="E136" s="19" t="s">
        <v>7</v>
      </c>
      <c r="M136" s="12">
        <f t="shared" si="32"/>
        <v>0.25666666666666504</v>
      </c>
      <c r="N136" s="8">
        <f t="shared" si="33"/>
        <v>-0.45733333333333404</v>
      </c>
      <c r="O136" s="8">
        <f t="shared" si="34"/>
        <v>1.841999999999997</v>
      </c>
      <c r="P136" s="13">
        <f t="shared" si="35"/>
        <v>0.20066666666666588</v>
      </c>
      <c r="Q136" s="5">
        <f t="shared" si="28"/>
        <v>0.30995914214417986</v>
      </c>
      <c r="R136" s="8">
        <f t="shared" si="29"/>
        <v>-1.0492514542614109</v>
      </c>
      <c r="S136" s="8">
        <f t="shared" si="30"/>
        <v>1.0434497499036814</v>
      </c>
      <c r="T136" s="13">
        <f t="shared" si="31"/>
        <v>0.26325997105386462</v>
      </c>
    </row>
    <row r="137" spans="1:20" x14ac:dyDescent="0.25">
      <c r="A137" s="12">
        <v>7.7</v>
      </c>
      <c r="B137" s="8">
        <v>3</v>
      </c>
      <c r="C137" s="8">
        <v>6.1</v>
      </c>
      <c r="D137" s="7">
        <v>2.2999999999999998</v>
      </c>
      <c r="E137" s="19" t="s">
        <v>7</v>
      </c>
      <c r="M137" s="12">
        <f t="shared" si="32"/>
        <v>1.8566666666666656</v>
      </c>
      <c r="N137" s="8">
        <f t="shared" si="33"/>
        <v>-5.7333333333334124E-2</v>
      </c>
      <c r="O137" s="8">
        <f t="shared" si="34"/>
        <v>2.341999999999997</v>
      </c>
      <c r="P137" s="13">
        <f t="shared" si="35"/>
        <v>1.1006666666666658</v>
      </c>
      <c r="Q137" s="5">
        <f t="shared" si="28"/>
        <v>2.2421719762897299</v>
      </c>
      <c r="R137" s="8">
        <f t="shared" si="29"/>
        <v>-0.13153881205026594</v>
      </c>
      <c r="S137" s="8">
        <f t="shared" si="30"/>
        <v>1.3266880099209679</v>
      </c>
      <c r="T137" s="13">
        <f t="shared" si="31"/>
        <v>1.4439940604981123</v>
      </c>
    </row>
    <row r="138" spans="1:20" x14ac:dyDescent="0.25">
      <c r="A138" s="12">
        <v>6.3</v>
      </c>
      <c r="B138" s="8">
        <v>3.4</v>
      </c>
      <c r="C138" s="8">
        <v>5.6</v>
      </c>
      <c r="D138" s="7">
        <v>2.4</v>
      </c>
      <c r="E138" s="19" t="s">
        <v>7</v>
      </c>
      <c r="M138" s="12">
        <f t="shared" si="32"/>
        <v>0.45666666666666522</v>
      </c>
      <c r="N138" s="8">
        <f t="shared" si="33"/>
        <v>0.34266666666666579</v>
      </c>
      <c r="O138" s="8">
        <f t="shared" si="34"/>
        <v>1.841999999999997</v>
      </c>
      <c r="P138" s="13">
        <f t="shared" si="35"/>
        <v>1.2006666666666659</v>
      </c>
      <c r="Q138" s="5">
        <f t="shared" si="28"/>
        <v>0.55148574641237369</v>
      </c>
      <c r="R138" s="8">
        <f t="shared" si="29"/>
        <v>0.78617383016087894</v>
      </c>
      <c r="S138" s="8">
        <f t="shared" si="30"/>
        <v>1.0434497499036814</v>
      </c>
      <c r="T138" s="13">
        <f t="shared" si="31"/>
        <v>1.575186737103029</v>
      </c>
    </row>
    <row r="139" spans="1:20" x14ac:dyDescent="0.25">
      <c r="A139" s="12">
        <v>6.4</v>
      </c>
      <c r="B139" s="8">
        <v>3.1</v>
      </c>
      <c r="C139" s="8">
        <v>5.5</v>
      </c>
      <c r="D139" s="7">
        <v>1.8</v>
      </c>
      <c r="E139" s="19" t="s">
        <v>7</v>
      </c>
      <c r="M139" s="12">
        <f t="shared" si="32"/>
        <v>0.55666666666666575</v>
      </c>
      <c r="N139" s="8">
        <f t="shared" si="33"/>
        <v>4.2666666666665964E-2</v>
      </c>
      <c r="O139" s="8">
        <f t="shared" si="34"/>
        <v>1.7419999999999973</v>
      </c>
      <c r="P139" s="13">
        <f t="shared" si="35"/>
        <v>0.60066666666666602</v>
      </c>
      <c r="Q139" s="5">
        <f t="shared" si="28"/>
        <v>0.67224904854647116</v>
      </c>
      <c r="R139" s="8">
        <f t="shared" si="29"/>
        <v>9.7889348502520526E-2</v>
      </c>
      <c r="S139" s="8">
        <f t="shared" si="30"/>
        <v>0.98680209790022444</v>
      </c>
      <c r="T139" s="13">
        <f t="shared" si="31"/>
        <v>0.78803067747353051</v>
      </c>
    </row>
    <row r="140" spans="1:20" x14ac:dyDescent="0.25">
      <c r="A140" s="12">
        <v>6</v>
      </c>
      <c r="B140" s="8">
        <v>3</v>
      </c>
      <c r="C140" s="8">
        <v>4.8</v>
      </c>
      <c r="D140" s="7">
        <v>1.8</v>
      </c>
      <c r="E140" s="19" t="s">
        <v>7</v>
      </c>
      <c r="M140" s="12">
        <f t="shared" si="32"/>
        <v>0.1566666666666654</v>
      </c>
      <c r="N140" s="8">
        <f t="shared" si="33"/>
        <v>-5.7333333333334124E-2</v>
      </c>
      <c r="O140" s="8">
        <f t="shared" si="34"/>
        <v>1.0419999999999972</v>
      </c>
      <c r="P140" s="13">
        <f t="shared" si="35"/>
        <v>0.60066666666666602</v>
      </c>
      <c r="Q140" s="5">
        <f t="shared" si="28"/>
        <v>0.18919584001008349</v>
      </c>
      <c r="R140" s="8">
        <f t="shared" si="29"/>
        <v>-0.13153881205026594</v>
      </c>
      <c r="S140" s="8">
        <f t="shared" si="30"/>
        <v>0.59026853387602329</v>
      </c>
      <c r="T140" s="13">
        <f t="shared" si="31"/>
        <v>0.78803067747353051</v>
      </c>
    </row>
    <row r="141" spans="1:20" x14ac:dyDescent="0.25">
      <c r="A141" s="12">
        <v>6.9</v>
      </c>
      <c r="B141" s="8">
        <v>3.1</v>
      </c>
      <c r="C141" s="8">
        <v>5.4</v>
      </c>
      <c r="D141" s="7">
        <v>2.1</v>
      </c>
      <c r="E141" s="19" t="s">
        <v>7</v>
      </c>
      <c r="M141" s="12">
        <f t="shared" si="32"/>
        <v>1.0566666666666658</v>
      </c>
      <c r="N141" s="8">
        <f t="shared" si="33"/>
        <v>4.2666666666665964E-2</v>
      </c>
      <c r="O141" s="8">
        <f t="shared" si="34"/>
        <v>1.6419999999999977</v>
      </c>
      <c r="P141" s="13">
        <f t="shared" si="35"/>
        <v>0.90066666666666606</v>
      </c>
      <c r="Q141" s="5">
        <f t="shared" si="28"/>
        <v>1.2760655592169552</v>
      </c>
      <c r="R141" s="8">
        <f t="shared" si="29"/>
        <v>9.7889348502520526E-2</v>
      </c>
      <c r="S141" s="8">
        <f t="shared" si="30"/>
        <v>0.93015444589676732</v>
      </c>
      <c r="T141" s="13">
        <f t="shared" si="31"/>
        <v>1.1816087072882799</v>
      </c>
    </row>
    <row r="142" spans="1:20" x14ac:dyDescent="0.25">
      <c r="A142" s="12">
        <v>6.7</v>
      </c>
      <c r="B142" s="8">
        <v>3.1</v>
      </c>
      <c r="C142" s="8">
        <v>5.6</v>
      </c>
      <c r="D142" s="7">
        <v>2.4</v>
      </c>
      <c r="E142" s="19" t="s">
        <v>7</v>
      </c>
      <c r="M142" s="12">
        <f t="shared" si="32"/>
        <v>0.85666666666666558</v>
      </c>
      <c r="N142" s="8">
        <f t="shared" si="33"/>
        <v>4.2666666666665964E-2</v>
      </c>
      <c r="O142" s="8">
        <f t="shared" si="34"/>
        <v>1.841999999999997</v>
      </c>
      <c r="P142" s="13">
        <f t="shared" si="35"/>
        <v>1.2006666666666659</v>
      </c>
      <c r="Q142" s="5">
        <f t="shared" si="28"/>
        <v>1.0345389549487614</v>
      </c>
      <c r="R142" s="8">
        <f t="shared" si="29"/>
        <v>9.7889348502520526E-2</v>
      </c>
      <c r="S142" s="8">
        <f t="shared" si="30"/>
        <v>1.0434497499036814</v>
      </c>
      <c r="T142" s="13">
        <f t="shared" si="31"/>
        <v>1.575186737103029</v>
      </c>
    </row>
    <row r="143" spans="1:20" x14ac:dyDescent="0.25">
      <c r="A143" s="12">
        <v>6.9</v>
      </c>
      <c r="B143" s="8">
        <v>3.1</v>
      </c>
      <c r="C143" s="8">
        <v>5.0999999999999996</v>
      </c>
      <c r="D143" s="7">
        <v>2.2999999999999998</v>
      </c>
      <c r="E143" s="19" t="s">
        <v>7</v>
      </c>
      <c r="M143" s="12">
        <f t="shared" si="32"/>
        <v>1.0566666666666658</v>
      </c>
      <c r="N143" s="8">
        <f t="shared" si="33"/>
        <v>4.2666666666665964E-2</v>
      </c>
      <c r="O143" s="8">
        <f t="shared" si="34"/>
        <v>1.341999999999997</v>
      </c>
      <c r="P143" s="13">
        <f t="shared" si="35"/>
        <v>1.1006666666666658</v>
      </c>
      <c r="Q143" s="5">
        <f t="shared" si="28"/>
        <v>1.2760655592169552</v>
      </c>
      <c r="R143" s="8">
        <f t="shared" si="29"/>
        <v>9.7889348502520526E-2</v>
      </c>
      <c r="S143" s="8">
        <f t="shared" si="30"/>
        <v>0.76021148988639509</v>
      </c>
      <c r="T143" s="13">
        <f t="shared" si="31"/>
        <v>1.4439940604981123</v>
      </c>
    </row>
    <row r="144" spans="1:20" x14ac:dyDescent="0.25">
      <c r="A144" s="12">
        <v>5.8</v>
      </c>
      <c r="B144" s="8">
        <v>2.7</v>
      </c>
      <c r="C144" s="8">
        <v>5.0999999999999996</v>
      </c>
      <c r="D144" s="7">
        <v>1.9</v>
      </c>
      <c r="E144" s="19" t="s">
        <v>7</v>
      </c>
      <c r="M144" s="12">
        <f t="shared" si="32"/>
        <v>-4.3333333333334778E-2</v>
      </c>
      <c r="N144" s="8">
        <f t="shared" si="33"/>
        <v>-0.35733333333333395</v>
      </c>
      <c r="O144" s="8">
        <f t="shared" si="34"/>
        <v>1.341999999999997</v>
      </c>
      <c r="P144" s="13">
        <f t="shared" si="35"/>
        <v>0.70066666666666588</v>
      </c>
      <c r="Q144" s="5">
        <f t="shared" si="28"/>
        <v>-5.2330764258110368E-2</v>
      </c>
      <c r="R144" s="8">
        <f t="shared" si="29"/>
        <v>-0.81982329370862439</v>
      </c>
      <c r="S144" s="8">
        <f t="shared" si="30"/>
        <v>0.76021148988639509</v>
      </c>
      <c r="T144" s="13">
        <f t="shared" si="31"/>
        <v>0.9192233540784468</v>
      </c>
    </row>
    <row r="145" spans="1:20" x14ac:dyDescent="0.25">
      <c r="A145" s="12">
        <v>6.8</v>
      </c>
      <c r="B145" s="8">
        <v>3.2</v>
      </c>
      <c r="C145" s="8">
        <v>5.9</v>
      </c>
      <c r="D145" s="7">
        <v>2.2999999999999998</v>
      </c>
      <c r="E145" s="19" t="s">
        <v>7</v>
      </c>
      <c r="M145" s="12">
        <f t="shared" si="32"/>
        <v>0.95666666666666522</v>
      </c>
      <c r="N145" s="8">
        <f t="shared" si="33"/>
        <v>0.14266666666666605</v>
      </c>
      <c r="O145" s="8">
        <f t="shared" si="34"/>
        <v>2.1419999999999977</v>
      </c>
      <c r="P145" s="13">
        <f t="shared" si="35"/>
        <v>1.1006666666666658</v>
      </c>
      <c r="Q145" s="5">
        <f t="shared" si="28"/>
        <v>1.1553022570828579</v>
      </c>
      <c r="R145" s="8">
        <f t="shared" si="29"/>
        <v>0.32731750905530699</v>
      </c>
      <c r="S145" s="8">
        <f t="shared" si="30"/>
        <v>1.2133927059140539</v>
      </c>
      <c r="T145" s="13">
        <f t="shared" si="31"/>
        <v>1.4439940604981123</v>
      </c>
    </row>
    <row r="146" spans="1:20" x14ac:dyDescent="0.25">
      <c r="A146" s="12">
        <v>6.7</v>
      </c>
      <c r="B146" s="8">
        <v>3.3</v>
      </c>
      <c r="C146" s="8">
        <v>5.7</v>
      </c>
      <c r="D146" s="7">
        <v>2.5</v>
      </c>
      <c r="E146" s="19" t="s">
        <v>7</v>
      </c>
      <c r="M146" s="12">
        <f t="shared" si="32"/>
        <v>0.85666666666666558</v>
      </c>
      <c r="N146" s="8">
        <f t="shared" si="33"/>
        <v>0.2426666666666657</v>
      </c>
      <c r="O146" s="8">
        <f t="shared" si="34"/>
        <v>1.9419999999999975</v>
      </c>
      <c r="P146" s="13">
        <f t="shared" si="35"/>
        <v>1.300666666666666</v>
      </c>
      <c r="Q146" s="5">
        <f t="shared" si="28"/>
        <v>1.0345389549487614</v>
      </c>
      <c r="R146" s="8">
        <f t="shared" si="29"/>
        <v>0.55674566960809246</v>
      </c>
      <c r="S146" s="8">
        <f t="shared" si="30"/>
        <v>1.1000974019071392</v>
      </c>
      <c r="T146" s="13">
        <f t="shared" si="31"/>
        <v>1.7063794137079455</v>
      </c>
    </row>
    <row r="147" spans="1:20" x14ac:dyDescent="0.25">
      <c r="A147" s="12">
        <v>6.7</v>
      </c>
      <c r="B147" s="8">
        <v>3</v>
      </c>
      <c r="C147" s="8">
        <v>5.2</v>
      </c>
      <c r="D147" s="7">
        <v>2.2999999999999998</v>
      </c>
      <c r="E147" s="19" t="s">
        <v>7</v>
      </c>
      <c r="M147" s="12">
        <f t="shared" si="32"/>
        <v>0.85666666666666558</v>
      </c>
      <c r="N147" s="8">
        <f t="shared" si="33"/>
        <v>-5.7333333333334124E-2</v>
      </c>
      <c r="O147" s="8">
        <f t="shared" si="34"/>
        <v>1.4419999999999975</v>
      </c>
      <c r="P147" s="13">
        <f t="shared" si="35"/>
        <v>1.1006666666666658</v>
      </c>
      <c r="Q147" s="5">
        <f t="shared" si="28"/>
        <v>1.0345389549487614</v>
      </c>
      <c r="R147" s="8">
        <f t="shared" si="29"/>
        <v>-0.13153881205026594</v>
      </c>
      <c r="S147" s="8">
        <f t="shared" si="30"/>
        <v>0.81685914188985265</v>
      </c>
      <c r="T147" s="13">
        <f t="shared" si="31"/>
        <v>1.4439940604981123</v>
      </c>
    </row>
    <row r="148" spans="1:20" x14ac:dyDescent="0.25">
      <c r="A148" s="12">
        <v>6.3</v>
      </c>
      <c r="B148" s="8">
        <v>2.5</v>
      </c>
      <c r="C148" s="8">
        <v>5</v>
      </c>
      <c r="D148" s="7">
        <v>1.9</v>
      </c>
      <c r="E148" s="19" t="s">
        <v>7</v>
      </c>
      <c r="M148" s="12">
        <f t="shared" si="32"/>
        <v>0.45666666666666522</v>
      </c>
      <c r="N148" s="8">
        <f t="shared" si="33"/>
        <v>-0.55733333333333412</v>
      </c>
      <c r="O148" s="8">
        <f t="shared" si="34"/>
        <v>1.2419999999999973</v>
      </c>
      <c r="P148" s="13">
        <f t="shared" si="35"/>
        <v>0.70066666666666588</v>
      </c>
      <c r="Q148" s="5">
        <f t="shared" si="28"/>
        <v>0.55148574641237369</v>
      </c>
      <c r="R148" s="8">
        <f t="shared" si="29"/>
        <v>-1.2786796148141972</v>
      </c>
      <c r="S148" s="8">
        <f t="shared" si="30"/>
        <v>0.70356383788293797</v>
      </c>
      <c r="T148" s="13">
        <f t="shared" si="31"/>
        <v>0.9192233540784468</v>
      </c>
    </row>
    <row r="149" spans="1:20" x14ac:dyDescent="0.25">
      <c r="A149" s="12">
        <v>6.5</v>
      </c>
      <c r="B149" s="8">
        <v>3</v>
      </c>
      <c r="C149" s="8">
        <v>5.2</v>
      </c>
      <c r="D149" s="7">
        <v>2</v>
      </c>
      <c r="E149" s="19" t="s">
        <v>7</v>
      </c>
      <c r="M149" s="12">
        <f t="shared" si="32"/>
        <v>0.6566666666666654</v>
      </c>
      <c r="N149" s="8">
        <f t="shared" si="33"/>
        <v>-5.7333333333334124E-2</v>
      </c>
      <c r="O149" s="8">
        <f t="shared" si="34"/>
        <v>1.4419999999999975</v>
      </c>
      <c r="P149" s="13">
        <f t="shared" si="35"/>
        <v>0.80066666666666597</v>
      </c>
      <c r="Q149" s="5">
        <f t="shared" si="28"/>
        <v>0.79301235068056763</v>
      </c>
      <c r="R149" s="8">
        <f t="shared" si="29"/>
        <v>-0.13153881205026594</v>
      </c>
      <c r="S149" s="8">
        <f t="shared" si="30"/>
        <v>0.81685914188985265</v>
      </c>
      <c r="T149" s="13">
        <f t="shared" si="31"/>
        <v>1.0504160306833634</v>
      </c>
    </row>
    <row r="150" spans="1:20" x14ac:dyDescent="0.25">
      <c r="A150" s="12">
        <v>6.2</v>
      </c>
      <c r="B150" s="8">
        <v>3.4</v>
      </c>
      <c r="C150" s="8">
        <v>5.4</v>
      </c>
      <c r="D150" s="7">
        <v>2.2999999999999998</v>
      </c>
      <c r="E150" s="19" t="s">
        <v>7</v>
      </c>
      <c r="M150" s="12">
        <f t="shared" si="32"/>
        <v>0.35666666666666558</v>
      </c>
      <c r="N150" s="8">
        <f t="shared" si="33"/>
        <v>0.34266666666666579</v>
      </c>
      <c r="O150" s="8">
        <f t="shared" si="34"/>
        <v>1.6419999999999977</v>
      </c>
      <c r="P150" s="13">
        <f t="shared" si="35"/>
        <v>1.1006666666666658</v>
      </c>
      <c r="Q150" s="5">
        <f t="shared" si="28"/>
        <v>0.43072244427827733</v>
      </c>
      <c r="R150" s="8">
        <f t="shared" si="29"/>
        <v>0.78617383016087894</v>
      </c>
      <c r="S150" s="8">
        <f t="shared" si="30"/>
        <v>0.93015444589676732</v>
      </c>
      <c r="T150" s="13">
        <f t="shared" si="31"/>
        <v>1.4439940604981123</v>
      </c>
    </row>
    <row r="151" spans="1:20" ht="15.75" thickBot="1" x14ac:dyDescent="0.3">
      <c r="A151" s="14">
        <v>5.9</v>
      </c>
      <c r="B151" s="15">
        <v>3</v>
      </c>
      <c r="C151" s="15">
        <v>5.0999999999999996</v>
      </c>
      <c r="D151" s="18">
        <v>1.8</v>
      </c>
      <c r="E151" s="20" t="s">
        <v>7</v>
      </c>
      <c r="M151" s="14">
        <f t="shared" si="32"/>
        <v>5.6666666666665755E-2</v>
      </c>
      <c r="N151" s="15">
        <f t="shared" si="33"/>
        <v>-5.7333333333334124E-2</v>
      </c>
      <c r="O151" s="15">
        <f t="shared" si="34"/>
        <v>1.341999999999997</v>
      </c>
      <c r="P151" s="16">
        <f t="shared" si="35"/>
        <v>0.60066666666666602</v>
      </c>
      <c r="Q151" s="23">
        <f t="shared" si="28"/>
        <v>6.843253787598709E-2</v>
      </c>
      <c r="R151" s="15">
        <f t="shared" si="29"/>
        <v>-0.13153881205026594</v>
      </c>
      <c r="S151" s="15">
        <f t="shared" si="30"/>
        <v>0.76021148988639509</v>
      </c>
      <c r="T151" s="16">
        <f t="shared" si="31"/>
        <v>0.78803067747353051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/>
  <dimension ref="A1:P151"/>
  <sheetViews>
    <sheetView workbookViewId="0">
      <selection activeCell="H22" sqref="H22"/>
    </sheetView>
  </sheetViews>
  <sheetFormatPr defaultRowHeight="15" x14ac:dyDescent="0.25"/>
  <cols>
    <col min="1" max="4" width="9.140625" style="1"/>
    <col min="5" max="5" width="9.7109375" style="1" bestFit="1" customWidth="1"/>
    <col min="6" max="6" width="9.140625" style="1"/>
    <col min="7" max="10" width="13.7109375" style="1" bestFit="1" customWidth="1"/>
    <col min="11" max="11" width="9.140625" style="1"/>
    <col min="13" max="16" width="9.140625" style="1"/>
  </cols>
  <sheetData>
    <row r="1" spans="1:16" ht="15.75" thickBot="1" x14ac:dyDescent="0.3">
      <c r="A1" s="27" t="s">
        <v>8</v>
      </c>
      <c r="B1" s="10" t="s">
        <v>9</v>
      </c>
      <c r="C1" s="10" t="s">
        <v>10</v>
      </c>
      <c r="D1" s="17" t="s">
        <v>11</v>
      </c>
      <c r="E1" s="4" t="s">
        <v>4</v>
      </c>
      <c r="G1" s="30" t="s">
        <v>14</v>
      </c>
      <c r="H1" s="30">
        <f>COUNT(A:A)</f>
        <v>150</v>
      </c>
      <c r="M1" s="27" t="s">
        <v>20</v>
      </c>
      <c r="N1" s="10" t="s">
        <v>21</v>
      </c>
      <c r="O1" s="10" t="s">
        <v>22</v>
      </c>
      <c r="P1" s="11" t="s">
        <v>23</v>
      </c>
    </row>
    <row r="2" spans="1:16" ht="15.75" thickBot="1" x14ac:dyDescent="0.3">
      <c r="A2" s="25">
        <v>-0.74333333333333496</v>
      </c>
      <c r="B2" s="8">
        <v>0.44266666666666588</v>
      </c>
      <c r="C2" s="8">
        <v>-2.3580000000000028</v>
      </c>
      <c r="D2" s="7">
        <v>-0.99933333333333407</v>
      </c>
      <c r="E2" s="19" t="s">
        <v>5</v>
      </c>
      <c r="M2" s="25">
        <f t="array" ref="M2:P2">MMULT(A2:D2,$G$11:$J$14)</f>
        <v>-2.6841256259695365</v>
      </c>
      <c r="N2" s="8">
        <v>0.31939724658510082</v>
      </c>
      <c r="O2" s="8">
        <v>2.7914827589413993E-2</v>
      </c>
      <c r="P2" s="13">
        <v>2.2624370713160147E-3</v>
      </c>
    </row>
    <row r="3" spans="1:16" ht="16.5" thickTop="1" thickBot="1" x14ac:dyDescent="0.3">
      <c r="A3" s="25">
        <v>-0.94333333333333425</v>
      </c>
      <c r="B3" s="8">
        <v>-5.7333333333334124E-2</v>
      </c>
      <c r="C3" s="8">
        <v>-2.3580000000000028</v>
      </c>
      <c r="D3" s="7">
        <v>-0.99933333333333407</v>
      </c>
      <c r="E3" s="19" t="s">
        <v>5</v>
      </c>
      <c r="G3" s="29" t="s">
        <v>15</v>
      </c>
      <c r="M3" s="25">
        <f t="array" ref="M3:P3">MMULT(A3:D3,$G$11:$J$14)</f>
        <v>-2.7141416872943256</v>
      </c>
      <c r="N3" s="8">
        <v>-0.17700122506478025</v>
      </c>
      <c r="O3" s="8">
        <v>0.21046427237824439</v>
      </c>
      <c r="P3" s="13">
        <v>9.9026550323586759E-2</v>
      </c>
    </row>
    <row r="4" spans="1:16" ht="15.75" thickTop="1" x14ac:dyDescent="0.25">
      <c r="A4" s="25">
        <v>-1.1433333333333344</v>
      </c>
      <c r="B4" s="8">
        <v>0.14266666666666605</v>
      </c>
      <c r="C4" s="8">
        <v>-2.4580000000000028</v>
      </c>
      <c r="D4" s="7">
        <v>-0.99933333333333407</v>
      </c>
      <c r="E4" s="19" t="s">
        <v>5</v>
      </c>
      <c r="G4" s="28">
        <f t="array" ref="G4:J7">MMULT(TRANSPOSE(A2:D151),A2:D151)/(H1-1)</f>
        <v>0.68569351230425046</v>
      </c>
      <c r="H4" s="28">
        <v>-4.243400447427291E-2</v>
      </c>
      <c r="I4" s="28">
        <v>1.2743154362416103</v>
      </c>
      <c r="J4" s="28">
        <v>0.51627069351230437</v>
      </c>
      <c r="M4" s="25">
        <f t="array" ref="M4:P4">MMULT(A4:D4,$G$11:$J$14)</f>
        <v>-2.8889905690592963</v>
      </c>
      <c r="N4" s="8">
        <v>-0.14494942608555769</v>
      </c>
      <c r="O4" s="8">
        <v>-1.7900256320889874E-2</v>
      </c>
      <c r="P4" s="13">
        <v>1.9968389709029033E-2</v>
      </c>
    </row>
    <row r="5" spans="1:16" x14ac:dyDescent="0.25">
      <c r="A5" s="25">
        <v>-1.243333333333335</v>
      </c>
      <c r="B5" s="8">
        <v>4.2666666666665964E-2</v>
      </c>
      <c r="C5" s="8">
        <v>-2.2580000000000027</v>
      </c>
      <c r="D5" s="7">
        <v>-0.99933333333333407</v>
      </c>
      <c r="E5" s="19" t="s">
        <v>5</v>
      </c>
      <c r="G5" s="28">
        <v>-4.243400447427291E-2</v>
      </c>
      <c r="H5" s="28">
        <v>0.18997941834451881</v>
      </c>
      <c r="I5" s="28">
        <v>-0.32965637583892626</v>
      </c>
      <c r="J5" s="28">
        <v>-0.12163937360178978</v>
      </c>
      <c r="M5" s="25">
        <f t="array" ref="M5:P5">MMULT(A5:D5,$G$11:$J$14)</f>
        <v>-2.7453428556414097</v>
      </c>
      <c r="N5" s="8">
        <v>-0.31829897925191653</v>
      </c>
      <c r="O5" s="8">
        <v>-3.1559373605680729E-2</v>
      </c>
      <c r="P5" s="13">
        <v>-7.5575816613682401E-2</v>
      </c>
    </row>
    <row r="6" spans="1:16" x14ac:dyDescent="0.25">
      <c r="A6" s="25">
        <v>-0.8433333333333346</v>
      </c>
      <c r="B6" s="8">
        <v>0.54266666666666596</v>
      </c>
      <c r="C6" s="8">
        <v>-2.3580000000000028</v>
      </c>
      <c r="D6" s="7">
        <v>-0.99933333333333407</v>
      </c>
      <c r="E6" s="19" t="s">
        <v>5</v>
      </c>
      <c r="G6" s="28">
        <v>1.2743154362416103</v>
      </c>
      <c r="H6" s="28">
        <v>-0.32965637583892626</v>
      </c>
      <c r="I6" s="28">
        <v>3.1162778523489942</v>
      </c>
      <c r="J6" s="28">
        <v>1.2956093959731536</v>
      </c>
      <c r="M6" s="25">
        <f t="array" ref="M6:P6">MMULT(A6:D6,$G$11:$J$14)</f>
        <v>-2.7287165365545301</v>
      </c>
      <c r="N6" s="8">
        <v>0.32675451293491953</v>
      </c>
      <c r="O6" s="8">
        <v>-9.0079240551200979E-2</v>
      </c>
      <c r="P6" s="13">
        <v>-6.1258592585694438E-2</v>
      </c>
    </row>
    <row r="7" spans="1:16" x14ac:dyDescent="0.25">
      <c r="A7" s="25">
        <v>-0.44333333333333425</v>
      </c>
      <c r="B7" s="8">
        <v>0.84266666666666579</v>
      </c>
      <c r="C7" s="8">
        <v>-2.0580000000000025</v>
      </c>
      <c r="D7" s="7">
        <v>-0.79933333333333401</v>
      </c>
      <c r="E7" s="19" t="s">
        <v>5</v>
      </c>
      <c r="G7" s="28">
        <v>0.51627069351230437</v>
      </c>
      <c r="H7" s="28">
        <v>-0.12163937360178978</v>
      </c>
      <c r="I7" s="28">
        <v>1.2956093959731536</v>
      </c>
      <c r="J7" s="28">
        <v>0.58100626398210287</v>
      </c>
      <c r="M7" s="25">
        <f t="array" ref="M7:P7">MMULT(A7:D7,$G$11:$J$14)</f>
        <v>-2.2808596328444928</v>
      </c>
      <c r="N7" s="8">
        <v>0.74133044906291468</v>
      </c>
      <c r="O7" s="8">
        <v>-0.16867765820910452</v>
      </c>
      <c r="P7" s="13">
        <v>-2.4200857569524725E-2</v>
      </c>
    </row>
    <row r="8" spans="1:16" ht="15.75" thickBot="1" x14ac:dyDescent="0.3">
      <c r="A8" s="25">
        <v>-1.243333333333335</v>
      </c>
      <c r="B8" s="8">
        <v>0.34266666666666579</v>
      </c>
      <c r="C8" s="8">
        <v>-2.3580000000000028</v>
      </c>
      <c r="D8" s="7">
        <v>-0.89933333333333398</v>
      </c>
      <c r="E8" s="19" t="s">
        <v>5</v>
      </c>
      <c r="M8" s="25">
        <f t="array" ref="M8:P8">MMULT(A8:D8,$G$11:$J$14)</f>
        <v>-2.8205377507406091</v>
      </c>
      <c r="N8" s="8">
        <v>-8.9461384528569346E-2</v>
      </c>
      <c r="O8" s="8">
        <v>-0.25789215825561762</v>
      </c>
      <c r="P8" s="13">
        <v>-4.8143106487653742E-2</v>
      </c>
    </row>
    <row r="9" spans="1:16" ht="16.5" thickTop="1" thickBot="1" x14ac:dyDescent="0.3">
      <c r="A9" s="25">
        <v>-0.8433333333333346</v>
      </c>
      <c r="B9" s="8">
        <v>0.34266666666666579</v>
      </c>
      <c r="C9" s="8">
        <v>-2.2580000000000027</v>
      </c>
      <c r="D9" s="7">
        <v>-0.99933333333333407</v>
      </c>
      <c r="E9" s="19" t="s">
        <v>5</v>
      </c>
      <c r="G9" s="29"/>
      <c r="H9" s="29" t="s">
        <v>19</v>
      </c>
      <c r="I9" s="29"/>
      <c r="J9" s="30" t="s">
        <v>35</v>
      </c>
      <c r="M9" s="25">
        <f t="array" ref="M9:P9">MMULT(A9:D9,$G$11:$J$14)</f>
        <v>-2.6261449731466326</v>
      </c>
      <c r="N9" s="8">
        <v>0.16338495969832836</v>
      </c>
      <c r="O9" s="8">
        <v>2.1879317886719818E-2</v>
      </c>
      <c r="P9" s="13">
        <v>-4.5297870551931574E-2</v>
      </c>
    </row>
    <row r="10" spans="1:16" ht="15.75" thickTop="1" x14ac:dyDescent="0.25">
      <c r="A10" s="25">
        <v>-1.4433333333333342</v>
      </c>
      <c r="B10" s="8">
        <v>-0.15733333333333421</v>
      </c>
      <c r="C10" s="8">
        <v>-2.3580000000000028</v>
      </c>
      <c r="D10" s="7">
        <v>-0.99933333333333407</v>
      </c>
      <c r="E10" s="19" t="s">
        <v>5</v>
      </c>
      <c r="G10" s="28">
        <v>4.228241706034864</v>
      </c>
      <c r="H10" s="28">
        <v>0.24267074792863341</v>
      </c>
      <c r="I10" s="28">
        <v>7.8209500042919072E-2</v>
      </c>
      <c r="J10" s="28">
        <v>2.3835092973450399E-2</v>
      </c>
      <c r="M10" s="25">
        <f t="array" ref="M10:P10">MMULT(A10:D10,$G$11:$J$14)</f>
        <v>-2.8863827317805528</v>
      </c>
      <c r="N10" s="8">
        <v>-0.57831175418670411</v>
      </c>
      <c r="O10" s="8">
        <v>-2.0759570264779814E-2</v>
      </c>
      <c r="P10" s="13">
        <v>-2.6744735761787597E-2</v>
      </c>
    </row>
    <row r="11" spans="1:16" x14ac:dyDescent="0.25">
      <c r="A11" s="25">
        <v>-0.94333333333333425</v>
      </c>
      <c r="B11" s="8">
        <v>4.2666666666665964E-2</v>
      </c>
      <c r="C11" s="8">
        <v>-2.2580000000000027</v>
      </c>
      <c r="D11" s="7">
        <v>-1.0993333333333339</v>
      </c>
      <c r="E11" s="19" t="s">
        <v>5</v>
      </c>
      <c r="G11" s="28">
        <v>0.36138659178536842</v>
      </c>
      <c r="H11" s="28">
        <v>0.65658877128684245</v>
      </c>
      <c r="I11" s="28">
        <v>0.58202985130606555</v>
      </c>
      <c r="J11" s="28">
        <v>0.31548719290397498</v>
      </c>
      <c r="M11" s="25">
        <f t="array" ref="M11:P11">MMULT(A11:D11,$G$11:$J$14)</f>
        <v>-2.6727557978209537</v>
      </c>
      <c r="N11" s="8">
        <v>-0.11377424587411719</v>
      </c>
      <c r="O11" s="8">
        <v>0.19763272498814671</v>
      </c>
      <c r="P11" s="13">
        <v>-5.6295401268894207E-2</v>
      </c>
    </row>
    <row r="12" spans="1:16" x14ac:dyDescent="0.25">
      <c r="A12" s="25">
        <v>-0.44333333333333425</v>
      </c>
      <c r="B12" s="8">
        <v>0.64266666666666605</v>
      </c>
      <c r="C12" s="8">
        <v>-2.2580000000000027</v>
      </c>
      <c r="D12" s="7">
        <v>-0.99933333333333407</v>
      </c>
      <c r="E12" s="19" t="s">
        <v>5</v>
      </c>
      <c r="G12" s="28">
        <v>-8.4522514064568746E-2</v>
      </c>
      <c r="H12" s="28">
        <v>0.73016143478502626</v>
      </c>
      <c r="I12" s="28">
        <v>-0.59791083010008605</v>
      </c>
      <c r="J12" s="28">
        <v>-0.31972310366613105</v>
      </c>
      <c r="M12" s="25">
        <f t="array" ref="M12:P12">MMULT(A12:D12,$G$11:$J$14)</f>
        <v>-2.5069470906518556</v>
      </c>
      <c r="N12" s="8">
        <v>0.64506889864857364</v>
      </c>
      <c r="O12" s="8">
        <v>7.531800937912031E-2</v>
      </c>
      <c r="P12" s="13">
        <v>-1.5019924490180969E-2</v>
      </c>
    </row>
    <row r="13" spans="1:16" x14ac:dyDescent="0.25">
      <c r="A13" s="25">
        <v>-1.0433333333333348</v>
      </c>
      <c r="B13" s="8">
        <v>0.34266666666666579</v>
      </c>
      <c r="C13" s="8">
        <v>-2.1580000000000026</v>
      </c>
      <c r="D13" s="7">
        <v>-0.99933333333333407</v>
      </c>
      <c r="E13" s="19" t="s">
        <v>5</v>
      </c>
      <c r="G13" s="28">
        <v>0.85667060594983502</v>
      </c>
      <c r="H13" s="28">
        <v>-0.17337266279585772</v>
      </c>
      <c r="I13" s="28">
        <v>-7.6236075820963672E-2</v>
      </c>
      <c r="J13" s="28">
        <v>-0.47983898699463401</v>
      </c>
      <c r="M13" s="25">
        <f t="array" ref="M13:P13">MMULT(A13:D13,$G$11:$J$14)</f>
        <v>-2.6127552309087232</v>
      </c>
      <c r="N13" s="8">
        <v>1.4729939161373967E-2</v>
      </c>
      <c r="O13" s="8">
        <v>-0.10215025995658966</v>
      </c>
      <c r="P13" s="13">
        <v>-0.15637920783219006</v>
      </c>
    </row>
    <row r="14" spans="1:16" x14ac:dyDescent="0.25">
      <c r="A14" s="25">
        <v>-1.0433333333333348</v>
      </c>
      <c r="B14" s="8">
        <v>-5.7333333333334124E-2</v>
      </c>
      <c r="C14" s="8">
        <v>-2.3580000000000028</v>
      </c>
      <c r="D14" s="7">
        <v>-1.0993333333333339</v>
      </c>
      <c r="E14" s="19" t="s">
        <v>5</v>
      </c>
      <c r="G14" s="28">
        <v>0.35828919715155055</v>
      </c>
      <c r="H14" s="28">
        <v>-7.548101991746238E-2</v>
      </c>
      <c r="I14" s="28">
        <v>-0.545831432020075</v>
      </c>
      <c r="J14" s="28">
        <v>0.75365742526404533</v>
      </c>
      <c r="M14" s="25">
        <f t="array" ref="M14:P14">MMULT(A14:D14,$G$11:$J$14)</f>
        <v>-2.786109266188018</v>
      </c>
      <c r="N14" s="8">
        <v>-0.2351120002017186</v>
      </c>
      <c r="O14" s="8">
        <v>0.20684443044964496</v>
      </c>
      <c r="P14" s="13">
        <v>-7.8879114932153271E-3</v>
      </c>
    </row>
    <row r="15" spans="1:16" ht="15.75" thickBot="1" x14ac:dyDescent="0.3">
      <c r="A15" s="25">
        <v>-1.5433333333333348</v>
      </c>
      <c r="B15" s="8">
        <v>-5.7333333333334124E-2</v>
      </c>
      <c r="C15" s="8">
        <v>-2.6580000000000026</v>
      </c>
      <c r="D15" s="7">
        <v>-1.0993333333333339</v>
      </c>
      <c r="E15" s="19" t="s">
        <v>5</v>
      </c>
      <c r="M15" s="25">
        <f t="array" ref="M15:P15">MMULT(A15:D15,$G$11:$J$14)</f>
        <v>-3.2238037438656519</v>
      </c>
      <c r="N15" s="8">
        <v>-0.51139458700638263</v>
      </c>
      <c r="O15" s="8">
        <v>-6.1299672457098775E-2</v>
      </c>
      <c r="P15" s="13">
        <v>-2.1679811846812669E-2</v>
      </c>
    </row>
    <row r="16" spans="1:16" ht="16.5" thickTop="1" thickBot="1" x14ac:dyDescent="0.3">
      <c r="A16" s="25">
        <v>-4.3333333333334778E-2</v>
      </c>
      <c r="B16" s="8">
        <v>0.94266666666666588</v>
      </c>
      <c r="C16" s="8">
        <v>-2.5580000000000025</v>
      </c>
      <c r="D16" s="7">
        <v>-0.99933333333333407</v>
      </c>
      <c r="E16" s="19" t="s">
        <v>5</v>
      </c>
      <c r="G16" s="29" t="s">
        <v>17</v>
      </c>
      <c r="H16" s="36">
        <f>SUM(G10:J10)</f>
        <v>4.5729570469798668</v>
      </c>
      <c r="I16" s="30" t="s">
        <v>18</v>
      </c>
      <c r="J16" s="36">
        <f>G4+H5+I6+J7</f>
        <v>4.5729570469798668</v>
      </c>
      <c r="M16" s="25">
        <f t="array" ref="M16:P16">MMULT(A16:D16,$G$11:$J$14)</f>
        <v>-2.6447503899420295</v>
      </c>
      <c r="N16" s="8">
        <v>1.1787646364375755</v>
      </c>
      <c r="O16" s="8">
        <v>0.15162752361780973</v>
      </c>
      <c r="P16" s="13">
        <v>0.15920971766995984</v>
      </c>
    </row>
    <row r="17" spans="1:16" ht="15.75" thickTop="1" x14ac:dyDescent="0.25">
      <c r="A17" s="25">
        <v>-0.14333333333333442</v>
      </c>
      <c r="B17" s="8">
        <v>1.3426666666666662</v>
      </c>
      <c r="C17" s="8">
        <v>-2.2580000000000027</v>
      </c>
      <c r="D17" s="7">
        <v>-0.79933333333333401</v>
      </c>
      <c r="E17" s="19" t="s">
        <v>5</v>
      </c>
      <c r="M17" s="25">
        <f t="array" ref="M17:P17">MMULT(A17:D17,$G$11:$J$14)</f>
        <v>-2.3860390335311337</v>
      </c>
      <c r="N17" s="8">
        <v>1.3380623304006525</v>
      </c>
      <c r="O17" s="8">
        <v>-0.2777769027031356</v>
      </c>
      <c r="P17" s="13">
        <v>6.5515458675288185E-3</v>
      </c>
    </row>
    <row r="18" spans="1:16" ht="15.75" thickBot="1" x14ac:dyDescent="0.3">
      <c r="A18" s="25">
        <v>-0.44333333333333425</v>
      </c>
      <c r="B18" s="8">
        <v>0.84266666666666579</v>
      </c>
      <c r="C18" s="8">
        <v>-2.4580000000000028</v>
      </c>
      <c r="D18" s="7">
        <v>-0.79933333333333401</v>
      </c>
      <c r="E18" s="19" t="s">
        <v>5</v>
      </c>
      <c r="G18" s="122">
        <f>G10/$H$16</f>
        <v>0.92461872320172689</v>
      </c>
      <c r="H18" s="122">
        <f>H10/$H$16</f>
        <v>5.3066483117067818E-2</v>
      </c>
      <c r="I18" s="122">
        <f>I10/$H$16</f>
        <v>1.7102609807929693E-2</v>
      </c>
      <c r="J18" s="122">
        <f>J10/$H$16</f>
        <v>5.2121838732755842E-3</v>
      </c>
      <c r="M18" s="25">
        <f t="array" ref="M18:P18">MMULT(A18:D18,$G$11:$J$14)</f>
        <v>-2.6235278752244269</v>
      </c>
      <c r="N18" s="8">
        <v>0.81067951418125794</v>
      </c>
      <c r="O18" s="8">
        <v>-0.13818322788071902</v>
      </c>
      <c r="P18" s="13">
        <v>0.1677347372283291</v>
      </c>
    </row>
    <row r="19" spans="1:16" ht="15.75" thickTop="1" x14ac:dyDescent="0.25">
      <c r="A19" s="25">
        <v>-0.74333333333333496</v>
      </c>
      <c r="B19" s="8">
        <v>0.44266666666666588</v>
      </c>
      <c r="C19" s="8">
        <v>-2.3580000000000028</v>
      </c>
      <c r="D19" s="7">
        <v>-0.89933333333333398</v>
      </c>
      <c r="E19" s="19" t="s">
        <v>5</v>
      </c>
      <c r="M19" s="25">
        <f t="array" ref="M19:P19">MMULT(A19:D19,$G$11:$J$14)</f>
        <v>-2.6482967062543814</v>
      </c>
      <c r="N19" s="8">
        <v>0.31184914459335461</v>
      </c>
      <c r="O19" s="8">
        <v>-2.6668315612593529E-2</v>
      </c>
      <c r="P19" s="13">
        <v>7.7628179597720615E-2</v>
      </c>
    </row>
    <row r="20" spans="1:16" x14ac:dyDescent="0.25">
      <c r="A20" s="25">
        <v>-0.14333333333333442</v>
      </c>
      <c r="B20" s="8">
        <v>0.7426666666666657</v>
      </c>
      <c r="C20" s="8">
        <v>-2.0580000000000025</v>
      </c>
      <c r="D20" s="7">
        <v>-0.89933333333333398</v>
      </c>
      <c r="E20" s="19" t="s">
        <v>5</v>
      </c>
      <c r="H20" s="2" t="s">
        <v>20</v>
      </c>
      <c r="I20" s="2" t="s">
        <v>21</v>
      </c>
      <c r="J20" s="2" t="s">
        <v>22</v>
      </c>
      <c r="K20" s="2" t="s">
        <v>23</v>
      </c>
      <c r="M20" s="25">
        <f t="array" ref="M20:P20">MMULT(A20:D20,$G$11:$J$14)</f>
        <v>-2.1998203236175802</v>
      </c>
      <c r="N20" s="8">
        <v>0.87283903896221082</v>
      </c>
      <c r="O20" s="8">
        <v>0.12030552339473122</v>
      </c>
      <c r="P20" s="13">
        <v>2.7051868141876323E-2</v>
      </c>
    </row>
    <row r="21" spans="1:16" x14ac:dyDescent="0.25">
      <c r="A21" s="25">
        <v>-0.74333333333333496</v>
      </c>
      <c r="B21" s="8">
        <v>0.7426666666666657</v>
      </c>
      <c r="C21" s="8">
        <v>-2.2580000000000027</v>
      </c>
      <c r="D21" s="7">
        <v>-0.89933333333333398</v>
      </c>
      <c r="E21" s="19" t="s">
        <v>5</v>
      </c>
      <c r="G21" s="2" t="s">
        <v>24</v>
      </c>
      <c r="H21" s="3">
        <f>AVERAGE(M:M)</f>
        <v>-2.7844393457598924E-15</v>
      </c>
      <c r="I21" s="3">
        <f>AVERAGE(N:N)</f>
        <v>-8.7374552037999821E-16</v>
      </c>
      <c r="J21" s="3">
        <f>AVERAGE(O:O)</f>
        <v>3.4823995539075744E-16</v>
      </c>
      <c r="K21" s="3">
        <f>AVERAGE(P:P)</f>
        <v>6.0914236617766919E-16</v>
      </c>
      <c r="M21" s="25">
        <f t="array" ref="M21:P21">MMULT(A21:D21,$G$11:$J$14)</f>
        <v>-2.5879863998787682</v>
      </c>
      <c r="N21" s="8">
        <v>0.51356030874927661</v>
      </c>
      <c r="O21" s="8">
        <v>-0.2136651722247157</v>
      </c>
      <c r="P21" s="13">
        <v>-6.6272650201582017E-2</v>
      </c>
    </row>
    <row r="22" spans="1:16" x14ac:dyDescent="0.25">
      <c r="A22" s="25">
        <v>-0.44333333333333425</v>
      </c>
      <c r="B22" s="8">
        <v>0.34266666666666579</v>
      </c>
      <c r="C22" s="8">
        <v>-2.0580000000000025</v>
      </c>
      <c r="D22" s="7">
        <v>-0.99933333333333407</v>
      </c>
      <c r="E22" s="19" t="s">
        <v>5</v>
      </c>
      <c r="G22" s="2" t="s">
        <v>13</v>
      </c>
      <c r="H22" s="3">
        <f>_xlfn.STDEV.S(M:M)</f>
        <v>2.0562688798002227</v>
      </c>
      <c r="I22" s="3">
        <f>_xlfn.STDEV.S(N:N)</f>
        <v>0.49261622783728259</v>
      </c>
      <c r="J22" s="3">
        <f>_xlfn.STDEV.S(O:O)</f>
        <v>0.27965961460840111</v>
      </c>
      <c r="K22" s="3">
        <f>_xlfn.STDEV.S(P:P)</f>
        <v>0.15438618129045562</v>
      </c>
      <c r="M22" s="25">
        <f t="array" ref="M22:P22">MMULT(A22:D22,$G$11:$J$14)</f>
        <v>-2.3102562152425183</v>
      </c>
      <c r="N22" s="8">
        <v>0.39134593565389397</v>
      </c>
      <c r="O22" s="8">
        <v>0.23944404324495361</v>
      </c>
      <c r="P22" s="13">
        <v>-1.5070790789268318E-2</v>
      </c>
    </row>
    <row r="23" spans="1:16" x14ac:dyDescent="0.25">
      <c r="A23" s="25">
        <v>-0.74333333333333496</v>
      </c>
      <c r="B23" s="8">
        <v>0.64266666666666605</v>
      </c>
      <c r="C23" s="8">
        <v>-2.2580000000000027</v>
      </c>
      <c r="D23" s="7">
        <v>-0.79933333333333401</v>
      </c>
      <c r="E23" s="19" t="s">
        <v>5</v>
      </c>
      <c r="G23" s="2" t="s">
        <v>25</v>
      </c>
      <c r="H23" s="3">
        <f>_xlfn.VAR.S(M:M)</f>
        <v>4.2282417060348623</v>
      </c>
      <c r="I23" s="3">
        <f>_xlfn.VAR.S(N:N)</f>
        <v>0.24267074792863352</v>
      </c>
      <c r="J23" s="3">
        <f>_xlfn.VAR.S(O:O)</f>
        <v>7.8209500042919419E-2</v>
      </c>
      <c r="K23" s="3">
        <f>_xlfn.VAR.S(P:P)</f>
        <v>2.3835092973449427E-2</v>
      </c>
      <c r="M23" s="25">
        <f t="array" ref="M23:P23">MMULT(A23:D23,$G$11:$J$14)</f>
        <v>-2.5437052287571569</v>
      </c>
      <c r="N23" s="8">
        <v>0.43299606327902795</v>
      </c>
      <c r="O23" s="8">
        <v>-0.20845723241671466</v>
      </c>
      <c r="P23" s="13">
        <v>4.1065402691435438E-2</v>
      </c>
    </row>
    <row r="24" spans="1:16" ht="15.75" thickBot="1" x14ac:dyDescent="0.3">
      <c r="A24" s="25">
        <v>-1.243333333333335</v>
      </c>
      <c r="B24" s="8">
        <v>0.54266666666666596</v>
      </c>
      <c r="C24" s="8">
        <v>-2.7580000000000027</v>
      </c>
      <c r="D24" s="7">
        <v>-0.99933333333333407</v>
      </c>
      <c r="E24" s="19" t="s">
        <v>5</v>
      </c>
      <c r="M24" s="25">
        <f t="array" ref="M24:P24">MMULT(A24:D24,$G$11:$J$14)</f>
        <v>-3.2159394156486112</v>
      </c>
      <c r="N24" s="8">
        <v>0.1334680695385255</v>
      </c>
      <c r="O24" s="8">
        <v>-0.29239675074524207</v>
      </c>
      <c r="P24" s="13">
        <v>4.4821250505689969E-3</v>
      </c>
    </row>
    <row r="25" spans="1:16" ht="16.5" thickTop="1" thickBot="1" x14ac:dyDescent="0.3">
      <c r="A25" s="25">
        <v>-0.74333333333333496</v>
      </c>
      <c r="B25" s="8">
        <v>0.2426666666666657</v>
      </c>
      <c r="C25" s="8">
        <v>-2.0580000000000025</v>
      </c>
      <c r="D25" s="7">
        <v>-0.69933333333333403</v>
      </c>
      <c r="E25" s="19" t="s">
        <v>5</v>
      </c>
      <c r="G25" s="29" t="s">
        <v>15</v>
      </c>
      <c r="M25" s="25">
        <f t="array" ref="M25:P25">MMULT(A25:D25,$G$11:$J$14)</f>
        <v>-2.3027331822262069</v>
      </c>
      <c r="N25" s="8">
        <v>9.8708854814099412E-2</v>
      </c>
      <c r="O25" s="8">
        <v>-3.9123258742880418E-2</v>
      </c>
      <c r="P25" s="13">
        <v>0.14835258928536565</v>
      </c>
    </row>
    <row r="26" spans="1:16" ht="15.75" thickTop="1" x14ac:dyDescent="0.25">
      <c r="A26" s="25">
        <v>-1.0433333333333348</v>
      </c>
      <c r="B26" s="8">
        <v>0.34266666666666579</v>
      </c>
      <c r="C26" s="8">
        <v>-1.8580000000000028</v>
      </c>
      <c r="D26" s="7">
        <v>-0.99933333333333407</v>
      </c>
      <c r="E26" s="19" t="s">
        <v>5</v>
      </c>
      <c r="G26" s="32">
        <f t="array" ref="G26:J29">MMULT(TRANSPOSE(M2:P151),M2:P151)/(H1-1)</f>
        <v>4.2282417060348623</v>
      </c>
      <c r="H26" s="32">
        <v>2.5333948212923033E-16</v>
      </c>
      <c r="I26" s="32">
        <v>-2.6153575949223487E-16</v>
      </c>
      <c r="J26" s="32">
        <v>1.0347800170793196E-15</v>
      </c>
      <c r="M26" s="25">
        <f t="array" ref="M26:P26">MMULT(A26:D26,$G$11:$J$14)</f>
        <v>-2.3557540491237727</v>
      </c>
      <c r="N26" s="8">
        <v>-3.7281859677383317E-2</v>
      </c>
      <c r="O26" s="8">
        <v>-0.12502108270287871</v>
      </c>
      <c r="P26" s="13">
        <v>-0.30033090393058015</v>
      </c>
    </row>
    <row r="27" spans="1:16" x14ac:dyDescent="0.25">
      <c r="A27" s="25">
        <v>-0.8433333333333346</v>
      </c>
      <c r="B27" s="8">
        <v>-5.7333333333334124E-2</v>
      </c>
      <c r="C27" s="8">
        <v>-2.1580000000000026</v>
      </c>
      <c r="D27" s="7">
        <v>-0.99933333333333407</v>
      </c>
      <c r="E27" s="19" t="s">
        <v>5</v>
      </c>
      <c r="G27" s="32">
        <v>2.5333948212923033E-16</v>
      </c>
      <c r="H27" s="32">
        <v>0.24267074792863352</v>
      </c>
      <c r="I27" s="32">
        <v>-1.2014997498040704E-17</v>
      </c>
      <c r="J27" s="32">
        <v>-4.1181636773323236E-16</v>
      </c>
      <c r="M27" s="25">
        <f t="array" ref="M27:P27">MMULT(A27:D27,$G$11:$J$14)</f>
        <v>-2.5066689069258219</v>
      </c>
      <c r="N27" s="8">
        <v>-0.14601688049526793</v>
      </c>
      <c r="O27" s="8">
        <v>0.25342004234465787</v>
      </c>
      <c r="P27" s="13">
        <v>3.4607472215057333E-2</v>
      </c>
    </row>
    <row r="28" spans="1:16" x14ac:dyDescent="0.25">
      <c r="A28" s="25">
        <v>-0.8433333333333346</v>
      </c>
      <c r="B28" s="8">
        <v>0.34266666666666579</v>
      </c>
      <c r="C28" s="8">
        <v>-2.1580000000000026</v>
      </c>
      <c r="D28" s="7">
        <v>-0.79933333333333401</v>
      </c>
      <c r="E28" s="19" t="s">
        <v>5</v>
      </c>
      <c r="G28" s="32">
        <v>-2.6153575949223487E-16</v>
      </c>
      <c r="H28" s="32">
        <v>-1.2014997498040704E-17</v>
      </c>
      <c r="I28" s="32">
        <v>7.8209500042919419E-2</v>
      </c>
      <c r="J28" s="32">
        <v>8.8342830441020213E-17</v>
      </c>
      <c r="M28" s="25">
        <f t="array" ref="M28:P28">MMULT(A28:D28,$G$11:$J$14)</f>
        <v>-2.4688200731213397</v>
      </c>
      <c r="N28" s="8">
        <v>0.13095148943525006</v>
      </c>
      <c r="O28" s="8">
        <v>-9.4910576099391575E-2</v>
      </c>
      <c r="P28" s="13">
        <v>5.7449715801414114E-2</v>
      </c>
    </row>
    <row r="29" spans="1:16" x14ac:dyDescent="0.25">
      <c r="A29" s="25">
        <v>-0.64333333333333442</v>
      </c>
      <c r="B29" s="8">
        <v>0.44266666666666588</v>
      </c>
      <c r="C29" s="8">
        <v>-2.2580000000000027</v>
      </c>
      <c r="D29" s="7">
        <v>-0.99933333333333407</v>
      </c>
      <c r="E29" s="19" t="s">
        <v>5</v>
      </c>
      <c r="G29" s="32">
        <v>1.0347800170793196E-15</v>
      </c>
      <c r="H29" s="32">
        <v>-4.1181636773323236E-16</v>
      </c>
      <c r="I29" s="32">
        <v>8.8342830441020213E-17</v>
      </c>
      <c r="J29" s="32">
        <v>2.3835092973449427E-2</v>
      </c>
      <c r="M29" s="25">
        <f t="array" ref="M29:P29">MMULT(A29:D29,$G$11:$J$14)</f>
        <v>-2.5623199061960156</v>
      </c>
      <c r="N29" s="8">
        <v>0.36771885743419974</v>
      </c>
      <c r="O29" s="8">
        <v>7.8494205137924433E-2</v>
      </c>
      <c r="P29" s="13">
        <v>-1.4172742337749678E-2</v>
      </c>
    </row>
    <row r="30" spans="1:16" x14ac:dyDescent="0.25">
      <c r="A30" s="25">
        <v>-0.64333333333333442</v>
      </c>
      <c r="B30" s="8">
        <v>0.34266666666666579</v>
      </c>
      <c r="C30" s="8">
        <v>-2.3580000000000028</v>
      </c>
      <c r="D30" s="7">
        <v>-0.99933333333333407</v>
      </c>
      <c r="E30" s="19" t="s">
        <v>5</v>
      </c>
      <c r="M30" s="25">
        <f t="array" ref="M30:P30">MMULT(A30:D30,$G$11:$J$14)</f>
        <v>-2.6395347153845425</v>
      </c>
      <c r="N30" s="8">
        <v>0.31203998023528279</v>
      </c>
      <c r="O30" s="8">
        <v>0.14590889573002952</v>
      </c>
      <c r="P30" s="13">
        <v>6.57834667283268E-2</v>
      </c>
    </row>
    <row r="31" spans="1:16" x14ac:dyDescent="0.25">
      <c r="A31" s="25">
        <v>-1.1433333333333344</v>
      </c>
      <c r="B31" s="8">
        <v>0.14266666666666605</v>
      </c>
      <c r="C31" s="8">
        <v>-2.1580000000000026</v>
      </c>
      <c r="D31" s="7">
        <v>-0.99933333333333407</v>
      </c>
      <c r="E31" s="19" t="s">
        <v>5</v>
      </c>
      <c r="M31" s="25">
        <f t="array" ref="M31:P31">MMULT(A31:D31,$G$11:$J$14)</f>
        <v>-2.6319893872743458</v>
      </c>
      <c r="N31" s="8">
        <v>-0.19696122492431509</v>
      </c>
      <c r="O31" s="8">
        <v>-4.0771079067179028E-2</v>
      </c>
      <c r="P31" s="13">
        <v>-0.12398330638936139</v>
      </c>
    </row>
    <row r="32" spans="1:16" x14ac:dyDescent="0.25">
      <c r="A32" s="25">
        <v>-1.0433333333333348</v>
      </c>
      <c r="B32" s="8">
        <v>4.2666666666665964E-2</v>
      </c>
      <c r="C32" s="8">
        <v>-2.1580000000000026</v>
      </c>
      <c r="D32" s="7">
        <v>-0.99933333333333407</v>
      </c>
      <c r="E32" s="19" t="s">
        <v>5</v>
      </c>
      <c r="M32" s="25">
        <f t="array" ref="M32:P32">MMULT(A32:D32,$G$11:$J$14)</f>
        <v>-2.5873984766893523</v>
      </c>
      <c r="N32" s="8">
        <v>-0.20431849127413379</v>
      </c>
      <c r="O32" s="8">
        <v>7.7222989073436055E-2</v>
      </c>
      <c r="P32" s="13">
        <v>-6.0462276732350828E-2</v>
      </c>
    </row>
    <row r="33" spans="1:16" x14ac:dyDescent="0.25">
      <c r="A33" s="25">
        <v>-0.44333333333333425</v>
      </c>
      <c r="B33" s="8">
        <v>0.34266666666666579</v>
      </c>
      <c r="C33" s="8">
        <v>-2.2580000000000027</v>
      </c>
      <c r="D33" s="7">
        <v>-0.79933333333333401</v>
      </c>
      <c r="E33" s="19" t="s">
        <v>5</v>
      </c>
      <c r="M33" s="25">
        <f t="array" ref="M33:P33">MMULT(A33:D33,$G$11:$J$14)</f>
        <v>-2.4099324970021754</v>
      </c>
      <c r="N33" s="8">
        <v>0.41092426422957307</v>
      </c>
      <c r="O33" s="8">
        <v>0.14552497200513131</v>
      </c>
      <c r="P33" s="13">
        <v>0.23162849166246757</v>
      </c>
    </row>
    <row r="34" spans="1:16" x14ac:dyDescent="0.25">
      <c r="A34" s="25">
        <v>-0.64333333333333442</v>
      </c>
      <c r="B34" s="8">
        <v>1.0426666666666655</v>
      </c>
      <c r="C34" s="8">
        <v>-2.2580000000000027</v>
      </c>
      <c r="D34" s="7">
        <v>-1.0993333333333339</v>
      </c>
      <c r="E34" s="19" t="s">
        <v>5</v>
      </c>
      <c r="M34" s="25">
        <f t="array" ref="M34:P34">MMULT(A34:D34,$G$11:$J$14)</f>
        <v>-2.648862334349912</v>
      </c>
      <c r="N34" s="8">
        <v>0.81336382029696142</v>
      </c>
      <c r="O34" s="8">
        <v>-0.22566914972011953</v>
      </c>
      <c r="P34" s="13">
        <v>-0.28137234706383274</v>
      </c>
    </row>
    <row r="35" spans="1:16" x14ac:dyDescent="0.25">
      <c r="A35" s="25">
        <v>-0.3433333333333346</v>
      </c>
      <c r="B35" s="8">
        <v>1.1426666666666661</v>
      </c>
      <c r="C35" s="8">
        <v>-2.3580000000000028</v>
      </c>
      <c r="D35" s="7">
        <v>-0.99933333333333407</v>
      </c>
      <c r="E35" s="19" t="s">
        <v>5</v>
      </c>
      <c r="M35" s="25">
        <f t="array" ref="M35:P35">MMULT(A35:D35,$G$11:$J$14)</f>
        <v>-2.5987367491005875</v>
      </c>
      <c r="N35" s="8">
        <v>1.0931457594493568</v>
      </c>
      <c r="O35" s="8">
        <v>-0.15781081295821997</v>
      </c>
      <c r="P35" s="13">
        <v>-9.5348858333385689E-2</v>
      </c>
    </row>
    <row r="36" spans="1:16" x14ac:dyDescent="0.25">
      <c r="A36" s="25">
        <v>-0.94333333333333425</v>
      </c>
      <c r="B36" s="8">
        <v>4.2666666666665964E-2</v>
      </c>
      <c r="C36" s="8">
        <v>-2.2580000000000027</v>
      </c>
      <c r="D36" s="7">
        <v>-0.99933333333333407</v>
      </c>
      <c r="E36" s="19" t="s">
        <v>5</v>
      </c>
      <c r="M36" s="25">
        <f t="array" ref="M36:P36">MMULT(A36:D36,$G$11:$J$14)</f>
        <v>-2.6369268781057986</v>
      </c>
      <c r="N36" s="8">
        <v>-0.12132234786586341</v>
      </c>
      <c r="O36" s="8">
        <v>0.1430495817861393</v>
      </c>
      <c r="P36" s="13">
        <v>1.9070341257510282E-2</v>
      </c>
    </row>
    <row r="37" spans="1:16" x14ac:dyDescent="0.25">
      <c r="A37" s="25">
        <v>-0.8433333333333346</v>
      </c>
      <c r="B37" s="8">
        <v>0.14266666666666605</v>
      </c>
      <c r="C37" s="8">
        <v>-2.5580000000000025</v>
      </c>
      <c r="D37" s="7">
        <v>-0.99933333333333407</v>
      </c>
      <c r="E37" s="19" t="s">
        <v>5</v>
      </c>
      <c r="M37" s="25">
        <f t="array" ref="M37:P37">MMULT(A37:D37,$G$11:$J$14)</f>
        <v>-2.8662416521186693</v>
      </c>
      <c r="N37" s="8">
        <v>6.9364471580080606E-2</v>
      </c>
      <c r="O37" s="8">
        <v>0.16433230665302601</v>
      </c>
      <c r="P37" s="13">
        <v>0.16259844627968478</v>
      </c>
    </row>
    <row r="38" spans="1:16" x14ac:dyDescent="0.25">
      <c r="A38" s="25">
        <v>-0.3433333333333346</v>
      </c>
      <c r="B38" s="8">
        <v>0.44266666666666588</v>
      </c>
      <c r="C38" s="8">
        <v>-2.4580000000000028</v>
      </c>
      <c r="D38" s="7">
        <v>-0.99933333333333407</v>
      </c>
      <c r="E38" s="19" t="s">
        <v>5</v>
      </c>
      <c r="M38" s="25">
        <f t="array" ref="M38:P38">MMULT(A38:D38,$G$11:$J$14)</f>
        <v>-2.6252380498503722</v>
      </c>
      <c r="N38" s="8">
        <v>0.59937002137942386</v>
      </c>
      <c r="O38" s="8">
        <v>0.26835037569393672</v>
      </c>
      <c r="P38" s="13">
        <v>0.17644121293236981</v>
      </c>
    </row>
    <row r="39" spans="1:16" x14ac:dyDescent="0.25">
      <c r="A39" s="25">
        <v>-0.94333333333333425</v>
      </c>
      <c r="B39" s="8">
        <v>0.54266666666666596</v>
      </c>
      <c r="C39" s="8">
        <v>-2.3580000000000028</v>
      </c>
      <c r="D39" s="7">
        <v>-1.0993333333333339</v>
      </c>
      <c r="E39" s="19" t="s">
        <v>5</v>
      </c>
      <c r="M39" s="25">
        <f t="array" ref="M39:P39">MMULT(A39:D39,$G$11:$J$14)</f>
        <v>-2.800684115448222</v>
      </c>
      <c r="N39" s="8">
        <v>0.26864373779798179</v>
      </c>
      <c r="O39" s="8">
        <v>-9.3699082479799856E-2</v>
      </c>
      <c r="P39" s="13">
        <v>-0.1681730544024963</v>
      </c>
    </row>
    <row r="40" spans="1:16" x14ac:dyDescent="0.25">
      <c r="A40" s="25">
        <v>-1.4433333333333342</v>
      </c>
      <c r="B40" s="8">
        <v>-5.7333333333334124E-2</v>
      </c>
      <c r="C40" s="8">
        <v>-2.4580000000000028</v>
      </c>
      <c r="D40" s="7">
        <v>-0.99933333333333407</v>
      </c>
      <c r="E40" s="19" t="s">
        <v>5</v>
      </c>
      <c r="M40" s="25">
        <f t="array" ref="M40:P40">MMULT(A40:D40,$G$11:$J$14)</f>
        <v>-2.9805020437819931</v>
      </c>
      <c r="N40" s="8">
        <v>-0.48795834442861574</v>
      </c>
      <c r="O40" s="8">
        <v>-7.2927045692692039E-2</v>
      </c>
      <c r="P40" s="13">
        <v>-1.0733147428937051E-2</v>
      </c>
    </row>
    <row r="41" spans="1:16" x14ac:dyDescent="0.25">
      <c r="A41" s="25">
        <v>-0.74333333333333496</v>
      </c>
      <c r="B41" s="8">
        <v>0.34266666666666579</v>
      </c>
      <c r="C41" s="8">
        <v>-2.2580000000000027</v>
      </c>
      <c r="D41" s="7">
        <v>-0.99933333333333407</v>
      </c>
      <c r="E41" s="19" t="s">
        <v>5</v>
      </c>
      <c r="M41" s="25">
        <f t="array" ref="M41:P41">MMULT(A41:D41,$G$11:$J$14)</f>
        <v>-2.5900063139680958</v>
      </c>
      <c r="N41" s="8">
        <v>0.22904383682701238</v>
      </c>
      <c r="O41" s="8">
        <v>8.0082303017326273E-2</v>
      </c>
      <c r="P41" s="13">
        <v>-1.3749151261534198E-2</v>
      </c>
    </row>
    <row r="42" spans="1:16" x14ac:dyDescent="0.25">
      <c r="A42" s="25">
        <v>-0.8433333333333346</v>
      </c>
      <c r="B42" s="8">
        <v>0.44266666666666588</v>
      </c>
      <c r="C42" s="8">
        <v>-2.4580000000000028</v>
      </c>
      <c r="D42" s="7">
        <v>-0.89933333333333398</v>
      </c>
      <c r="E42" s="19" t="s">
        <v>5</v>
      </c>
      <c r="M42" s="25">
        <f t="array" ref="M42:P42">MMULT(A42:D42,$G$11:$J$14)</f>
        <v>-2.7701024260279015</v>
      </c>
      <c r="N42" s="8">
        <v>0.26352753374425641</v>
      </c>
      <c r="O42" s="8">
        <v>-7.7247693161103581E-2</v>
      </c>
      <c r="P42" s="13">
        <v>9.4063359006786862E-2</v>
      </c>
    </row>
    <row r="43" spans="1:16" x14ac:dyDescent="0.25">
      <c r="A43" s="25">
        <v>-1.3433333333333346</v>
      </c>
      <c r="B43" s="8">
        <v>-0.7573333333333343</v>
      </c>
      <c r="C43" s="8">
        <v>-2.4580000000000028</v>
      </c>
      <c r="D43" s="7">
        <v>-0.89933333333333398</v>
      </c>
      <c r="E43" s="19" t="s">
        <v>5</v>
      </c>
      <c r="M43" s="25">
        <f t="array" ref="M43:P43">MMULT(A43:D43,$G$11:$J$14)</f>
        <v>-2.8493687050431031</v>
      </c>
      <c r="N43" s="8">
        <v>-0.94096057364119623</v>
      </c>
      <c r="O43" s="8">
        <v>0.34923037730596701</v>
      </c>
      <c r="P43" s="13">
        <v>0.31998748695415669</v>
      </c>
    </row>
    <row r="44" spans="1:16" x14ac:dyDescent="0.25">
      <c r="A44" s="25">
        <v>-1.4433333333333342</v>
      </c>
      <c r="B44" s="8">
        <v>0.14266666666666605</v>
      </c>
      <c r="C44" s="8">
        <v>-2.4580000000000028</v>
      </c>
      <c r="D44" s="7">
        <v>-0.99933333333333407</v>
      </c>
      <c r="E44" s="19" t="s">
        <v>5</v>
      </c>
      <c r="M44" s="25">
        <f t="array" ref="M44:P44">MMULT(A44:D44,$G$11:$J$14)</f>
        <v>-2.9974065465949069</v>
      </c>
      <c r="N44" s="8">
        <v>-0.34192605747161031</v>
      </c>
      <c r="O44" s="8">
        <v>-0.1925092117127094</v>
      </c>
      <c r="P44" s="13">
        <v>-7.4677768162163316E-2</v>
      </c>
    </row>
    <row r="45" spans="1:16" x14ac:dyDescent="0.25">
      <c r="A45" s="25">
        <v>-0.8433333333333346</v>
      </c>
      <c r="B45" s="8">
        <v>0.44266666666666588</v>
      </c>
      <c r="C45" s="8">
        <v>-2.1580000000000026</v>
      </c>
      <c r="D45" s="7">
        <v>-0.59933333333333405</v>
      </c>
      <c r="E45" s="19" t="s">
        <v>5</v>
      </c>
      <c r="M45" s="25">
        <f t="array" ref="M45:P45">MMULT(A45:D45,$G$11:$J$14)</f>
        <v>-2.4056144850974861</v>
      </c>
      <c r="N45" s="8">
        <v>0.18887142893026029</v>
      </c>
      <c r="O45" s="8">
        <v>-0.26386794551341525</v>
      </c>
      <c r="P45" s="13">
        <v>0.17620889048760996</v>
      </c>
    </row>
    <row r="46" spans="1:16" x14ac:dyDescent="0.25">
      <c r="A46" s="25">
        <v>-0.74333333333333496</v>
      </c>
      <c r="B46" s="8">
        <v>0.7426666666666657</v>
      </c>
      <c r="C46" s="8">
        <v>-1.8580000000000028</v>
      </c>
      <c r="D46" s="7">
        <v>-0.79933333333333401</v>
      </c>
      <c r="E46" s="19" t="s">
        <v>5</v>
      </c>
      <c r="M46" s="25">
        <f t="array" ref="M46:P46">MMULT(A46:D46,$G$11:$J$14)</f>
        <v>-2.2094892377836799</v>
      </c>
      <c r="N46" s="8">
        <v>0.43666314163918729</v>
      </c>
      <c r="O46" s="8">
        <v>-0.29874274575510862</v>
      </c>
      <c r="P46" s="13">
        <v>-0.18284250247303102</v>
      </c>
    </row>
    <row r="47" spans="1:16" x14ac:dyDescent="0.25">
      <c r="A47" s="25">
        <v>-1.0433333333333348</v>
      </c>
      <c r="B47" s="8">
        <v>-5.7333333333334124E-2</v>
      </c>
      <c r="C47" s="8">
        <v>-2.3580000000000028</v>
      </c>
      <c r="D47" s="7">
        <v>-0.89933333333333398</v>
      </c>
      <c r="E47" s="19" t="s">
        <v>5</v>
      </c>
      <c r="M47" s="25">
        <f t="array" ref="M47:P47">MMULT(A47:D47,$G$11:$J$14)</f>
        <v>-2.7144514267577078</v>
      </c>
      <c r="N47" s="8">
        <v>-0.25020820418521106</v>
      </c>
      <c r="O47" s="8">
        <v>9.7678144045630022E-2</v>
      </c>
      <c r="P47" s="13">
        <v>0.14284357355959376</v>
      </c>
    </row>
    <row r="48" spans="1:16" x14ac:dyDescent="0.25">
      <c r="A48" s="25">
        <v>-0.74333333333333496</v>
      </c>
      <c r="B48" s="8">
        <v>0.7426666666666657</v>
      </c>
      <c r="C48" s="8">
        <v>-2.1580000000000026</v>
      </c>
      <c r="D48" s="7">
        <v>-0.99933333333333407</v>
      </c>
      <c r="E48" s="19" t="s">
        <v>5</v>
      </c>
      <c r="M48" s="25">
        <f t="array" ref="M48:P48">MMULT(A48:D48,$G$11:$J$14)</f>
        <v>-2.5381482589989401</v>
      </c>
      <c r="N48" s="8">
        <v>0.503771144461437</v>
      </c>
      <c r="O48" s="8">
        <v>-0.16670563660480453</v>
      </c>
      <c r="P48" s="13">
        <v>-0.18962229142745002</v>
      </c>
    </row>
    <row r="49" spans="1:16" x14ac:dyDescent="0.25">
      <c r="A49" s="25">
        <v>-1.243333333333335</v>
      </c>
      <c r="B49" s="8">
        <v>0.14266666666666605</v>
      </c>
      <c r="C49" s="8">
        <v>-2.3580000000000028</v>
      </c>
      <c r="D49" s="7">
        <v>-0.99933333333333407</v>
      </c>
      <c r="E49" s="19" t="s">
        <v>5</v>
      </c>
      <c r="M49" s="25">
        <f t="array" ref="M49:P49">MMULT(A49:D49,$G$11:$J$14)</f>
        <v>-2.8394621676428504</v>
      </c>
      <c r="N49" s="8">
        <v>-0.22794556949382808</v>
      </c>
      <c r="O49" s="8">
        <v>-8.3726849033593065E-2</v>
      </c>
      <c r="P49" s="13">
        <v>-5.9564228280832188E-2</v>
      </c>
    </row>
    <row r="50" spans="1:16" x14ac:dyDescent="0.25">
      <c r="A50" s="25">
        <v>-0.54333333333333478</v>
      </c>
      <c r="B50" s="8">
        <v>0.64266666666666605</v>
      </c>
      <c r="C50" s="8">
        <v>-2.2580000000000027</v>
      </c>
      <c r="D50" s="7">
        <v>-0.99933333333333407</v>
      </c>
      <c r="E50" s="19" t="s">
        <v>5</v>
      </c>
      <c r="M50" s="25">
        <f t="array" ref="M50:P50">MMULT(A50:D50,$G$11:$J$14)</f>
        <v>-2.5430857498303929</v>
      </c>
      <c r="N50" s="8">
        <v>0.57941002151988907</v>
      </c>
      <c r="O50" s="8">
        <v>1.7115024248513411E-2</v>
      </c>
      <c r="P50" s="13">
        <v>-4.6568643780578567E-2</v>
      </c>
    </row>
    <row r="51" spans="1:16" x14ac:dyDescent="0.25">
      <c r="A51" s="25">
        <v>-0.8433333333333346</v>
      </c>
      <c r="B51" s="8">
        <v>0.2426666666666657</v>
      </c>
      <c r="C51" s="8">
        <v>-2.3580000000000028</v>
      </c>
      <c r="D51" s="7">
        <v>-0.99933333333333407</v>
      </c>
      <c r="E51" s="19" t="s">
        <v>5</v>
      </c>
      <c r="M51" s="25">
        <f t="array" ref="M51:P51">MMULT(A51:D51,$G$11:$J$14)</f>
        <v>-2.7033597823351596</v>
      </c>
      <c r="N51" s="8">
        <v>0.10770608249941147</v>
      </c>
      <c r="O51" s="8">
        <v>8.929400847882496E-2</v>
      </c>
      <c r="P51" s="13">
        <v>3.4658338514144904E-2</v>
      </c>
    </row>
    <row r="52" spans="1:16" x14ac:dyDescent="0.25">
      <c r="A52" s="25">
        <v>1.1566666666666654</v>
      </c>
      <c r="B52" s="8">
        <v>0.14266666666666605</v>
      </c>
      <c r="C52" s="8">
        <v>0.94199999999999751</v>
      </c>
      <c r="D52" s="7">
        <v>0.20066666666666588</v>
      </c>
      <c r="E52" s="19" t="s">
        <v>6</v>
      </c>
      <c r="M52" s="25">
        <f t="array" ref="M52:P52">MMULT(A52:D52,$G$11:$J$14)</f>
        <v>1.2848256888583505</v>
      </c>
      <c r="N52" s="8">
        <v>0.68516047046730866</v>
      </c>
      <c r="O52" s="8">
        <v>0.40656802546769427</v>
      </c>
      <c r="P52" s="13">
        <v>1.8525287923269934E-2</v>
      </c>
    </row>
    <row r="53" spans="1:16" x14ac:dyDescent="0.25">
      <c r="A53" s="25">
        <v>0.55666666666666575</v>
      </c>
      <c r="B53" s="8">
        <v>0.14266666666666605</v>
      </c>
      <c r="C53" s="8">
        <v>0.74199999999999733</v>
      </c>
      <c r="D53" s="7">
        <v>0.30066666666666597</v>
      </c>
      <c r="E53" s="19" t="s">
        <v>6</v>
      </c>
      <c r="M53" s="25">
        <f t="array" ref="M53:P53">MMULT(A53:D53,$G$11:$J$14)</f>
        <v>0.93248853231231754</v>
      </c>
      <c r="N53" s="8">
        <v>0.31833363826262873</v>
      </c>
      <c r="O53" s="8">
        <v>1.801418664624041E-2</v>
      </c>
      <c r="P53" s="13">
        <v>5.6651210621655457E-4</v>
      </c>
    </row>
    <row r="54" spans="1:16" x14ac:dyDescent="0.25">
      <c r="A54" s="25">
        <v>1.0566666666666658</v>
      </c>
      <c r="B54" s="8">
        <v>4.2666666666665964E-2</v>
      </c>
      <c r="C54" s="8">
        <v>1.1419999999999977</v>
      </c>
      <c r="D54" s="7">
        <v>0.30066666666666597</v>
      </c>
      <c r="E54" s="19" t="s">
        <v>6</v>
      </c>
      <c r="M54" s="25">
        <f t="array" ref="M54:P54">MMULT(A54:D54,$G$11:$J$14)</f>
        <v>1.4643023219913931</v>
      </c>
      <c r="N54" s="8">
        <v>0.50426281530920403</v>
      </c>
      <c r="O54" s="8">
        <v>0.33832576498089634</v>
      </c>
      <c r="P54" s="13">
        <v>-1.6531758730365664E-3</v>
      </c>
    </row>
    <row r="55" spans="1:16" x14ac:dyDescent="0.25">
      <c r="A55" s="25">
        <v>-0.3433333333333346</v>
      </c>
      <c r="B55" s="8">
        <v>-0.7573333333333343</v>
      </c>
      <c r="C55" s="8">
        <v>0.24199999999999733</v>
      </c>
      <c r="D55" s="7">
        <v>0.10066666666666602</v>
      </c>
      <c r="E55" s="19" t="s">
        <v>6</v>
      </c>
      <c r="M55" s="25">
        <f t="array" ref="M55:P55">MMULT(A55:D55,$G$11:$J$14)</f>
        <v>0.18331771995837018</v>
      </c>
      <c r="N55" s="8">
        <v>-0.82795901182063225</v>
      </c>
      <c r="O55" s="8">
        <v>0.17959139187535564</v>
      </c>
      <c r="P55" s="13">
        <v>9.3566840236665019E-2</v>
      </c>
    </row>
    <row r="56" spans="1:16" x14ac:dyDescent="0.25">
      <c r="A56" s="25">
        <v>0.6566666666666654</v>
      </c>
      <c r="B56" s="8">
        <v>-0.2573333333333343</v>
      </c>
      <c r="C56" s="8">
        <v>0.84199999999999697</v>
      </c>
      <c r="D56" s="7">
        <v>0.30066666666666597</v>
      </c>
      <c r="E56" s="19" t="s">
        <v>6</v>
      </c>
      <c r="M56" s="25">
        <f t="array" ref="M56:P56">MMULT(A56:D56,$G$11:$J$14)</f>
        <v>1.0881032577116649</v>
      </c>
      <c r="N56" s="8">
        <v>7.4590675197716241E-2</v>
      </c>
      <c r="O56" s="8">
        <v>0.30775789623478506</v>
      </c>
      <c r="P56" s="13">
        <v>0.11202057416360325</v>
      </c>
    </row>
    <row r="57" spans="1:16" x14ac:dyDescent="0.25">
      <c r="A57" s="25">
        <v>-0.14333333333333442</v>
      </c>
      <c r="B57" s="8">
        <v>-0.2573333333333343</v>
      </c>
      <c r="C57" s="8">
        <v>0.74199999999999733</v>
      </c>
      <c r="D57" s="7">
        <v>0.10066666666666602</v>
      </c>
      <c r="E57" s="19" t="s">
        <v>6</v>
      </c>
      <c r="M57" s="25">
        <f t="array" ref="M57:P57">MMULT(A57:D57,$G$11:$J$14)</f>
        <v>0.641669084258077</v>
      </c>
      <c r="N57" s="8">
        <v>-0.41824687156867935</v>
      </c>
      <c r="O57" s="8">
        <v>-4.1076090823956031E-2</v>
      </c>
      <c r="P57" s="13">
        <v>-0.24311676651292247</v>
      </c>
    </row>
    <row r="58" spans="1:16" x14ac:dyDescent="0.25">
      <c r="A58" s="25">
        <v>0.45666666666666522</v>
      </c>
      <c r="B58" s="8">
        <v>0.2426666666666657</v>
      </c>
      <c r="C58" s="8">
        <v>0.94199999999999751</v>
      </c>
      <c r="D58" s="7">
        <v>0.40066666666666606</v>
      </c>
      <c r="E58" s="19" t="s">
        <v>6</v>
      </c>
      <c r="M58" s="25">
        <f t="array" ref="M58:P58">MMULT(A58:D58,$G$11:$J$14)</f>
        <v>1.0950606626324459</v>
      </c>
      <c r="N58" s="8">
        <v>0.28346827006152869</v>
      </c>
      <c r="O58" s="8">
        <v>-0.1698102398605752</v>
      </c>
      <c r="P58" s="13">
        <v>-8.3556572423316378E-2</v>
      </c>
    </row>
    <row r="59" spans="1:16" x14ac:dyDescent="0.25">
      <c r="A59" s="25">
        <v>-0.94333333333333425</v>
      </c>
      <c r="B59" s="8">
        <v>-0.65733333333333421</v>
      </c>
      <c r="C59" s="8">
        <v>-0.45800000000000285</v>
      </c>
      <c r="D59" s="7">
        <v>-0.19933333333333403</v>
      </c>
      <c r="E59" s="19" t="s">
        <v>6</v>
      </c>
      <c r="M59" s="25">
        <f t="array" ref="M59:P59">MMULT(A59:D59,$G$11:$J$14)</f>
        <v>-0.74912266982965758</v>
      </c>
      <c r="N59" s="8">
        <v>-1.0048909611818957</v>
      </c>
      <c r="O59" s="8">
        <v>-1.2302919237594981E-2</v>
      </c>
      <c r="P59" s="13">
        <v>-1.7907722555302735E-2</v>
      </c>
    </row>
    <row r="60" spans="1:16" x14ac:dyDescent="0.25">
      <c r="A60" s="25">
        <v>0.75666666666666504</v>
      </c>
      <c r="B60" s="8">
        <v>-0.15733333333333421</v>
      </c>
      <c r="C60" s="8">
        <v>0.84199999999999697</v>
      </c>
      <c r="D60" s="7">
        <v>0.10066666666666602</v>
      </c>
      <c r="E60" s="19" t="s">
        <v>6</v>
      </c>
      <c r="M60" s="25">
        <f t="array" ref="M60:P60">MMULT(A60:D60,$G$11:$J$14)</f>
        <v>1.0441318260534347</v>
      </c>
      <c r="N60" s="8">
        <v>0.22836189978839538</v>
      </c>
      <c r="O60" s="8">
        <v>0.41533608475939765</v>
      </c>
      <c r="P60" s="13">
        <v>-3.9134501965421523E-2</v>
      </c>
    </row>
    <row r="61" spans="1:16" x14ac:dyDescent="0.25">
      <c r="A61" s="25">
        <v>-0.64333333333333442</v>
      </c>
      <c r="B61" s="8">
        <v>-0.35733333333333395</v>
      </c>
      <c r="C61" s="8">
        <v>0.14199999999999724</v>
      </c>
      <c r="D61" s="7">
        <v>0.20066666666666588</v>
      </c>
      <c r="E61" s="19" t="s">
        <v>6</v>
      </c>
      <c r="M61" s="25">
        <f t="array" ref="M61:P61">MMULT(A61:D61,$G$11:$J$14)</f>
        <v>-8.7454040828963547E-3</v>
      </c>
      <c r="N61" s="8">
        <v>-0.7230819050048346</v>
      </c>
      <c r="O61" s="8">
        <v>-0.28114143117640961</v>
      </c>
      <c r="P61" s="13">
        <v>-5.6189178751120672E-3</v>
      </c>
    </row>
    <row r="62" spans="1:16" x14ac:dyDescent="0.25">
      <c r="A62" s="25">
        <v>-0.8433333333333346</v>
      </c>
      <c r="B62" s="8">
        <v>-1.0573333333333341</v>
      </c>
      <c r="C62" s="8">
        <v>-0.25800000000000267</v>
      </c>
      <c r="D62" s="7">
        <v>-0.19933333333333403</v>
      </c>
      <c r="E62" s="19" t="s">
        <v>6</v>
      </c>
      <c r="M62" s="25">
        <f t="array" ref="M62:P62">MMULT(A62:D62,$G$11:$J$14)</f>
        <v>-0.50784088383532611</v>
      </c>
      <c r="N62" s="8">
        <v>-1.2659711905263937</v>
      </c>
      <c r="O62" s="8">
        <v>0.26981718276885303</v>
      </c>
      <c r="P62" s="13">
        <v>4.5562440802620147E-2</v>
      </c>
    </row>
    <row r="63" spans="1:16" x14ac:dyDescent="0.25">
      <c r="A63" s="25">
        <v>5.6666666666665755E-2</v>
      </c>
      <c r="B63" s="8">
        <v>-5.7333333333334124E-2</v>
      </c>
      <c r="C63" s="8">
        <v>0.44199999999999751</v>
      </c>
      <c r="D63" s="7">
        <v>0.30066666666666597</v>
      </c>
      <c r="E63" s="19" t="s">
        <v>6</v>
      </c>
      <c r="M63" s="25">
        <f t="array" ref="M63:P63">MMULT(A63:D63,$G$11:$J$14)</f>
        <v>0.51169855744759685</v>
      </c>
      <c r="N63" s="8">
        <v>-0.10398123549904061</v>
      </c>
      <c r="O63" s="8">
        <v>-0.13054775024048598</v>
      </c>
      <c r="P63" s="13">
        <v>5.071923248584545E-2</v>
      </c>
    </row>
    <row r="64" spans="1:16" x14ac:dyDescent="0.25">
      <c r="A64" s="25">
        <v>0.1566666666666654</v>
      </c>
      <c r="B64" s="8">
        <v>-0.85733333333333395</v>
      </c>
      <c r="C64" s="8">
        <v>0.24199999999999733</v>
      </c>
      <c r="D64" s="7">
        <v>-0.19933333333333403</v>
      </c>
      <c r="E64" s="19" t="s">
        <v>6</v>
      </c>
      <c r="M64" s="25">
        <f t="array" ref="M64:P64">MMULT(A64:D64,$G$11:$J$14)</f>
        <v>0.26497650811204604</v>
      </c>
      <c r="N64" s="8">
        <v>-0.55003646368047476</v>
      </c>
      <c r="O64" s="8">
        <v>0.69414683014441925</v>
      </c>
      <c r="P64" s="13">
        <v>5.7185519476051855E-2</v>
      </c>
    </row>
    <row r="65" spans="1:16" x14ac:dyDescent="0.25">
      <c r="A65" s="25">
        <v>0.25666666666666504</v>
      </c>
      <c r="B65" s="8">
        <v>-0.15733333333333421</v>
      </c>
      <c r="C65" s="8">
        <v>0.94199999999999751</v>
      </c>
      <c r="D65" s="7">
        <v>0.20066666666666588</v>
      </c>
      <c r="E65" s="19" t="s">
        <v>6</v>
      </c>
      <c r="M65" s="25">
        <f t="array" ref="M65:P65">MMULT(A65:D65,$G$11:$J$14)</f>
        <v>0.98493451047088953</v>
      </c>
      <c r="N65" s="8">
        <v>-0.12481785412635786</v>
      </c>
      <c r="O65" s="8">
        <v>6.2114408322261047E-2</v>
      </c>
      <c r="P65" s="13">
        <v>-0.16949625459046827</v>
      </c>
    </row>
    <row r="66" spans="1:16" x14ac:dyDescent="0.25">
      <c r="A66" s="25">
        <v>-0.24333333333333496</v>
      </c>
      <c r="B66" s="8">
        <v>-0.15733333333333421</v>
      </c>
      <c r="C66" s="8">
        <v>-0.15800000000000258</v>
      </c>
      <c r="D66" s="7">
        <v>0.10066666666666602</v>
      </c>
      <c r="E66" s="19" t="s">
        <v>6</v>
      </c>
      <c r="M66" s="25">
        <f t="array" ref="M66:P66">MMULT(A66:D66,$G$11:$J$14)</f>
        <v>-0.1739253716817683</v>
      </c>
      <c r="N66" s="8">
        <v>-0.25485420870258935</v>
      </c>
      <c r="O66" s="8">
        <v>-9.045769072570424E-2</v>
      </c>
      <c r="P66" s="13">
        <v>0.1252172921252373</v>
      </c>
    </row>
    <row r="67" spans="1:16" x14ac:dyDescent="0.25">
      <c r="A67" s="25">
        <v>0.85666666666666558</v>
      </c>
      <c r="B67" s="8">
        <v>4.2666666666665964E-2</v>
      </c>
      <c r="C67" s="8">
        <v>0.64199999999999768</v>
      </c>
      <c r="D67" s="7">
        <v>0.20066666666666588</v>
      </c>
      <c r="E67" s="19" t="s">
        <v>6</v>
      </c>
      <c r="M67" s="25">
        <f t="array" ref="M67:P67">MMULT(A67:D67,$G$11:$J$14)</f>
        <v>0.92786078094424662</v>
      </c>
      <c r="N67" s="8">
        <v>0.46717949444151058</v>
      </c>
      <c r="O67" s="8">
        <v>0.31462097583217247</v>
      </c>
      <c r="P67" s="13">
        <v>9.9803136517080754E-2</v>
      </c>
    </row>
    <row r="68" spans="1:16" x14ac:dyDescent="0.25">
      <c r="A68" s="25">
        <v>-0.24333333333333496</v>
      </c>
      <c r="B68" s="8">
        <v>-5.7333333333334124E-2</v>
      </c>
      <c r="C68" s="8">
        <v>0.74199999999999733</v>
      </c>
      <c r="D68" s="7">
        <v>0.30066666666666597</v>
      </c>
      <c r="E68" s="19" t="s">
        <v>6</v>
      </c>
      <c r="M68" s="25">
        <f t="array" ref="M68:P68">MMULT(A68:D68,$G$11:$J$14)</f>
        <v>0.66028376169693637</v>
      </c>
      <c r="N68" s="8">
        <v>-0.35296966572385102</v>
      </c>
      <c r="O68" s="8">
        <v>-0.32802752837859517</v>
      </c>
      <c r="P68" s="13">
        <v>-0.18787862148373738</v>
      </c>
    </row>
    <row r="69" spans="1:16" x14ac:dyDescent="0.25">
      <c r="A69" s="25">
        <v>-4.3333333333334778E-2</v>
      </c>
      <c r="B69" s="8">
        <v>-0.35733333333333395</v>
      </c>
      <c r="C69" s="8">
        <v>0.34199999999999697</v>
      </c>
      <c r="D69" s="7">
        <v>-0.19933333333333403</v>
      </c>
      <c r="E69" s="19" t="s">
        <v>6</v>
      </c>
      <c r="M69" s="25">
        <f t="array" ref="M69:P69">MMULT(A69:D69,$G$11:$J$14)</f>
        <v>0.23610499331767115</v>
      </c>
      <c r="N69" s="8">
        <v>-0.33361076682491586</v>
      </c>
      <c r="O69" s="8">
        <v>0.27116183725106674</v>
      </c>
      <c r="P69" s="13">
        <v>-0.21375736963727196</v>
      </c>
    </row>
    <row r="70" spans="1:16" x14ac:dyDescent="0.25">
      <c r="A70" s="25">
        <v>0.35666666666666558</v>
      </c>
      <c r="B70" s="8">
        <v>-0.85733333333333395</v>
      </c>
      <c r="C70" s="8">
        <v>0.74199999999999733</v>
      </c>
      <c r="D70" s="7">
        <v>0.30066666666666597</v>
      </c>
      <c r="E70" s="19" t="s">
        <v>6</v>
      </c>
      <c r="M70" s="25">
        <f t="array" ref="M70:P70">MMULT(A70:D70,$G$11:$J$14)</f>
        <v>0.94473372801981259</v>
      </c>
      <c r="N70" s="8">
        <v>-0.54314555077976612</v>
      </c>
      <c r="O70" s="8">
        <v>0.49951904648511319</v>
      </c>
      <c r="P70" s="13">
        <v>0.25719217719155252</v>
      </c>
    </row>
    <row r="71" spans="1:16" x14ac:dyDescent="0.25">
      <c r="A71" s="25">
        <v>-0.24333333333333496</v>
      </c>
      <c r="B71" s="8">
        <v>-0.55733333333333412</v>
      </c>
      <c r="C71" s="8">
        <v>0.14199999999999724</v>
      </c>
      <c r="D71" s="7">
        <v>-9.933333333333394E-2</v>
      </c>
      <c r="E71" s="19" t="s">
        <v>6</v>
      </c>
      <c r="M71" s="25">
        <f t="array" ref="M71:P71">MMULT(A71:D71,$G$11:$J$14)</f>
        <v>4.5226976298699463E-2</v>
      </c>
      <c r="N71" s="8">
        <v>-0.58383437747186462</v>
      </c>
      <c r="O71" s="8">
        <v>0.23500210497205601</v>
      </c>
      <c r="P71" s="13">
        <v>-4.1576647559509461E-2</v>
      </c>
    </row>
    <row r="72" spans="1:16" x14ac:dyDescent="0.25">
      <c r="A72" s="25">
        <v>5.6666666666665755E-2</v>
      </c>
      <c r="B72" s="8">
        <v>0.14266666666666605</v>
      </c>
      <c r="C72" s="8">
        <v>1.0419999999999972</v>
      </c>
      <c r="D72" s="7">
        <v>0.60066666666666602</v>
      </c>
      <c r="E72" s="19" t="s">
        <v>6</v>
      </c>
      <c r="M72" s="25">
        <f t="array" ref="M72:P72">MMULT(A72:D72,$G$11:$J$14)</f>
        <v>1.116283177350049</v>
      </c>
      <c r="N72" s="8">
        <v>-8.4616852194788483E-2</v>
      </c>
      <c r="O72" s="8">
        <v>-0.459620991359104</v>
      </c>
      <c r="P72" s="13">
        <v>-7.5031552864947448E-2</v>
      </c>
    </row>
    <row r="73" spans="1:16" x14ac:dyDescent="0.25">
      <c r="A73" s="25">
        <v>0.25666666666666504</v>
      </c>
      <c r="B73" s="8">
        <v>-0.2573333333333343</v>
      </c>
      <c r="C73" s="8">
        <v>0.24199999999999733</v>
      </c>
      <c r="D73" s="7">
        <v>0.10066666666666602</v>
      </c>
      <c r="E73" s="19" t="s">
        <v>6</v>
      </c>
      <c r="M73" s="25">
        <f t="array" ref="M73:P73">MMULT(A73:D73,$G$11:$J$14)</f>
        <v>0.35788841799730675</v>
      </c>
      <c r="N73" s="8">
        <v>-6.892503165601388E-2</v>
      </c>
      <c r="O73" s="8">
        <v>0.22985388760895173</v>
      </c>
      <c r="P73" s="13">
        <v>0.12299760414598436</v>
      </c>
    </row>
    <row r="74" spans="1:16" x14ac:dyDescent="0.25">
      <c r="A74" s="25">
        <v>0.45666666666666522</v>
      </c>
      <c r="B74" s="8">
        <v>-0.55733333333333412</v>
      </c>
      <c r="C74" s="8">
        <v>1.1419999999999977</v>
      </c>
      <c r="D74" s="7">
        <v>0.30066666666666597</v>
      </c>
      <c r="E74" s="19" t="s">
        <v>6</v>
      </c>
      <c r="M74" s="25">
        <f t="array" ref="M74:P74">MMULT(A74:D74,$G$11:$J$14)</f>
        <v>1.298183875358913</v>
      </c>
      <c r="N74" s="8">
        <v>-0.3277873083339175</v>
      </c>
      <c r="O74" s="8">
        <v>0.34785435225730837</v>
      </c>
      <c r="P74" s="13">
        <v>8.8837058425692006E-4</v>
      </c>
    </row>
    <row r="75" spans="1:16" x14ac:dyDescent="0.25">
      <c r="A75" s="25">
        <v>0.25666666666666504</v>
      </c>
      <c r="B75" s="8">
        <v>-0.2573333333333343</v>
      </c>
      <c r="C75" s="8">
        <v>0.94199999999999751</v>
      </c>
      <c r="D75" s="7">
        <v>6.6666666666592711E-4</v>
      </c>
      <c r="E75" s="19" t="s">
        <v>6</v>
      </c>
      <c r="M75" s="25">
        <f t="array" ref="M75:P75">MMULT(A75:D75,$G$11:$J$14)</f>
        <v>0.9217289224470363</v>
      </c>
      <c r="N75" s="8">
        <v>-0.18273779362136808</v>
      </c>
      <c r="O75" s="8">
        <v>0.23107177773628471</v>
      </c>
      <c r="P75" s="13">
        <v>-0.28825542927666414</v>
      </c>
    </row>
    <row r="76" spans="1:16" x14ac:dyDescent="0.25">
      <c r="A76" s="25">
        <v>0.55666666666666575</v>
      </c>
      <c r="B76" s="8">
        <v>-0.15733333333333421</v>
      </c>
      <c r="C76" s="8">
        <v>0.54199999999999715</v>
      </c>
      <c r="D76" s="7">
        <v>0.10066666666666602</v>
      </c>
      <c r="E76" s="19" t="s">
        <v>6</v>
      </c>
      <c r="M76" s="25">
        <f t="array" ref="M76:P76">MMULT(A76:D76,$G$11:$J$14)</f>
        <v>0.71485332591141104</v>
      </c>
      <c r="N76" s="8">
        <v>0.14905594436978467</v>
      </c>
      <c r="O76" s="8">
        <v>0.32180093724447412</v>
      </c>
      <c r="P76" s="13">
        <v>4.171975555217379E-2</v>
      </c>
    </row>
    <row r="77" spans="1:16" x14ac:dyDescent="0.25">
      <c r="A77" s="25">
        <v>0.75666666666666504</v>
      </c>
      <c r="B77" s="8">
        <v>-5.7333333333334124E-2</v>
      </c>
      <c r="C77" s="8">
        <v>0.64199999999999768</v>
      </c>
      <c r="D77" s="7">
        <v>0.20066666666666588</v>
      </c>
      <c r="E77" s="19" t="s">
        <v>6</v>
      </c>
      <c r="M77" s="25">
        <f t="array" ref="M77:P77">MMULT(A77:D77,$G$11:$J$14)</f>
        <v>0.90017437317216653</v>
      </c>
      <c r="N77" s="8">
        <v>0.3285044738343233</v>
      </c>
      <c r="O77" s="8">
        <v>0.31620907371157425</v>
      </c>
      <c r="P77" s="13">
        <v>0.10022672759329623</v>
      </c>
    </row>
    <row r="78" spans="1:16" x14ac:dyDescent="0.25">
      <c r="A78" s="25">
        <v>0.95666666666666522</v>
      </c>
      <c r="B78" s="8">
        <v>-0.2573333333333343</v>
      </c>
      <c r="C78" s="8">
        <v>1.0419999999999972</v>
      </c>
      <c r="D78" s="7">
        <v>0.20066666666666588</v>
      </c>
      <c r="E78" s="19" t="s">
        <v>6</v>
      </c>
      <c r="M78" s="25">
        <f t="array" ref="M78:P78">MMULT(A78:D78,$G$11:$J$14)</f>
        <v>1.3320244367220875</v>
      </c>
      <c r="N78" s="8">
        <v>0.24444087601634359</v>
      </c>
      <c r="O78" s="8">
        <v>0.52170277966441947</v>
      </c>
      <c r="P78" s="13">
        <v>3.5333192109464201E-2</v>
      </c>
    </row>
    <row r="79" spans="1:16" x14ac:dyDescent="0.25">
      <c r="A79" s="25">
        <v>0.85666666666666558</v>
      </c>
      <c r="B79" s="8">
        <v>-5.7333333333334124E-2</v>
      </c>
      <c r="C79" s="8">
        <v>1.2419999999999973</v>
      </c>
      <c r="D79" s="7">
        <v>0.50066666666666593</v>
      </c>
      <c r="E79" s="19" t="s">
        <v>6</v>
      </c>
      <c r="M79" s="25">
        <f t="array" ref="M79:P79">MMULT(A79:D79,$G$11:$J$14)</f>
        <v>1.5578021550660694</v>
      </c>
      <c r="N79" s="8">
        <v>0.2674954473102546</v>
      </c>
      <c r="O79" s="8">
        <v>0.1649209837435805</v>
      </c>
      <c r="P79" s="13">
        <v>6.9969282266127253E-2</v>
      </c>
    </row>
    <row r="80" spans="1:16" x14ac:dyDescent="0.25">
      <c r="A80" s="25">
        <v>0.1566666666666654</v>
      </c>
      <c r="B80" s="8">
        <v>-0.15733333333333421</v>
      </c>
      <c r="C80" s="8">
        <v>0.74199999999999733</v>
      </c>
      <c r="D80" s="7">
        <v>0.30066666666666597</v>
      </c>
      <c r="E80" s="19" t="s">
        <v>6</v>
      </c>
      <c r="M80" s="25">
        <f t="array" ref="M80:P80">MMULT(A80:D80,$G$11:$J$14)</f>
        <v>0.81329064981754073</v>
      </c>
      <c r="N80" s="8">
        <v>-0.16335030068761652</v>
      </c>
      <c r="O80" s="8">
        <v>-3.5424504846160054E-2</v>
      </c>
      <c r="P80" s="13">
        <v>-2.9711433955534133E-2</v>
      </c>
    </row>
    <row r="81" spans="1:16" x14ac:dyDescent="0.25">
      <c r="A81" s="25">
        <v>-0.14333333333333442</v>
      </c>
      <c r="B81" s="8">
        <v>-0.45733333333333404</v>
      </c>
      <c r="C81" s="8">
        <v>-0.25800000000000267</v>
      </c>
      <c r="D81" s="7">
        <v>-0.19933333333333403</v>
      </c>
      <c r="E81" s="19" t="s">
        <v>6</v>
      </c>
      <c r="M81" s="25">
        <f t="array" ref="M81:P81">MMULT(A81:D81,$G$11:$J$14)</f>
        <v>-0.30558377802430942</v>
      </c>
      <c r="N81" s="8">
        <v>-0.36826218975458797</v>
      </c>
      <c r="O81" s="8">
        <v>0.31849158062304728</v>
      </c>
      <c r="P81" s="13">
        <v>7.4569613635724036E-2</v>
      </c>
    </row>
    <row r="82" spans="1:16" x14ac:dyDescent="0.25">
      <c r="A82" s="25">
        <v>-0.3433333333333346</v>
      </c>
      <c r="B82" s="8">
        <v>-0.65733333333333421</v>
      </c>
      <c r="C82" s="8">
        <v>4.1999999999997151E-2</v>
      </c>
      <c r="D82" s="7">
        <v>-9.933333333333394E-2</v>
      </c>
      <c r="E82" s="19" t="s">
        <v>6</v>
      </c>
      <c r="M82" s="25">
        <f t="array" ref="M82:P82">MMULT(A82:D82,$G$11:$J$14)</f>
        <v>-6.8126492068363964E-2</v>
      </c>
      <c r="N82" s="8">
        <v>-0.70517213179946558</v>
      </c>
      <c r="O82" s="8">
        <v>0.24421381043355472</v>
      </c>
      <c r="P82" s="13">
        <v>6.8308422161697385E-3</v>
      </c>
    </row>
    <row r="83" spans="1:16" x14ac:dyDescent="0.25">
      <c r="A83" s="25">
        <v>-0.3433333333333346</v>
      </c>
      <c r="B83" s="8">
        <v>-0.65733333333333421</v>
      </c>
      <c r="C83" s="8">
        <v>-5.8000000000002494E-2</v>
      </c>
      <c r="D83" s="7">
        <v>-0.19933333333333403</v>
      </c>
      <c r="E83" s="19" t="s">
        <v>6</v>
      </c>
      <c r="M83" s="25">
        <f t="array" ref="M83:P83">MMULT(A83:D83,$G$11:$J$14)</f>
        <v>-0.18962247237850222</v>
      </c>
      <c r="N83" s="8">
        <v>-0.68028676352813366</v>
      </c>
      <c r="O83" s="8">
        <v>0.30642056121765859</v>
      </c>
      <c r="P83" s="13">
        <v>-2.0551001610771641E-2</v>
      </c>
    </row>
    <row r="84" spans="1:16" x14ac:dyDescent="0.25">
      <c r="A84" s="25">
        <v>-4.3333333333334778E-2</v>
      </c>
      <c r="B84" s="8">
        <v>-0.35733333333333395</v>
      </c>
      <c r="C84" s="8">
        <v>0.14199999999999724</v>
      </c>
      <c r="D84" s="7">
        <v>6.6666666666592711E-4</v>
      </c>
      <c r="E84" s="19" t="s">
        <v>6</v>
      </c>
      <c r="M84" s="25">
        <f t="array" ref="M84:P84">MMULT(A84:D84,$G$11:$J$14)</f>
        <v>0.13642871155801445</v>
      </c>
      <c r="N84" s="8">
        <v>-0.31403243824923688</v>
      </c>
      <c r="O84" s="8">
        <v>0.17724276601124447</v>
      </c>
      <c r="P84" s="13">
        <v>3.2941912814463764E-2</v>
      </c>
    </row>
    <row r="85" spans="1:16" x14ac:dyDescent="0.25">
      <c r="A85" s="25">
        <v>0.1566666666666654</v>
      </c>
      <c r="B85" s="8">
        <v>-0.35733333333333395</v>
      </c>
      <c r="C85" s="8">
        <v>1.341999999999997</v>
      </c>
      <c r="D85" s="7">
        <v>0.40066666666666606</v>
      </c>
      <c r="E85" s="19" t="s">
        <v>6</v>
      </c>
      <c r="M85" s="25">
        <f t="array" ref="M85:P85">MMULT(A85:D85,$G$11:$J$14)</f>
        <v>1.3800264359155103</v>
      </c>
      <c r="N85" s="8">
        <v>-0.42095428731388251</v>
      </c>
      <c r="O85" s="8">
        <v>-1.6167127520728714E-2</v>
      </c>
      <c r="P85" s="13">
        <v>-0.17830446289268359</v>
      </c>
    </row>
    <row r="86" spans="1:16" x14ac:dyDescent="0.25">
      <c r="A86" s="25">
        <v>-0.44333333333333425</v>
      </c>
      <c r="B86" s="8">
        <v>-5.7333333333334124E-2</v>
      </c>
      <c r="C86" s="8">
        <v>0.74199999999999733</v>
      </c>
      <c r="D86" s="7">
        <v>0.30066666666666597</v>
      </c>
      <c r="E86" s="19" t="s">
        <v>6</v>
      </c>
      <c r="M86" s="25">
        <f t="array" ref="M86:P86">MMULT(A86:D86,$G$11:$J$14)</f>
        <v>0.58800644333986296</v>
      </c>
      <c r="N86" s="8">
        <v>-0.4842874199812191</v>
      </c>
      <c r="O86" s="8">
        <v>-0.44443349863980786</v>
      </c>
      <c r="P86" s="13">
        <v>-0.25097606006453221</v>
      </c>
    </row>
    <row r="87" spans="1:16" x14ac:dyDescent="0.25">
      <c r="A87" s="25">
        <v>0.1566666666666654</v>
      </c>
      <c r="B87" s="8">
        <v>0.34266666666666579</v>
      </c>
      <c r="C87" s="8">
        <v>0.74199999999999733</v>
      </c>
      <c r="D87" s="7">
        <v>0.40066666666666606</v>
      </c>
      <c r="E87" s="19" t="s">
        <v>6</v>
      </c>
      <c r="M87" s="25">
        <f t="array" ref="M87:P87">MMULT(A87:D87,$G$11:$J$14)</f>
        <v>0.8068583125004114</v>
      </c>
      <c r="N87" s="8">
        <v>0.19418231471315028</v>
      </c>
      <c r="O87" s="8">
        <v>-0.38896306309821066</v>
      </c>
      <c r="P87" s="13">
        <v>-0.11420724326219506</v>
      </c>
    </row>
    <row r="88" spans="1:16" x14ac:dyDescent="0.25">
      <c r="A88" s="25">
        <v>0.85666666666666558</v>
      </c>
      <c r="B88" s="8">
        <v>4.2666666666665964E-2</v>
      </c>
      <c r="C88" s="8">
        <v>0.94199999999999751</v>
      </c>
      <c r="D88" s="7">
        <v>0.30066666666666597</v>
      </c>
      <c r="E88" s="19" t="s">
        <v>6</v>
      </c>
      <c r="M88" s="25">
        <f t="array" ref="M88:P88">MMULT(A88:D88,$G$11:$J$14)</f>
        <v>1.2206908824443521</v>
      </c>
      <c r="N88" s="8">
        <v>0.40761959361100708</v>
      </c>
      <c r="O88" s="8">
        <v>0.2371670098838759</v>
      </c>
      <c r="P88" s="13">
        <v>3.1217182945095207E-2</v>
      </c>
    </row>
    <row r="89" spans="1:16" x14ac:dyDescent="0.25">
      <c r="A89" s="25">
        <v>0.45666666666666522</v>
      </c>
      <c r="B89" s="8">
        <v>-0.7573333333333343</v>
      </c>
      <c r="C89" s="8">
        <v>0.64199999999999768</v>
      </c>
      <c r="D89" s="7">
        <v>0.10066666666666602</v>
      </c>
      <c r="E89" s="19" t="s">
        <v>6</v>
      </c>
      <c r="M89" s="25">
        <f t="array" ref="M89:P89">MMULT(A89:D89,$G$11:$J$14)</f>
        <v>0.81509523576659915</v>
      </c>
      <c r="N89" s="8">
        <v>-0.37203705990950153</v>
      </c>
      <c r="O89" s="8">
        <v>0.61472084259182247</v>
      </c>
      <c r="P89" s="13">
        <v>0.15402099976199118</v>
      </c>
    </row>
    <row r="90" spans="1:16" x14ac:dyDescent="0.25">
      <c r="A90" s="25">
        <v>-0.24333333333333496</v>
      </c>
      <c r="B90" s="8">
        <v>-5.7333333333334124E-2</v>
      </c>
      <c r="C90" s="8">
        <v>0.34199999999999697</v>
      </c>
      <c r="D90" s="7">
        <v>0.10066666666666602</v>
      </c>
      <c r="E90" s="19" t="s">
        <v>6</v>
      </c>
      <c r="M90" s="25">
        <f t="array" ref="M90:P90">MMULT(A90:D90,$G$11:$J$14)</f>
        <v>0.24595767988669195</v>
      </c>
      <c r="N90" s="8">
        <v>-0.26852439662201544</v>
      </c>
      <c r="O90" s="8">
        <v>-0.1883668116461947</v>
      </c>
      <c r="P90" s="13">
        <v>-0.14667451173869261</v>
      </c>
    </row>
    <row r="91" spans="1:16" x14ac:dyDescent="0.25">
      <c r="A91" s="25">
        <v>-0.3433333333333346</v>
      </c>
      <c r="B91" s="8">
        <v>-0.55733333333333412</v>
      </c>
      <c r="C91" s="8">
        <v>0.24199999999999733</v>
      </c>
      <c r="D91" s="7">
        <v>0.10066666666666602</v>
      </c>
      <c r="E91" s="19" t="s">
        <v>6</v>
      </c>
      <c r="M91" s="25">
        <f t="array" ref="M91:P91">MMULT(A91:D91,$G$11:$J$14)</f>
        <v>0.1664132171454564</v>
      </c>
      <c r="N91" s="8">
        <v>-0.68192672486362693</v>
      </c>
      <c r="O91" s="8">
        <v>6.0009225855338313E-2</v>
      </c>
      <c r="P91" s="13">
        <v>2.9622219503438754E-2</v>
      </c>
    </row>
    <row r="92" spans="1:16" x14ac:dyDescent="0.25">
      <c r="A92" s="25">
        <v>-0.3433333333333346</v>
      </c>
      <c r="B92" s="8">
        <v>-0.45733333333333404</v>
      </c>
      <c r="C92" s="8">
        <v>0.64199999999999768</v>
      </c>
      <c r="D92" s="7">
        <v>6.6666666666592711E-4</v>
      </c>
      <c r="E92" s="19" t="s">
        <v>6</v>
      </c>
      <c r="M92" s="25">
        <f t="array" ref="M92:P92">MMULT(A92:D92,$G$11:$J$14)</f>
        <v>0.46480028840377868</v>
      </c>
      <c r="N92" s="8">
        <v>-0.6707115445117211</v>
      </c>
      <c r="O92" s="8">
        <v>2.4306855718951737E-2</v>
      </c>
      <c r="P92" s="13">
        <v>-0.26965142818743271</v>
      </c>
    </row>
    <row r="93" spans="1:16" x14ac:dyDescent="0.25">
      <c r="A93" s="25">
        <v>0.25666666666666504</v>
      </c>
      <c r="B93" s="8">
        <v>-5.7333333333334124E-2</v>
      </c>
      <c r="C93" s="8">
        <v>0.84199999999999697</v>
      </c>
      <c r="D93" s="7">
        <v>0.20066666666666588</v>
      </c>
      <c r="E93" s="19" t="s">
        <v>6</v>
      </c>
      <c r="M93" s="25">
        <f t="array" ref="M93:P93">MMULT(A93:D93,$G$11:$J$14)</f>
        <v>0.89081519846944868</v>
      </c>
      <c r="N93" s="8">
        <v>-3.4464444368269322E-2</v>
      </c>
      <c r="O93" s="8">
        <v>9.946932894348795E-3</v>
      </c>
      <c r="P93" s="13">
        <v>-0.15348466625761772</v>
      </c>
    </row>
    <row r="94" spans="1:16" x14ac:dyDescent="0.25">
      <c r="A94" s="25">
        <v>-4.3333333333334778E-2</v>
      </c>
      <c r="B94" s="8">
        <v>-0.45733333333333404</v>
      </c>
      <c r="C94" s="8">
        <v>0.24199999999999733</v>
      </c>
      <c r="D94" s="7">
        <v>6.6666666666592711E-4</v>
      </c>
      <c r="E94" s="19" t="s">
        <v>6</v>
      </c>
      <c r="M94" s="25">
        <f t="array" ref="M94:P94">MMULT(A94:D94,$G$11:$J$14)</f>
        <v>0.23054802355945489</v>
      </c>
      <c r="N94" s="8">
        <v>-0.4043858480073253</v>
      </c>
      <c r="O94" s="8">
        <v>0.22941024143915678</v>
      </c>
      <c r="P94" s="13">
        <v>1.6930324481613454E-2</v>
      </c>
    </row>
    <row r="95" spans="1:16" x14ac:dyDescent="0.25">
      <c r="A95" s="25">
        <v>-0.8433333333333346</v>
      </c>
      <c r="B95" s="8">
        <v>-0.7573333333333343</v>
      </c>
      <c r="C95" s="8">
        <v>-0.45800000000000285</v>
      </c>
      <c r="D95" s="7">
        <v>-0.19933333333333403</v>
      </c>
      <c r="E95" s="19" t="s">
        <v>6</v>
      </c>
      <c r="M95" s="25">
        <f t="array" ref="M95:P95">MMULT(A95:D95,$G$11:$J$14)</f>
        <v>-0.70453175924466394</v>
      </c>
      <c r="N95" s="8">
        <v>-1.0122482275317144</v>
      </c>
      <c r="O95" s="8">
        <v>0.10569114890301998</v>
      </c>
      <c r="P95" s="13">
        <v>4.5613307101707773E-2</v>
      </c>
    </row>
    <row r="96" spans="1:16" x14ac:dyDescent="0.25">
      <c r="A96" s="25">
        <v>-0.24333333333333496</v>
      </c>
      <c r="B96" s="8">
        <v>-0.35733333333333395</v>
      </c>
      <c r="C96" s="8">
        <v>0.44199999999999751</v>
      </c>
      <c r="D96" s="7">
        <v>0.10066666666666602</v>
      </c>
      <c r="E96" s="19" t="s">
        <v>6</v>
      </c>
      <c r="M96" s="25">
        <f t="array" ref="M96:P96">MMULT(A96:D96,$G$11:$J$14)</f>
        <v>0.35698149470104656</v>
      </c>
      <c r="N96" s="8">
        <v>-0.50491009333710901</v>
      </c>
      <c r="O96" s="8">
        <v>-1.6617170198265405E-2</v>
      </c>
      <c r="P96" s="13">
        <v>-9.874147933831702E-2</v>
      </c>
    </row>
    <row r="97" spans="1:16" x14ac:dyDescent="0.25">
      <c r="A97" s="25">
        <v>-0.14333333333333442</v>
      </c>
      <c r="B97" s="8">
        <v>-5.7333333333334124E-2</v>
      </c>
      <c r="C97" s="8">
        <v>0.44199999999999751</v>
      </c>
      <c r="D97" s="7">
        <v>6.6666666666592711E-4</v>
      </c>
      <c r="E97" s="19" t="s">
        <v>6</v>
      </c>
      <c r="M97" s="25">
        <f t="array" ref="M97:P97">MMULT(A97:D97,$G$11:$J$14)</f>
        <v>0.33193447994505787</v>
      </c>
      <c r="N97" s="8">
        <v>-0.21265468378117047</v>
      </c>
      <c r="O97" s="8">
        <v>-8.3204290895676686E-2</v>
      </c>
      <c r="P97" s="13">
        <v>-0.23847543367416321</v>
      </c>
    </row>
    <row r="98" spans="1:16" x14ac:dyDescent="0.25">
      <c r="A98" s="25">
        <v>-0.14333333333333442</v>
      </c>
      <c r="B98" s="8">
        <v>-0.15733333333333421</v>
      </c>
      <c r="C98" s="8">
        <v>0.44199999999999751</v>
      </c>
      <c r="D98" s="7">
        <v>0.10066666666666602</v>
      </c>
      <c r="E98" s="19" t="s">
        <v>6</v>
      </c>
      <c r="M98" s="25">
        <f t="array" ref="M98:P98">MMULT(A98:D98,$G$11:$J$14)</f>
        <v>0.37621565106666988</v>
      </c>
      <c r="N98" s="8">
        <v>-0.2932189292514194</v>
      </c>
      <c r="O98" s="8">
        <v>-7.7996351087675581E-2</v>
      </c>
      <c r="P98" s="13">
        <v>-0.13113738078114545</v>
      </c>
    </row>
    <row r="99" spans="1:16" x14ac:dyDescent="0.25">
      <c r="A99" s="25">
        <v>0.35666666666666558</v>
      </c>
      <c r="B99" s="8">
        <v>-0.15733333333333421</v>
      </c>
      <c r="C99" s="8">
        <v>0.54199999999999715</v>
      </c>
      <c r="D99" s="7">
        <v>0.10066666666666602</v>
      </c>
      <c r="E99" s="19" t="s">
        <v>6</v>
      </c>
      <c r="M99" s="25">
        <f t="array" ref="M99:P99">MMULT(A99:D99,$G$11:$J$14)</f>
        <v>0.6425760075543373</v>
      </c>
      <c r="N99" s="8">
        <v>1.7738190112416109E-2</v>
      </c>
      <c r="O99" s="8">
        <v>0.20539496698326085</v>
      </c>
      <c r="P99" s="13">
        <v>-2.1377683028621267E-2</v>
      </c>
    </row>
    <row r="100" spans="1:16" x14ac:dyDescent="0.25">
      <c r="A100" s="25">
        <v>-0.74333333333333496</v>
      </c>
      <c r="B100" s="8">
        <v>-0.55733333333333412</v>
      </c>
      <c r="C100" s="8">
        <v>-0.75800000000000267</v>
      </c>
      <c r="D100" s="7">
        <v>-9.933333333333394E-2</v>
      </c>
      <c r="E100" s="19" t="s">
        <v>6</v>
      </c>
      <c r="M100" s="25">
        <f t="array" ref="M100:P100">MMULT(A100:D100,$G$11:$J$14)</f>
        <v>-0.9064698649488363</v>
      </c>
      <c r="N100" s="8">
        <v>-0.75609336659901394</v>
      </c>
      <c r="O100" s="8">
        <v>1.2599647557890559E-2</v>
      </c>
      <c r="P100" s="13">
        <v>0.2325348442836736</v>
      </c>
    </row>
    <row r="101" spans="1:16" x14ac:dyDescent="0.25">
      <c r="A101" s="25">
        <v>-0.14333333333333442</v>
      </c>
      <c r="B101" s="8">
        <v>-0.2573333333333343</v>
      </c>
      <c r="C101" s="8">
        <v>0.34199999999999697</v>
      </c>
      <c r="D101" s="7">
        <v>0.10066666666666602</v>
      </c>
      <c r="E101" s="19" t="s">
        <v>6</v>
      </c>
      <c r="M101" s="25">
        <f t="array" ref="M101:P101">MMULT(A101:D101,$G$11:$J$14)</f>
        <v>0.29900084187814274</v>
      </c>
      <c r="N101" s="8">
        <v>-0.34889780645033619</v>
      </c>
      <c r="O101" s="8">
        <v>-1.0581660495570536E-2</v>
      </c>
      <c r="P101" s="13">
        <v>-5.1181171715068682E-2</v>
      </c>
    </row>
    <row r="102" spans="1:16" x14ac:dyDescent="0.25">
      <c r="A102" s="25">
        <v>0.45666666666666522</v>
      </c>
      <c r="B102" s="8">
        <v>0.2426666666666657</v>
      </c>
      <c r="C102" s="8">
        <v>2.2419999999999973</v>
      </c>
      <c r="D102" s="7">
        <v>1.300666666666666</v>
      </c>
      <c r="E102" s="19" t="s">
        <v>7</v>
      </c>
      <c r="M102" s="25">
        <f t="array" ref="M102:P102">MMULT(A102:D102,$G$11:$J$14)</f>
        <v>2.531192727803627</v>
      </c>
      <c r="N102" s="8">
        <v>-9.8491094988024386E-3</v>
      </c>
      <c r="O102" s="8">
        <v>-0.76016542724589553</v>
      </c>
      <c r="P102" s="13">
        <v>-2.9055572778699745E-2</v>
      </c>
    </row>
    <row r="103" spans="1:16" x14ac:dyDescent="0.25">
      <c r="A103" s="25">
        <v>-4.3333333333334778E-2</v>
      </c>
      <c r="B103" s="8">
        <v>-0.35733333333333395</v>
      </c>
      <c r="C103" s="8">
        <v>1.341999999999997</v>
      </c>
      <c r="D103" s="7">
        <v>0.70066666666666588</v>
      </c>
      <c r="E103" s="19" t="s">
        <v>7</v>
      </c>
      <c r="M103" s="25">
        <f t="array" ref="M103:P103">MMULT(A103:D103,$G$11:$J$14)</f>
        <v>1.4152358767039015</v>
      </c>
      <c r="N103" s="8">
        <v>-0.57491634754648979</v>
      </c>
      <c r="O103" s="8">
        <v>-0.29632252738796439</v>
      </c>
      <c r="P103" s="13">
        <v>-1.5304673894265264E-2</v>
      </c>
    </row>
    <row r="104" spans="1:16" x14ac:dyDescent="0.25">
      <c r="A104" s="25">
        <v>1.256666666666665</v>
      </c>
      <c r="B104" s="8">
        <v>-5.7333333333334124E-2</v>
      </c>
      <c r="C104" s="8">
        <v>2.1419999999999977</v>
      </c>
      <c r="D104" s="7">
        <v>0.90066666666666606</v>
      </c>
      <c r="E104" s="19" t="s">
        <v>7</v>
      </c>
      <c r="M104" s="25">
        <f t="array" ref="M104:P104">MMULT(A104:D104,$G$11:$J$14)</f>
        <v>2.6166760159956888</v>
      </c>
      <c r="N104" s="8">
        <v>0.34390315134173433</v>
      </c>
      <c r="O104" s="8">
        <v>0.11078788321910893</v>
      </c>
      <c r="P104" s="13">
        <v>6.577204123816438E-2</v>
      </c>
    </row>
    <row r="105" spans="1:16" x14ac:dyDescent="0.25">
      <c r="A105" s="25">
        <v>0.45666666666666522</v>
      </c>
      <c r="B105" s="8">
        <v>-0.15733333333333421</v>
      </c>
      <c r="C105" s="8">
        <v>1.841999999999997</v>
      </c>
      <c r="D105" s="7">
        <v>0.60066666666666602</v>
      </c>
      <c r="E105" s="19" t="s">
        <v>7</v>
      </c>
      <c r="M105" s="25">
        <f t="array" ref="M105:P105">MMULT(A105:D105,$G$11:$J$14)</f>
        <v>1.9715310530434347</v>
      </c>
      <c r="N105" s="8">
        <v>-0.17972790435224606</v>
      </c>
      <c r="O105" s="8">
        <v>-0.10842466246342303</v>
      </c>
      <c r="P105" s="13">
        <v>-0.23679093419922526</v>
      </c>
    </row>
    <row r="106" spans="1:16" x14ac:dyDescent="0.25">
      <c r="A106" s="25">
        <v>0.6566666666666654</v>
      </c>
      <c r="B106" s="8">
        <v>-5.7333333333334124E-2</v>
      </c>
      <c r="C106" s="8">
        <v>2.0419999999999972</v>
      </c>
      <c r="D106" s="7">
        <v>1.0006666666666661</v>
      </c>
      <c r="E106" s="19" t="s">
        <v>7</v>
      </c>
      <c r="M106" s="25">
        <f t="array" ref="M106:P106">MMULT(A106:D106,$G$11:$J$14)</f>
        <v>2.350005920044639</v>
      </c>
      <c r="N106" s="8">
        <v>-4.0260947142531339E-2</v>
      </c>
      <c r="O106" s="8">
        <v>-0.28538956318444131</v>
      </c>
      <c r="P106" s="13">
        <v>-1.7063327835209474E-4</v>
      </c>
    </row>
    <row r="107" spans="1:16" x14ac:dyDescent="0.25">
      <c r="A107" s="25">
        <v>1.756666666666665</v>
      </c>
      <c r="B107" s="8">
        <v>-5.7333333333334124E-2</v>
      </c>
      <c r="C107" s="8">
        <v>2.841999999999997</v>
      </c>
      <c r="D107" s="7">
        <v>0.90066666666666606</v>
      </c>
      <c r="E107" s="19" t="s">
        <v>7</v>
      </c>
      <c r="M107" s="25">
        <f t="array" ref="M107:P107">MMULT(A107:D107,$G$11:$J$14)</f>
        <v>3.3970387360532563</v>
      </c>
      <c r="N107" s="8">
        <v>0.55083667302805539</v>
      </c>
      <c r="O107" s="8">
        <v>0.34843755579746716</v>
      </c>
      <c r="P107" s="13">
        <v>-0.11237165320609144</v>
      </c>
    </row>
    <row r="108" spans="1:16" x14ac:dyDescent="0.25">
      <c r="A108" s="25">
        <v>-0.94333333333333425</v>
      </c>
      <c r="B108" s="8">
        <v>-0.55733333333333412</v>
      </c>
      <c r="C108" s="8">
        <v>0.74199999999999733</v>
      </c>
      <c r="D108" s="7">
        <v>0.50066666666666593</v>
      </c>
      <c r="E108" s="19" t="s">
        <v>7</v>
      </c>
      <c r="M108" s="25">
        <f t="array" ref="M108:P108">MMULT(A108:D108,$G$11:$J$14)</f>
        <v>0.52123224390977319</v>
      </c>
      <c r="N108" s="8">
        <v>-1.1927587270006459</v>
      </c>
      <c r="O108" s="8">
        <v>-0.54565929564681259</v>
      </c>
      <c r="P108" s="13">
        <v>-9.8126619630645062E-2</v>
      </c>
    </row>
    <row r="109" spans="1:16" x14ac:dyDescent="0.25">
      <c r="A109" s="25">
        <v>1.4566666666666652</v>
      </c>
      <c r="B109" s="8">
        <v>-0.15733333333333421</v>
      </c>
      <c r="C109" s="8">
        <v>2.5419999999999972</v>
      </c>
      <c r="D109" s="7">
        <v>0.60066666666666602</v>
      </c>
      <c r="E109" s="19" t="s">
        <v>7</v>
      </c>
      <c r="M109" s="25">
        <f t="array" ref="M109:P109">MMULT(A109:D109,$G$11:$J$14)</f>
        <v>2.9325870689936879</v>
      </c>
      <c r="N109" s="8">
        <v>0.35550000297749595</v>
      </c>
      <c r="O109" s="8">
        <v>0.42023993576796792</v>
      </c>
      <c r="P109" s="13">
        <v>-0.25719103219149408</v>
      </c>
    </row>
    <row r="110" spans="1:16" x14ac:dyDescent="0.25">
      <c r="A110" s="25">
        <v>0.85666666666666558</v>
      </c>
      <c r="B110" s="8">
        <v>-0.55733333333333412</v>
      </c>
      <c r="C110" s="8">
        <v>2.0419999999999972</v>
      </c>
      <c r="D110" s="7">
        <v>0.60066666666666602</v>
      </c>
      <c r="E110" s="19" t="s">
        <v>7</v>
      </c>
      <c r="M110" s="25">
        <f t="array" ref="M110:P110">MMULT(A110:D110,$G$11:$J$14)</f>
        <v>2.3212288165733765</v>
      </c>
      <c r="N110" s="8">
        <v>-0.24383150231069087</v>
      </c>
      <c r="O110" s="8">
        <v>0.348304394934845</v>
      </c>
      <c r="P110" s="13">
        <v>-7.8674612970109692E-2</v>
      </c>
    </row>
    <row r="111" spans="1:16" x14ac:dyDescent="0.25">
      <c r="A111" s="25">
        <v>1.3566666666666656</v>
      </c>
      <c r="B111" s="8">
        <v>0.54266666666666596</v>
      </c>
      <c r="C111" s="8">
        <v>2.341999999999997</v>
      </c>
      <c r="D111" s="7">
        <v>1.300666666666666</v>
      </c>
      <c r="E111" s="19" t="s">
        <v>7</v>
      </c>
      <c r="M111" s="25">
        <f t="array" ref="M111:P111">MMULT(A111:D111,$G$11:$J$14)</f>
        <v>2.9167509667860712</v>
      </c>
      <c r="N111" s="8">
        <v>0.78279194881527836</v>
      </c>
      <c r="O111" s="8">
        <v>-0.42333541768255856</v>
      </c>
      <c r="P111" s="13">
        <v>0.11098207103557511</v>
      </c>
    </row>
    <row r="112" spans="1:16" x14ac:dyDescent="0.25">
      <c r="A112" s="25">
        <v>0.6566666666666654</v>
      </c>
      <c r="B112" s="8">
        <v>0.14266666666666605</v>
      </c>
      <c r="C112" s="8">
        <v>1.341999999999997</v>
      </c>
      <c r="D112" s="7">
        <v>0.80066666666666597</v>
      </c>
      <c r="E112" s="19" t="s">
        <v>7</v>
      </c>
      <c r="M112" s="25">
        <f t="array" ref="M112:P112">MMULT(A112:D112,$G$11:$J$14)</f>
        <v>1.6617741536365305</v>
      </c>
      <c r="N112" s="8">
        <v>0.24222840775506685</v>
      </c>
      <c r="O112" s="8">
        <v>-0.24244018972576892</v>
      </c>
      <c r="P112" s="13">
        <v>0.12104055183185636</v>
      </c>
    </row>
    <row r="113" spans="1:16" x14ac:dyDescent="0.25">
      <c r="A113" s="25">
        <v>0.55666666666666575</v>
      </c>
      <c r="B113" s="8">
        <v>-0.35733333333333395</v>
      </c>
      <c r="C113" s="8">
        <v>1.5419999999999972</v>
      </c>
      <c r="D113" s="7">
        <v>0.70066666666666588</v>
      </c>
      <c r="E113" s="19" t="s">
        <v>7</v>
      </c>
      <c r="M113" s="25">
        <f t="array" ref="M113:P113">MMULT(A113:D113,$G$11:$J$14)</f>
        <v>1.80340195296509</v>
      </c>
      <c r="N113" s="8">
        <v>-0.21563761733355552</v>
      </c>
      <c r="O113" s="8">
        <v>3.7648168231482593E-2</v>
      </c>
      <c r="P113" s="13">
        <v>7.8019844449192965E-2</v>
      </c>
    </row>
    <row r="114" spans="1:16" x14ac:dyDescent="0.25">
      <c r="A114" s="25">
        <v>0.95666666666666522</v>
      </c>
      <c r="B114" s="8">
        <v>-5.7333333333334124E-2</v>
      </c>
      <c r="C114" s="8">
        <v>1.7419999999999973</v>
      </c>
      <c r="D114" s="7">
        <v>0.90066666666666606</v>
      </c>
      <c r="E114" s="19" t="s">
        <v>7</v>
      </c>
      <c r="M114" s="25">
        <f t="array" ref="M114:P114">MMULT(A114:D114,$G$11:$J$14)</f>
        <v>2.1655917960801441</v>
      </c>
      <c r="N114" s="8">
        <v>0.21627558507402489</v>
      </c>
      <c r="O114" s="8">
        <v>-3.3326641844325045E-2</v>
      </c>
      <c r="P114" s="13">
        <v>0.16306147816482586</v>
      </c>
    </row>
    <row r="115" spans="1:16" x14ac:dyDescent="0.25">
      <c r="A115" s="25">
        <v>-0.14333333333333442</v>
      </c>
      <c r="B115" s="8">
        <v>-0.55733333333333412</v>
      </c>
      <c r="C115" s="8">
        <v>1.2419999999999973</v>
      </c>
      <c r="D115" s="7">
        <v>0.80066666666666597</v>
      </c>
      <c r="E115" s="19" t="s">
        <v>7</v>
      </c>
      <c r="M115" s="25">
        <f t="array" ref="M115:P115">MMULT(A115:D115,$G$11:$J$14)</f>
        <v>1.3461635794584508</v>
      </c>
      <c r="N115" s="8">
        <v>-0.77681834734433974</v>
      </c>
      <c r="O115" s="8">
        <v>-0.28190288211846459</v>
      </c>
      <c r="P115" s="13">
        <v>0.1404408687744314</v>
      </c>
    </row>
    <row r="116" spans="1:16" x14ac:dyDescent="0.25">
      <c r="A116" s="25">
        <v>-4.3333333333334778E-2</v>
      </c>
      <c r="B116" s="8">
        <v>-0.2573333333333343</v>
      </c>
      <c r="C116" s="8">
        <v>1.341999999999997</v>
      </c>
      <c r="D116" s="7">
        <v>1.2006666666666659</v>
      </c>
      <c r="E116" s="19" t="s">
        <v>7</v>
      </c>
      <c r="M116" s="25">
        <f t="array" ref="M116:P116">MMULT(A116:D116,$G$11:$J$14)</f>
        <v>1.58592822387322</v>
      </c>
      <c r="N116" s="8">
        <v>-0.53964071402671854</v>
      </c>
      <c r="O116" s="8">
        <v>-0.62902932640801024</v>
      </c>
      <c r="P116" s="13">
        <v>0.32955172837114444</v>
      </c>
    </row>
    <row r="117" spans="1:16" x14ac:dyDescent="0.25">
      <c r="A117" s="25">
        <v>0.55666666666666575</v>
      </c>
      <c r="B117" s="8">
        <v>0.14266666666666605</v>
      </c>
      <c r="C117" s="8">
        <v>1.5419999999999972</v>
      </c>
      <c r="D117" s="7">
        <v>1.1006666666666658</v>
      </c>
      <c r="E117" s="19" t="s">
        <v>7</v>
      </c>
      <c r="M117" s="25">
        <f t="array" ref="M117:P117">MMULT(A117:D117,$G$11:$J$14)</f>
        <v>1.9044563747934258</v>
      </c>
      <c r="N117" s="8">
        <v>0.11925069209197268</v>
      </c>
      <c r="O117" s="8">
        <v>-0.47963981962659041</v>
      </c>
      <c r="P117" s="13">
        <v>0.21962126272174554</v>
      </c>
    </row>
    <row r="118" spans="1:16" x14ac:dyDescent="0.25">
      <c r="A118" s="25">
        <v>0.6566666666666654</v>
      </c>
      <c r="B118" s="8">
        <v>-5.7333333333334124E-2</v>
      </c>
      <c r="C118" s="8">
        <v>1.7419999999999973</v>
      </c>
      <c r="D118" s="7">
        <v>0.60066666666666602</v>
      </c>
      <c r="E118" s="19" t="s">
        <v>7</v>
      </c>
      <c r="M118" s="25">
        <f t="array" ref="M118:P118">MMULT(A118:D118,$G$11:$J$14)</f>
        <v>1.9496890593990683</v>
      </c>
      <c r="N118" s="8">
        <v>4.1943259663210913E-2</v>
      </c>
      <c r="O118" s="8">
        <v>-4.418616763012212E-2</v>
      </c>
      <c r="P118" s="13">
        <v>-0.15768190728558018</v>
      </c>
    </row>
    <row r="119" spans="1:16" x14ac:dyDescent="0.25">
      <c r="A119" s="25">
        <v>1.8566666666666656</v>
      </c>
      <c r="B119" s="8">
        <v>0.7426666666666657</v>
      </c>
      <c r="C119" s="8">
        <v>2.9419999999999975</v>
      </c>
      <c r="D119" s="7">
        <v>1.0006666666666661</v>
      </c>
      <c r="E119" s="19" t="s">
        <v>7</v>
      </c>
      <c r="M119" s="25">
        <f t="array" ref="M119:P119">MMULT(A119:D119,$G$11:$J$14)</f>
        <v>3.4870553642902777</v>
      </c>
      <c r="N119" s="8">
        <v>1.1757393297134286</v>
      </c>
      <c r="O119" s="8">
        <v>-0.13389487393609856</v>
      </c>
      <c r="P119" s="13">
        <v>-0.30921957302165748</v>
      </c>
    </row>
    <row r="120" spans="1:16" x14ac:dyDescent="0.25">
      <c r="A120" s="25">
        <v>1.8566666666666656</v>
      </c>
      <c r="B120" s="8">
        <v>-0.45733333333333404</v>
      </c>
      <c r="C120" s="8">
        <v>3.1419999999999977</v>
      </c>
      <c r="D120" s="7">
        <v>1.1006666666666658</v>
      </c>
      <c r="E120" s="19" t="s">
        <v>7</v>
      </c>
      <c r="M120" s="25">
        <f t="array" ref="M120:P120">MMULT(A120:D120,$G$11:$J$14)</f>
        <v>3.7956454220728828</v>
      </c>
      <c r="N120" s="8">
        <v>0.25732297342047955</v>
      </c>
      <c r="O120" s="8">
        <v>0.51376776381780465</v>
      </c>
      <c r="P120" s="13">
        <v>5.384609650517691E-2</v>
      </c>
    </row>
    <row r="121" spans="1:16" x14ac:dyDescent="0.25">
      <c r="A121" s="25">
        <v>0.1566666666666654</v>
      </c>
      <c r="B121" s="8">
        <v>-0.85733333333333395</v>
      </c>
      <c r="C121" s="8">
        <v>1.2419999999999973</v>
      </c>
      <c r="D121" s="7">
        <v>0.30066666666666597</v>
      </c>
      <c r="E121" s="19" t="s">
        <v>7</v>
      </c>
      <c r="M121" s="25">
        <f t="array" ref="M121:P121">MMULT(A121:D121,$G$11:$J$14)</f>
        <v>1.3007917126376565</v>
      </c>
      <c r="N121" s="8">
        <v>-0.76114963643506361</v>
      </c>
      <c r="O121" s="8">
        <v>0.3449950383134181</v>
      </c>
      <c r="P121" s="13">
        <v>-4.5824754886559543E-2</v>
      </c>
    </row>
    <row r="122" spans="1:16" x14ac:dyDescent="0.25">
      <c r="A122" s="25">
        <v>1.0566666666666658</v>
      </c>
      <c r="B122" s="8">
        <v>0.14266666666666605</v>
      </c>
      <c r="C122" s="8">
        <v>1.9419999999999975</v>
      </c>
      <c r="D122" s="7">
        <v>1.1006666666666658</v>
      </c>
      <c r="E122" s="19" t="s">
        <v>7</v>
      </c>
      <c r="M122" s="25">
        <f t="array" ref="M122:P122">MMULT(A122:D122,$G$11:$J$14)</f>
        <v>2.4278179130660447</v>
      </c>
      <c r="N122" s="8">
        <v>0.37819601261705077</v>
      </c>
      <c r="O122" s="8">
        <v>-0.21911932430194314</v>
      </c>
      <c r="P122" s="13">
        <v>0.18542926437587937</v>
      </c>
    </row>
    <row r="123" spans="1:16" x14ac:dyDescent="0.25">
      <c r="A123" s="25">
        <v>-0.24333333333333496</v>
      </c>
      <c r="B123" s="8">
        <v>-0.2573333333333343</v>
      </c>
      <c r="C123" s="8">
        <v>1.1419999999999977</v>
      </c>
      <c r="D123" s="7">
        <v>0.80066666666666597</v>
      </c>
      <c r="E123" s="19" t="s">
        <v>7</v>
      </c>
      <c r="M123" s="25">
        <f t="array" ref="M123:P123">MMULT(A123:D123,$G$11:$J$14)</f>
        <v>1.1990011054655598</v>
      </c>
      <c r="N123" s="8">
        <v>-0.60609152775793085</v>
      </c>
      <c r="O123" s="8">
        <v>-0.51185550869700092</v>
      </c>
      <c r="P123" s="13">
        <v>6.0959117083657754E-2</v>
      </c>
    </row>
    <row r="124" spans="1:16" x14ac:dyDescent="0.25">
      <c r="A124" s="25">
        <v>1.8566666666666656</v>
      </c>
      <c r="B124" s="8">
        <v>-0.2573333333333343</v>
      </c>
      <c r="C124" s="8">
        <v>2.9419999999999975</v>
      </c>
      <c r="D124" s="7">
        <v>0.80066666666666597</v>
      </c>
      <c r="E124" s="19" t="s">
        <v>7</v>
      </c>
      <c r="M124" s="25">
        <f t="array" ref="M124:P124">MMULT(A124:D124,$G$11:$J$14)</f>
        <v>3.4999200389245364</v>
      </c>
      <c r="N124" s="8">
        <v>0.46067409891189487</v>
      </c>
      <c r="O124" s="8">
        <v>0.57318224256800265</v>
      </c>
      <c r="P124" s="13">
        <v>-0.14022795440833569</v>
      </c>
    </row>
    <row r="125" spans="1:16" x14ac:dyDescent="0.25">
      <c r="A125" s="25">
        <v>0.45666666666666522</v>
      </c>
      <c r="B125" s="8">
        <v>-0.35733333333333395</v>
      </c>
      <c r="C125" s="8">
        <v>1.1419999999999977</v>
      </c>
      <c r="D125" s="7">
        <v>0.60066666666666602</v>
      </c>
      <c r="E125" s="19" t="s">
        <v>7</v>
      </c>
      <c r="M125" s="25">
        <f t="array" ref="M125:P125">MMULT(A125:D125,$G$11:$J$14)</f>
        <v>1.3887661316914643</v>
      </c>
      <c r="N125" s="8">
        <v>-0.20439932735215086</v>
      </c>
      <c r="O125" s="8">
        <v>6.4522756631268496E-2</v>
      </c>
      <c r="P125" s="13">
        <v>0.16304097743024432</v>
      </c>
    </row>
    <row r="126" spans="1:16" x14ac:dyDescent="0.25">
      <c r="A126" s="25">
        <v>0.85666666666666558</v>
      </c>
      <c r="B126" s="8">
        <v>0.2426666666666657</v>
      </c>
      <c r="C126" s="8">
        <v>1.9419999999999975</v>
      </c>
      <c r="D126" s="7">
        <v>0.90066666666666606</v>
      </c>
      <c r="E126" s="19" t="s">
        <v>7</v>
      </c>
      <c r="M126" s="25">
        <f t="array" ref="M126:P126">MMULT(A126:D126,$G$11:$J$14)</f>
        <v>2.2754305038722036</v>
      </c>
      <c r="N126" s="8">
        <v>0.334990605821677</v>
      </c>
      <c r="O126" s="8">
        <v>-0.28615009116914997</v>
      </c>
      <c r="P126" s="13">
        <v>-6.0371969624337662E-2</v>
      </c>
    </row>
    <row r="127" spans="1:16" x14ac:dyDescent="0.25">
      <c r="A127" s="25">
        <v>1.3566666666666656</v>
      </c>
      <c r="B127" s="8">
        <v>0.14266666666666605</v>
      </c>
      <c r="C127" s="8">
        <v>2.2419999999999973</v>
      </c>
      <c r="D127" s="7">
        <v>0.60066666666666602</v>
      </c>
      <c r="E127" s="19" t="s">
        <v>7</v>
      </c>
      <c r="M127" s="25">
        <f t="array" ref="M127:P127">MMULT(A127:D127,$G$11:$J$14)</f>
        <v>2.6140904738108297</v>
      </c>
      <c r="N127" s="8">
        <v>0.56090135512307726</v>
      </c>
      <c r="O127" s="8">
        <v>0.20553452435362474</v>
      </c>
      <c r="P127" s="13">
        <v>-0.24070498648334093</v>
      </c>
    </row>
    <row r="128" spans="1:16" x14ac:dyDescent="0.25">
      <c r="A128" s="25">
        <v>0.35666666666666558</v>
      </c>
      <c r="B128" s="8">
        <v>-0.2573333333333343</v>
      </c>
      <c r="C128" s="8">
        <v>1.0419999999999972</v>
      </c>
      <c r="D128" s="7">
        <v>0.60066666666666602</v>
      </c>
      <c r="E128" s="19" t="s">
        <v>7</v>
      </c>
      <c r="M128" s="25">
        <f t="array" ref="M128:P128">MMULT(A128:D128,$G$11:$J$14)</f>
        <v>1.258508160511487</v>
      </c>
      <c r="N128" s="8">
        <v>-0.17970479472274661</v>
      </c>
      <c r="O128" s="8">
        <v>-4.5847703927249794E-2</v>
      </c>
      <c r="P128" s="13">
        <v>0.14750384647269754</v>
      </c>
    </row>
    <row r="129" spans="1:16" x14ac:dyDescent="0.25">
      <c r="A129" s="25">
        <v>0.25666666666666504</v>
      </c>
      <c r="B129" s="8">
        <v>-5.7333333333334124E-2</v>
      </c>
      <c r="C129" s="8">
        <v>1.1419999999999977</v>
      </c>
      <c r="D129" s="7">
        <v>0.60066666666666602</v>
      </c>
      <c r="E129" s="19" t="s">
        <v>7</v>
      </c>
      <c r="M129" s="25">
        <f t="array" ref="M129:P129">MMULT(A129:D129,$G$11:$J$14)</f>
        <v>1.2911320591150199</v>
      </c>
      <c r="N129" s="8">
        <v>-0.11666865117401171</v>
      </c>
      <c r="O129" s="8">
        <v>-0.23125646265997041</v>
      </c>
      <c r="P129" s="13">
        <v>4.0266077496100006E-3</v>
      </c>
    </row>
    <row r="130" spans="1:16" x14ac:dyDescent="0.25">
      <c r="A130" s="25">
        <v>0.55666666666666575</v>
      </c>
      <c r="B130" s="8">
        <v>-0.2573333333333343</v>
      </c>
      <c r="C130" s="8">
        <v>1.841999999999997</v>
      </c>
      <c r="D130" s="7">
        <v>0.90066666666666606</v>
      </c>
      <c r="E130" s="19" t="s">
        <v>7</v>
      </c>
      <c r="M130" s="25">
        <f t="array" ref="M130:P130">MMULT(A130:D130,$G$11:$J$14)</f>
        <v>2.1236087227738936</v>
      </c>
      <c r="N130" s="8">
        <v>-0.20972947667730291</v>
      </c>
      <c r="O130" s="8">
        <v>-0.15418002392883007</v>
      </c>
      <c r="P130" s="13">
        <v>5.2827323036999108E-2</v>
      </c>
    </row>
    <row r="131" spans="1:16" x14ac:dyDescent="0.25">
      <c r="A131" s="25">
        <v>1.3566666666666656</v>
      </c>
      <c r="B131" s="8">
        <v>-5.7333333333334124E-2</v>
      </c>
      <c r="C131" s="8">
        <v>2.0419999999999972</v>
      </c>
      <c r="D131" s="7">
        <v>0.40066666666666606</v>
      </c>
      <c r="E131" s="19" t="s">
        <v>7</v>
      </c>
      <c r="M131" s="25">
        <f t="array" ref="M131:P131">MMULT(A131:D131,$G$11:$J$14)</f>
        <v>2.3880030160034664</v>
      </c>
      <c r="N131" s="8">
        <v>0.46463980470873595</v>
      </c>
      <c r="O131" s="8">
        <v>0.44953019194184973</v>
      </c>
      <c r="P131" s="13">
        <v>-0.23152405340399679</v>
      </c>
    </row>
    <row r="132" spans="1:16" x14ac:dyDescent="0.25">
      <c r="A132" s="25">
        <v>1.5566666666666658</v>
      </c>
      <c r="B132" s="8">
        <v>-0.2573333333333343</v>
      </c>
      <c r="C132" s="8">
        <v>2.341999999999997</v>
      </c>
      <c r="D132" s="7">
        <v>0.70066666666666588</v>
      </c>
      <c r="E132" s="19" t="s">
        <v>7</v>
      </c>
      <c r="M132" s="25">
        <f t="array" ref="M132:P132">MMULT(A132:D132,$G$11:$J$14)</f>
        <v>2.8416727781038693</v>
      </c>
      <c r="N132" s="8">
        <v>0.37526916719510323</v>
      </c>
      <c r="O132" s="8">
        <v>0.49889807587076868</v>
      </c>
      <c r="P132" s="13">
        <v>-2.2336462609152119E-2</v>
      </c>
    </row>
    <row r="133" spans="1:16" x14ac:dyDescent="0.25">
      <c r="A133" s="25">
        <v>2.0566666666666658</v>
      </c>
      <c r="B133" s="8">
        <v>0.7426666666666657</v>
      </c>
      <c r="C133" s="8">
        <v>2.6419999999999977</v>
      </c>
      <c r="D133" s="7">
        <v>0.80066666666666597</v>
      </c>
      <c r="E133" s="19" t="s">
        <v>7</v>
      </c>
      <c r="M133" s="25">
        <f t="array" ref="M133:P133">MMULT(A133:D133,$G$11:$J$14)</f>
        <v>3.2306736614320908</v>
      </c>
      <c r="N133" s="8">
        <v>1.3741650867930471</v>
      </c>
      <c r="O133" s="8">
        <v>0.11454820547541872</v>
      </c>
      <c r="P133" s="13">
        <v>-0.25290192339528172</v>
      </c>
    </row>
    <row r="134" spans="1:16" x14ac:dyDescent="0.25">
      <c r="A134" s="25">
        <v>0.55666666666666575</v>
      </c>
      <c r="B134" s="8">
        <v>-0.2573333333333343</v>
      </c>
      <c r="C134" s="8">
        <v>1.841999999999997</v>
      </c>
      <c r="D134" s="7">
        <v>1.0006666666666661</v>
      </c>
      <c r="E134" s="19" t="s">
        <v>7</v>
      </c>
      <c r="M134" s="25">
        <f t="array" ref="M134:P134">MMULT(A134:D134,$G$11:$J$14)</f>
        <v>2.1594376424890487</v>
      </c>
      <c r="N134" s="8">
        <v>-0.21727757866904915</v>
      </c>
      <c r="O134" s="8">
        <v>-0.20876316713083759</v>
      </c>
      <c r="P134" s="13">
        <v>0.12819306556340371</v>
      </c>
    </row>
    <row r="135" spans="1:16" x14ac:dyDescent="0.25">
      <c r="A135" s="25">
        <v>0.45666666666666522</v>
      </c>
      <c r="B135" s="8">
        <v>-0.2573333333333343</v>
      </c>
      <c r="C135" s="8">
        <v>1.341999999999997</v>
      </c>
      <c r="D135" s="7">
        <v>0.30066666666666597</v>
      </c>
      <c r="E135" s="19" t="s">
        <v>7</v>
      </c>
      <c r="M135" s="25">
        <f t="array" ref="M135:P135">MMULT(A135:D135,$G$11:$J$14)</f>
        <v>1.4441612423295089</v>
      </c>
      <c r="N135" s="8">
        <v>-0.14341341045758119</v>
      </c>
      <c r="O135" s="8">
        <v>0.15323388806308996</v>
      </c>
      <c r="P135" s="13">
        <v>-0.19099635791450884</v>
      </c>
    </row>
    <row r="136" spans="1:16" x14ac:dyDescent="0.25">
      <c r="A136" s="25">
        <v>0.25666666666666504</v>
      </c>
      <c r="B136" s="8">
        <v>-0.45733333333333404</v>
      </c>
      <c r="C136" s="8">
        <v>1.841999999999997</v>
      </c>
      <c r="D136" s="7">
        <v>0.20066666666666588</v>
      </c>
      <c r="E136" s="19" t="s">
        <v>7</v>
      </c>
      <c r="M136" s="25">
        <f t="array" ref="M136:P136">MMULT(A136:D136,$G$11:$J$14)</f>
        <v>1.7812948100451114</v>
      </c>
      <c r="N136" s="8">
        <v>-0.49990168107813743</v>
      </c>
      <c r="O136" s="8">
        <v>0.17287518911341948</v>
      </c>
      <c r="P136" s="13">
        <v>-0.5054344117857994</v>
      </c>
    </row>
    <row r="137" spans="1:16" x14ac:dyDescent="0.25">
      <c r="A137" s="25">
        <v>1.8566666666666656</v>
      </c>
      <c r="B137" s="8">
        <v>-5.7333333333334124E-2</v>
      </c>
      <c r="C137" s="8">
        <v>2.341999999999997</v>
      </c>
      <c r="D137" s="7">
        <v>1.1006666666666658</v>
      </c>
      <c r="E137" s="19" t="s">
        <v>7</v>
      </c>
      <c r="M137" s="25">
        <f t="array" ref="M137:P137">MMULT(A137:D137,$G$11:$J$14)</f>
        <v>3.0764999316871866</v>
      </c>
      <c r="N137" s="8">
        <v>0.68808567757117622</v>
      </c>
      <c r="O137" s="8">
        <v>0.33559229243454114</v>
      </c>
      <c r="P137" s="13">
        <v>0.30982804463443214</v>
      </c>
    </row>
    <row r="138" spans="1:16" x14ac:dyDescent="0.25">
      <c r="A138" s="25">
        <v>0.45666666666666522</v>
      </c>
      <c r="B138" s="8">
        <v>0.34266666666666579</v>
      </c>
      <c r="C138" s="8">
        <v>1.841999999999997</v>
      </c>
      <c r="D138" s="7">
        <v>1.2006666666666659</v>
      </c>
      <c r="E138" s="19" t="s">
        <v>7</v>
      </c>
      <c r="M138" s="25">
        <f t="array" ref="M138:P138">MMULT(A138:D138,$G$11:$J$14)</f>
        <v>2.1442433143020807</v>
      </c>
      <c r="N138" s="8">
        <v>0.14006420108978962</v>
      </c>
      <c r="O138" s="8">
        <v>-0.73487893672551097</v>
      </c>
      <c r="P138" s="13">
        <v>5.5541969126136292E-2</v>
      </c>
    </row>
    <row r="139" spans="1:16" x14ac:dyDescent="0.25">
      <c r="A139" s="25">
        <v>0.55666666666666575</v>
      </c>
      <c r="B139" s="8">
        <v>4.2666666666665964E-2</v>
      </c>
      <c r="C139" s="8">
        <v>1.7419999999999973</v>
      </c>
      <c r="D139" s="7">
        <v>0.60066666666666602</v>
      </c>
      <c r="E139" s="19" t="s">
        <v>7</v>
      </c>
      <c r="M139" s="25">
        <f t="array" ref="M139:P139">MMULT(A139:D139,$G$11:$J$14)</f>
        <v>1.9050981488140748</v>
      </c>
      <c r="N139" s="8">
        <v>4.9300526013029616E-2</v>
      </c>
      <c r="O139" s="8">
        <v>-0.16218023577073709</v>
      </c>
      <c r="P139" s="13">
        <v>-0.22120293694259074</v>
      </c>
    </row>
    <row r="140" spans="1:16" x14ac:dyDescent="0.25">
      <c r="A140" s="25">
        <v>0.1566666666666654</v>
      </c>
      <c r="B140" s="8">
        <v>-5.7333333333334124E-2</v>
      </c>
      <c r="C140" s="8">
        <v>1.0419999999999972</v>
      </c>
      <c r="D140" s="7">
        <v>0.60066666666666602</v>
      </c>
      <c r="E140" s="19" t="s">
        <v>7</v>
      </c>
      <c r="M140" s="25">
        <f t="array" ref="M140:P140">MMULT(A140:D140,$G$11:$J$14)</f>
        <v>1.1693263393414992</v>
      </c>
      <c r="N140" s="8">
        <v>-0.16499026202310985</v>
      </c>
      <c r="O140" s="8">
        <v>-0.28183584020848029</v>
      </c>
      <c r="P140" s="13">
        <v>2.0461787158676248E-2</v>
      </c>
    </row>
    <row r="141" spans="1:16" x14ac:dyDescent="0.25">
      <c r="A141" s="25">
        <v>1.0566666666666658</v>
      </c>
      <c r="B141" s="8">
        <v>4.2666666666665964E-2</v>
      </c>
      <c r="C141" s="8">
        <v>1.6419999999999977</v>
      </c>
      <c r="D141" s="7">
        <v>0.90066666666666606</v>
      </c>
      <c r="E141" s="19" t="s">
        <v>7</v>
      </c>
      <c r="M141" s="25">
        <f t="array" ref="M141:P141">MMULT(A141:D141,$G$11:$J$14)</f>
        <v>2.1076111432572411</v>
      </c>
      <c r="N141" s="8">
        <v>0.37228787196079777</v>
      </c>
      <c r="O141" s="8">
        <v>-2.7291132141630536E-2</v>
      </c>
      <c r="P141" s="13">
        <v>0.21062178578807367</v>
      </c>
    </row>
    <row r="142" spans="1:16" x14ac:dyDescent="0.25">
      <c r="A142" s="25">
        <v>0.85666666666666558</v>
      </c>
      <c r="B142" s="8">
        <v>4.2666666666665964E-2</v>
      </c>
      <c r="C142" s="8">
        <v>1.841999999999997</v>
      </c>
      <c r="D142" s="7">
        <v>1.2006666666666659</v>
      </c>
      <c r="E142" s="19" t="s">
        <v>7</v>
      </c>
      <c r="M142" s="25">
        <f t="array" ref="M142:P142">MMULT(A142:D142,$G$11:$J$14)</f>
        <v>2.3141547052355986</v>
      </c>
      <c r="N142" s="8">
        <v>0.18365127916901908</v>
      </c>
      <c r="O142" s="8">
        <v>-0.32269374717305882</v>
      </c>
      <c r="P142" s="13">
        <v>0.27765377738756558</v>
      </c>
    </row>
    <row r="143" spans="1:16" x14ac:dyDescent="0.25">
      <c r="A143" s="25">
        <v>1.0566666666666658</v>
      </c>
      <c r="B143" s="8">
        <v>4.2666666666665964E-2</v>
      </c>
      <c r="C143" s="8">
        <v>1.341999999999997</v>
      </c>
      <c r="D143" s="7">
        <v>1.1006666666666658</v>
      </c>
      <c r="E143" s="19" t="s">
        <v>7</v>
      </c>
      <c r="M143" s="25">
        <f t="array" ref="M143:P143">MMULT(A143:D143,$G$11:$J$14)</f>
        <v>1.9222678009025997</v>
      </c>
      <c r="N143" s="8">
        <v>0.40920346681606273</v>
      </c>
      <c r="O143" s="8">
        <v>-0.1135865957993562</v>
      </c>
      <c r="P143" s="13">
        <v>0.50530496693927307</v>
      </c>
    </row>
    <row r="144" spans="1:16" x14ac:dyDescent="0.25">
      <c r="A144" s="25">
        <v>-4.3333333333334778E-2</v>
      </c>
      <c r="B144" s="8">
        <v>-0.35733333333333395</v>
      </c>
      <c r="C144" s="8">
        <v>1.341999999999997</v>
      </c>
      <c r="D144" s="7">
        <v>0.70066666666666588</v>
      </c>
      <c r="E144" s="19" t="s">
        <v>7</v>
      </c>
      <c r="M144" s="25">
        <f t="array" ref="M144:P144">MMULT(A144:D144,$G$11:$J$14)</f>
        <v>1.4152358767039015</v>
      </c>
      <c r="N144" s="8">
        <v>-0.57491634754648979</v>
      </c>
      <c r="O144" s="8">
        <v>-0.29632252738796439</v>
      </c>
      <c r="P144" s="13">
        <v>-1.5304673894265264E-2</v>
      </c>
    </row>
    <row r="145" spans="1:16" x14ac:dyDescent="0.25">
      <c r="A145" s="25">
        <v>0.95666666666666522</v>
      </c>
      <c r="B145" s="8">
        <v>0.14266666666666605</v>
      </c>
      <c r="C145" s="8">
        <v>2.1419999999999977</v>
      </c>
      <c r="D145" s="7">
        <v>1.1006666666666658</v>
      </c>
      <c r="E145" s="19" t="s">
        <v>7</v>
      </c>
      <c r="M145" s="25">
        <f t="array" ref="M145:P145">MMULT(A145:D145,$G$11:$J$14)</f>
        <v>2.5630133750774746</v>
      </c>
      <c r="N145" s="8">
        <v>0.27786260292919462</v>
      </c>
      <c r="O145" s="8">
        <v>-0.29256952459674274</v>
      </c>
      <c r="P145" s="13">
        <v>5.7912747686554633E-2</v>
      </c>
    </row>
    <row r="146" spans="1:16" x14ac:dyDescent="0.25">
      <c r="A146" s="25">
        <v>0.85666666666666558</v>
      </c>
      <c r="B146" s="8">
        <v>0.2426666666666657</v>
      </c>
      <c r="C146" s="8">
        <v>1.9419999999999975</v>
      </c>
      <c r="D146" s="7">
        <v>1.300666666666666</v>
      </c>
      <c r="E146" s="19" t="s">
        <v>7</v>
      </c>
      <c r="M146" s="25">
        <f t="array" ref="M146:P146">MMULT(A146:D146,$G$11:$J$14)</f>
        <v>2.418746182732824</v>
      </c>
      <c r="N146" s="8">
        <v>0.30479819785469209</v>
      </c>
      <c r="O146" s="8">
        <v>-0.50448266397718</v>
      </c>
      <c r="P146" s="13">
        <v>0.2410910004812804</v>
      </c>
    </row>
    <row r="147" spans="1:16" x14ac:dyDescent="0.25">
      <c r="A147" s="25">
        <v>0.85666666666666558</v>
      </c>
      <c r="B147" s="8">
        <v>-5.7333333333334124E-2</v>
      </c>
      <c r="C147" s="8">
        <v>1.4419999999999975</v>
      </c>
      <c r="D147" s="7">
        <v>1.1006666666666658</v>
      </c>
      <c r="E147" s="19" t="s">
        <v>7</v>
      </c>
      <c r="M147" s="25">
        <f t="array" ref="M147:P147">MMULT(A147:D147,$G$11:$J$14)</f>
        <v>1.9441097945469668</v>
      </c>
      <c r="N147" s="8">
        <v>0.18753230280060562</v>
      </c>
      <c r="O147" s="8">
        <v>-0.17782509063265717</v>
      </c>
      <c r="P147" s="13">
        <v>0.4261959400256275</v>
      </c>
    </row>
    <row r="148" spans="1:16" x14ac:dyDescent="0.25">
      <c r="A148" s="25">
        <v>0.45666666666666522</v>
      </c>
      <c r="B148" s="8">
        <v>-0.55733333333333412</v>
      </c>
      <c r="C148" s="8">
        <v>1.2419999999999973</v>
      </c>
      <c r="D148" s="7">
        <v>0.70066666666666588</v>
      </c>
      <c r="E148" s="19" t="s">
        <v>7</v>
      </c>
      <c r="M148" s="25">
        <f t="array" ref="M148:P148">MMULT(A148:D148,$G$11:$J$14)</f>
        <v>1.5271666148145164</v>
      </c>
      <c r="N148" s="8">
        <v>-0.37531698258048818</v>
      </c>
      <c r="O148" s="8">
        <v>0.12189817186718205</v>
      </c>
      <c r="P148" s="13">
        <v>0.25436744199041167</v>
      </c>
    </row>
    <row r="149" spans="1:16" x14ac:dyDescent="0.25">
      <c r="A149" s="25">
        <v>0.6566666666666654</v>
      </c>
      <c r="B149" s="8">
        <v>-5.7333333333334124E-2</v>
      </c>
      <c r="C149" s="8">
        <v>1.4419999999999975</v>
      </c>
      <c r="D149" s="7">
        <v>0.80066666666666597</v>
      </c>
      <c r="E149" s="19" t="s">
        <v>7</v>
      </c>
      <c r="M149" s="25">
        <f t="array" ref="M149:P149">MMULT(A149:D149,$G$11:$J$14)</f>
        <v>1.7643457170444279</v>
      </c>
      <c r="N149" s="8">
        <v>7.8858854518475713E-2</v>
      </c>
      <c r="O149" s="8">
        <v>-0.13048163128784801</v>
      </c>
      <c r="P149" s="13">
        <v>0.137001273865619</v>
      </c>
    </row>
    <row r="150" spans="1:16" x14ac:dyDescent="0.25">
      <c r="A150" s="25">
        <v>0.35666666666666558</v>
      </c>
      <c r="B150" s="8">
        <v>0.34266666666666579</v>
      </c>
      <c r="C150" s="8">
        <v>1.6419999999999977</v>
      </c>
      <c r="D150" s="7">
        <v>1.1006666666666658</v>
      </c>
      <c r="E150" s="19" t="s">
        <v>7</v>
      </c>
      <c r="M150" s="25">
        <f t="array" ref="M150:P150">MMULT(A150:D150,$G$11:$J$14)</f>
        <v>1.9009416142184223</v>
      </c>
      <c r="N150" s="8">
        <v>0.11662795851202327</v>
      </c>
      <c r="O150" s="8">
        <v>-0.72325156348991715</v>
      </c>
      <c r="P150" s="13">
        <v>4.4595304708260675E-2</v>
      </c>
    </row>
    <row r="151" spans="1:16" ht="15.75" thickBot="1" x14ac:dyDescent="0.3">
      <c r="A151" s="26">
        <v>5.6666666666665755E-2</v>
      </c>
      <c r="B151" s="15">
        <v>-5.7333333333334124E-2</v>
      </c>
      <c r="C151" s="15">
        <v>1.341999999999997</v>
      </c>
      <c r="D151" s="18">
        <v>0.60066666666666602</v>
      </c>
      <c r="E151" s="20" t="s">
        <v>7</v>
      </c>
      <c r="M151" s="26">
        <f t="array" ref="M151:P151">MMULT(A151:D151,$G$11:$J$14)</f>
        <v>1.390188861947913</v>
      </c>
      <c r="N151" s="15">
        <v>-0.28266093799055114</v>
      </c>
      <c r="O151" s="15">
        <v>-0.36290964808537579</v>
      </c>
      <c r="P151" s="16">
        <v>-0.15503862823011128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/>
  <dimension ref="A1:P151"/>
  <sheetViews>
    <sheetView workbookViewId="0">
      <selection activeCell="L24" sqref="L24"/>
    </sheetView>
  </sheetViews>
  <sheetFormatPr defaultRowHeight="15" x14ac:dyDescent="0.25"/>
  <cols>
    <col min="1" max="4" width="9.140625" style="1"/>
    <col min="5" max="5" width="9.7109375" style="1" bestFit="1" customWidth="1"/>
    <col min="6" max="6" width="9.140625" style="1"/>
    <col min="7" max="10" width="13.7109375" style="1" bestFit="1" customWidth="1"/>
    <col min="11" max="11" width="9.140625" style="1"/>
    <col min="13" max="16" width="9.140625" style="1"/>
  </cols>
  <sheetData>
    <row r="1" spans="1:16" ht="15.75" thickBot="1" x14ac:dyDescent="0.3">
      <c r="A1" s="27" t="s">
        <v>8</v>
      </c>
      <c r="B1" s="10" t="s">
        <v>9</v>
      </c>
      <c r="C1" s="10" t="s">
        <v>10</v>
      </c>
      <c r="D1" s="17" t="s">
        <v>11</v>
      </c>
      <c r="E1" s="4" t="s">
        <v>4</v>
      </c>
      <c r="G1" s="30" t="s">
        <v>14</v>
      </c>
      <c r="H1" s="30">
        <f>COUNT(A:A)</f>
        <v>150</v>
      </c>
      <c r="M1" s="27" t="s">
        <v>20</v>
      </c>
      <c r="N1" s="10" t="s">
        <v>21</v>
      </c>
      <c r="O1" s="10" t="s">
        <v>22</v>
      </c>
      <c r="P1" s="11" t="s">
        <v>23</v>
      </c>
    </row>
    <row r="2" spans="1:16" ht="15.75" thickBot="1" x14ac:dyDescent="0.3">
      <c r="A2" s="25">
        <v>-0.89767387919678832</v>
      </c>
      <c r="B2" s="8">
        <v>1.0156019907136655</v>
      </c>
      <c r="C2" s="8">
        <v>-1.3357516342415243</v>
      </c>
      <c r="D2" s="7">
        <v>-1.3110521482051325</v>
      </c>
      <c r="E2" s="19" t="s">
        <v>5</v>
      </c>
      <c r="M2" s="25">
        <f t="array" ref="M2:P2">MMULT(A2:D2,$G$11:$J$14)</f>
        <v>-2.2571411756481439</v>
      </c>
      <c r="N2" s="8">
        <v>0.47842383212490475</v>
      </c>
      <c r="O2" s="8">
        <v>0.12727962370643009</v>
      </c>
      <c r="P2" s="13">
        <v>2.4087508458728535E-2</v>
      </c>
    </row>
    <row r="3" spans="1:16" ht="16.5" thickTop="1" thickBot="1" x14ac:dyDescent="0.3">
      <c r="A3" s="25">
        <v>-1.1392004834649812</v>
      </c>
      <c r="B3" s="8">
        <v>-0.13153881205026594</v>
      </c>
      <c r="C3" s="8">
        <v>-1.3357516342415243</v>
      </c>
      <c r="D3" s="7">
        <v>-1.3110521482051325</v>
      </c>
      <c r="E3" s="19" t="s">
        <v>5</v>
      </c>
      <c r="G3" s="29" t="s">
        <v>15</v>
      </c>
      <c r="M3" s="25">
        <f t="array" ref="M3:P3">MMULT(A3:D3,$G$11:$J$14)</f>
        <v>-2.0740130151996299</v>
      </c>
      <c r="N3" s="8">
        <v>-0.67188268702739196</v>
      </c>
      <c r="O3" s="8">
        <v>0.23382551672597596</v>
      </c>
      <c r="P3" s="13">
        <v>0.10266284468034093</v>
      </c>
    </row>
    <row r="4" spans="1:16" ht="15.75" thickTop="1" x14ac:dyDescent="0.25">
      <c r="A4" s="25">
        <v>-1.380727087733175</v>
      </c>
      <c r="B4" s="8">
        <v>0.32731750905530699</v>
      </c>
      <c r="C4" s="8">
        <v>-1.3923992862449817</v>
      </c>
      <c r="D4" s="7">
        <v>-1.3110521482051325</v>
      </c>
      <c r="E4" s="19" t="s">
        <v>5</v>
      </c>
      <c r="G4" s="28">
        <f t="array" ref="G4:J7">MMULT(TRANSPOSE(A2:D151),A2:D151)/(H1-1)</f>
        <v>1.000000000000048</v>
      </c>
      <c r="H4" s="28">
        <v>-0.1175697841330085</v>
      </c>
      <c r="I4" s="28">
        <v>0.87175377588660552</v>
      </c>
      <c r="J4" s="28">
        <v>0.8179411262715961</v>
      </c>
      <c r="M4" s="25">
        <f t="array" ref="M4:P4">MMULT(A4:D4,$G$11:$J$14)</f>
        <v>-2.3563351118061995</v>
      </c>
      <c r="N4" s="8">
        <v>-0.34076642462459067</v>
      </c>
      <c r="O4" s="8">
        <v>-4.4053900170167526E-2</v>
      </c>
      <c r="P4" s="13">
        <v>2.8282305082274806E-2</v>
      </c>
    </row>
    <row r="5" spans="1:16" x14ac:dyDescent="0.25">
      <c r="A5" s="25">
        <v>-1.5014903898672725</v>
      </c>
      <c r="B5" s="8">
        <v>9.7889348502520526E-2</v>
      </c>
      <c r="C5" s="8">
        <v>-1.279103982238067</v>
      </c>
      <c r="D5" s="7">
        <v>-1.3110521482051325</v>
      </c>
      <c r="E5" s="19" t="s">
        <v>5</v>
      </c>
      <c r="G5" s="28">
        <v>-0.1175697841330085</v>
      </c>
      <c r="H5" s="28">
        <v>1.0000000000000682</v>
      </c>
      <c r="I5" s="28">
        <v>-0.42844010433055485</v>
      </c>
      <c r="J5" s="28">
        <v>-0.36612593253645159</v>
      </c>
      <c r="M5" s="25">
        <f t="array" ref="M5:P5">MMULT(A5:D5,$G$11:$J$14)</f>
        <v>-2.2917067858697151</v>
      </c>
      <c r="N5" s="8">
        <v>-0.59539986268157252</v>
      </c>
      <c r="O5" s="8">
        <v>-9.0985297101387363E-2</v>
      </c>
      <c r="P5" s="13">
        <v>-6.5735340064786096E-2</v>
      </c>
    </row>
    <row r="6" spans="1:16" x14ac:dyDescent="0.25">
      <c r="A6" s="25">
        <v>-1.0184371813308848</v>
      </c>
      <c r="B6" s="8">
        <v>1.2450301512664519</v>
      </c>
      <c r="C6" s="8">
        <v>-1.3357516342415243</v>
      </c>
      <c r="D6" s="7">
        <v>-1.3110521482051325</v>
      </c>
      <c r="E6" s="19" t="s">
        <v>5</v>
      </c>
      <c r="G6" s="28">
        <v>0.87175377588660552</v>
      </c>
      <c r="H6" s="28">
        <v>-0.42844010433055485</v>
      </c>
      <c r="I6" s="28">
        <v>1.0000000000000036</v>
      </c>
      <c r="J6" s="28">
        <v>0.9628654314027989</v>
      </c>
      <c r="M6" s="25">
        <f t="array" ref="M6:P6">MMULT(A6:D6,$G$11:$J$14)</f>
        <v>-2.38186270441697</v>
      </c>
      <c r="N6" s="8">
        <v>0.64467565940054805</v>
      </c>
      <c r="O6" s="8">
        <v>-1.5685647296912575E-2</v>
      </c>
      <c r="P6" s="13">
        <v>-3.5802870342741433E-2</v>
      </c>
    </row>
    <row r="7" spans="1:16" x14ac:dyDescent="0.25">
      <c r="A7" s="25">
        <v>-0.53538397279449701</v>
      </c>
      <c r="B7" s="8">
        <v>1.9333146329248103</v>
      </c>
      <c r="C7" s="8">
        <v>-1.1658086782311523</v>
      </c>
      <c r="D7" s="7">
        <v>-1.0486667949952995</v>
      </c>
      <c r="E7" s="19" t="s">
        <v>5</v>
      </c>
      <c r="G7" s="28">
        <v>0.8179411262715961</v>
      </c>
      <c r="H7" s="28">
        <v>-0.36612593253645159</v>
      </c>
      <c r="I7" s="28">
        <v>0.9628654314027989</v>
      </c>
      <c r="J7" s="28">
        <v>1.0000000000000013</v>
      </c>
      <c r="M7" s="25">
        <f t="array" ref="M7:P7">MMULT(A7:D7,$G$11:$J$14)</f>
        <v>-2.0687006084677302</v>
      </c>
      <c r="N7" s="8">
        <v>1.4842052973421975</v>
      </c>
      <c r="O7" s="8">
        <v>-2.687824979961706E-2</v>
      </c>
      <c r="P7" s="13">
        <v>6.5861161167717341E-3</v>
      </c>
    </row>
    <row r="8" spans="1:16" ht="15.75" thickBot="1" x14ac:dyDescent="0.3">
      <c r="A8" s="25">
        <v>-1.5014903898672725</v>
      </c>
      <c r="B8" s="8">
        <v>0.78617383016087894</v>
      </c>
      <c r="C8" s="8">
        <v>-1.3357516342415243</v>
      </c>
      <c r="D8" s="7">
        <v>-1.179859471600216</v>
      </c>
      <c r="E8" s="19" t="s">
        <v>5</v>
      </c>
      <c r="M8" s="25">
        <f t="array" ref="M8:P8">MMULT(A8:D8,$G$11:$J$14)</f>
        <v>-2.4358684489631726</v>
      </c>
      <c r="N8" s="8">
        <v>4.748511806192604E-2</v>
      </c>
      <c r="O8" s="8">
        <v>-0.33435029650976666</v>
      </c>
      <c r="P8" s="13">
        <v>-3.6652767009744736E-2</v>
      </c>
    </row>
    <row r="9" spans="1:16" ht="16.5" thickTop="1" thickBot="1" x14ac:dyDescent="0.3">
      <c r="A9" s="25">
        <v>-1.0184371813308848</v>
      </c>
      <c r="B9" s="8">
        <v>0.78617383016087894</v>
      </c>
      <c r="C9" s="8">
        <v>-1.279103982238067</v>
      </c>
      <c r="D9" s="7">
        <v>-1.3110521482051325</v>
      </c>
      <c r="E9" s="19" t="s">
        <v>5</v>
      </c>
      <c r="G9" s="29"/>
      <c r="H9" s="29" t="s">
        <v>19</v>
      </c>
      <c r="I9" s="29"/>
      <c r="J9" s="30" t="s">
        <v>35</v>
      </c>
      <c r="M9" s="25">
        <f t="array" ref="M9:P9">MMULT(A9:D9,$G$11:$J$14)</f>
        <v>-2.2253918887805764</v>
      </c>
      <c r="N9" s="8">
        <v>0.22240300191943785</v>
      </c>
      <c r="O9" s="8">
        <v>8.8399351885753652E-2</v>
      </c>
      <c r="P9" s="13">
        <v>-2.4529918683457885E-2</v>
      </c>
    </row>
    <row r="10" spans="1:16" ht="15.75" thickTop="1" x14ac:dyDescent="0.25">
      <c r="A10" s="25">
        <v>-1.7430169941354652</v>
      </c>
      <c r="B10" s="8">
        <v>-0.36096697260305244</v>
      </c>
      <c r="C10" s="8">
        <v>-1.3357516342415243</v>
      </c>
      <c r="D10" s="7">
        <v>-1.3110521482051325</v>
      </c>
      <c r="E10" s="19" t="s">
        <v>5</v>
      </c>
      <c r="G10" s="28">
        <v>2.9184978165320539</v>
      </c>
      <c r="H10" s="28">
        <v>0.91403047146813066</v>
      </c>
      <c r="I10" s="28">
        <v>0.14675687557131922</v>
      </c>
      <c r="J10" s="28">
        <v>2.0714836428619151E-2</v>
      </c>
      <c r="M10" s="25">
        <f t="array" ref="M10:P10">MMULT(A10:D10,$G$11:$J$14)</f>
        <v>-2.3268453293413325</v>
      </c>
      <c r="N10" s="8">
        <v>-1.1116036995379619</v>
      </c>
      <c r="O10" s="8">
        <v>-0.14459246541111181</v>
      </c>
      <c r="P10" s="13">
        <v>-2.6769540334536157E-2</v>
      </c>
    </row>
    <row r="11" spans="1:16" x14ac:dyDescent="0.25">
      <c r="A11" s="25">
        <v>-1.1392004834649812</v>
      </c>
      <c r="B11" s="8">
        <v>9.7889348502520526E-2</v>
      </c>
      <c r="C11" s="8">
        <v>-1.279103982238067</v>
      </c>
      <c r="D11" s="7">
        <v>-1.4422448248100488</v>
      </c>
      <c r="E11" s="19" t="s">
        <v>5</v>
      </c>
      <c r="G11" s="28">
        <v>0.52106591467012764</v>
      </c>
      <c r="H11" s="28">
        <v>0.3774176155645691</v>
      </c>
      <c r="I11" s="28">
        <v>0.71956635270081393</v>
      </c>
      <c r="J11" s="28">
        <v>0.26128627995244402</v>
      </c>
      <c r="M11" s="25">
        <f t="array" ref="M11:P11">MMULT(A11:D11,$G$11:$J$14)</f>
        <v>-2.1770349052411246</v>
      </c>
      <c r="N11" s="8">
        <v>-0.46744756851170033</v>
      </c>
      <c r="O11" s="8">
        <v>0.25291826754793723</v>
      </c>
      <c r="P11" s="13">
        <v>-3.9766067703015939E-2</v>
      </c>
    </row>
    <row r="12" spans="1:16" x14ac:dyDescent="0.25">
      <c r="A12" s="25">
        <v>-0.53538397279449701</v>
      </c>
      <c r="B12" s="8">
        <v>1.4744583118192385</v>
      </c>
      <c r="C12" s="8">
        <v>-1.279103982238067</v>
      </c>
      <c r="D12" s="7">
        <v>-1.3110521482051325</v>
      </c>
      <c r="E12" s="19" t="s">
        <v>5</v>
      </c>
      <c r="G12" s="28">
        <v>-0.26934744250595266</v>
      </c>
      <c r="H12" s="28">
        <v>0.9232956595407138</v>
      </c>
      <c r="I12" s="28">
        <v>-0.24438177951439588</v>
      </c>
      <c r="J12" s="28">
        <v>-0.12350961958551422</v>
      </c>
      <c r="M12" s="25">
        <f t="array" ref="M12:P12">MMULT(A12:D12,$G$11:$J$14)</f>
        <v>-2.1590769916914381</v>
      </c>
      <c r="N12" s="8">
        <v>1.0402058665204494</v>
      </c>
      <c r="O12" s="8">
        <v>0.26778400087289433</v>
      </c>
      <c r="P12" s="13">
        <v>1.6675502697870215E-2</v>
      </c>
    </row>
    <row r="13" spans="1:16" x14ac:dyDescent="0.25">
      <c r="A13" s="25">
        <v>-1.2599637855990786</v>
      </c>
      <c r="B13" s="8">
        <v>0.78617383016087894</v>
      </c>
      <c r="C13" s="8">
        <v>-1.2224563302346096</v>
      </c>
      <c r="D13" s="7">
        <v>-1.3110521482051325</v>
      </c>
      <c r="E13" s="19" t="s">
        <v>5</v>
      </c>
      <c r="G13" s="28">
        <v>0.58041309579628919</v>
      </c>
      <c r="H13" s="28">
        <v>2.449160908559174E-2</v>
      </c>
      <c r="I13" s="28">
        <v>-0.14212636933391848</v>
      </c>
      <c r="J13" s="28">
        <v>-0.80144924633598869</v>
      </c>
      <c r="M13" s="25">
        <f t="array" ref="M13:P13">MMULT(A13:D13,$G$11:$J$14)</f>
        <v>-2.318364130681835</v>
      </c>
      <c r="N13" s="8">
        <v>0.13263399898961414</v>
      </c>
      <c r="O13" s="8">
        <v>-9.3446190938266227E-2</v>
      </c>
      <c r="P13" s="13">
        <v>-0.13303772462711461</v>
      </c>
    </row>
    <row r="14" spans="1:16" x14ac:dyDescent="0.25">
      <c r="A14" s="25">
        <v>-1.2599637855990786</v>
      </c>
      <c r="B14" s="8">
        <v>-0.13153881205026594</v>
      </c>
      <c r="C14" s="8">
        <v>-1.3357516342415243</v>
      </c>
      <c r="D14" s="7">
        <v>-1.4422448248100488</v>
      </c>
      <c r="E14" s="19" t="s">
        <v>5</v>
      </c>
      <c r="G14" s="28">
        <v>0.56485653577935468</v>
      </c>
      <c r="H14" s="28">
        <v>6.69419869680625E-2</v>
      </c>
      <c r="I14" s="28">
        <v>-0.63427273711092425</v>
      </c>
      <c r="J14" s="28">
        <v>0.52359713456619528</v>
      </c>
      <c r="M14" s="25">
        <f t="array" ref="M14:P14">MMULT(A14:D14,$G$11:$J$14)</f>
        <v>-2.2110436965113922</v>
      </c>
      <c r="N14" s="8">
        <v>-0.72624318301413815</v>
      </c>
      <c r="O14" s="8">
        <v>0.23014024594834548</v>
      </c>
      <c r="P14" s="13">
        <v>2.4169411645458272E-3</v>
      </c>
    </row>
    <row r="15" spans="1:16" ht="15.75" thickBot="1" x14ac:dyDescent="0.3">
      <c r="A15" s="25">
        <v>-1.8637802962695627</v>
      </c>
      <c r="B15" s="8">
        <v>-0.13153881205026594</v>
      </c>
      <c r="C15" s="8">
        <v>-1.5056945902518961</v>
      </c>
      <c r="D15" s="7">
        <v>-1.4422448248100488</v>
      </c>
      <c r="E15" s="19" t="s">
        <v>5</v>
      </c>
      <c r="M15" s="25">
        <f t="array" ref="M15:P15">MMULT(A15:D15,$G$11:$J$14)</f>
        <v>-2.6243090161435854</v>
      </c>
      <c r="N15" s="8">
        <v>-0.95829634715536627</v>
      </c>
      <c r="O15" s="8">
        <v>-0.18019242300371885</v>
      </c>
      <c r="P15" s="13">
        <v>-1.9151374667787602E-2</v>
      </c>
    </row>
    <row r="16" spans="1:16" ht="16.5" thickTop="1" thickBot="1" x14ac:dyDescent="0.3">
      <c r="A16" s="25">
        <v>-5.2330764258110368E-2</v>
      </c>
      <c r="B16" s="8">
        <v>2.1627427934775967</v>
      </c>
      <c r="C16" s="8">
        <v>-1.4490469382484388</v>
      </c>
      <c r="D16" s="7">
        <v>-1.3110521482051325</v>
      </c>
      <c r="E16" s="19" t="s">
        <v>5</v>
      </c>
      <c r="G16" s="29" t="s">
        <v>17</v>
      </c>
      <c r="H16" s="36">
        <f>SUM(G10:J10)</f>
        <v>4.0000000000001226</v>
      </c>
      <c r="I16" s="30" t="s">
        <v>18</v>
      </c>
      <c r="J16" s="36">
        <f>G4+H5+I6+J7</f>
        <v>4.0000000000001208</v>
      </c>
      <c r="M16" s="25">
        <f t="array" ref="M16:P16">MMULT(A16:D16,$G$11:$J$14)</f>
        <v>-2.1913992118090526</v>
      </c>
      <c r="N16" s="8">
        <v>1.853846554676003</v>
      </c>
      <c r="O16" s="8">
        <v>0.47132202519166255</v>
      </c>
      <c r="P16" s="13">
        <v>0.19408157809382076</v>
      </c>
    </row>
    <row r="17" spans="1:16" ht="15.75" thickTop="1" x14ac:dyDescent="0.25">
      <c r="A17" s="25">
        <v>-0.17309406639220676</v>
      </c>
      <c r="B17" s="8">
        <v>3.0804554356887426</v>
      </c>
      <c r="C17" s="8">
        <v>-1.279103982238067</v>
      </c>
      <c r="D17" s="7">
        <v>-1.0486667949952995</v>
      </c>
      <c r="E17" s="19" t="s">
        <v>5</v>
      </c>
      <c r="M17" s="25">
        <f t="array" ref="M17:P17">MMULT(A17:D17,$G$11:$J$14)</f>
        <v>-2.2546612065689917</v>
      </c>
      <c r="N17" s="8">
        <v>2.6773152297366787</v>
      </c>
      <c r="O17" s="8">
        <v>-3.0424683741338887E-2</v>
      </c>
      <c r="P17" s="13">
        <v>5.0365009874299038E-2</v>
      </c>
    </row>
    <row r="18" spans="1:16" ht="15.75" thickBot="1" x14ac:dyDescent="0.3">
      <c r="A18" s="25">
        <v>-0.53538397279449701</v>
      </c>
      <c r="B18" s="8">
        <v>1.9333146329248103</v>
      </c>
      <c r="C18" s="8">
        <v>-1.3923992862449817</v>
      </c>
      <c r="D18" s="7">
        <v>-1.0486667949952995</v>
      </c>
      <c r="E18" s="19" t="s">
        <v>5</v>
      </c>
      <c r="G18" s="31">
        <f>G10/$H$16</f>
        <v>0.72962445413299115</v>
      </c>
      <c r="H18" s="31">
        <f t="shared" ref="H18:J18" si="0">H10/$H$16</f>
        <v>0.22850761786702567</v>
      </c>
      <c r="I18" s="31">
        <f t="shared" si="0"/>
        <v>3.6689218892828682E-2</v>
      </c>
      <c r="J18" s="31">
        <f t="shared" si="0"/>
        <v>5.178709107154629E-3</v>
      </c>
      <c r="M18" s="25">
        <f t="array" ref="M18:P18">MMULT(A18:D18,$G$11:$J$14)</f>
        <v>-2.2002167647434003</v>
      </c>
      <c r="N18" s="8">
        <v>1.4786557287482562</v>
      </c>
      <c r="O18" s="8">
        <v>5.3262506425535427E-3</v>
      </c>
      <c r="P18" s="13">
        <v>0.18818698813626866</v>
      </c>
    </row>
    <row r="19" spans="1:16" ht="15.75" thickTop="1" x14ac:dyDescent="0.25">
      <c r="A19" s="25">
        <v>-0.89767387919678832</v>
      </c>
      <c r="B19" s="8">
        <v>1.0156019907136655</v>
      </c>
      <c r="C19" s="8">
        <v>-1.3357516342415243</v>
      </c>
      <c r="D19" s="7">
        <v>-1.179859471600216</v>
      </c>
      <c r="E19" s="19" t="s">
        <v>5</v>
      </c>
      <c r="M19" s="25">
        <f t="array" ref="M19:P19">MMULT(A19:D19,$G$11:$J$14)</f>
        <v>-2.18303613482147</v>
      </c>
      <c r="N19" s="8">
        <v>0.48720613057249629</v>
      </c>
      <c r="O19" s="8">
        <v>4.4067685627321329E-2</v>
      </c>
      <c r="P19" s="13">
        <v>9.2779618005132347E-2</v>
      </c>
    </row>
    <row r="20" spans="1:16" x14ac:dyDescent="0.25">
      <c r="A20" s="25">
        <v>-0.17309406639220676</v>
      </c>
      <c r="B20" s="8">
        <v>1.7038864723720237</v>
      </c>
      <c r="C20" s="8">
        <v>-1.1658086782311523</v>
      </c>
      <c r="D20" s="7">
        <v>-1.179859471600216</v>
      </c>
      <c r="E20" s="19" t="s">
        <v>5</v>
      </c>
      <c r="H20" s="2" t="s">
        <v>20</v>
      </c>
      <c r="I20" s="2" t="s">
        <v>21</v>
      </c>
      <c r="J20" s="2" t="s">
        <v>22</v>
      </c>
      <c r="K20" s="2" t="s">
        <v>23</v>
      </c>
      <c r="M20" s="25">
        <f t="array" ref="M20:P20">MMULT(A20:D20,$G$11:$J$14)</f>
        <v>-1.8922328395554022</v>
      </c>
      <c r="N20" s="8">
        <v>1.4003275666972714</v>
      </c>
      <c r="O20" s="8">
        <v>0.37309337699631134</v>
      </c>
      <c r="P20" s="13">
        <v>6.0891973310620351E-2</v>
      </c>
    </row>
    <row r="21" spans="1:16" x14ac:dyDescent="0.25">
      <c r="A21" s="25">
        <v>-0.89767387919678832</v>
      </c>
      <c r="B21" s="8">
        <v>1.7038864723720237</v>
      </c>
      <c r="C21" s="8">
        <v>-1.279103982238067</v>
      </c>
      <c r="D21" s="7">
        <v>-1.179859471600216</v>
      </c>
      <c r="E21" s="19" t="s">
        <v>5</v>
      </c>
      <c r="G21" s="2" t="s">
        <v>24</v>
      </c>
      <c r="H21" s="3">
        <f>AVERAGE(M:M)</f>
        <v>-1.8622140866379292E-15</v>
      </c>
      <c r="I21" s="3">
        <f>AVERAGE(N:N)</f>
        <v>-2.4142724856327884E-15</v>
      </c>
      <c r="J21" s="3">
        <f>AVERAGE(O:O)</f>
        <v>1.2212453270876723E-16</v>
      </c>
      <c r="K21" s="3">
        <f>AVERAGE(P:P)</f>
        <v>5.7250500636503901E-16</v>
      </c>
      <c r="M21" s="25">
        <f t="array" ref="M21:P21">MMULT(A21:D21,$G$11:$J$14)</f>
        <v>-2.3355447606037663</v>
      </c>
      <c r="N21" s="8">
        <v>1.124083597165374</v>
      </c>
      <c r="O21" s="8">
        <v>-0.13218762592303457</v>
      </c>
      <c r="P21" s="13">
        <v>-3.7630354495978624E-2</v>
      </c>
    </row>
    <row r="22" spans="1:16" x14ac:dyDescent="0.25">
      <c r="A22" s="25">
        <v>-0.53538397279449701</v>
      </c>
      <c r="B22" s="8">
        <v>0.78617383016087894</v>
      </c>
      <c r="C22" s="8">
        <v>-1.1658086782311523</v>
      </c>
      <c r="D22" s="7">
        <v>-1.3110521482051325</v>
      </c>
      <c r="E22" s="19" t="s">
        <v>5</v>
      </c>
      <c r="G22" s="2" t="s">
        <v>13</v>
      </c>
      <c r="H22" s="3">
        <f>_xlfn.STDEV.S(M:M)</f>
        <v>1.7083611493276392</v>
      </c>
      <c r="I22" s="3">
        <f>_xlfn.STDEV.S(N:N)</f>
        <v>0.95604940848688791</v>
      </c>
      <c r="J22" s="3">
        <f>_xlfn.STDEV.S(O:O)</f>
        <v>0.38308860015839608</v>
      </c>
      <c r="K22" s="3">
        <f>_xlfn.STDEV.S(P:P)</f>
        <v>0.14392649661761153</v>
      </c>
      <c r="M22" s="25">
        <f t="array" ref="M22:P22">MMULT(A22:D22,$G$11:$J$14)</f>
        <v>-1.9079312487023887</v>
      </c>
      <c r="N22" s="8">
        <v>0.40749057637302644</v>
      </c>
      <c r="O22" s="8">
        <v>0.41988593709162253</v>
      </c>
      <c r="P22" s="13">
        <v>1.0884821184358739E-2</v>
      </c>
    </row>
    <row r="23" spans="1:16" x14ac:dyDescent="0.25">
      <c r="A23" s="25">
        <v>-0.89767387919678832</v>
      </c>
      <c r="B23" s="8">
        <v>1.4744583118192385</v>
      </c>
      <c r="C23" s="8">
        <v>-1.279103982238067</v>
      </c>
      <c r="D23" s="7">
        <v>-1.0486667949952995</v>
      </c>
      <c r="E23" s="19" t="s">
        <v>5</v>
      </c>
      <c r="G23" s="2" t="s">
        <v>25</v>
      </c>
      <c r="H23" s="3">
        <f>_xlfn.VAR.S(M:M)</f>
        <v>2.9184978165320521</v>
      </c>
      <c r="I23" s="3">
        <f>_xlfn.VAR.S(N:N)</f>
        <v>0.91403047146812832</v>
      </c>
      <c r="J23" s="3">
        <f>_xlfn.VAR.S(O:O)</f>
        <v>0.14675687557131947</v>
      </c>
      <c r="K23" s="3">
        <f>_xlfn.VAR.S(P:P)</f>
        <v>2.0714836428619342E-2</v>
      </c>
      <c r="M23" s="25">
        <f t="array" ref="M23:P23">MMULT(A23:D23,$G$11:$J$14)</f>
        <v>-2.1996438314933542</v>
      </c>
      <c r="N23" s="8">
        <v>0.92103587079816895</v>
      </c>
      <c r="O23" s="8">
        <v>-0.1593315018555389</v>
      </c>
      <c r="P23" s="13">
        <v>5.9398339882504092E-2</v>
      </c>
    </row>
    <row r="24" spans="1:16" ht="15.75" thickBot="1" x14ac:dyDescent="0.3">
      <c r="A24" s="25">
        <v>-1.5014903898672725</v>
      </c>
      <c r="B24" s="8">
        <v>1.2450301512664519</v>
      </c>
      <c r="C24" s="8">
        <v>-1.5623422422553535</v>
      </c>
      <c r="D24" s="7">
        <v>-1.3110521482051325</v>
      </c>
      <c r="E24" s="19" t="s">
        <v>5</v>
      </c>
      <c r="M24" s="25">
        <f t="array" ref="M24:P24">MMULT(A24:D24,$G$11:$J$14)</f>
        <v>-2.7650814226329929</v>
      </c>
      <c r="N24" s="8">
        <v>0.45681330064998887</v>
      </c>
      <c r="O24" s="8">
        <v>-0.33106998228169604</v>
      </c>
      <c r="P24" s="13">
        <v>1.9582825799190462E-2</v>
      </c>
    </row>
    <row r="25" spans="1:16" ht="16.5" thickTop="1" thickBot="1" x14ac:dyDescent="0.3">
      <c r="A25" s="25">
        <v>-0.89767387919678832</v>
      </c>
      <c r="B25" s="8">
        <v>0.55674566960809246</v>
      </c>
      <c r="C25" s="8">
        <v>-1.1658086782311523</v>
      </c>
      <c r="D25" s="7">
        <v>-0.91747411839038318</v>
      </c>
      <c r="E25" s="19" t="s">
        <v>5</v>
      </c>
      <c r="G25" s="29" t="s">
        <v>15</v>
      </c>
      <c r="M25" s="25">
        <f t="array" ref="M25:P25">MMULT(A25:D25,$G$11:$J$14)</f>
        <v>-1.8125971593938925</v>
      </c>
      <c r="N25" s="8">
        <v>8.5272854283539729E-2</v>
      </c>
      <c r="O25" s="8">
        <v>-3.4373441569314878E-2</v>
      </c>
      <c r="P25" s="13">
        <v>0.15063635274747506</v>
      </c>
    </row>
    <row r="26" spans="1:16" ht="15.75" thickTop="1" x14ac:dyDescent="0.25">
      <c r="A26" s="25">
        <v>-1.2599637855990786</v>
      </c>
      <c r="B26" s="8">
        <v>0.78617383016087894</v>
      </c>
      <c r="C26" s="8">
        <v>-1.0525133742242381</v>
      </c>
      <c r="D26" s="7">
        <v>-1.3110521482051325</v>
      </c>
      <c r="E26" s="19" t="s">
        <v>5</v>
      </c>
      <c r="G26" s="32">
        <f t="array" ref="G26:J29">MMULT(TRANSPOSE(M2:P151),M2:P151)/(H1-1)</f>
        <v>2.9184978165320521</v>
      </c>
      <c r="H26" s="32">
        <v>6.9910520325808933E-16</v>
      </c>
      <c r="I26" s="32">
        <v>-6.5197660842081339E-16</v>
      </c>
      <c r="J26" s="32">
        <v>-3.8447991993730252E-16</v>
      </c>
      <c r="M26" s="25">
        <f t="array" ref="M26:P26">MMULT(A26:D26,$G$11:$J$14)</f>
        <v>-2.2197270134750831</v>
      </c>
      <c r="N26" s="8">
        <v>0.13679617543507006</v>
      </c>
      <c r="O26" s="8">
        <v>-0.1175995662698941</v>
      </c>
      <c r="P26" s="13">
        <v>-0.26923837864173694</v>
      </c>
    </row>
    <row r="27" spans="1:16" x14ac:dyDescent="0.25">
      <c r="A27" s="25">
        <v>-1.0184371813308848</v>
      </c>
      <c r="B27" s="8">
        <v>-0.13153881205026594</v>
      </c>
      <c r="C27" s="8">
        <v>-1.2224563302346096</v>
      </c>
      <c r="D27" s="7">
        <v>-1.3110521482051325</v>
      </c>
      <c r="E27" s="19" t="s">
        <v>5</v>
      </c>
      <c r="G27" s="32">
        <v>6.9910520325808933E-16</v>
      </c>
      <c r="H27" s="32">
        <v>0.91403047146812832</v>
      </c>
      <c r="I27" s="32">
        <v>1.6157377449400087E-16</v>
      </c>
      <c r="J27" s="32">
        <v>-2.0752648294823214E-17</v>
      </c>
      <c r="M27" s="25">
        <f t="array" ref="M27:P27">MMULT(A27:D27,$G$11:$J$14)</f>
        <v>-1.9453292965767066</v>
      </c>
      <c r="N27" s="8">
        <v>-0.62352970519126694</v>
      </c>
      <c r="O27" s="8">
        <v>0.30462047536162873</v>
      </c>
      <c r="P27" s="13">
        <v>4.341620263998347E-2</v>
      </c>
    </row>
    <row r="28" spans="1:16" x14ac:dyDescent="0.25">
      <c r="A28" s="25">
        <v>-1.0184371813308848</v>
      </c>
      <c r="B28" s="8">
        <v>0.78617383016087894</v>
      </c>
      <c r="C28" s="8">
        <v>-1.2224563302346096</v>
      </c>
      <c r="D28" s="7">
        <v>-1.0486667949952995</v>
      </c>
      <c r="E28" s="19" t="s">
        <v>5</v>
      </c>
      <c r="G28" s="32">
        <v>-6.5197660842081339E-16</v>
      </c>
      <c r="H28" s="32">
        <v>1.6157377449400087E-16</v>
      </c>
      <c r="I28" s="32">
        <v>0.14675687557131947</v>
      </c>
      <c r="J28" s="32">
        <v>-4.312359567126237E-16</v>
      </c>
      <c r="M28" s="25">
        <f t="array" ref="M28:P28">MMULT(A28:D28,$G$11:$J$14)</f>
        <v>-2.0443027680583103</v>
      </c>
      <c r="N28" s="8">
        <v>0.24135499096310625</v>
      </c>
      <c r="O28" s="8">
        <v>-8.6075649383006381E-2</v>
      </c>
      <c r="P28" s="13">
        <v>6.7454082404475479E-2</v>
      </c>
    </row>
    <row r="29" spans="1:16" x14ac:dyDescent="0.25">
      <c r="A29" s="25">
        <v>-0.77691057706269084</v>
      </c>
      <c r="B29" s="8">
        <v>1.0156019907136655</v>
      </c>
      <c r="C29" s="8">
        <v>-1.279103982238067</v>
      </c>
      <c r="D29" s="7">
        <v>-1.3110521482051325</v>
      </c>
      <c r="E29" s="19" t="s">
        <v>5</v>
      </c>
      <c r="G29" s="32">
        <v>-3.8447991993730252E-16</v>
      </c>
      <c r="H29" s="32">
        <v>-2.0752648294823214E-17</v>
      </c>
      <c r="I29" s="32">
        <v>-4.312359567126237E-16</v>
      </c>
      <c r="J29" s="32">
        <v>2.0714836428619342E-2</v>
      </c>
      <c r="M29" s="25">
        <f t="array" ref="M29:P29">MMULT(A29:D29,$G$11:$J$14)</f>
        <v>-2.1613364960941386</v>
      </c>
      <c r="N29" s="8">
        <v>0.52538942181254478</v>
      </c>
      <c r="O29" s="8">
        <v>0.20612570745262626</v>
      </c>
      <c r="P29" s="13">
        <v>1.0241084423245672E-2</v>
      </c>
    </row>
    <row r="30" spans="1:16" x14ac:dyDescent="0.25">
      <c r="A30" s="25">
        <v>-0.77691057706269084</v>
      </c>
      <c r="B30" s="8">
        <v>0.78617383016087894</v>
      </c>
      <c r="C30" s="8">
        <v>-1.3357516342415243</v>
      </c>
      <c r="D30" s="7">
        <v>-1.3110521482051325</v>
      </c>
      <c r="E30" s="19" t="s">
        <v>5</v>
      </c>
      <c r="M30" s="25">
        <f t="array" ref="M30:P30">MMULT(A30:D30,$G$11:$J$14)</f>
        <v>-2.1324196468793177</v>
      </c>
      <c r="N30" s="8">
        <v>0.31217200484926155</v>
      </c>
      <c r="O30" s="8">
        <v>0.27024489470977353</v>
      </c>
      <c r="P30" s="13">
        <v>8.3977887260198947E-2</v>
      </c>
    </row>
    <row r="31" spans="1:16" x14ac:dyDescent="0.25">
      <c r="A31" s="25">
        <v>-1.380727087733175</v>
      </c>
      <c r="B31" s="8">
        <v>0.32731750905530699</v>
      </c>
      <c r="C31" s="8">
        <v>-1.2224563302346096</v>
      </c>
      <c r="D31" s="7">
        <v>-1.3110521482051325</v>
      </c>
      <c r="E31" s="19" t="s">
        <v>5</v>
      </c>
      <c r="M31" s="25">
        <f t="array" ref="M31:P31">MMULT(A31:D31,$G$11:$J$14)</f>
        <v>-2.2576979945994475</v>
      </c>
      <c r="N31" s="8">
        <v>-0.33660424817913476</v>
      </c>
      <c r="O31" s="8">
        <v>-6.8207275501795506E-2</v>
      </c>
      <c r="P31" s="13">
        <v>-0.10791834893234797</v>
      </c>
    </row>
    <row r="32" spans="1:16" x14ac:dyDescent="0.25">
      <c r="A32" s="25">
        <v>-1.2599637855990786</v>
      </c>
      <c r="B32" s="8">
        <v>9.7889348502520526E-2</v>
      </c>
      <c r="C32" s="8">
        <v>-1.2224563302346096</v>
      </c>
      <c r="D32" s="7">
        <v>-1.3110521482051325</v>
      </c>
      <c r="E32" s="19" t="s">
        <v>5</v>
      </c>
      <c r="M32" s="25">
        <f t="array" ref="M32:P32">MMULT(A32:D32,$G$11:$J$14)</f>
        <v>-2.1329764658306214</v>
      </c>
      <c r="N32" s="8">
        <v>-0.50285607545477817</v>
      </c>
      <c r="O32" s="8">
        <v>7.4757995501547048E-2</v>
      </c>
      <c r="P32" s="13">
        <v>-4.8027970130877895E-2</v>
      </c>
    </row>
    <row r="33" spans="1:16" x14ac:dyDescent="0.25">
      <c r="A33" s="25">
        <v>-0.53538397279449701</v>
      </c>
      <c r="B33" s="8">
        <v>0.78617383016087894</v>
      </c>
      <c r="C33" s="8">
        <v>-1.279103982238067</v>
      </c>
      <c r="D33" s="7">
        <v>-1.0486667949952995</v>
      </c>
      <c r="E33" s="19" t="s">
        <v>5</v>
      </c>
      <c r="M33" s="25">
        <f t="array" ref="M33:P33">MMULT(A33:D33,$G$11:$J$14)</f>
        <v>-1.8254792451868751</v>
      </c>
      <c r="N33" s="8">
        <v>0.42228038897123887</v>
      </c>
      <c r="O33" s="8">
        <v>0.26956431115449042</v>
      </c>
      <c r="P33" s="13">
        <v>0.23906947628691466</v>
      </c>
    </row>
    <row r="34" spans="1:16" x14ac:dyDescent="0.25">
      <c r="A34" s="25">
        <v>-0.77691057706269084</v>
      </c>
      <c r="B34" s="8">
        <v>2.3921709540303824</v>
      </c>
      <c r="C34" s="8">
        <v>-1.279103982238067</v>
      </c>
      <c r="D34" s="7">
        <v>-1.4422448248100488</v>
      </c>
      <c r="E34" s="19" t="s">
        <v>5</v>
      </c>
      <c r="M34" s="25">
        <f t="array" ref="M34:P34">MMULT(A34:D34,$G$11:$J$14)</f>
        <v>-2.6062168666232406</v>
      </c>
      <c r="N34" s="8">
        <v>1.7875872722537378</v>
      </c>
      <c r="O34" s="8">
        <v>-4.7070727347891639E-2</v>
      </c>
      <c r="P34" s="13">
        <v>-0.22847053411563145</v>
      </c>
    </row>
    <row r="35" spans="1:16" x14ac:dyDescent="0.25">
      <c r="A35" s="25">
        <v>-0.41462067066040059</v>
      </c>
      <c r="B35" s="8">
        <v>2.6215991145831699</v>
      </c>
      <c r="C35" s="8">
        <v>-1.3357516342415243</v>
      </c>
      <c r="D35" s="7">
        <v>-1.3110521482051325</v>
      </c>
      <c r="E35" s="19" t="s">
        <v>5</v>
      </c>
      <c r="M35" s="25">
        <f t="array" ref="M35:P35">MMULT(A35:D35,$G$11:$J$14)</f>
        <v>-2.4380098316939582</v>
      </c>
      <c r="N35" s="8">
        <v>2.1435467959851069</v>
      </c>
      <c r="O35" s="8">
        <v>8.2392024107153072E-2</v>
      </c>
      <c r="P35" s="13">
        <v>-4.805340948825898E-2</v>
      </c>
    </row>
    <row r="36" spans="1:16" x14ac:dyDescent="0.25">
      <c r="A36" s="25">
        <v>-1.1392004834649812</v>
      </c>
      <c r="B36" s="8">
        <v>9.7889348502520526E-2</v>
      </c>
      <c r="C36" s="8">
        <v>-1.279103982238067</v>
      </c>
      <c r="D36" s="7">
        <v>-1.3110521482051325</v>
      </c>
      <c r="E36" s="19" t="s">
        <v>5</v>
      </c>
      <c r="M36" s="25">
        <f t="array" ref="M36:P36">MMULT(A36:D36,$G$11:$J$14)</f>
        <v>-2.1029298644144503</v>
      </c>
      <c r="N36" s="8">
        <v>-0.45866527006410879</v>
      </c>
      <c r="O36" s="8">
        <v>0.16970632946882869</v>
      </c>
      <c r="P36" s="13">
        <v>2.8926041843387762E-2</v>
      </c>
    </row>
    <row r="37" spans="1:16" x14ac:dyDescent="0.25">
      <c r="A37" s="25">
        <v>-1.0184371813308848</v>
      </c>
      <c r="B37" s="8">
        <v>0.32731750905530699</v>
      </c>
      <c r="C37" s="8">
        <v>-1.4490469382484388</v>
      </c>
      <c r="D37" s="7">
        <v>-1.3110521482051325</v>
      </c>
      <c r="E37" s="19" t="s">
        <v>5</v>
      </c>
      <c r="M37" s="25">
        <f t="array" ref="M37:P37">MMULT(A37:D37,$G$11:$J$14)</f>
        <v>-2.2004372294198529</v>
      </c>
      <c r="N37" s="8">
        <v>-0.20541922415561267</v>
      </c>
      <c r="O37" s="8">
        <v>0.22468885151059037</v>
      </c>
      <c r="P37" s="13">
        <v>0.16834390499532248</v>
      </c>
    </row>
    <row r="38" spans="1:16" x14ac:dyDescent="0.25">
      <c r="A38" s="25">
        <v>-0.41462067066040059</v>
      </c>
      <c r="B38" s="8">
        <v>1.0156019907136655</v>
      </c>
      <c r="C38" s="8">
        <v>-1.3923992862449817</v>
      </c>
      <c r="D38" s="7">
        <v>-1.3110521482051325</v>
      </c>
      <c r="E38" s="19" t="s">
        <v>5</v>
      </c>
      <c r="M38" s="25">
        <f t="array" ref="M38:P38">MMULT(A38:D38,$G$11:$J$14)</f>
        <v>-2.0383176527767093</v>
      </c>
      <c r="N38" s="8">
        <v>0.65934923013303748</v>
      </c>
      <c r="O38" s="8">
        <v>0.48291958424392689</v>
      </c>
      <c r="P38" s="13">
        <v>0.19570290234116772</v>
      </c>
    </row>
    <row r="39" spans="1:16" x14ac:dyDescent="0.25">
      <c r="A39" s="25">
        <v>-1.1392004834649812</v>
      </c>
      <c r="B39" s="8">
        <v>1.2450301512664519</v>
      </c>
      <c r="C39" s="8">
        <v>-1.3357516342415243</v>
      </c>
      <c r="D39" s="7">
        <v>-1.4422448248100488</v>
      </c>
      <c r="E39" s="19" t="s">
        <v>5</v>
      </c>
      <c r="M39" s="25">
        <f t="array" ref="M39:P39">MMULT(A39:D39,$G$11:$J$14)</f>
        <v>-2.5188933857287323</v>
      </c>
      <c r="N39" s="8">
        <v>0.59031516341380219</v>
      </c>
      <c r="O39" s="8">
        <v>-1.9370918074542165E-2</v>
      </c>
      <c r="P39" s="13">
        <v>-0.1360487738585362</v>
      </c>
    </row>
    <row r="40" spans="1:16" x14ac:dyDescent="0.25">
      <c r="A40" s="25">
        <v>-1.7430169941354652</v>
      </c>
      <c r="B40" s="8">
        <v>-0.13153881205026594</v>
      </c>
      <c r="C40" s="8">
        <v>-1.3923992862449817</v>
      </c>
      <c r="D40" s="7">
        <v>-1.3110521482051325</v>
      </c>
      <c r="E40" s="19" t="s">
        <v>5</v>
      </c>
      <c r="M40" s="25">
        <f t="array" ref="M40:P40">MMULT(A40:D40,$G$11:$J$14)</f>
        <v>-2.421520256693988</v>
      </c>
      <c r="N40" s="8">
        <v>-0.90116106687164943</v>
      </c>
      <c r="O40" s="8">
        <v>-0.19260940244717384</v>
      </c>
      <c r="P40" s="13">
        <v>-9.705907161740801E-3</v>
      </c>
    </row>
    <row r="41" spans="1:16" x14ac:dyDescent="0.25">
      <c r="A41" s="25">
        <v>-0.89767387919678832</v>
      </c>
      <c r="B41" s="8">
        <v>0.78617383016087894</v>
      </c>
      <c r="C41" s="8">
        <v>-1.279103982238067</v>
      </c>
      <c r="D41" s="7">
        <v>-1.3110521482051325</v>
      </c>
      <c r="E41" s="19" t="s">
        <v>5</v>
      </c>
      <c r="M41" s="25">
        <f t="array" ref="M41:P41">MMULT(A41:D41,$G$11:$J$14)</f>
        <v>-2.1624662482954884</v>
      </c>
      <c r="N41" s="8">
        <v>0.26798119945859217</v>
      </c>
      <c r="O41" s="8">
        <v>0.17529656074249189</v>
      </c>
      <c r="P41" s="13">
        <v>7.0238752859331788E-3</v>
      </c>
    </row>
    <row r="42" spans="1:16" x14ac:dyDescent="0.25">
      <c r="A42" s="25">
        <v>-1.0184371813308848</v>
      </c>
      <c r="B42" s="8">
        <v>1.0156019907136655</v>
      </c>
      <c r="C42" s="8">
        <v>-1.3923992862449817</v>
      </c>
      <c r="D42" s="7">
        <v>-1.179859471600216</v>
      </c>
      <c r="E42" s="19" t="s">
        <v>5</v>
      </c>
      <c r="M42" s="25">
        <f t="array" ref="M42:P42">MMULT(A42:D42,$G$11:$J$14)</f>
        <v>-2.2788408143754753</v>
      </c>
      <c r="N42" s="8">
        <v>0.44024054088485676</v>
      </c>
      <c r="O42" s="8">
        <v>-3.4778398118874287E-2</v>
      </c>
      <c r="P42" s="13">
        <v>0.10662604204061554</v>
      </c>
    </row>
    <row r="43" spans="1:16" x14ac:dyDescent="0.25">
      <c r="A43" s="25">
        <v>-1.6222536920013688</v>
      </c>
      <c r="B43" s="8">
        <v>-1.7375359359197702</v>
      </c>
      <c r="C43" s="8">
        <v>-1.3923992862449817</v>
      </c>
      <c r="D43" s="7">
        <v>-1.179859471600216</v>
      </c>
      <c r="E43" s="19" t="s">
        <v>5</v>
      </c>
      <c r="M43" s="25">
        <f t="array" ref="M43:P43">MMULT(A43:D43,$G$11:$J$14)</f>
        <v>-1.8519183573960591</v>
      </c>
      <c r="N43" s="8">
        <v>-2.3296107445884875</v>
      </c>
      <c r="O43" s="8">
        <v>0.20355230335668673</v>
      </c>
      <c r="P43" s="13">
        <v>0.28889609017860651</v>
      </c>
    </row>
    <row r="44" spans="1:16" x14ac:dyDescent="0.25">
      <c r="A44" s="25">
        <v>-1.7430169941354652</v>
      </c>
      <c r="B44" s="8">
        <v>0.32731750905530699</v>
      </c>
      <c r="C44" s="8">
        <v>-1.3923992862449817</v>
      </c>
      <c r="D44" s="7">
        <v>-1.3110521482051325</v>
      </c>
      <c r="E44" s="19" t="s">
        <v>5</v>
      </c>
      <c r="M44" s="25">
        <f t="array" ref="M44:P44">MMULT(A44:D44,$G$11:$J$14)</f>
        <v>-2.5451120332614643</v>
      </c>
      <c r="N44" s="8">
        <v>-0.4775010172420539</v>
      </c>
      <c r="O44" s="8">
        <v>-0.30474552674038291</v>
      </c>
      <c r="P44" s="13">
        <v>-6.6379076825898609E-2</v>
      </c>
    </row>
    <row r="45" spans="1:16" x14ac:dyDescent="0.25">
      <c r="A45" s="25">
        <v>-1.0184371813308848</v>
      </c>
      <c r="B45" s="8">
        <v>1.0156019907136655</v>
      </c>
      <c r="C45" s="8">
        <v>-1.2224563302346096</v>
      </c>
      <c r="D45" s="7">
        <v>-0.78628144178546677</v>
      </c>
      <c r="E45" s="19" t="s">
        <v>5</v>
      </c>
      <c r="M45" s="25">
        <f t="array" ref="M45:P45">MMULT(A45:D45,$G$11:$J$14)</f>
        <v>-1.9578885746886998</v>
      </c>
      <c r="N45" s="8">
        <v>0.47074961267308735</v>
      </c>
      <c r="O45" s="8">
        <v>-0.30856758768782816</v>
      </c>
      <c r="P45" s="13">
        <v>0.17650171666520398</v>
      </c>
    </row>
    <row r="46" spans="1:16" x14ac:dyDescent="0.25">
      <c r="A46" s="25">
        <v>-0.89767387919678832</v>
      </c>
      <c r="B46" s="8">
        <v>1.7038864723720237</v>
      </c>
      <c r="C46" s="8">
        <v>-1.0525133742242381</v>
      </c>
      <c r="D46" s="7">
        <v>-1.0486667949952995</v>
      </c>
      <c r="E46" s="19" t="s">
        <v>5</v>
      </c>
      <c r="M46" s="25">
        <f t="array" ref="M46:P46">MMULT(A46:D46,$G$11:$J$14)</f>
        <v>-2.1299235635014222</v>
      </c>
      <c r="N46" s="8">
        <v>1.1384154642069069</v>
      </c>
      <c r="O46" s="8">
        <v>-0.24760406444431371</v>
      </c>
      <c r="P46" s="13">
        <v>-0.15053911696907135</v>
      </c>
    </row>
    <row r="47" spans="1:16" x14ac:dyDescent="0.25">
      <c r="A47" s="25">
        <v>-1.2599637855990786</v>
      </c>
      <c r="B47" s="8">
        <v>-0.13153881205026594</v>
      </c>
      <c r="C47" s="8">
        <v>-1.3357516342415243</v>
      </c>
      <c r="D47" s="7">
        <v>-1.179859471600216</v>
      </c>
      <c r="E47" s="19" t="s">
        <v>5</v>
      </c>
      <c r="M47" s="25">
        <f t="array" ref="M47:P47">MMULT(A47:D47,$G$11:$J$14)</f>
        <v>-2.062833614858044</v>
      </c>
      <c r="N47" s="8">
        <v>-0.70867858611895507</v>
      </c>
      <c r="O47" s="8">
        <v>6.371636979012818E-2</v>
      </c>
      <c r="P47" s="13">
        <v>0.13980116025735334</v>
      </c>
    </row>
    <row r="48" spans="1:16" x14ac:dyDescent="0.25">
      <c r="A48" s="25">
        <v>-0.89767387919678832</v>
      </c>
      <c r="B48" s="8">
        <v>1.7038864723720237</v>
      </c>
      <c r="C48" s="8">
        <v>-1.2224563302346096</v>
      </c>
      <c r="D48" s="7">
        <v>-1.3110521482051325</v>
      </c>
      <c r="E48" s="19" t="s">
        <v>5</v>
      </c>
      <c r="M48" s="25">
        <f t="array" ref="M48:P48">MMULT(A48:D48,$G$11:$J$14)</f>
        <v>-2.3767707623615228</v>
      </c>
      <c r="N48" s="8">
        <v>1.1166886908662677</v>
      </c>
      <c r="O48" s="8">
        <v>-5.7026812954468431E-2</v>
      </c>
      <c r="P48" s="13">
        <v>-0.1517226820472567</v>
      </c>
    </row>
    <row r="49" spans="1:16" x14ac:dyDescent="0.25">
      <c r="A49" s="25">
        <v>-1.5014903898672725</v>
      </c>
      <c r="B49" s="8">
        <v>0.32731750905530699</v>
      </c>
      <c r="C49" s="8">
        <v>-1.3357516342415243</v>
      </c>
      <c r="D49" s="7">
        <v>-1.3110521482051325</v>
      </c>
      <c r="E49" s="19" t="s">
        <v>5</v>
      </c>
      <c r="M49" s="25">
        <f t="array" ref="M49:P49">MMULT(A49:D49,$G$11:$J$14)</f>
        <v>-2.386381713222371</v>
      </c>
      <c r="N49" s="8">
        <v>-0.38495723001526011</v>
      </c>
      <c r="O49" s="8">
        <v>-0.13900223413744917</v>
      </c>
      <c r="P49" s="13">
        <v>-4.867170689199074E-2</v>
      </c>
    </row>
    <row r="50" spans="1:16" x14ac:dyDescent="0.25">
      <c r="A50" s="25">
        <v>-0.65614727492859448</v>
      </c>
      <c r="B50" s="8">
        <v>1.4744583118192385</v>
      </c>
      <c r="C50" s="8">
        <v>-1.279103982238067</v>
      </c>
      <c r="D50" s="7">
        <v>-1.3110521482051325</v>
      </c>
      <c r="E50" s="19" t="s">
        <v>5</v>
      </c>
      <c r="M50" s="25">
        <f t="array" ref="M50:P50">MMULT(A50:D50,$G$11:$J$14)</f>
        <v>-2.2220026321765269</v>
      </c>
      <c r="N50" s="8">
        <v>0.99462766898129473</v>
      </c>
      <c r="O50" s="8">
        <v>0.18088679201615543</v>
      </c>
      <c r="P50" s="13">
        <v>-1.4878291271521182E-2</v>
      </c>
    </row>
    <row r="51" spans="1:16" x14ac:dyDescent="0.25">
      <c r="A51" s="25">
        <v>-1.0184371813308848</v>
      </c>
      <c r="B51" s="8">
        <v>0.55674566960809246</v>
      </c>
      <c r="C51" s="8">
        <v>-1.3357516342415243</v>
      </c>
      <c r="D51" s="7">
        <v>-1.3110521482051325</v>
      </c>
      <c r="E51" s="19" t="s">
        <v>5</v>
      </c>
      <c r="M51" s="25">
        <f t="array" ref="M51:P51">MMULT(A51:D51,$G$11:$J$14)</f>
        <v>-2.196475039565756</v>
      </c>
      <c r="N51" s="8">
        <v>9.1855849561548047E-3</v>
      </c>
      <c r="O51" s="8">
        <v>0.15251853914290081</v>
      </c>
      <c r="P51" s="13">
        <v>4.9206884153495278E-2</v>
      </c>
    </row>
    <row r="52" spans="1:16" x14ac:dyDescent="0.25">
      <c r="A52" s="25">
        <v>1.3968288613510518</v>
      </c>
      <c r="B52" s="8">
        <v>0.32731750905530699</v>
      </c>
      <c r="C52" s="8">
        <v>0.53362088187256629</v>
      </c>
      <c r="D52" s="7">
        <v>0.26325997105386462</v>
      </c>
      <c r="E52" s="19" t="s">
        <v>6</v>
      </c>
      <c r="M52" s="25">
        <f t="array" ref="M52:P52">MMULT(A52:D52,$G$11:$J$14)</f>
        <v>1.098102437614114</v>
      </c>
      <c r="N52" s="8">
        <v>0.86009103319556124</v>
      </c>
      <c r="O52" s="8">
        <v>0.68230039282706278</v>
      </c>
      <c r="P52" s="13">
        <v>3.4717468769394577E-2</v>
      </c>
    </row>
    <row r="53" spans="1:16" x14ac:dyDescent="0.25">
      <c r="A53" s="25">
        <v>0.67224904854647116</v>
      </c>
      <c r="B53" s="8">
        <v>0.32731750905530699</v>
      </c>
      <c r="C53" s="8">
        <v>0.42032557786565156</v>
      </c>
      <c r="D53" s="7">
        <v>0.39445264765878119</v>
      </c>
      <c r="E53" s="19" t="s">
        <v>6</v>
      </c>
      <c r="M53" s="25">
        <f t="array" ref="M53:P53">MMULT(A53:D53,$G$11:$J$14)</f>
        <v>0.72889555739242462</v>
      </c>
      <c r="N53" s="8">
        <v>0.59262936211125539</v>
      </c>
      <c r="O53" s="8">
        <v>9.3807451828608834E-2</v>
      </c>
      <c r="P53" s="13">
        <v>4.8872505091998308E-3</v>
      </c>
    </row>
    <row r="54" spans="1:16" x14ac:dyDescent="0.25">
      <c r="A54" s="25">
        <v>1.2760655592169552</v>
      </c>
      <c r="B54" s="8">
        <v>9.7889348502520526E-2</v>
      </c>
      <c r="C54" s="8">
        <v>0.64691618587948096</v>
      </c>
      <c r="D54" s="7">
        <v>0.39445264765878119</v>
      </c>
      <c r="E54" s="19" t="s">
        <v>6</v>
      </c>
      <c r="M54" s="25">
        <f t="array" ref="M54:P54">MMULT(A54:D54,$G$11:$J$14)</f>
        <v>1.2368358043772738</v>
      </c>
      <c r="N54" s="8">
        <v>0.61423989358617126</v>
      </c>
      <c r="O54" s="8">
        <v>0.55215705781673485</v>
      </c>
      <c r="P54" s="13">
        <v>9.3919331687377927E-3</v>
      </c>
    </row>
    <row r="55" spans="1:16" x14ac:dyDescent="0.25">
      <c r="A55" s="25">
        <v>-0.41462067066040059</v>
      </c>
      <c r="B55" s="8">
        <v>-1.7375359359197702</v>
      </c>
      <c r="C55" s="8">
        <v>0.13708731784836511</v>
      </c>
      <c r="D55" s="7">
        <v>0.13206729444894835</v>
      </c>
      <c r="E55" s="19" t="s">
        <v>6</v>
      </c>
      <c r="M55" s="25">
        <f t="array" ref="M55:P55">MMULT(A55:D55,$G$11:$J$14)</f>
        <v>0.40612251058233795</v>
      </c>
      <c r="N55" s="8">
        <v>-1.7485461967119234</v>
      </c>
      <c r="O55" s="8">
        <v>2.3024633148333071E-2</v>
      </c>
      <c r="P55" s="13">
        <v>6.5549239204952689E-2</v>
      </c>
    </row>
    <row r="56" spans="1:16" x14ac:dyDescent="0.25">
      <c r="A56" s="25">
        <v>0.79301235068056763</v>
      </c>
      <c r="B56" s="8">
        <v>-0.59039513315583891</v>
      </c>
      <c r="C56" s="8">
        <v>0.47697322986910867</v>
      </c>
      <c r="D56" s="7">
        <v>0.39445264765878119</v>
      </c>
      <c r="E56" s="19" t="s">
        <v>6</v>
      </c>
      <c r="M56" s="25">
        <f t="array" ref="M56:P56">MMULT(A56:D56,$G$11:$J$14)</f>
        <v>1.0718837900813827</v>
      </c>
      <c r="N56" s="8">
        <v>-0.20772514746029591</v>
      </c>
      <c r="O56" s="8">
        <v>0.39692578416122237</v>
      </c>
      <c r="P56" s="13">
        <v>0.10438716580203264</v>
      </c>
    </row>
    <row r="57" spans="1:16" x14ac:dyDescent="0.25">
      <c r="A57" s="25">
        <v>-0.17309406639220676</v>
      </c>
      <c r="B57" s="8">
        <v>-0.59039513315583891</v>
      </c>
      <c r="C57" s="8">
        <v>0.42032557786565156</v>
      </c>
      <c r="D57" s="7">
        <v>0.13206729444894835</v>
      </c>
      <c r="E57" s="19" t="s">
        <v>6</v>
      </c>
      <c r="M57" s="25">
        <f t="array" ref="M57:P57">MMULT(A57:D57,$G$11:$J$14)</f>
        <v>0.38738954547841153</v>
      </c>
      <c r="N57" s="8">
        <v>-0.59130271681720004</v>
      </c>
      <c r="O57" s="8">
        <v>-0.12377688542392529</v>
      </c>
      <c r="P57" s="13">
        <v>-0.24002718704103043</v>
      </c>
    </row>
    <row r="58" spans="1:16" x14ac:dyDescent="0.25">
      <c r="A58" s="25">
        <v>0.55148574641237369</v>
      </c>
      <c r="B58" s="8">
        <v>0.55674566960809246</v>
      </c>
      <c r="C58" s="8">
        <v>0.53362088187256629</v>
      </c>
      <c r="D58" s="7">
        <v>0.5256453242636977</v>
      </c>
      <c r="E58" s="19" t="s">
        <v>6</v>
      </c>
      <c r="M58" s="25">
        <f t="array" ref="M58:P58">MMULT(A58:D58,$G$11:$J$14)</f>
        <v>0.74403714758810779</v>
      </c>
      <c r="N58" s="8">
        <v>0.77043827213145977</v>
      </c>
      <c r="O58" s="8">
        <v>-0.14847200747492831</v>
      </c>
      <c r="P58" s="13">
        <v>-7.711145475561515E-2</v>
      </c>
    </row>
    <row r="59" spans="1:16" x14ac:dyDescent="0.25">
      <c r="A59" s="25">
        <v>-1.1392004834649812</v>
      </c>
      <c r="B59" s="8">
        <v>-1.5081077753669838</v>
      </c>
      <c r="C59" s="8">
        <v>-0.259446246175836</v>
      </c>
      <c r="D59" s="7">
        <v>-0.26151073536580099</v>
      </c>
      <c r="E59" s="19" t="s">
        <v>6</v>
      </c>
      <c r="M59" s="25">
        <f t="array" ref="M59:P59">MMULT(A59:D59,$G$11:$J$14)</f>
        <v>-0.48569561657437421</v>
      </c>
      <c r="N59" s="8">
        <v>-1.846243997514224</v>
      </c>
      <c r="O59" s="8">
        <v>-0.24843299212757722</v>
      </c>
      <c r="P59" s="13">
        <v>-4.0384912048565147E-2</v>
      </c>
    </row>
    <row r="60" spans="1:16" x14ac:dyDescent="0.25">
      <c r="A60" s="25">
        <v>0.913775652814664</v>
      </c>
      <c r="B60" s="8">
        <v>-0.36096697260305244</v>
      </c>
      <c r="C60" s="8">
        <v>0.47697322986910867</v>
      </c>
      <c r="D60" s="7">
        <v>0.13206729444894835</v>
      </c>
      <c r="E60" s="19" t="s">
        <v>6</v>
      </c>
      <c r="M60" s="25">
        <f t="array" ref="M60:P60">MMULT(A60:D60,$G$11:$J$14)</f>
        <v>0.92480346062938379</v>
      </c>
      <c r="N60" s="8">
        <v>3.2118477998473033E-2</v>
      </c>
      <c r="O60" s="8">
        <v>0.59417880702957326</v>
      </c>
      <c r="P60" s="13">
        <v>-2.9779844153462728E-2</v>
      </c>
    </row>
    <row r="61" spans="1:16" x14ac:dyDescent="0.25">
      <c r="A61" s="25">
        <v>-0.77691057706269084</v>
      </c>
      <c r="B61" s="8">
        <v>-0.81982329370862439</v>
      </c>
      <c r="C61" s="8">
        <v>8.043966584490779E-2</v>
      </c>
      <c r="D61" s="7">
        <v>0.26325997105386462</v>
      </c>
      <c r="E61" s="19" t="s">
        <v>6</v>
      </c>
      <c r="M61" s="25">
        <f t="array" ref="M61:P61">MMULT(A61:D61,$G$11:$J$14)</f>
        <v>1.13880377498779E-2</v>
      </c>
      <c r="N61" s="8">
        <v>-1.0305657837710893</v>
      </c>
      <c r="O61" s="8">
        <v>-0.53710005497686597</v>
      </c>
      <c r="P61" s="13">
        <v>-2.8366154480258671E-2</v>
      </c>
    </row>
    <row r="62" spans="1:16" x14ac:dyDescent="0.25">
      <c r="A62" s="25">
        <v>-1.0184371813308848</v>
      </c>
      <c r="B62" s="8">
        <v>-2.4258204175781288</v>
      </c>
      <c r="C62" s="8">
        <v>-0.14615094216892133</v>
      </c>
      <c r="D62" s="7">
        <v>-0.26151073536580099</v>
      </c>
      <c r="E62" s="19" t="s">
        <v>6</v>
      </c>
      <c r="M62" s="25">
        <f t="array" ref="M62:P62">MMULT(A62:D62,$G$11:$J$14)</f>
        <v>-0.10982834481649904</v>
      </c>
      <c r="N62" s="8">
        <v>-2.6452111149372897</v>
      </c>
      <c r="O62" s="8">
        <v>4.6634215094493281E-2</v>
      </c>
      <c r="P62" s="13">
        <v>1.371478523939304E-2</v>
      </c>
    </row>
    <row r="63" spans="1:16" x14ac:dyDescent="0.25">
      <c r="A63" s="25">
        <v>6.843253787598709E-2</v>
      </c>
      <c r="B63" s="8">
        <v>-0.13153881205026594</v>
      </c>
      <c r="C63" s="8">
        <v>0.25038262185527982</v>
      </c>
      <c r="D63" s="7">
        <v>0.39445264765878119</v>
      </c>
      <c r="E63" s="19" t="s">
        <v>6</v>
      </c>
      <c r="M63" s="25">
        <f t="array" ref="M63:P63">MMULT(A63:D63,$G$11:$J$14)</f>
        <v>0.4392220143277078</v>
      </c>
      <c r="N63" s="8">
        <v>-6.3083851659568244E-2</v>
      </c>
      <c r="O63" s="8">
        <v>-0.20438909283024653</v>
      </c>
      <c r="P63" s="13">
        <v>3.9992104341024209E-2</v>
      </c>
    </row>
    <row r="64" spans="1:16" x14ac:dyDescent="0.25">
      <c r="A64" s="25">
        <v>0.18919584001008349</v>
      </c>
      <c r="B64" s="8">
        <v>-1.9669640964725557</v>
      </c>
      <c r="C64" s="8">
        <v>0.13708731784836511</v>
      </c>
      <c r="D64" s="7">
        <v>-0.26151073536580099</v>
      </c>
      <c r="E64" s="19" t="s">
        <v>6</v>
      </c>
      <c r="M64" s="25">
        <f t="array" ref="M64:P64">MMULT(A64:D64,$G$11:$J$14)</f>
        <v>0.5602314788114936</v>
      </c>
      <c r="N64" s="8">
        <v>-1.7588321291737226</v>
      </c>
      <c r="O64" s="8">
        <v>0.76321455381595571</v>
      </c>
      <c r="P64" s="13">
        <v>4.5578465244776184E-2</v>
      </c>
    </row>
    <row r="65" spans="1:16" x14ac:dyDescent="0.25">
      <c r="A65" s="25">
        <v>0.30995914214417986</v>
      </c>
      <c r="B65" s="8">
        <v>-0.36096697260305244</v>
      </c>
      <c r="C65" s="8">
        <v>0.53362088187256629</v>
      </c>
      <c r="D65" s="7">
        <v>0.26325997105386462</v>
      </c>
      <c r="E65" s="19" t="s">
        <v>6</v>
      </c>
      <c r="M65" s="25">
        <f t="array" ref="M65:P65">MMULT(A65:D65,$G$11:$J$14)</f>
        <v>0.71715933809953503</v>
      </c>
      <c r="N65" s="8">
        <v>-0.18560281910122242</v>
      </c>
      <c r="O65" s="8">
        <v>6.8429699556229767E-2</v>
      </c>
      <c r="P65" s="13">
        <v>-0.16425692245888956</v>
      </c>
    </row>
    <row r="66" spans="1:16" x14ac:dyDescent="0.25">
      <c r="A66" s="25">
        <v>-0.29385736852630423</v>
      </c>
      <c r="B66" s="8">
        <v>-0.36096697260305244</v>
      </c>
      <c r="C66" s="8">
        <v>-8.9503290165463975E-2</v>
      </c>
      <c r="D66" s="7">
        <v>0.13206729444894835</v>
      </c>
      <c r="E66" s="19" t="s">
        <v>6</v>
      </c>
      <c r="M66" s="25">
        <f t="array" ref="M66:P66">MMULT(A66:D66,$G$11:$J$14)</f>
        <v>-3.3243334910672578E-2</v>
      </c>
      <c r="N66" s="8">
        <v>-0.43753741887792469</v>
      </c>
      <c r="O66" s="8">
        <v>-0.19428203043238479</v>
      </c>
      <c r="P66" s="13">
        <v>0.10868439620136705</v>
      </c>
    </row>
    <row r="67" spans="1:16" x14ac:dyDescent="0.25">
      <c r="A67" s="25">
        <v>1.0345389549487614</v>
      </c>
      <c r="B67" s="8">
        <v>9.7889348502520526E-2</v>
      </c>
      <c r="C67" s="8">
        <v>0.3636779258621945</v>
      </c>
      <c r="D67" s="7">
        <v>0.26325997105386462</v>
      </c>
      <c r="E67" s="19" t="s">
        <v>6</v>
      </c>
      <c r="M67" s="25">
        <f t="array" ref="M67:P67">MMULT(A67:D67,$G$11:$J$14)</f>
        <v>0.87248428723583527</v>
      </c>
      <c r="N67" s="8">
        <v>0.50736423931784413</v>
      </c>
      <c r="O67" s="8">
        <v>0.50183020373507992</v>
      </c>
      <c r="P67" s="13">
        <v>0.10459332570792246</v>
      </c>
    </row>
    <row r="68" spans="1:16" x14ac:dyDescent="0.25">
      <c r="A68" s="25">
        <v>-0.29385736852630423</v>
      </c>
      <c r="B68" s="8">
        <v>-0.13153881205026594</v>
      </c>
      <c r="C68" s="8">
        <v>0.42032557786565156</v>
      </c>
      <c r="D68" s="7">
        <v>0.39445264765878119</v>
      </c>
      <c r="E68" s="19" t="s">
        <v>6</v>
      </c>
      <c r="M68" s="25">
        <f t="array" ref="M68:P68">MMULT(A68:D68,$G$11:$J$14)</f>
        <v>0.34908221007919538</v>
      </c>
      <c r="N68" s="8">
        <v>-0.19565626783157603</v>
      </c>
      <c r="O68" s="8">
        <v>-0.48923409473209051</v>
      </c>
      <c r="P68" s="13">
        <v>-0.19086993158177215</v>
      </c>
    </row>
    <row r="69" spans="1:16" x14ac:dyDescent="0.25">
      <c r="A69" s="25">
        <v>-5.2330764258110368E-2</v>
      </c>
      <c r="B69" s="8">
        <v>-0.81982329370862439</v>
      </c>
      <c r="C69" s="8">
        <v>0.1937349698518222</v>
      </c>
      <c r="D69" s="7">
        <v>-0.26151073536580099</v>
      </c>
      <c r="E69" s="19" t="s">
        <v>6</v>
      </c>
      <c r="M69" s="25">
        <f t="array" ref="M69:P69">MMULT(A69:D69,$G$11:$J$14)</f>
        <v>0.15827979549154433</v>
      </c>
      <c r="N69" s="8">
        <v>-0.78945100802955859</v>
      </c>
      <c r="O69" s="8">
        <v>0.30102870025891382</v>
      </c>
      <c r="P69" s="13">
        <v>-0.20461226485927486</v>
      </c>
    </row>
    <row r="70" spans="1:16" x14ac:dyDescent="0.25">
      <c r="A70" s="25">
        <v>0.43072244427827733</v>
      </c>
      <c r="B70" s="8">
        <v>-1.9669640964725557</v>
      </c>
      <c r="C70" s="8">
        <v>0.42032557786565156</v>
      </c>
      <c r="D70" s="7">
        <v>0.39445264765878119</v>
      </c>
      <c r="E70" s="19" t="s">
        <v>6</v>
      </c>
      <c r="M70" s="25">
        <f t="array" ref="M70:P70">MMULT(A70:D70,$G$11:$J$14)</f>
        <v>1.2210031592596291</v>
      </c>
      <c r="N70" s="8">
        <v>-1.6168272811150293</v>
      </c>
      <c r="O70" s="8">
        <v>0.48069365558117605</v>
      </c>
      <c r="P70" s="13">
        <v>0.22514551089120652</v>
      </c>
    </row>
    <row r="71" spans="1:16" x14ac:dyDescent="0.25">
      <c r="A71" s="25">
        <v>-0.29385736852630423</v>
      </c>
      <c r="B71" s="8">
        <v>-1.2786796148141972</v>
      </c>
      <c r="C71" s="8">
        <v>8.043966584490779E-2</v>
      </c>
      <c r="D71" s="7">
        <v>-0.13031805876088445</v>
      </c>
      <c r="E71" s="19" t="s">
        <v>6</v>
      </c>
      <c r="M71" s="25">
        <f t="array" ref="M71:P71">MMULT(A71:D71,$G$11:$J$14)</f>
        <v>0.16436725377768358</v>
      </c>
      <c r="N71" s="8">
        <v>-1.2982599385868421</v>
      </c>
      <c r="O71" s="8">
        <v>0.1722607189806222</v>
      </c>
      <c r="P71" s="13">
        <v>-5.1554137577747378E-2</v>
      </c>
    </row>
    <row r="72" spans="1:16" x14ac:dyDescent="0.25">
      <c r="A72" s="25">
        <v>6.843253787598709E-2</v>
      </c>
      <c r="B72" s="8">
        <v>0.32731750905530699</v>
      </c>
      <c r="C72" s="8">
        <v>0.59026853387602329</v>
      </c>
      <c r="D72" s="7">
        <v>0.78803067747353051</v>
      </c>
      <c r="E72" s="19" t="s">
        <v>6</v>
      </c>
      <c r="M72" s="25">
        <f t="array" ref="M72:P72">MMULT(A72:D72,$G$11:$J$14)</f>
        <v>0.73521959465375941</v>
      </c>
      <c r="N72" s="8">
        <v>0.39524744620371377</v>
      </c>
      <c r="O72" s="8">
        <v>-0.6144677820240374</v>
      </c>
      <c r="P72" s="13">
        <v>-8.300604471316736E-2</v>
      </c>
    </row>
    <row r="73" spans="1:16" x14ac:dyDescent="0.25">
      <c r="A73" s="25">
        <v>0.30995914214417986</v>
      </c>
      <c r="B73" s="8">
        <v>-0.59039513315583891</v>
      </c>
      <c r="C73" s="8">
        <v>0.13708731784836511</v>
      </c>
      <c r="D73" s="7">
        <v>0.13206729444894835</v>
      </c>
      <c r="E73" s="19" t="s">
        <v>6</v>
      </c>
      <c r="M73" s="25">
        <f t="array" ref="M73:P73">MMULT(A73:D73,$G$11:$J$14)</f>
        <v>0.47469691207417619</v>
      </c>
      <c r="N73" s="8">
        <v>-0.41592688740300898</v>
      </c>
      <c r="O73" s="8">
        <v>0.2640675755557414</v>
      </c>
      <c r="P73" s="13">
        <v>0.11318907886090522</v>
      </c>
    </row>
    <row r="74" spans="1:16" x14ac:dyDescent="0.25">
      <c r="A74" s="25">
        <v>0.55148574641237369</v>
      </c>
      <c r="B74" s="8">
        <v>-1.2786796148141972</v>
      </c>
      <c r="C74" s="8">
        <v>0.64691618587948096</v>
      </c>
      <c r="D74" s="7">
        <v>0.39445264765878119</v>
      </c>
      <c r="E74" s="19" t="s">
        <v>6</v>
      </c>
      <c r="M74" s="25">
        <f t="array" ref="M74:P74">MMULT(A74:D74,$G$11:$J$14)</f>
        <v>1.2300572911691732</v>
      </c>
      <c r="N74" s="8">
        <v>-0.9302094405375414</v>
      </c>
      <c r="O74" s="8">
        <v>0.36718217755593041</v>
      </c>
      <c r="P74" s="13">
        <v>-9.9113216551361127E-3</v>
      </c>
    </row>
    <row r="75" spans="1:16" x14ac:dyDescent="0.25">
      <c r="A75" s="25">
        <v>0.30995914214417986</v>
      </c>
      <c r="B75" s="8">
        <v>-0.59039513315583891</v>
      </c>
      <c r="C75" s="8">
        <v>0.53362088187256629</v>
      </c>
      <c r="D75" s="7">
        <v>8.7461784403180599E-4</v>
      </c>
      <c r="E75" s="19" t="s">
        <v>6</v>
      </c>
      <c r="M75" s="25">
        <f t="array" ref="M75:P75">MMULT(A75:D75,$G$11:$J$14)</f>
        <v>0.63074514472992449</v>
      </c>
      <c r="N75" s="8">
        <v>-0.41499744081120332</v>
      </c>
      <c r="O75" s="8">
        <v>0.29092163786105152</v>
      </c>
      <c r="P75" s="13">
        <v>-0.27330455671961817</v>
      </c>
    </row>
    <row r="76" spans="1:16" x14ac:dyDescent="0.25">
      <c r="A76" s="25">
        <v>0.67224904854647116</v>
      </c>
      <c r="B76" s="8">
        <v>-0.36096697260305244</v>
      </c>
      <c r="C76" s="8">
        <v>0.30703027385873688</v>
      </c>
      <c r="D76" s="7">
        <v>0.13206729444894835</v>
      </c>
      <c r="E76" s="19" t="s">
        <v>6</v>
      </c>
      <c r="M76" s="25">
        <f t="array" ref="M76:P76">MMULT(A76:D76,$G$11:$J$14)</f>
        <v>0.70031506245245534</v>
      </c>
      <c r="N76" s="8">
        <v>-6.3200093525291545E-2</v>
      </c>
      <c r="O76" s="8">
        <v>0.44453776464772499</v>
      </c>
      <c r="P76" s="13">
        <v>4.331322192237759E-2</v>
      </c>
    </row>
    <row r="77" spans="1:16" x14ac:dyDescent="0.25">
      <c r="A77" s="25">
        <v>0.913775652814664</v>
      </c>
      <c r="B77" s="8">
        <v>-0.13153881205026594</v>
      </c>
      <c r="C77" s="8">
        <v>0.3636779258621945</v>
      </c>
      <c r="D77" s="7">
        <v>0.26325997105386462</v>
      </c>
      <c r="E77" s="19" t="s">
        <v>6</v>
      </c>
      <c r="M77" s="25">
        <f t="array" ref="M77:P77">MMULT(A77:D77,$G$11:$J$14)</f>
        <v>0.87135453503448501</v>
      </c>
      <c r="N77" s="8">
        <v>0.24995601696389175</v>
      </c>
      <c r="O77" s="8">
        <v>0.47100105702494555</v>
      </c>
      <c r="P77" s="13">
        <v>0.10137611657061008</v>
      </c>
    </row>
    <row r="78" spans="1:16" x14ac:dyDescent="0.25">
      <c r="A78" s="25">
        <v>1.1553022570828579</v>
      </c>
      <c r="B78" s="8">
        <v>-0.59039513315583891</v>
      </c>
      <c r="C78" s="8">
        <v>0.59026853387602329</v>
      </c>
      <c r="D78" s="7">
        <v>0.26325997105386462</v>
      </c>
      <c r="E78" s="19" t="s">
        <v>6</v>
      </c>
      <c r="M78" s="25">
        <f t="array" ref="M78:P78">MMULT(A78:D78,$G$11:$J$14)</f>
        <v>1.2523137488478076</v>
      </c>
      <c r="N78" s="8">
        <v>-7.6998068993453572E-2</v>
      </c>
      <c r="O78" s="8">
        <v>0.72472709858946116</v>
      </c>
      <c r="P78" s="13">
        <v>3.9556002154053915E-2</v>
      </c>
    </row>
    <row r="79" spans="1:16" x14ac:dyDescent="0.25">
      <c r="A79" s="25">
        <v>1.0345389549487614</v>
      </c>
      <c r="B79" s="8">
        <v>-0.13153881205026594</v>
      </c>
      <c r="C79" s="8">
        <v>0.70356383788293797</v>
      </c>
      <c r="D79" s="7">
        <v>0.65683800086861399</v>
      </c>
      <c r="E79" s="19" t="s">
        <v>6</v>
      </c>
      <c r="M79" s="25">
        <f t="array" ref="M79:P79">MMULT(A79:D79,$G$11:$J$14)</f>
        <v>1.3538695324131014</v>
      </c>
      <c r="N79" s="8">
        <v>0.33020546273673296</v>
      </c>
      <c r="O79" s="8">
        <v>0.25995570098110254</v>
      </c>
      <c r="P79" s="13">
        <v>6.6604931149967683E-2</v>
      </c>
    </row>
    <row r="80" spans="1:16" x14ac:dyDescent="0.25">
      <c r="A80" s="25">
        <v>0.18919584001008349</v>
      </c>
      <c r="B80" s="8">
        <v>-0.36096697260305244</v>
      </c>
      <c r="C80" s="8">
        <v>0.42032557786565156</v>
      </c>
      <c r="D80" s="7">
        <v>0.39445264765878119</v>
      </c>
      <c r="E80" s="19" t="s">
        <v>6</v>
      </c>
      <c r="M80" s="25">
        <f t="array" ref="M80:P80">MMULT(A80:D80,$G$11:$J$14)</f>
        <v>0.66258066030328633</v>
      </c>
      <c r="N80" s="8">
        <v>-0.22517350248975582</v>
      </c>
      <c r="O80" s="8">
        <v>-8.5577197158531848E-2</v>
      </c>
      <c r="P80" s="13">
        <v>-3.6318170872128241E-2</v>
      </c>
    </row>
    <row r="81" spans="1:16" x14ac:dyDescent="0.25">
      <c r="A81" s="25">
        <v>-0.17309406639220676</v>
      </c>
      <c r="B81" s="8">
        <v>-1.0492514542614109</v>
      </c>
      <c r="C81" s="8">
        <v>-0.14615094216892133</v>
      </c>
      <c r="D81" s="7">
        <v>-0.26151073536580099</v>
      </c>
      <c r="E81" s="19" t="s">
        <v>6</v>
      </c>
      <c r="M81" s="25">
        <f t="array" ref="M81:P81">MMULT(A81:D81,$G$11:$J$14)</f>
        <v>-4.0124191123310435E-2</v>
      </c>
      <c r="N81" s="8">
        <v>-1.0551835832744223</v>
      </c>
      <c r="O81" s="8">
        <v>0.31850630421203602</v>
      </c>
      <c r="P81" s="13">
        <v>6.4571834032658038E-2</v>
      </c>
    </row>
    <row r="82" spans="1:16" x14ac:dyDescent="0.25">
      <c r="A82" s="25">
        <v>-0.41462067066040059</v>
      </c>
      <c r="B82" s="8">
        <v>-1.5081077753669838</v>
      </c>
      <c r="C82" s="8">
        <v>2.3792013841450448E-2</v>
      </c>
      <c r="D82" s="7">
        <v>-0.13031805876088445</v>
      </c>
      <c r="E82" s="19" t="s">
        <v>6</v>
      </c>
      <c r="M82" s="25">
        <f t="array" ref="M82:P82">MMULT(A82:D82,$G$11:$J$14)</f>
        <v>0.13035846250741628</v>
      </c>
      <c r="N82" s="8">
        <v>-1.5570555530892793</v>
      </c>
      <c r="O82" s="8">
        <v>0.14948269738103126</v>
      </c>
      <c r="P82" s="13">
        <v>-9.3711287101852503E-3</v>
      </c>
    </row>
    <row r="83" spans="1:16" x14ac:dyDescent="0.25">
      <c r="A83" s="25">
        <v>-0.41462067066040059</v>
      </c>
      <c r="B83" s="8">
        <v>-1.5081077753669838</v>
      </c>
      <c r="C83" s="8">
        <v>-3.2855638162006637E-2</v>
      </c>
      <c r="D83" s="7">
        <v>-0.26151073536580099</v>
      </c>
      <c r="E83" s="19" t="s">
        <v>6</v>
      </c>
      <c r="M83" s="25">
        <f t="array" ref="M83:P83">MMULT(A83:D83,$G$11:$J$14)</f>
        <v>2.3374382611824562E-2</v>
      </c>
      <c r="N83" s="8">
        <v>-1.5672252436853562</v>
      </c>
      <c r="O83" s="8">
        <v>0.24074576057068262</v>
      </c>
      <c r="P83" s="13">
        <v>-3.2663020251715025E-2</v>
      </c>
    </row>
    <row r="84" spans="1:16" x14ac:dyDescent="0.25">
      <c r="A84" s="25">
        <v>-5.2330764258110368E-2</v>
      </c>
      <c r="B84" s="8">
        <v>-0.81982329370862439</v>
      </c>
      <c r="C84" s="8">
        <v>8.043966584490779E-2</v>
      </c>
      <c r="D84" s="7">
        <v>8.7461784403180599E-4</v>
      </c>
      <c r="E84" s="19" t="s">
        <v>6</v>
      </c>
      <c r="M84" s="25">
        <f t="array" ref="M84:P84">MMULT(A84:D84,$G$11:$J$14)</f>
        <v>0.24073179900705793</v>
      </c>
      <c r="N84" s="8">
        <v>-0.77466119543134604</v>
      </c>
      <c r="O84" s="8">
        <v>0.15070707432178179</v>
      </c>
      <c r="P84" s="13">
        <v>2.3572390243280918E-2</v>
      </c>
    </row>
    <row r="85" spans="1:16" x14ac:dyDescent="0.25">
      <c r="A85" s="25">
        <v>0.18919584001008349</v>
      </c>
      <c r="B85" s="8">
        <v>-0.81982329370862439</v>
      </c>
      <c r="C85" s="8">
        <v>0.76021148988639509</v>
      </c>
      <c r="D85" s="7">
        <v>0.5256453242636977</v>
      </c>
      <c r="E85" s="19" t="s">
        <v>6</v>
      </c>
      <c r="M85" s="25">
        <f t="array" ref="M85:P85">MMULT(A85:D85,$G$11:$J$14)</f>
        <v>1.0575517121109415</v>
      </c>
      <c r="N85" s="8">
        <v>-0.63172690078084692</v>
      </c>
      <c r="O85" s="8">
        <v>-0.10495976160768772</v>
      </c>
      <c r="P85" s="13">
        <v>-0.18335419969081174</v>
      </c>
    </row>
    <row r="86" spans="1:16" x14ac:dyDescent="0.25">
      <c r="A86" s="25">
        <v>-0.53538397279449701</v>
      </c>
      <c r="B86" s="8">
        <v>-0.13153881205026594</v>
      </c>
      <c r="C86" s="8">
        <v>0.42032557786565156</v>
      </c>
      <c r="D86" s="7">
        <v>0.39445264765878119</v>
      </c>
      <c r="E86" s="19" t="s">
        <v>6</v>
      </c>
      <c r="M86" s="25">
        <f t="array" ref="M86:P86">MMULT(A86:D86,$G$11:$J$14)</f>
        <v>0.22323092910901954</v>
      </c>
      <c r="N86" s="8">
        <v>-0.28681266290988461</v>
      </c>
      <c r="O86" s="8">
        <v>-0.66302851244556682</v>
      </c>
      <c r="P86" s="13">
        <v>-0.25397751952055425</v>
      </c>
    </row>
    <row r="87" spans="1:16" x14ac:dyDescent="0.25">
      <c r="A87" s="25">
        <v>0.18919584001008349</v>
      </c>
      <c r="B87" s="8">
        <v>0.78617383016087894</v>
      </c>
      <c r="C87" s="8">
        <v>0.42032557786565156</v>
      </c>
      <c r="D87" s="7">
        <v>0.5256453242636977</v>
      </c>
      <c r="E87" s="19" t="s">
        <v>6</v>
      </c>
      <c r="M87" s="25">
        <f t="array" ref="M87:P87">MMULT(A87:D87,$G$11:$J$14)</f>
        <v>0.42770625971127019</v>
      </c>
      <c r="N87" s="8">
        <v>0.84275892003182362</v>
      </c>
      <c r="O87" s="8">
        <v>-0.44912944597066268</v>
      </c>
      <c r="P87" s="13">
        <v>-0.109308985486119</v>
      </c>
    </row>
    <row r="88" spans="1:16" x14ac:dyDescent="0.25">
      <c r="A88" s="25">
        <v>1.0345389549487614</v>
      </c>
      <c r="B88" s="8">
        <v>9.7889348502520526E-2</v>
      </c>
      <c r="C88" s="8">
        <v>0.53362088187256629</v>
      </c>
      <c r="D88" s="7">
        <v>0.39445264765878119</v>
      </c>
      <c r="E88" s="19" t="s">
        <v>6</v>
      </c>
      <c r="M88" s="25">
        <f t="array" ref="M88:P88">MMULT(A88:D88,$G$11:$J$14)</f>
        <v>1.0452264452692621</v>
      </c>
      <c r="N88" s="8">
        <v>0.52030871421089164</v>
      </c>
      <c r="O88" s="8">
        <v>0.39446489032434318</v>
      </c>
      <c r="P88" s="13">
        <v>3.708478123970374E-2</v>
      </c>
    </row>
    <row r="89" spans="1:16" x14ac:dyDescent="0.25">
      <c r="A89" s="25">
        <v>0.55148574641237369</v>
      </c>
      <c r="B89" s="8">
        <v>-1.7375359359197702</v>
      </c>
      <c r="C89" s="8">
        <v>0.3636779258621945</v>
      </c>
      <c r="D89" s="7">
        <v>0.13206729444894835</v>
      </c>
      <c r="E89" s="19" t="s">
        <v>6</v>
      </c>
      <c r="M89" s="25">
        <f t="array" ref="M89:P89">MMULT(A89:D89,$G$11:$J$14)</f>
        <v>1.0410437907387131</v>
      </c>
      <c r="N89" s="8">
        <v>-1.3783710478047464</v>
      </c>
      <c r="O89" s="8">
        <v>0.68599780356007001</v>
      </c>
      <c r="P89" s="13">
        <v>0.13637871894058523</v>
      </c>
    </row>
    <row r="90" spans="1:16" x14ac:dyDescent="0.25">
      <c r="A90" s="25">
        <v>-0.29385736852630423</v>
      </c>
      <c r="B90" s="8">
        <v>-0.13153881205026594</v>
      </c>
      <c r="C90" s="8">
        <v>0.1937349698518222</v>
      </c>
      <c r="D90" s="7">
        <v>0.13206729444894835</v>
      </c>
      <c r="E90" s="19" t="s">
        <v>6</v>
      </c>
      <c r="M90" s="25">
        <f t="array" ref="M90:P90">MMULT(A90:D90,$G$11:$J$14)</f>
        <v>6.9355972150176665E-2</v>
      </c>
      <c r="N90" s="8">
        <v>-0.21877043332070037</v>
      </c>
      <c r="O90" s="8">
        <v>-0.29060571813170255</v>
      </c>
      <c r="P90" s="13">
        <v>-0.14665327865508271</v>
      </c>
    </row>
    <row r="91" spans="1:16" x14ac:dyDescent="0.25">
      <c r="A91" s="25">
        <v>-0.41462067066040059</v>
      </c>
      <c r="B91" s="8">
        <v>-1.2786796148141972</v>
      </c>
      <c r="C91" s="8">
        <v>0.13708731784836511</v>
      </c>
      <c r="D91" s="7">
        <v>0.13206729444894835</v>
      </c>
      <c r="E91" s="19" t="s">
        <v>6</v>
      </c>
      <c r="M91" s="25">
        <f t="array" ref="M91:P91">MMULT(A91:D91,$G$11:$J$14)</f>
        <v>0.28253073401486173</v>
      </c>
      <c r="N91" s="8">
        <v>-1.3248861470823279</v>
      </c>
      <c r="O91" s="8">
        <v>-8.9111491144875904E-2</v>
      </c>
      <c r="P91" s="13">
        <v>8.8760695407948259E-3</v>
      </c>
    </row>
    <row r="92" spans="1:16" x14ac:dyDescent="0.25">
      <c r="A92" s="25">
        <v>-0.41462067066040059</v>
      </c>
      <c r="B92" s="8">
        <v>-1.0492514542614109</v>
      </c>
      <c r="C92" s="8">
        <v>0.3636779258621945</v>
      </c>
      <c r="D92" s="7">
        <v>8.7461784403180599E-4</v>
      </c>
      <c r="E92" s="19" t="s">
        <v>6</v>
      </c>
      <c r="M92" s="25">
        <f t="array" ref="M92:P92">MMULT(A92:D92,$G$11:$J$14)</f>
        <v>0.27814596118011942</v>
      </c>
      <c r="N92" s="8">
        <v>-1.1162888521211805</v>
      </c>
      <c r="O92" s="8">
        <v>-9.417211565454231E-2</v>
      </c>
      <c r="P92" s="13">
        <v>-0.26975349685718492</v>
      </c>
    </row>
    <row r="93" spans="1:16" x14ac:dyDescent="0.25">
      <c r="A93" s="25">
        <v>0.30995914214417986</v>
      </c>
      <c r="B93" s="8">
        <v>-0.13153881205026594</v>
      </c>
      <c r="C93" s="8">
        <v>0.47697322986910867</v>
      </c>
      <c r="D93" s="7">
        <v>0.26325997105386462</v>
      </c>
      <c r="E93" s="19" t="s">
        <v>6</v>
      </c>
      <c r="M93" s="25">
        <f t="array" ref="M93:P93">MMULT(A93:D93,$G$11:$J$14)</f>
        <v>0.6224844107468791</v>
      </c>
      <c r="N93" s="8">
        <v>2.4839813565090033E-2</v>
      </c>
      <c r="O93" s="8">
        <v>2.0412762520167993E-2</v>
      </c>
      <c r="P93" s="13">
        <v>-0.14719328928609404</v>
      </c>
    </row>
    <row r="94" spans="1:16" x14ac:dyDescent="0.25">
      <c r="A94" s="25">
        <v>-5.2330764258110368E-2</v>
      </c>
      <c r="B94" s="8">
        <v>-1.0492514542614109</v>
      </c>
      <c r="C94" s="8">
        <v>0.13708731784836511</v>
      </c>
      <c r="D94" s="7">
        <v>8.7461784403180599E-4</v>
      </c>
      <c r="E94" s="19" t="s">
        <v>6</v>
      </c>
      <c r="M94" s="25">
        <f t="array" ref="M94:P94">MMULT(A94:D94,$G$11:$J$14)</f>
        <v>0.33540672635971353</v>
      </c>
      <c r="N94" s="8">
        <v>-0.98510382809765851</v>
      </c>
      <c r="O94" s="8">
        <v>0.19872401135784359</v>
      </c>
      <c r="P94" s="13">
        <v>6.508757070485616E-3</v>
      </c>
    </row>
    <row r="95" spans="1:16" x14ac:dyDescent="0.25">
      <c r="A95" s="25">
        <v>-1.0184371813308848</v>
      </c>
      <c r="B95" s="8">
        <v>-1.7375359359197702</v>
      </c>
      <c r="C95" s="8">
        <v>-0.259446246175836</v>
      </c>
      <c r="D95" s="7">
        <v>-0.26151073536580099</v>
      </c>
      <c r="E95" s="19" t="s">
        <v>6</v>
      </c>
      <c r="M95" s="25">
        <f t="array" ref="M95:P95">MMULT(A95:D95,$G$11:$J$14)</f>
        <v>-0.36097408780554829</v>
      </c>
      <c r="N95" s="8">
        <v>-2.0124958247898674</v>
      </c>
      <c r="O95" s="8">
        <v>-0.10546772112423466</v>
      </c>
      <c r="P95" s="13">
        <v>1.9505466752904821E-2</v>
      </c>
    </row>
    <row r="96" spans="1:16" x14ac:dyDescent="0.25">
      <c r="A96" s="25">
        <v>-0.29385736852630423</v>
      </c>
      <c r="B96" s="8">
        <v>-0.81982329370862439</v>
      </c>
      <c r="C96" s="8">
        <v>0.25038262185527982</v>
      </c>
      <c r="D96" s="7">
        <v>0.13206729444894835</v>
      </c>
      <c r="E96" s="19" t="s">
        <v>6</v>
      </c>
      <c r="M96" s="25">
        <f t="array" ref="M96:P96">MMULT(A96:D96,$G$11:$J$14)</f>
        <v>0.2876226760703085</v>
      </c>
      <c r="N96" s="8">
        <v>-0.8528731156166075</v>
      </c>
      <c r="O96" s="8">
        <v>-0.13045265680243201</v>
      </c>
      <c r="P96" s="13">
        <v>-0.10704374216372047</v>
      </c>
    </row>
    <row r="97" spans="1:16" x14ac:dyDescent="0.25">
      <c r="A97" s="25">
        <v>-0.17309406639220676</v>
      </c>
      <c r="B97" s="8">
        <v>-0.13153881205026594</v>
      </c>
      <c r="C97" s="8">
        <v>0.25038262185527982</v>
      </c>
      <c r="D97" s="7">
        <v>8.7461784403180599E-4</v>
      </c>
      <c r="E97" s="19" t="s">
        <v>6</v>
      </c>
      <c r="M97" s="25">
        <f t="array" ref="M97:P97">MMULT(A97:D97,$G$11:$J$14)</f>
        <v>9.1055610877508492E-2</v>
      </c>
      <c r="N97" s="8">
        <v>-0.18058714208065191</v>
      </c>
      <c r="O97" s="8">
        <v>-0.12854769630639759</v>
      </c>
      <c r="P97" s="13">
        <v>-0.22919181223696961</v>
      </c>
    </row>
    <row r="98" spans="1:16" x14ac:dyDescent="0.25">
      <c r="A98" s="25">
        <v>-0.17309406639220676</v>
      </c>
      <c r="B98" s="8">
        <v>-0.36096697260305244</v>
      </c>
      <c r="C98" s="8">
        <v>0.25038262185527982</v>
      </c>
      <c r="D98" s="7">
        <v>0.13206729444894835</v>
      </c>
      <c r="E98" s="19" t="s">
        <v>6</v>
      </c>
      <c r="M98" s="25">
        <f t="array" ref="M98:P98">MMULT(A98:D98,$G$11:$J$14)</f>
        <v>0.22695653998792101</v>
      </c>
      <c r="N98" s="8">
        <v>-0.38363486844785816</v>
      </c>
      <c r="O98" s="8">
        <v>-0.15569157223890179</v>
      </c>
      <c r="P98" s="13">
        <v>-0.13216311785848683</v>
      </c>
    </row>
    <row r="99" spans="1:16" x14ac:dyDescent="0.25">
      <c r="A99" s="25">
        <v>0.43072244427827733</v>
      </c>
      <c r="B99" s="8">
        <v>-0.36096697260305244</v>
      </c>
      <c r="C99" s="8">
        <v>0.30703027385873688</v>
      </c>
      <c r="D99" s="7">
        <v>0.13206729444894835</v>
      </c>
      <c r="E99" s="19" t="s">
        <v>6</v>
      </c>
      <c r="M99" s="25">
        <f t="array" ref="M99:P99">MMULT(A99:D99,$G$11:$J$14)</f>
        <v>0.57446378148227906</v>
      </c>
      <c r="N99" s="8">
        <v>-0.15435648860360052</v>
      </c>
      <c r="O99" s="8">
        <v>0.2707433469342479</v>
      </c>
      <c r="P99" s="13">
        <v>-1.9794366016404871E-2</v>
      </c>
    </row>
    <row r="100" spans="1:16" x14ac:dyDescent="0.25">
      <c r="A100" s="25">
        <v>-0.89767387919678832</v>
      </c>
      <c r="B100" s="8">
        <v>-1.2786796148141972</v>
      </c>
      <c r="C100" s="8">
        <v>-0.42938920218620774</v>
      </c>
      <c r="D100" s="7">
        <v>-0.13031805876088445</v>
      </c>
      <c r="E100" s="19" t="s">
        <v>6</v>
      </c>
      <c r="M100" s="25">
        <f t="array" ref="M100:P100">MMULT(A100:D100,$G$11:$J$14)</f>
        <v>-0.44617230026801463</v>
      </c>
      <c r="N100" s="8">
        <v>-1.5386374556189821</v>
      </c>
      <c r="O100" s="8">
        <v>-0.18976519930818614</v>
      </c>
      <c r="P100" s="13">
        <v>0.19927885461916439</v>
      </c>
    </row>
    <row r="101" spans="1:16" x14ac:dyDescent="0.25">
      <c r="A101" s="25">
        <v>-0.17309406639220676</v>
      </c>
      <c r="B101" s="8">
        <v>-0.59039513315583891</v>
      </c>
      <c r="C101" s="8">
        <v>0.1937349698518222</v>
      </c>
      <c r="D101" s="7">
        <v>0.13206729444894835</v>
      </c>
      <c r="E101" s="19" t="s">
        <v>6</v>
      </c>
      <c r="M101" s="25">
        <f t="array" ref="M101:P101">MMULT(A101:D101,$G$11:$J$14)</f>
        <v>0.25587338920274139</v>
      </c>
      <c r="N101" s="8">
        <v>-0.59685228541114133</v>
      </c>
      <c r="O101" s="8">
        <v>-9.1572384981754629E-2</v>
      </c>
      <c r="P101" s="13">
        <v>-5.8426315021533434E-2</v>
      </c>
    </row>
    <row r="102" spans="1:16" x14ac:dyDescent="0.25">
      <c r="A102" s="25">
        <v>0.55148574641237369</v>
      </c>
      <c r="B102" s="8">
        <v>0.55674566960809246</v>
      </c>
      <c r="C102" s="8">
        <v>1.2700403579175108</v>
      </c>
      <c r="D102" s="7">
        <v>1.7063794137079455</v>
      </c>
      <c r="E102" s="19" t="s">
        <v>7</v>
      </c>
      <c r="M102" s="25">
        <f t="array" ref="M102:P102">MMULT(A102:D102,$G$11:$J$14)</f>
        <v>1.8384100229241036</v>
      </c>
      <c r="N102" s="8">
        <v>0.86751505609009283</v>
      </c>
      <c r="O102" s="8">
        <v>-1.0020440766239607</v>
      </c>
      <c r="P102" s="13">
        <v>-4.9085302901345718E-2</v>
      </c>
    </row>
    <row r="103" spans="1:16" x14ac:dyDescent="0.25">
      <c r="A103" s="25">
        <v>-5.2330764258110368E-2</v>
      </c>
      <c r="B103" s="8">
        <v>-0.81982329370862439</v>
      </c>
      <c r="C103" s="8">
        <v>0.76021148988639509</v>
      </c>
      <c r="D103" s="7">
        <v>0.9192233540784468</v>
      </c>
      <c r="E103" s="19" t="s">
        <v>7</v>
      </c>
      <c r="M103" s="25">
        <f t="array" ref="M103:P103">MMULT(A103:D103,$G$11:$J$14)</f>
        <v>1.1540155536207879</v>
      </c>
      <c r="N103" s="8">
        <v>-0.69653640051638133</v>
      </c>
      <c r="O103" s="8">
        <v>-0.5283899935584907</v>
      </c>
      <c r="P103" s="13">
        <v>-4.0385458990382983E-2</v>
      </c>
    </row>
    <row r="104" spans="1:16" x14ac:dyDescent="0.25">
      <c r="A104" s="25">
        <v>1.5175921634851481</v>
      </c>
      <c r="B104" s="8">
        <v>-0.13153881205026594</v>
      </c>
      <c r="C104" s="8">
        <v>1.2133927059140539</v>
      </c>
      <c r="D104" s="7">
        <v>1.1816087072882799</v>
      </c>
      <c r="E104" s="19" t="s">
        <v>7</v>
      </c>
      <c r="M104" s="25">
        <f t="array" ref="M104:P104">MMULT(A104:D104,$G$11:$J$14)</f>
        <v>2.1979036092804085</v>
      </c>
      <c r="N104" s="8">
        <v>0.56013397602008463</v>
      </c>
      <c r="O104" s="8">
        <v>0.2022366580967373</v>
      </c>
      <c r="P104" s="13">
        <v>5.8986583169279405E-2</v>
      </c>
    </row>
    <row r="105" spans="1:16" x14ac:dyDescent="0.25">
      <c r="A105" s="25">
        <v>0.55148574641237369</v>
      </c>
      <c r="B105" s="8">
        <v>-0.36096697260305244</v>
      </c>
      <c r="C105" s="8">
        <v>1.0434497499036814</v>
      </c>
      <c r="D105" s="7">
        <v>0.78803067747353051</v>
      </c>
      <c r="E105" s="19" t="s">
        <v>7</v>
      </c>
      <c r="M105" s="25">
        <f t="array" ref="M105:P105">MMULT(A105:D105,$G$11:$J$14)</f>
        <v>1.4353421339966659</v>
      </c>
      <c r="N105" s="8">
        <v>-4.6830700896179384E-2</v>
      </c>
      <c r="O105" s="8">
        <v>-0.16308376104161176</v>
      </c>
      <c r="P105" s="13">
        <v>-0.23498285837835947</v>
      </c>
    </row>
    <row r="106" spans="1:16" x14ac:dyDescent="0.25">
      <c r="A106" s="25">
        <v>0.79301235068056763</v>
      </c>
      <c r="B106" s="8">
        <v>-0.13153881205026594</v>
      </c>
      <c r="C106" s="8">
        <v>1.1567450539105961</v>
      </c>
      <c r="D106" s="7">
        <v>1.3128013838931964</v>
      </c>
      <c r="E106" s="19" t="s">
        <v>7</v>
      </c>
      <c r="M106" s="25">
        <f t="array" ref="M106:P106">MMULT(A106:D106,$G$11:$J$14)</f>
        <v>1.8615757681276364</v>
      </c>
      <c r="N106" s="8">
        <v>0.29405969708426433</v>
      </c>
      <c r="O106" s="8">
        <v>-0.39430740801225928</v>
      </c>
      <c r="P106" s="13">
        <v>-1.624385309578924E-2</v>
      </c>
    </row>
    <row r="107" spans="1:16" x14ac:dyDescent="0.25">
      <c r="A107" s="25">
        <v>2.1214086741556324</v>
      </c>
      <c r="B107" s="8">
        <v>-0.13153881205026594</v>
      </c>
      <c r="C107" s="8">
        <v>1.6099262699382544</v>
      </c>
      <c r="D107" s="7">
        <v>1.1816087072882799</v>
      </c>
      <c r="E107" s="19" t="s">
        <v>7</v>
      </c>
      <c r="M107" s="25">
        <f t="array" ref="M107:P107">MMULT(A107:D107,$G$11:$J$14)</f>
        <v>2.7426850851882718</v>
      </c>
      <c r="N107" s="8">
        <v>0.79773670875525415</v>
      </c>
      <c r="O107" s="8">
        <v>0.58036482660663113</v>
      </c>
      <c r="P107" s="13">
        <v>-0.10104597301788354</v>
      </c>
    </row>
    <row r="108" spans="1:16" x14ac:dyDescent="0.25">
      <c r="A108" s="25">
        <v>-1.1392004834649812</v>
      </c>
      <c r="B108" s="8">
        <v>-1.2786796148141972</v>
      </c>
      <c r="C108" s="8">
        <v>0.42032557786565156</v>
      </c>
      <c r="D108" s="7">
        <v>0.65683800086861399</v>
      </c>
      <c r="E108" s="19" t="s">
        <v>7</v>
      </c>
      <c r="M108" s="25">
        <f t="array" ref="M108:P108">MMULT(A108:D108,$G$11:$J$14)</f>
        <v>0.36579224975561775</v>
      </c>
      <c r="N108" s="8">
        <v>-1.5562891777844619</v>
      </c>
      <c r="O108" s="8">
        <v>-0.9835981221544543</v>
      </c>
      <c r="P108" s="13">
        <v>-0.13267934611430826</v>
      </c>
    </row>
    <row r="109" spans="1:16" x14ac:dyDescent="0.25">
      <c r="A109" s="25">
        <v>1.759118767753342</v>
      </c>
      <c r="B109" s="8">
        <v>-0.36096697260305244</v>
      </c>
      <c r="C109" s="8">
        <v>1.4399833139278826</v>
      </c>
      <c r="D109" s="7">
        <v>0.78803067747353051</v>
      </c>
      <c r="E109" s="19" t="s">
        <v>7</v>
      </c>
      <c r="M109" s="25">
        <f t="array" ref="M109:P109">MMULT(A109:D109,$G$11:$J$14)</f>
        <v>2.2947518123299697</v>
      </c>
      <c r="N109" s="8">
        <v>0.41866301953476237</v>
      </c>
      <c r="O109" s="8">
        <v>0.64953045175197444</v>
      </c>
      <c r="P109" s="13">
        <v>-0.23724644471856698</v>
      </c>
    </row>
    <row r="110" spans="1:16" x14ac:dyDescent="0.25">
      <c r="A110" s="25">
        <v>1.0345389549487614</v>
      </c>
      <c r="B110" s="8">
        <v>-1.2786796148141972</v>
      </c>
      <c r="C110" s="8">
        <v>1.1567450539105961</v>
      </c>
      <c r="D110" s="7">
        <v>0.78803067747353051</v>
      </c>
      <c r="E110" s="19" t="s">
        <v>7</v>
      </c>
      <c r="M110" s="25">
        <f t="array" ref="M110:P110">MMULT(A110:D110,$G$11:$J$14)</f>
        <v>1.999986327209806</v>
      </c>
      <c r="N110" s="8">
        <v>-0.70906322570178082</v>
      </c>
      <c r="O110" s="8">
        <v>0.39267507275067454</v>
      </c>
      <c r="P110" s="13">
        <v>-8.6221779182227454E-2</v>
      </c>
    </row>
    <row r="111" spans="1:16" x14ac:dyDescent="0.25">
      <c r="A111" s="25">
        <v>1.6383554656192456</v>
      </c>
      <c r="B111" s="8">
        <v>1.2450301512664519</v>
      </c>
      <c r="C111" s="8">
        <v>1.3266880099209679</v>
      </c>
      <c r="D111" s="7">
        <v>1.7063794137079455</v>
      </c>
      <c r="E111" s="19" t="s">
        <v>7</v>
      </c>
      <c r="M111" s="25">
        <f t="array" ref="M111:P111">MMULT(A111:D111,$G$11:$J$14)</f>
        <v>2.2522321615076</v>
      </c>
      <c r="N111" s="8">
        <v>1.9145963005353617</v>
      </c>
      <c r="O111" s="8">
        <v>-0.39622450846367019</v>
      </c>
      <c r="P111" s="13">
        <v>0.10448887032206444</v>
      </c>
    </row>
    <row r="112" spans="1:16" x14ac:dyDescent="0.25">
      <c r="A112" s="25">
        <v>0.79301235068056763</v>
      </c>
      <c r="B112" s="8">
        <v>0.32731750905530699</v>
      </c>
      <c r="C112" s="8">
        <v>0.76021148988639509</v>
      </c>
      <c r="D112" s="7">
        <v>1.0504160306833634</v>
      </c>
      <c r="E112" s="19" t="s">
        <v>7</v>
      </c>
      <c r="M112" s="25">
        <f t="array" ref="M112:P112">MMULT(A112:D112,$G$11:$J$14)</f>
        <v>1.359620636424389</v>
      </c>
      <c r="N112" s="8">
        <v>0.69044340477927957</v>
      </c>
      <c r="O112" s="8">
        <v>-0.28366178037345219</v>
      </c>
      <c r="P112" s="13">
        <v>0.10750028418136476</v>
      </c>
    </row>
    <row r="113" spans="1:16" x14ac:dyDescent="0.25">
      <c r="A113" s="25">
        <v>0.67224904854647116</v>
      </c>
      <c r="B113" s="8">
        <v>-0.81982329370862439</v>
      </c>
      <c r="C113" s="8">
        <v>0.87350679389330976</v>
      </c>
      <c r="D113" s="7">
        <v>0.9192233540784468</v>
      </c>
      <c r="E113" s="19" t="s">
        <v>7</v>
      </c>
      <c r="M113" s="25">
        <f t="array" ref="M113:P113">MMULT(A113:D113,$G$11:$J$14)</f>
        <v>1.5973274746691521</v>
      </c>
      <c r="N113" s="8">
        <v>-0.42029243098448377</v>
      </c>
      <c r="O113" s="8">
        <v>-2.3108990639144733E-2</v>
      </c>
      <c r="P113" s="13">
        <v>5.8136868816215825E-2</v>
      </c>
    </row>
    <row r="114" spans="1:16" x14ac:dyDescent="0.25">
      <c r="A114" s="25">
        <v>1.1553022570828579</v>
      </c>
      <c r="B114" s="8">
        <v>-0.13153881205026594</v>
      </c>
      <c r="C114" s="8">
        <v>0.98680209790022444</v>
      </c>
      <c r="D114" s="7">
        <v>1.1816087072882799</v>
      </c>
      <c r="E114" s="19" t="s">
        <v>7</v>
      </c>
      <c r="M114" s="25">
        <f t="array" ref="M114:P114">MMULT(A114:D114,$G$11:$J$14)</f>
        <v>1.877610531549474</v>
      </c>
      <c r="N114" s="8">
        <v>0.41784981480868011</v>
      </c>
      <c r="O114" s="8">
        <v>-2.6250468031307261E-2</v>
      </c>
      <c r="P114" s="13">
        <v>0.14592607328060297</v>
      </c>
    </row>
    <row r="115" spans="1:16" x14ac:dyDescent="0.25">
      <c r="A115" s="25">
        <v>-0.17309406639220676</v>
      </c>
      <c r="B115" s="8">
        <v>-1.2786796148141972</v>
      </c>
      <c r="C115" s="8">
        <v>0.70356383788293797</v>
      </c>
      <c r="D115" s="7">
        <v>1.0504160306833634</v>
      </c>
      <c r="E115" s="19" t="s">
        <v>7</v>
      </c>
      <c r="M115" s="25">
        <f t="array" ref="M115:P115">MMULT(A115:D115,$G$11:$J$14)</f>
        <v>1.2559076914609331</v>
      </c>
      <c r="N115" s="8">
        <v>-1.1583797413860248</v>
      </c>
      <c r="O115" s="8">
        <v>-0.57831189109058601</v>
      </c>
      <c r="P115" s="13">
        <v>9.8826244255661666E-2</v>
      </c>
    </row>
    <row r="116" spans="1:16" x14ac:dyDescent="0.25">
      <c r="A116" s="25">
        <v>-5.2330764258110368E-2</v>
      </c>
      <c r="B116" s="8">
        <v>-0.59039513315583891</v>
      </c>
      <c r="C116" s="8">
        <v>0.76021148988639509</v>
      </c>
      <c r="D116" s="7">
        <v>1.575186737103029</v>
      </c>
      <c r="E116" s="19" t="s">
        <v>7</v>
      </c>
      <c r="M116" s="25">
        <f t="array" ref="M116:P116">MMULT(A116:D116,$G$11:$J$14)</f>
        <v>1.4627448694704215</v>
      </c>
      <c r="N116" s="8">
        <v>-0.44079488346362672</v>
      </c>
      <c r="O116" s="8">
        <v>-1.0005177461006383</v>
      </c>
      <c r="P116" s="13">
        <v>0.27473850390955701</v>
      </c>
    </row>
    <row r="117" spans="1:16" x14ac:dyDescent="0.25">
      <c r="A117" s="25">
        <v>0.67224904854647116</v>
      </c>
      <c r="B117" s="8">
        <v>0.32731750905530699</v>
      </c>
      <c r="C117" s="8">
        <v>0.87350679389330976</v>
      </c>
      <c r="D117" s="7">
        <v>1.4439940604981123</v>
      </c>
      <c r="E117" s="19" t="s">
        <v>7</v>
      </c>
      <c r="M117" s="25">
        <f t="array" ref="M117:P117">MMULT(A117:D117,$G$11:$J$14)</f>
        <v>1.5847681965571589</v>
      </c>
      <c r="N117" s="8">
        <v>0.67398688687987041</v>
      </c>
      <c r="O117" s="8">
        <v>-0.63629705368860145</v>
      </c>
      <c r="P117" s="13">
        <v>0.19122238284143622</v>
      </c>
    </row>
    <row r="118" spans="1:16" x14ac:dyDescent="0.25">
      <c r="A118" s="25">
        <v>0.79301235068056763</v>
      </c>
      <c r="B118" s="8">
        <v>-0.13153881205026594</v>
      </c>
      <c r="C118" s="8">
        <v>0.98680209790022444</v>
      </c>
      <c r="D118" s="7">
        <v>0.78803067747353051</v>
      </c>
      <c r="E118" s="19" t="s">
        <v>7</v>
      </c>
      <c r="M118" s="25">
        <f t="array" ref="M118:P118">MMULT(A118:D118,$G$11:$J$14)</f>
        <v>1.4665184876141868</v>
      </c>
      <c r="N118" s="8">
        <v>0.25476832684844219</v>
      </c>
      <c r="O118" s="8">
        <v>-3.7306280364196531E-2</v>
      </c>
      <c r="P118" s="13">
        <v>-0.15481163726678199</v>
      </c>
    </row>
    <row r="119" spans="1:16" x14ac:dyDescent="0.25">
      <c r="A119" s="25">
        <v>2.2421719762897299</v>
      </c>
      <c r="B119" s="8">
        <v>1.7038864723720237</v>
      </c>
      <c r="C119" s="8">
        <v>1.6665739219417119</v>
      </c>
      <c r="D119" s="7">
        <v>1.3128013838931964</v>
      </c>
      <c r="E119" s="19" t="s">
        <v>7</v>
      </c>
      <c r="M119" s="25">
        <f t="array" ref="M119:P119">MMULT(A119:D119,$G$11:$J$14)</f>
        <v>2.4182276992990475</v>
      </c>
      <c r="N119" s="8">
        <v>2.5481247954088659</v>
      </c>
      <c r="O119" s="8">
        <v>0.12745447510088326</v>
      </c>
      <c r="P119" s="13">
        <v>-0.27289296616359382</v>
      </c>
    </row>
    <row r="120" spans="1:16" x14ac:dyDescent="0.25">
      <c r="A120" s="25">
        <v>2.2421719762897299</v>
      </c>
      <c r="B120" s="8">
        <v>-1.0492514542614109</v>
      </c>
      <c r="C120" s="8">
        <v>1.7798692259486266</v>
      </c>
      <c r="D120" s="7">
        <v>1.4439940604981123</v>
      </c>
      <c r="E120" s="19" t="s">
        <v>7</v>
      </c>
      <c r="M120" s="25">
        <f t="array" ref="M120:P120">MMULT(A120:D120,$G$11:$J$14)</f>
        <v>3.2996414776684135</v>
      </c>
      <c r="N120" s="8">
        <v>1.7721580375857734E-2</v>
      </c>
      <c r="O120" s="8">
        <v>0.70095703255994279</v>
      </c>
      <c r="P120" s="13">
        <v>4.5037725358007985E-2</v>
      </c>
    </row>
    <row r="121" spans="1:16" x14ac:dyDescent="0.25">
      <c r="A121" s="25">
        <v>0.18919584001008349</v>
      </c>
      <c r="B121" s="8">
        <v>-1.9669640964725557</v>
      </c>
      <c r="C121" s="8">
        <v>0.70356383788293797</v>
      </c>
      <c r="D121" s="7">
        <v>0.39445264765878119</v>
      </c>
      <c r="E121" s="19" t="s">
        <v>7</v>
      </c>
      <c r="M121" s="25">
        <f t="array" ref="M121:P121">MMULT(A121:D121,$G$11:$J$14)</f>
        <v>1.2595470736340402</v>
      </c>
      <c r="N121" s="8">
        <v>-1.7010467154509117</v>
      </c>
      <c r="O121" s="8">
        <v>0.26664361231498579</v>
      </c>
      <c r="P121" s="13">
        <v>-6.4963167071946964E-2</v>
      </c>
    </row>
    <row r="122" spans="1:16" x14ac:dyDescent="0.25">
      <c r="A122" s="25">
        <v>1.2760655592169552</v>
      </c>
      <c r="B122" s="8">
        <v>0.32731750905530699</v>
      </c>
      <c r="C122" s="8">
        <v>1.1000974019071392</v>
      </c>
      <c r="D122" s="7">
        <v>1.4439940604981123</v>
      </c>
      <c r="E122" s="19" t="s">
        <v>7</v>
      </c>
      <c r="M122" s="25">
        <f t="array" ref="M122:P122">MMULT(A122:D122,$G$11:$J$14)</f>
        <v>2.0309125552582694</v>
      </c>
      <c r="N122" s="8">
        <v>0.9074274431695839</v>
      </c>
      <c r="O122" s="8">
        <v>-0.23401550984707986</v>
      </c>
      <c r="P122" s="13">
        <v>0.16739048066889517</v>
      </c>
    </row>
    <row r="123" spans="1:16" x14ac:dyDescent="0.25">
      <c r="A123" s="25">
        <v>-0.29385736852630423</v>
      </c>
      <c r="B123" s="8">
        <v>-0.59039513315583891</v>
      </c>
      <c r="C123" s="8">
        <v>0.64691618587948096</v>
      </c>
      <c r="D123" s="7">
        <v>1.0504160306833634</v>
      </c>
      <c r="E123" s="19" t="s">
        <v>7</v>
      </c>
      <c r="M123" s="25">
        <f t="array" ref="M123:P123">MMULT(A123:D123,$G$11:$J$14)</f>
        <v>0.97471534705571328</v>
      </c>
      <c r="N123" s="8">
        <v>-0.5698552566292725</v>
      </c>
      <c r="O123" s="8">
        <v>-0.82536216127659556</v>
      </c>
      <c r="P123" s="13">
        <v>2.7662913794907595E-2</v>
      </c>
    </row>
    <row r="124" spans="1:16" x14ac:dyDescent="0.25">
      <c r="A124" s="25">
        <v>2.2421719762897299</v>
      </c>
      <c r="B124" s="8">
        <v>-0.59039513315583891</v>
      </c>
      <c r="C124" s="8">
        <v>1.6665739219417119</v>
      </c>
      <c r="D124" s="7">
        <v>1.0504160306833634</v>
      </c>
      <c r="E124" s="19" t="s">
        <v>7</v>
      </c>
      <c r="M124" s="25">
        <f t="array" ref="M124:P124">MMULT(A124:D124,$G$11:$J$14)</f>
        <v>2.8879765004830795</v>
      </c>
      <c r="N124" s="8">
        <v>0.41225995036570706</v>
      </c>
      <c r="O124" s="8">
        <v>0.85455897272514492</v>
      </c>
      <c r="P124" s="13">
        <v>-0.1269113369356123</v>
      </c>
    </row>
    <row r="125" spans="1:16" x14ac:dyDescent="0.25">
      <c r="A125" s="25">
        <v>0.55148574641237369</v>
      </c>
      <c r="B125" s="8">
        <v>-0.81982329370862439</v>
      </c>
      <c r="C125" s="8">
        <v>0.64691618587948096</v>
      </c>
      <c r="D125" s="7">
        <v>0.78803067747353051</v>
      </c>
      <c r="E125" s="19" t="s">
        <v>7</v>
      </c>
      <c r="M125" s="25">
        <f t="array" ref="M125:P125">MMULT(A125:D125,$G$11:$J$14)</f>
        <v>1.3287806370817197</v>
      </c>
      <c r="N125" s="8">
        <v>-0.48020249556517125</v>
      </c>
      <c r="O125" s="8">
        <v>5.4102390253955579E-3</v>
      </c>
      <c r="P125" s="13">
        <v>0.13949183731991738</v>
      </c>
    </row>
    <row r="126" spans="1:16" x14ac:dyDescent="0.25">
      <c r="A126" s="25">
        <v>1.0345389549487614</v>
      </c>
      <c r="B126" s="8">
        <v>0.55674566960809246</v>
      </c>
      <c r="C126" s="8">
        <v>1.1000974019071392</v>
      </c>
      <c r="D126" s="7">
        <v>1.1816087072882799</v>
      </c>
      <c r="E126" s="19" t="s">
        <v>7</v>
      </c>
      <c r="M126" s="25">
        <f t="array" ref="M126:P126">MMULT(A126:D126,$G$11:$J$14)</f>
        <v>1.695055304351007</v>
      </c>
      <c r="N126" s="8">
        <v>1.0105364760108886</v>
      </c>
      <c r="O126" s="8">
        <v>-0.29745411354894413</v>
      </c>
      <c r="P126" s="13">
        <v>-6.1437911194773376E-2</v>
      </c>
    </row>
    <row r="127" spans="1:16" x14ac:dyDescent="0.25">
      <c r="A127" s="25">
        <v>1.6383554656192456</v>
      </c>
      <c r="B127" s="8">
        <v>0.32731750905530699</v>
      </c>
      <c r="C127" s="8">
        <v>1.2700403579175108</v>
      </c>
      <c r="D127" s="7">
        <v>0.78803067747353051</v>
      </c>
      <c r="E127" s="19" t="s">
        <v>7</v>
      </c>
      <c r="M127" s="25">
        <f t="array" ref="M127:P127">MMULT(A127:D127,$G$11:$J$14)</f>
        <v>1.9478013897869151</v>
      </c>
      <c r="N127" s="8">
        <v>1.0044127199945454</v>
      </c>
      <c r="O127" s="8">
        <v>0.41858243178705051</v>
      </c>
      <c r="P127" s="13">
        <v>-0.21760933916957231</v>
      </c>
    </row>
    <row r="128" spans="1:16" x14ac:dyDescent="0.25">
      <c r="A128" s="25">
        <v>0.43072244427827733</v>
      </c>
      <c r="B128" s="8">
        <v>-0.59039513315583891</v>
      </c>
      <c r="C128" s="8">
        <v>0.59026853387602329</v>
      </c>
      <c r="D128" s="7">
        <v>0.78803067747353051</v>
      </c>
      <c r="E128" s="19" t="s">
        <v>7</v>
      </c>
      <c r="M128" s="25">
        <f t="array" ref="M128:P128">MMULT(A128:D128,$G$11:$J$14)</f>
        <v>1.1711800692439762</v>
      </c>
      <c r="N128" s="8">
        <v>-0.31533806043801393</v>
      </c>
      <c r="O128" s="8">
        <v>-0.12950390686740421</v>
      </c>
      <c r="P128" s="13">
        <v>0.12500167652332195</v>
      </c>
    </row>
    <row r="129" spans="1:16" x14ac:dyDescent="0.25">
      <c r="A129" s="25">
        <v>0.30995914214417986</v>
      </c>
      <c r="B129" s="8">
        <v>-0.13153881205026594</v>
      </c>
      <c r="C129" s="8">
        <v>0.64691618587948096</v>
      </c>
      <c r="D129" s="7">
        <v>0.78803067747353051</v>
      </c>
      <c r="E129" s="19" t="s">
        <v>7</v>
      </c>
      <c r="M129" s="25">
        <f t="array" ref="M129:P129">MMULT(A129:D129,$G$11:$J$14)</f>
        <v>1.0175416912603292</v>
      </c>
      <c r="N129" s="8">
        <v>6.4131183800912206E-2</v>
      </c>
      <c r="O129" s="8">
        <v>-0.33658836512789481</v>
      </c>
      <c r="P129" s="13">
        <v>-8.6255051151017947E-3</v>
      </c>
    </row>
    <row r="130" spans="1:16" x14ac:dyDescent="0.25">
      <c r="A130" s="25">
        <v>0.67224904854647116</v>
      </c>
      <c r="B130" s="8">
        <v>-0.59039513315583891</v>
      </c>
      <c r="C130" s="8">
        <v>1.0434497499036814</v>
      </c>
      <c r="D130" s="7">
        <v>1.1816087072882799</v>
      </c>
      <c r="E130" s="19" t="s">
        <v>7</v>
      </c>
      <c r="M130" s="25">
        <f t="array" ref="M130:P130">MMULT(A130:D130,$G$11:$J$14)</f>
        <v>1.7823787852455153</v>
      </c>
      <c r="N130" s="8">
        <v>-0.18673563282904782</v>
      </c>
      <c r="O130" s="8">
        <v>-0.26975430427559455</v>
      </c>
      <c r="P130" s="13">
        <v>3.0983849062322211E-2</v>
      </c>
    </row>
    <row r="131" spans="1:16" x14ac:dyDescent="0.25">
      <c r="A131" s="25">
        <v>1.6383554656192456</v>
      </c>
      <c r="B131" s="8">
        <v>-0.13153881205026594</v>
      </c>
      <c r="C131" s="8">
        <v>1.1567450539105961</v>
      </c>
      <c r="D131" s="7">
        <v>0.5256453242636977</v>
      </c>
      <c r="E131" s="19" t="s">
        <v>7</v>
      </c>
      <c r="M131" s="25">
        <f t="array" ref="M131:P131">MMULT(A131:D131,$G$11:$J$14)</f>
        <v>1.8574250065632076</v>
      </c>
      <c r="N131" s="8">
        <v>0.56041328917279631</v>
      </c>
      <c r="O131" s="8">
        <v>0.71324468245956241</v>
      </c>
      <c r="P131" s="13">
        <v>-0.20751995258847344</v>
      </c>
    </row>
    <row r="132" spans="1:16" x14ac:dyDescent="0.25">
      <c r="A132" s="25">
        <v>1.8798820698874394</v>
      </c>
      <c r="B132" s="8">
        <v>-0.59039513315583891</v>
      </c>
      <c r="C132" s="8">
        <v>1.3266880099209679</v>
      </c>
      <c r="D132" s="7">
        <v>0.9192233540784468</v>
      </c>
      <c r="E132" s="19" t="s">
        <v>7</v>
      </c>
      <c r="M132" s="25">
        <f t="array" ref="M132:P132">MMULT(A132:D132,$G$11:$J$14)</f>
        <v>2.4278203037876356</v>
      </c>
      <c r="N132" s="8">
        <v>0.2584187064097403</v>
      </c>
      <c r="O132" s="8">
        <v>0.72538603489729436</v>
      </c>
      <c r="P132" s="13">
        <v>-1.7863520360944463E-2</v>
      </c>
    </row>
    <row r="133" spans="1:16" x14ac:dyDescent="0.25">
      <c r="A133" s="25">
        <v>2.4836985805579235</v>
      </c>
      <c r="B133" s="8">
        <v>1.7038864723720237</v>
      </c>
      <c r="C133" s="8">
        <v>1.4966309659313402</v>
      </c>
      <c r="D133" s="7">
        <v>1.0504160306833634</v>
      </c>
      <c r="E133" s="19" t="s">
        <v>7</v>
      </c>
      <c r="M133" s="25">
        <f t="array" ref="M133:P133">MMULT(A133:D133,$G$11:$J$14)</f>
        <v>2.2972317814091223</v>
      </c>
      <c r="N133" s="8">
        <v>2.6175544171465361</v>
      </c>
      <c r="O133" s="8">
        <v>0.49182614430420546</v>
      </c>
      <c r="P133" s="13">
        <v>-0.21096894330299654</v>
      </c>
    </row>
    <row r="134" spans="1:16" x14ac:dyDescent="0.25">
      <c r="A134" s="25">
        <v>0.67224904854647116</v>
      </c>
      <c r="B134" s="8">
        <v>-0.59039513315583891</v>
      </c>
      <c r="C134" s="8">
        <v>1.0434497499036814</v>
      </c>
      <c r="D134" s="7">
        <v>1.3128013838931964</v>
      </c>
      <c r="E134" s="19" t="s">
        <v>7</v>
      </c>
      <c r="M134" s="25">
        <f t="array" ref="M134:P134">MMULT(A134:D134,$G$11:$J$14)</f>
        <v>1.8564838260721896</v>
      </c>
      <c r="N134" s="8">
        <v>-0.17795333438145622</v>
      </c>
      <c r="O134" s="8">
        <v>-0.3529662423547032</v>
      </c>
      <c r="P134" s="13">
        <v>9.9675958608726023E-2</v>
      </c>
    </row>
    <row r="135" spans="1:16" x14ac:dyDescent="0.25">
      <c r="A135" s="25">
        <v>0.55148574641237369</v>
      </c>
      <c r="B135" s="8">
        <v>-0.59039513315583891</v>
      </c>
      <c r="C135" s="8">
        <v>0.76021148988639509</v>
      </c>
      <c r="D135" s="7">
        <v>0.39445264765878119</v>
      </c>
      <c r="E135" s="19" t="s">
        <v>7</v>
      </c>
      <c r="M135" s="25">
        <f t="array" ref="M135:P135">MMULT(A135:D135,$G$11:$J$14)</f>
        <v>1.1104277044557938</v>
      </c>
      <c r="N135" s="8">
        <v>-0.29194458179617844</v>
      </c>
      <c r="O135" s="8">
        <v>0.18287574089503195</v>
      </c>
      <c r="P135" s="13">
        <v>-0.18572151216112084</v>
      </c>
    </row>
    <row r="136" spans="1:16" x14ac:dyDescent="0.25">
      <c r="A136" s="25">
        <v>0.30995914214417986</v>
      </c>
      <c r="B136" s="8">
        <v>-1.0492514542614109</v>
      </c>
      <c r="C136" s="8">
        <v>1.0434497499036814</v>
      </c>
      <c r="D136" s="7">
        <v>0.26325997105386462</v>
      </c>
      <c r="E136" s="19" t="s">
        <v>7</v>
      </c>
      <c r="M136" s="25">
        <f t="array" ref="M136:P136">MMULT(A136:D136,$G$11:$J$14)</f>
        <v>1.1984583545710061</v>
      </c>
      <c r="N136" s="8">
        <v>-0.80860636420924692</v>
      </c>
      <c r="O136" s="8">
        <v>0.16417376000115907</v>
      </c>
      <c r="P136" s="13">
        <v>-0.48784913000652036</v>
      </c>
    </row>
    <row r="137" spans="1:16" x14ac:dyDescent="0.25">
      <c r="A137" s="25">
        <v>2.2421719762897299</v>
      </c>
      <c r="B137" s="8">
        <v>-0.13153881205026594</v>
      </c>
      <c r="C137" s="8">
        <v>1.3266880099209679</v>
      </c>
      <c r="D137" s="7">
        <v>1.4439940604981123</v>
      </c>
      <c r="E137" s="19" t="s">
        <v>7</v>
      </c>
      <c r="M137" s="25">
        <f t="array" ref="M137:P137">MMULT(A137:D137,$G$11:$J$14)</f>
        <v>2.7894256119821206</v>
      </c>
      <c r="N137" s="8">
        <v>0.85394254244716539</v>
      </c>
      <c r="O137" s="8">
        <v>0.5410937848578663</v>
      </c>
      <c r="P137" s="13">
        <v>0.29489313006868623</v>
      </c>
    </row>
    <row r="138" spans="1:16" x14ac:dyDescent="0.25">
      <c r="A138" s="25">
        <v>0.55148574641237369</v>
      </c>
      <c r="B138" s="8">
        <v>0.78617383016087894</v>
      </c>
      <c r="C138" s="8">
        <v>1.0434497499036814</v>
      </c>
      <c r="D138" s="7">
        <v>1.575186737103029</v>
      </c>
      <c r="E138" s="19" t="s">
        <v>7</v>
      </c>
      <c r="M138" s="25">
        <f t="array" ref="M138:P138">MMULT(A138:D138,$G$11:$J$14)</f>
        <v>1.5709929375380209</v>
      </c>
      <c r="N138" s="8">
        <v>1.0650132138633577</v>
      </c>
      <c r="O138" s="8">
        <v>-0.94269570024928595</v>
      </c>
      <c r="P138" s="13">
        <v>3.5486874739668606E-2</v>
      </c>
    </row>
    <row r="139" spans="1:16" x14ac:dyDescent="0.25">
      <c r="A139" s="25">
        <v>0.67224904854647116</v>
      </c>
      <c r="B139" s="8">
        <v>9.7889348502520526E-2</v>
      </c>
      <c r="C139" s="8">
        <v>0.98680209790022444</v>
      </c>
      <c r="D139" s="7">
        <v>0.78803067747353051</v>
      </c>
      <c r="E139" s="19" t="s">
        <v>7</v>
      </c>
      <c r="M139" s="25">
        <f t="array" ref="M139:P139">MMULT(A139:D139,$G$11:$J$14)</f>
        <v>1.3417969588453607</v>
      </c>
      <c r="N139" s="8">
        <v>0.42102015412408555</v>
      </c>
      <c r="O139" s="8">
        <v>-0.1802715513675392</v>
      </c>
      <c r="P139" s="13">
        <v>-0.21470201606825196</v>
      </c>
    </row>
    <row r="140" spans="1:16" x14ac:dyDescent="0.25">
      <c r="A140" s="25">
        <v>0.18919584001008349</v>
      </c>
      <c r="B140" s="8">
        <v>-0.13153881205026594</v>
      </c>
      <c r="C140" s="8">
        <v>0.59026853387602329</v>
      </c>
      <c r="D140" s="7">
        <v>0.78803067747353051</v>
      </c>
      <c r="E140" s="19" t="s">
        <v>7</v>
      </c>
      <c r="M140" s="25">
        <f t="array" ref="M140:P140">MMULT(A140:D140,$G$11:$J$14)</f>
        <v>0.92173701170632349</v>
      </c>
      <c r="N140" s="8">
        <v>1.7165594113272599E-2</v>
      </c>
      <c r="O140" s="8">
        <v>-0.41543444887409026</v>
      </c>
      <c r="P140" s="13">
        <v>5.2209189203816231E-3</v>
      </c>
    </row>
    <row r="141" spans="1:16" x14ac:dyDescent="0.25">
      <c r="A141" s="25">
        <v>1.2760655592169552</v>
      </c>
      <c r="B141" s="8">
        <v>9.7889348502520526E-2</v>
      </c>
      <c r="C141" s="8">
        <v>0.93015444589676732</v>
      </c>
      <c r="D141" s="7">
        <v>1.1816087072882799</v>
      </c>
      <c r="E141" s="19" t="s">
        <v>7</v>
      </c>
      <c r="M141" s="25">
        <f t="array" ref="M141:P141">MMULT(A141:D141,$G$11:$J$14)</f>
        <v>1.8458612446819069</v>
      </c>
      <c r="N141" s="8">
        <v>0.67387064501414717</v>
      </c>
      <c r="O141" s="8">
        <v>1.2629803789369509E-2</v>
      </c>
      <c r="P141" s="13">
        <v>0.19454350042278951</v>
      </c>
    </row>
    <row r="142" spans="1:16" x14ac:dyDescent="0.25">
      <c r="A142" s="25">
        <v>1.0345389549487614</v>
      </c>
      <c r="B142" s="8">
        <v>9.7889348502520526E-2</v>
      </c>
      <c r="C142" s="8">
        <v>1.0434497499036814</v>
      </c>
      <c r="D142" s="7">
        <v>1.575186737103029</v>
      </c>
      <c r="E142" s="19" t="s">
        <v>7</v>
      </c>
      <c r="M142" s="25">
        <f t="array" ref="M142:P142">MMULT(A142:D142,$G$11:$J$14)</f>
        <v>2.0080831643295878</v>
      </c>
      <c r="N142" s="8">
        <v>0.61183592957558341</v>
      </c>
      <c r="O142" s="8">
        <v>-0.42690267838251861</v>
      </c>
      <c r="P142" s="13">
        <v>0.24671180511347024</v>
      </c>
    </row>
    <row r="143" spans="1:16" x14ac:dyDescent="0.25">
      <c r="A143" s="25">
        <v>1.2760655592169552</v>
      </c>
      <c r="B143" s="8">
        <v>9.7889348502520526E-2</v>
      </c>
      <c r="C143" s="8">
        <v>0.76021148988639509</v>
      </c>
      <c r="D143" s="7">
        <v>1.4439940604981123</v>
      </c>
      <c r="E143" s="19" t="s">
        <v>7</v>
      </c>
      <c r="M143" s="25">
        <f t="array" ref="M143:P143">MMULT(A143:D143,$G$11:$J$14)</f>
        <v>1.8954342091285024</v>
      </c>
      <c r="N143" s="8">
        <v>0.68727306546387434</v>
      </c>
      <c r="O143" s="8">
        <v>-0.12964069703721948</v>
      </c>
      <c r="P143" s="13">
        <v>0.46812837353021969</v>
      </c>
    </row>
    <row r="144" spans="1:16" x14ac:dyDescent="0.25">
      <c r="A144" s="25">
        <v>-5.2330764258110368E-2</v>
      </c>
      <c r="B144" s="8">
        <v>-0.81982329370862439</v>
      </c>
      <c r="C144" s="8">
        <v>0.76021148988639509</v>
      </c>
      <c r="D144" s="7">
        <v>0.9192233540784468</v>
      </c>
      <c r="E144" s="19" t="s">
        <v>7</v>
      </c>
      <c r="M144" s="25">
        <f t="array" ref="M144:P144">MMULT(A144:D144,$G$11:$J$14)</f>
        <v>1.1540155536207879</v>
      </c>
      <c r="N144" s="8">
        <v>-0.69653640051638133</v>
      </c>
      <c r="O144" s="8">
        <v>-0.5283899935584907</v>
      </c>
      <c r="P144" s="13">
        <v>-4.0385458990382983E-2</v>
      </c>
    </row>
    <row r="145" spans="1:16" x14ac:dyDescent="0.25">
      <c r="A145" s="25">
        <v>1.1553022570828579</v>
      </c>
      <c r="B145" s="8">
        <v>0.32731750905530699</v>
      </c>
      <c r="C145" s="8">
        <v>1.2133927059140539</v>
      </c>
      <c r="D145" s="7">
        <v>1.4439940604981123</v>
      </c>
      <c r="E145" s="19" t="s">
        <v>7</v>
      </c>
      <c r="M145" s="25">
        <f t="array" ref="M145:P145">MMULT(A145:D145,$G$11:$J$14)</f>
        <v>2.0337449929110165</v>
      </c>
      <c r="N145" s="8">
        <v>0.86462402992739995</v>
      </c>
      <c r="O145" s="8">
        <v>-0.3370149689249039</v>
      </c>
      <c r="P145" s="13">
        <v>4.5036250689755364E-2</v>
      </c>
    </row>
    <row r="146" spans="1:16" x14ac:dyDescent="0.25">
      <c r="A146" s="25">
        <v>1.0345389549487614</v>
      </c>
      <c r="B146" s="8">
        <v>0.55674566960809246</v>
      </c>
      <c r="C146" s="8">
        <v>1.1000974019071392</v>
      </c>
      <c r="D146" s="7">
        <v>1.7063794137079455</v>
      </c>
      <c r="E146" s="19" t="s">
        <v>7</v>
      </c>
      <c r="M146" s="25">
        <f t="array" ref="M146:P146">MMULT(A146:D146,$G$11:$J$14)</f>
        <v>1.991475467657704</v>
      </c>
      <c r="N146" s="8">
        <v>1.0456656698012547</v>
      </c>
      <c r="O146" s="8">
        <v>-0.63030186586537862</v>
      </c>
      <c r="P146" s="13">
        <v>0.21333052699084165</v>
      </c>
    </row>
    <row r="147" spans="1:16" x14ac:dyDescent="0.25">
      <c r="A147" s="25">
        <v>1.0345389549487614</v>
      </c>
      <c r="B147" s="8">
        <v>-0.13153881205026594</v>
      </c>
      <c r="C147" s="8">
        <v>0.81685914188985265</v>
      </c>
      <c r="D147" s="7">
        <v>1.4439940604981123</v>
      </c>
      <c r="E147" s="19" t="s">
        <v>7</v>
      </c>
      <c r="M147" s="25">
        <f t="array" ref="M147:P147">MMULT(A147:D147,$G$11:$J$14)</f>
        <v>1.8642578555109819</v>
      </c>
      <c r="N147" s="8">
        <v>0.38567403771925285</v>
      </c>
      <c r="O147" s="8">
        <v>-0.2554181777146346</v>
      </c>
      <c r="P147" s="13">
        <v>0.38795715241864165</v>
      </c>
    </row>
    <row r="148" spans="1:16" x14ac:dyDescent="0.25">
      <c r="A148" s="25">
        <v>0.55148574641237369</v>
      </c>
      <c r="B148" s="8">
        <v>-1.2786796148141972</v>
      </c>
      <c r="C148" s="8">
        <v>0.70356383788293797</v>
      </c>
      <c r="D148" s="7">
        <v>0.9192233540784468</v>
      </c>
      <c r="E148" s="19" t="s">
        <v>7</v>
      </c>
      <c r="M148" s="25">
        <f t="array" ref="M148:P148">MMULT(A148:D148,$G$11:$J$14)</f>
        <v>1.5593564935447874</v>
      </c>
      <c r="N148" s="8">
        <v>-0.89369285459868986</v>
      </c>
      <c r="O148" s="8">
        <v>2.6283300128953191E-2</v>
      </c>
      <c r="P148" s="13">
        <v>0.21945689852560485</v>
      </c>
    </row>
    <row r="149" spans="1:16" x14ac:dyDescent="0.25">
      <c r="A149" s="25">
        <v>0.79301235068056763</v>
      </c>
      <c r="B149" s="8">
        <v>-0.13153881205026594</v>
      </c>
      <c r="C149" s="8">
        <v>0.81685914188985265</v>
      </c>
      <c r="D149" s="7">
        <v>1.0504160306833634</v>
      </c>
      <c r="E149" s="19" t="s">
        <v>7</v>
      </c>
      <c r="M149" s="25">
        <f t="array" ref="M149:P149">MMULT(A149:D149,$G$11:$J$14)</f>
        <v>1.5160914520607829</v>
      </c>
      <c r="N149" s="8">
        <v>0.26817074729816937</v>
      </c>
      <c r="O149" s="8">
        <v>-0.17957678119078591</v>
      </c>
      <c r="P149" s="13">
        <v>0.11877323584064814</v>
      </c>
    </row>
    <row r="150" spans="1:16" x14ac:dyDescent="0.25">
      <c r="A150" s="25">
        <v>0.43072244427827733</v>
      </c>
      <c r="B150" s="8">
        <v>0.78617383016087894</v>
      </c>
      <c r="C150" s="8">
        <v>0.93015444589676732</v>
      </c>
      <c r="D150" s="7">
        <v>1.4439940604981123</v>
      </c>
      <c r="E150" s="19" t="s">
        <v>7</v>
      </c>
      <c r="M150" s="25">
        <f t="array" ref="M150:P150">MMULT(A150:D150,$G$11:$J$14)</f>
        <v>1.368204178088424</v>
      </c>
      <c r="N150" s="8">
        <v>1.0078779335796413</v>
      </c>
      <c r="O150" s="8">
        <v>-0.93027872080582996</v>
      </c>
      <c r="P150" s="13">
        <v>2.6041407233621694E-2</v>
      </c>
    </row>
    <row r="151" spans="1:16" ht="15.75" thickBot="1" x14ac:dyDescent="0.3">
      <c r="A151" s="26">
        <v>6.843253787598709E-2</v>
      </c>
      <c r="B151" s="15">
        <v>-0.13153881205026594</v>
      </c>
      <c r="C151" s="15">
        <v>0.76021148988639509</v>
      </c>
      <c r="D151" s="18">
        <v>0.78803067747353051</v>
      </c>
      <c r="E151" s="20" t="s">
        <v>7</v>
      </c>
      <c r="M151" s="26">
        <f t="array" ref="M151:P151">MMULT(A151:D151,$G$11:$J$14)</f>
        <v>0.95744848842798813</v>
      </c>
      <c r="N151" s="15">
        <v>-2.4250426980425774E-2</v>
      </c>
      <c r="O151" s="15">
        <v>-0.52648503306245642</v>
      </c>
      <c r="P151" s="16">
        <v>-0.162533529063632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F8C80-30F1-4366-BD81-0C8FCAF79038}">
  <sheetPr codeName="Arkusz4"/>
  <dimension ref="A1:V151"/>
  <sheetViews>
    <sheetView workbookViewId="0">
      <selection activeCell="Y5" sqref="Y5"/>
    </sheetView>
  </sheetViews>
  <sheetFormatPr defaultRowHeight="15" x14ac:dyDescent="0.25"/>
  <cols>
    <col min="1" max="4" width="10.140625" style="1" customWidth="1"/>
    <col min="5" max="5" width="9.7109375" style="1" bestFit="1" customWidth="1"/>
    <col min="6" max="6" width="14.5703125" bestFit="1" customWidth="1"/>
    <col min="7" max="7" width="9.85546875" bestFit="1" customWidth="1"/>
    <col min="8" max="8" width="8.42578125" bestFit="1" customWidth="1"/>
    <col min="9" max="10" width="12" bestFit="1" customWidth="1"/>
    <col min="11" max="11" width="15.5703125" bestFit="1" customWidth="1"/>
    <col min="12" max="12" width="10.85546875" bestFit="1" customWidth="1"/>
    <col min="13" max="15" width="9.42578125" bestFit="1" customWidth="1"/>
    <col min="17" max="17" width="9.5703125" style="1" customWidth="1"/>
    <col min="18" max="18" width="9.140625" style="1"/>
    <col min="19" max="19" width="12.7109375" style="1" bestFit="1" customWidth="1"/>
    <col min="20" max="20" width="9.7109375" style="1" customWidth="1"/>
    <col min="21" max="21" width="9.85546875" style="1" customWidth="1"/>
    <col min="22" max="22" width="9.140625" style="1"/>
  </cols>
  <sheetData>
    <row r="1" spans="1:22" ht="15.75" thickBot="1" x14ac:dyDescent="0.3">
      <c r="A1" s="9" t="s">
        <v>36</v>
      </c>
      <c r="B1" s="6" t="s">
        <v>37</v>
      </c>
      <c r="C1" s="9" t="s">
        <v>38</v>
      </c>
      <c r="D1" s="6" t="s">
        <v>39</v>
      </c>
      <c r="E1" s="27" t="s">
        <v>4</v>
      </c>
      <c r="F1" s="4" t="s">
        <v>40</v>
      </c>
      <c r="G1" s="9" t="s">
        <v>41</v>
      </c>
      <c r="H1" s="10" t="s">
        <v>42</v>
      </c>
      <c r="I1" s="10" t="s">
        <v>43</v>
      </c>
      <c r="J1" s="6" t="s">
        <v>44</v>
      </c>
      <c r="K1" s="9" t="s">
        <v>45</v>
      </c>
      <c r="L1" s="10" t="s">
        <v>46</v>
      </c>
      <c r="M1" s="10" t="s">
        <v>47</v>
      </c>
      <c r="N1" s="10" t="s">
        <v>48</v>
      </c>
      <c r="O1" s="6" t="s">
        <v>49</v>
      </c>
    </row>
    <row r="2" spans="1:22" ht="15.75" thickBot="1" x14ac:dyDescent="0.3">
      <c r="A2" s="61">
        <v>-2.6841256259695365</v>
      </c>
      <c r="B2" s="62">
        <v>0.31939724658510082</v>
      </c>
      <c r="C2" s="65">
        <v>-2.2571411756481439</v>
      </c>
      <c r="D2" s="66">
        <v>0.47842383212490475</v>
      </c>
      <c r="E2" s="25" t="s">
        <v>5</v>
      </c>
      <c r="F2" s="50" t="str">
        <f>IF(H2&gt;MAX(I2:J2),$E$2,IF(I2&gt;J2,$E$52,$E$102))</f>
        <v>setosa</v>
      </c>
      <c r="G2" s="52" cm="1">
        <f t="array" ref="G2">$V$6*NMultDensity(A2:B2,$V$8:$V$9,$R$8:$S$9)+$V$19*NMultDensity(A2:B2,$V$21:$V$22,$R$21:$S$22)+$V$32*NMultDensity(A2:B2,$V$34:$V$35,$R$34:$S$35)</f>
        <v>0.54285115948024631</v>
      </c>
      <c r="H2" s="54" cm="1">
        <f t="array" ref="H2">$V$6*NMultDensity(A2:B2,$V$8:$V$9,$R$8:$S$9)/G2</f>
        <v>1</v>
      </c>
      <c r="I2" s="54" cm="1">
        <f t="array" ref="I2">$V$19*NMultDensity(A2:B2,$V$21:$V$22,$R$21:$S$22)/G2</f>
        <v>1.1847122369232323E-23</v>
      </c>
      <c r="J2" s="48" cm="1">
        <f t="array" ref="J2">$V$32*NMultDensity(A2:B2,$V$34:$V$35,$R$34:$S$35)/G2</f>
        <v>5.3051944343960334E-34</v>
      </c>
      <c r="K2" s="84" t="str">
        <f>IF(M2&gt;MAX(N2:O2),$E$2,IF(N2&gt;O2,$E$52,$E$102))</f>
        <v>setosa</v>
      </c>
      <c r="L2" s="85" cm="1">
        <f t="array" ref="L2">$V$6*NMultDensity(C2:D2,$V$10:$V$11,$T$10:$U$11)+$V$19*NMultDensity(C2:D2,$V$23:$V$24,$T$23:$U$24)+$V$32*NMultDensity(C2:D2,$V$36:$V$37,$T$36:$U$37)</f>
        <v>0.2681504017508537</v>
      </c>
      <c r="M2" s="85" cm="1">
        <f t="array" ref="M2">$V$6*NMultDensity(C2:D2,$V$10:$V$11,$T$10:$U$11)/L2</f>
        <v>0.99999999999999589</v>
      </c>
      <c r="N2" s="85" cm="1">
        <f t="array" ref="N2">$V$19*NMultDensity(C2:D2,$V$23:$V$24,$T$23:$U$24)/L2</f>
        <v>4.1859212551896198E-15</v>
      </c>
      <c r="O2" s="83" cm="1">
        <f t="array" ref="O2">$V$32*NMultDensity(C2:D2,$V$36:$V$37,$T$36:$U$37)/L2</f>
        <v>5.2343045840158746E-17</v>
      </c>
      <c r="Q2" s="117" t="s">
        <v>55</v>
      </c>
      <c r="R2" s="117"/>
      <c r="S2" s="117"/>
    </row>
    <row r="3" spans="1:22" ht="16.5" thickTop="1" thickBot="1" x14ac:dyDescent="0.3">
      <c r="A3" s="61">
        <v>-2.7141416872943256</v>
      </c>
      <c r="B3" s="62">
        <v>-0.17700122506478025</v>
      </c>
      <c r="C3" s="65">
        <v>-2.0740130151996299</v>
      </c>
      <c r="D3" s="66">
        <v>-0.67188268702739196</v>
      </c>
      <c r="E3" s="25" t="s">
        <v>5</v>
      </c>
      <c r="F3" s="50" t="str">
        <f t="shared" ref="F3:F66" si="0">IF(H3&gt;MAX(I3:J3),$E$2,IF(I3&gt;J3,$E$52,$E$102))</f>
        <v>setosa</v>
      </c>
      <c r="G3" s="52" cm="1">
        <f t="array" ref="G3">$V$6*NMultDensity(A3:B3,$V$8:$V$9,$R$8:$S$9)+$V$19*NMultDensity(A3:B3,$V$21:$V$22,$R$21:$S$22)+$V$32*NMultDensity(A3:B3,$V$34:$V$35,$R$34:$S$35)</f>
        <v>0.44458499969375859</v>
      </c>
      <c r="H3" s="54" cm="1">
        <f t="array" ref="H3">$V$6*NMultDensity(A3:B3,$V$8:$V$9,$R$8:$S$9)/G3</f>
        <v>1</v>
      </c>
      <c r="I3" s="54" cm="1">
        <f t="array" ref="I3">$V$19*NMultDensity(A3:B3,$V$21:$V$22,$R$21:$S$22)/G3</f>
        <v>1.0367871414463705E-17</v>
      </c>
      <c r="J3" s="48" cm="1">
        <f t="array" ref="J3">$V$32*NMultDensity(A3:B3,$V$34:$V$35,$R$34:$S$35)/G3</f>
        <v>4.0898142923058757E-27</v>
      </c>
      <c r="K3" s="52" t="str">
        <f t="shared" ref="K3:K66" si="1">IF(M3&gt;MAX(N3:O3),$E$2,IF(N3&gt;O3,$E$52,$E$102))</f>
        <v>setosa</v>
      </c>
      <c r="L3" s="54" cm="1">
        <f t="array" ref="L3">$V$6*NMultDensity(C3:D3,$V$10:$V$11,$T$10:$U$11)+$V$19*NMultDensity(C3:D3,$V$23:$V$24,$T$23:$U$24)+$V$32*NMultDensity(C3:D3,$V$36:$V$37,$T$36:$U$37)</f>
        <v>0.1364771884074823</v>
      </c>
      <c r="M3" s="54" cm="1">
        <f t="array" ref="M3">$V$6*NMultDensity(C3:D3,$V$10:$V$11,$T$10:$U$11)/L3</f>
        <v>0.99999999951907348</v>
      </c>
      <c r="N3" s="54" cm="1">
        <f t="array" ref="N3">$V$19*NMultDensity(C3:D3,$V$23:$V$24,$T$23:$U$24)/L3</f>
        <v>4.7956018708255535E-10</v>
      </c>
      <c r="O3" s="48" cm="1">
        <f t="array" ref="O3">$V$32*NMultDensity(C3:D3,$V$36:$V$37,$T$36:$U$37)/L3</f>
        <v>1.3661745156483603E-12</v>
      </c>
      <c r="Q3" s="118" t="s">
        <v>56</v>
      </c>
      <c r="R3" s="119"/>
      <c r="S3" s="112">
        <f>COUNTIF(F2:F51,E2)/150+COUNTIF(F52:F101,E52)/150+COUNTIF(F102:F151,E102)/150</f>
        <v>0.97333333333333338</v>
      </c>
    </row>
    <row r="4" spans="1:22" ht="16.5" thickTop="1" thickBot="1" x14ac:dyDescent="0.3">
      <c r="A4" s="61">
        <v>-2.8889905690592963</v>
      </c>
      <c r="B4" s="62">
        <v>-0.14494942608555769</v>
      </c>
      <c r="C4" s="65">
        <v>-2.3563351118061995</v>
      </c>
      <c r="D4" s="66">
        <v>-0.34076642462459067</v>
      </c>
      <c r="E4" s="25" t="s">
        <v>5</v>
      </c>
      <c r="F4" s="50" t="str">
        <f t="shared" si="0"/>
        <v>setosa</v>
      </c>
      <c r="G4" s="52" cm="1">
        <f t="array" ref="G4">$V$6*NMultDensity(A4:B4,$V$8:$V$9,$R$8:$S$9)+$V$19*NMultDensity(A4:B4,$V$21:$V$22,$R$21:$S$22)+$V$32*NMultDensity(A4:B4,$V$34:$V$35,$R$34:$S$35)</f>
        <v>0.32571556211135105</v>
      </c>
      <c r="H4" s="54" cm="1">
        <f t="array" ref="H4">$V$6*NMultDensity(A4:B4,$V$8:$V$9,$R$8:$S$9)/G4</f>
        <v>1</v>
      </c>
      <c r="I4" s="54" cm="1">
        <f t="array" ref="I4">$V$19*NMultDensity(A4:B4,$V$21:$V$22,$R$21:$S$22)/G4</f>
        <v>9.01017611253363E-20</v>
      </c>
      <c r="J4" s="48" cm="1">
        <f t="array" ref="J4">$V$32*NMultDensity(A4:B4,$V$34:$V$35,$R$34:$S$35)/G4</f>
        <v>1.8208359887780592E-29</v>
      </c>
      <c r="K4" s="52" t="str">
        <f t="shared" si="1"/>
        <v>setosa</v>
      </c>
      <c r="L4" s="54" cm="1">
        <f t="array" ref="L4">$V$6*NMultDensity(C4:D4,$V$10:$V$11,$T$10:$U$11)+$V$19*NMultDensity(C4:D4,$V$23:$V$24,$T$23:$U$24)+$V$32*NMultDensity(C4:D4,$V$36:$V$37,$T$36:$U$37)</f>
        <v>0.16796564197947877</v>
      </c>
      <c r="M4" s="54" cm="1">
        <f t="array" ref="M4">$V$6*NMultDensity(C4:D4,$V$10:$V$11,$T$10:$U$11)/L4</f>
        <v>0.99999999999967859</v>
      </c>
      <c r="N4" s="54" cm="1">
        <f t="array" ref="N4">$V$19*NMultDensity(C4:D4,$V$23:$V$24,$T$23:$U$24)/L4</f>
        <v>3.1920416478653817E-13</v>
      </c>
      <c r="O4" s="48" cm="1">
        <f t="array" ref="O4">$V$32*NMultDensity(C4:D4,$V$36:$V$37,$T$36:$U$37)/L4</f>
        <v>2.1920645718461005E-15</v>
      </c>
      <c r="Q4" s="120" t="s">
        <v>57</v>
      </c>
      <c r="R4" s="121"/>
      <c r="S4" s="112">
        <f>COUNTIF(K2:K51,E2)/150+COUNTIF(K52:K101,E52)/150+COUNTIF(K102:K151,E102)/150</f>
        <v>0.91999999999999993</v>
      </c>
    </row>
    <row r="5" spans="1:22" ht="15.75" thickTop="1" x14ac:dyDescent="0.25">
      <c r="A5" s="61">
        <v>-2.7453428556414097</v>
      </c>
      <c r="B5" s="62">
        <v>-0.31829897925191653</v>
      </c>
      <c r="C5" s="65">
        <v>-2.2917067858697151</v>
      </c>
      <c r="D5" s="66">
        <v>-0.59539986268157252</v>
      </c>
      <c r="E5" s="25" t="s">
        <v>5</v>
      </c>
      <c r="F5" s="50" t="str">
        <f t="shared" si="0"/>
        <v>setosa</v>
      </c>
      <c r="G5" s="52" cm="1">
        <f t="array" ref="G5">$V$6*NMultDensity(A5:B5,$V$8:$V$9,$R$8:$S$9)+$V$19*NMultDensity(A5:B5,$V$21:$V$22,$R$21:$S$22)+$V$32*NMultDensity(A5:B5,$V$34:$V$35,$R$34:$S$35)</f>
        <v>0.33318029379991937</v>
      </c>
      <c r="H5" s="54" cm="1">
        <f t="array" ref="H5">$V$6*NMultDensity(A5:B5,$V$8:$V$9,$R$8:$S$9)/G5</f>
        <v>0.99999999999999978</v>
      </c>
      <c r="I5" s="54" cm="1">
        <f t="array" ref="I5">$V$19*NMultDensity(A5:B5,$V$21:$V$22,$R$21:$S$22)/G5</f>
        <v>2.1881947222458531E-16</v>
      </c>
      <c r="J5" s="48" cm="1">
        <f t="array" ref="J5">$V$32*NMultDensity(A5:B5,$V$34:$V$35,$R$34:$S$35)/G5</f>
        <v>1.5631028233832253E-25</v>
      </c>
      <c r="K5" s="52" t="str">
        <f t="shared" si="1"/>
        <v>setosa</v>
      </c>
      <c r="L5" s="54" cm="1">
        <f t="array" ref="L5">$V$6*NMultDensity(C5:D5,$V$10:$V$11,$T$10:$U$11)+$V$19*NMultDensity(C5:D5,$V$23:$V$24,$T$23:$U$24)+$V$32*NMultDensity(C5:D5,$V$36:$V$37,$T$36:$U$37)</f>
        <v>0.15996593091469385</v>
      </c>
      <c r="M5" s="54" cm="1">
        <f t="array" ref="M5">$V$6*NMultDensity(C5:D5,$V$10:$V$11,$T$10:$U$11)/L5</f>
        <v>0.99999999999451783</v>
      </c>
      <c r="N5" s="54" cm="1">
        <f t="array" ref="N5">$V$19*NMultDensity(C5:D5,$V$23:$V$24,$T$23:$U$24)/L5</f>
        <v>5.4568052288614307E-12</v>
      </c>
      <c r="O5" s="48" cm="1">
        <f t="array" ref="O5">$V$32*NMultDensity(C5:D5,$V$36:$V$37,$T$36:$U$37)/L5</f>
        <v>2.5330995711560064E-14</v>
      </c>
    </row>
    <row r="6" spans="1:22" ht="15.75" thickBot="1" x14ac:dyDescent="0.3">
      <c r="A6" s="61">
        <v>-2.7287165365545301</v>
      </c>
      <c r="B6" s="62">
        <v>0.32675451293491953</v>
      </c>
      <c r="C6" s="65">
        <v>-2.38186270441697</v>
      </c>
      <c r="D6" s="66">
        <v>0.64467565940054805</v>
      </c>
      <c r="E6" s="25" t="s">
        <v>5</v>
      </c>
      <c r="F6" s="50" t="str">
        <f t="shared" si="0"/>
        <v>setosa</v>
      </c>
      <c r="G6" s="52" cm="1">
        <f t="array" ref="G6">$V$6*NMultDensity(A6:B6,$V$8:$V$9,$R$8:$S$9)+$V$19*NMultDensity(A6:B6,$V$21:$V$22,$R$21:$S$22)+$V$32*NMultDensity(A6:B6,$V$34:$V$35,$R$34:$S$35)</f>
        <v>0.47372944297829905</v>
      </c>
      <c r="H6" s="54" cm="1">
        <f t="array" ref="H6">$V$6*NMultDensity(A6:B6,$V$8:$V$9,$R$8:$S$9)/G6</f>
        <v>1</v>
      </c>
      <c r="I6" s="54" cm="1">
        <f t="array" ref="I6">$V$19*NMultDensity(A6:B6,$V$21:$V$22,$R$21:$S$22)/G6</f>
        <v>3.2036567434829132E-24</v>
      </c>
      <c r="J6" s="48" cm="1">
        <f t="array" ref="J6">$V$32*NMultDensity(A6:B6,$V$34:$V$35,$R$34:$S$35)/G6</f>
        <v>1.2300850841771645E-34</v>
      </c>
      <c r="K6" s="52" t="str">
        <f t="shared" si="1"/>
        <v>setosa</v>
      </c>
      <c r="L6" s="54" cm="1">
        <f t="array" ref="L6">$V$6*NMultDensity(C6:D6,$V$10:$V$11,$T$10:$U$11)+$V$19*NMultDensity(C6:D6,$V$23:$V$24,$T$23:$U$24)+$V$32*NMultDensity(C6:D6,$V$36:$V$37,$T$36:$U$37)</f>
        <v>0.19260716727734237</v>
      </c>
      <c r="M6" s="54" cm="1">
        <f t="array" ref="M6">$V$6*NMultDensity(C6:D6,$V$10:$V$11,$T$10:$U$11)/L6</f>
        <v>0.99999999999999989</v>
      </c>
      <c r="N6" s="54" cm="1">
        <f t="array" ref="N6">$V$19*NMultDensity(C6:D6,$V$23:$V$24,$T$23:$U$24)/L6</f>
        <v>1.0342578677619382E-16</v>
      </c>
      <c r="O6" s="48" cm="1">
        <f t="array" ref="O6">$V$32*NMultDensity(C6:D6,$V$36:$V$37,$T$36:$U$37)/L6</f>
        <v>2.2330410026274399E-18</v>
      </c>
      <c r="Q6" s="116" t="s">
        <v>50</v>
      </c>
      <c r="R6" s="116"/>
      <c r="S6" s="116"/>
      <c r="T6" s="116" t="s">
        <v>51</v>
      </c>
      <c r="U6" s="116"/>
      <c r="V6" s="37">
        <f>1/3</f>
        <v>0.33333333333333331</v>
      </c>
    </row>
    <row r="7" spans="1:22" ht="15.75" thickBot="1" x14ac:dyDescent="0.3">
      <c r="A7" s="61">
        <v>-2.2808596328444928</v>
      </c>
      <c r="B7" s="62">
        <v>0.74133044906291468</v>
      </c>
      <c r="C7" s="65">
        <v>-2.0687006084677302</v>
      </c>
      <c r="D7" s="66">
        <v>1.4842052973421975</v>
      </c>
      <c r="E7" s="25" t="s">
        <v>5</v>
      </c>
      <c r="F7" s="50" t="str">
        <f t="shared" si="0"/>
        <v>setosa</v>
      </c>
      <c r="G7" s="52" cm="1">
        <f t="array" ref="G7">$V$6*NMultDensity(A7:B7,$V$8:$V$9,$R$8:$S$9)+$V$19*NMultDensity(A7:B7,$V$21:$V$22,$R$21:$S$22)+$V$32*NMultDensity(A7:B7,$V$34:$V$35,$R$34:$S$35)</f>
        <v>0.15158235101637871</v>
      </c>
      <c r="H7" s="54" cm="1">
        <f t="array" ref="H7">$V$6*NMultDensity(A7:B7,$V$8:$V$9,$R$8:$S$9)/G7</f>
        <v>1</v>
      </c>
      <c r="I7" s="54" cm="1">
        <f t="array" ref="I7">$V$19*NMultDensity(A7:B7,$V$21:$V$22,$R$21:$S$22)/G7</f>
        <v>1.8916097015749003E-24</v>
      </c>
      <c r="J7" s="48" cm="1">
        <f t="array" ref="J7">$V$32*NMultDensity(A7:B7,$V$34:$V$35,$R$34:$S$35)/G7</f>
        <v>4.5828421173695796E-35</v>
      </c>
      <c r="K7" s="52" t="str">
        <f t="shared" si="1"/>
        <v>setosa</v>
      </c>
      <c r="L7" s="54" cm="1">
        <f t="array" ref="L7">$V$6*NMultDensity(C7:D7,$V$10:$V$11,$T$10:$U$11)+$V$19*NMultDensity(C7:D7,$V$23:$V$24,$T$23:$U$24)+$V$32*NMultDensity(C7:D7,$V$36:$V$37,$T$36:$U$37)</f>
        <v>8.5032314339213683E-2</v>
      </c>
      <c r="M7" s="54" cm="1">
        <f t="array" ref="M7">$V$6*NMultDensity(C7:D7,$V$10:$V$11,$T$10:$U$11)/L7</f>
        <v>0.99999999999999989</v>
      </c>
      <c r="N7" s="54" cm="1">
        <f t="array" ref="N7">$V$19*NMultDensity(C7:D7,$V$23:$V$24,$T$23:$U$24)/L7</f>
        <v>1.0372861365937984E-16</v>
      </c>
      <c r="O7" s="48" cm="1">
        <f t="array" ref="O7">$V$32*NMultDensity(C7:D7,$V$36:$V$37,$T$36:$U$37)/L7</f>
        <v>2.5173150808413698E-18</v>
      </c>
      <c r="R7" s="21" t="s">
        <v>36</v>
      </c>
      <c r="S7" s="33" t="s">
        <v>37</v>
      </c>
      <c r="T7" s="21" t="s">
        <v>38</v>
      </c>
      <c r="U7" s="33" t="s">
        <v>39</v>
      </c>
      <c r="V7" s="38" t="s">
        <v>24</v>
      </c>
    </row>
    <row r="8" spans="1:22" x14ac:dyDescent="0.25">
      <c r="A8" s="61">
        <v>-2.8205377507406091</v>
      </c>
      <c r="B8" s="62">
        <v>-8.9461384528569346E-2</v>
      </c>
      <c r="C8" s="65">
        <v>-2.4358684489631726</v>
      </c>
      <c r="D8" s="66">
        <v>4.748511806192604E-2</v>
      </c>
      <c r="E8" s="25" t="s">
        <v>5</v>
      </c>
      <c r="F8" s="50" t="str">
        <f t="shared" si="0"/>
        <v>setosa</v>
      </c>
      <c r="G8" s="52" cm="1">
        <f t="array" ref="G8">$V$6*NMultDensity(A8:B8,$V$8:$V$9,$R$8:$S$9)+$V$19*NMultDensity(A8:B8,$V$21:$V$22,$R$21:$S$22)+$V$32*NMultDensity(A8:B8,$V$34:$V$35,$R$34:$S$35)</f>
        <v>0.43391986853067743</v>
      </c>
      <c r="H8" s="54" cm="1">
        <f t="array" ref="H8">$V$6*NMultDensity(A8:B8,$V$8:$V$9,$R$8:$S$9)/G8</f>
        <v>1</v>
      </c>
      <c r="I8" s="54" cm="1">
        <f t="array" ref="I8">$V$19*NMultDensity(A8:B8,$V$21:$V$22,$R$21:$S$22)/G8</f>
        <v>8.1152453198478577E-20</v>
      </c>
      <c r="J8" s="48" cm="1">
        <f t="array" ref="J8">$V$32*NMultDensity(A8:B8,$V$34:$V$35,$R$34:$S$35)/G8</f>
        <v>1.5402366307590494E-29</v>
      </c>
      <c r="K8" s="52" t="str">
        <f t="shared" si="1"/>
        <v>setosa</v>
      </c>
      <c r="L8" s="54" cm="1">
        <f t="array" ref="L8">$V$6*NMultDensity(C8:D8,$V$10:$V$11,$T$10:$U$11)+$V$19*NMultDensity(C8:D8,$V$23:$V$24,$T$23:$U$24)+$V$32*NMultDensity(C8:D8,$V$36:$V$37,$T$36:$U$37)</f>
        <v>0.1482322522539416</v>
      </c>
      <c r="M8" s="54" cm="1">
        <f t="array" ref="M8">$V$6*NMultDensity(C8:D8,$V$10:$V$11,$T$10:$U$11)/L8</f>
        <v>0.99999999999999512</v>
      </c>
      <c r="N8" s="54" cm="1">
        <f t="array" ref="N8">$V$19*NMultDensity(C8:D8,$V$23:$V$24,$T$23:$U$24)/L8</f>
        <v>4.8986909547210388E-15</v>
      </c>
      <c r="O8" s="48" cm="1">
        <f t="array" ref="O8">$V$32*NMultDensity(C8:D8,$V$36:$V$37,$T$36:$U$37)/L8</f>
        <v>6.2376037069628195E-17</v>
      </c>
      <c r="Q8" s="24" t="s">
        <v>36</v>
      </c>
      <c r="R8" s="76">
        <f>_xlfn.COVARIANCE.S($A$2:$A$51,A2:A51)</f>
        <v>4.9021943697852621E-2</v>
      </c>
      <c r="S8" s="77">
        <f>_xlfn.COVARIANCE.S($A$2:$A$51,B2:B51)</f>
        <v>5.6042701367754605E-2</v>
      </c>
      <c r="T8" s="40"/>
      <c r="U8" s="75"/>
      <c r="V8" s="75">
        <f>AVERAGE($A$2:$A$51)</f>
        <v>-2.6424154639468509</v>
      </c>
    </row>
    <row r="9" spans="1:22" ht="15.75" thickBot="1" x14ac:dyDescent="0.3">
      <c r="A9" s="61">
        <v>-2.6261449731466326</v>
      </c>
      <c r="B9" s="62">
        <v>0.16338495969832836</v>
      </c>
      <c r="C9" s="65">
        <v>-2.2253918887805764</v>
      </c>
      <c r="D9" s="66">
        <v>0.22240300191943785</v>
      </c>
      <c r="E9" s="25" t="s">
        <v>5</v>
      </c>
      <c r="F9" s="50" t="str">
        <f t="shared" si="0"/>
        <v>setosa</v>
      </c>
      <c r="G9" s="52" cm="1">
        <f t="array" ref="G9">$V$6*NMultDensity(A9:B9,$V$8:$V$9,$R$8:$S$9)+$V$19*NMultDensity(A9:B9,$V$21:$V$22,$R$21:$S$22)+$V$32*NMultDensity(A9:B9,$V$34:$V$35,$R$34:$S$35)</f>
        <v>0.60546812595528632</v>
      </c>
      <c r="H9" s="54" cm="1">
        <f t="array" ref="H9">$V$6*NMultDensity(A9:B9,$V$8:$V$9,$R$8:$S$9)/G9</f>
        <v>1</v>
      </c>
      <c r="I9" s="54" cm="1">
        <f t="array" ref="I9">$V$19*NMultDensity(A9:B9,$V$21:$V$22,$R$21:$S$22)/G9</f>
        <v>5.7534246761201555E-21</v>
      </c>
      <c r="J9" s="48" cm="1">
        <f t="array" ref="J9">$V$32*NMultDensity(A9:B9,$V$34:$V$35,$R$34:$S$35)/G9</f>
        <v>6.0456975282098609E-31</v>
      </c>
      <c r="K9" s="52" t="str">
        <f t="shared" si="1"/>
        <v>setosa</v>
      </c>
      <c r="L9" s="54" cm="1">
        <f t="array" ref="L9">$V$6*NMultDensity(C9:D9,$V$10:$V$11,$T$10:$U$11)+$V$19*NMultDensity(C9:D9,$V$23:$V$24,$T$23:$U$24)+$V$32*NMultDensity(C9:D9,$V$36:$V$37,$T$36:$U$37)</f>
        <v>0.27704771067429185</v>
      </c>
      <c r="M9" s="54" cm="1">
        <f t="array" ref="M9">$V$6*NMultDensity(C9:D9,$V$10:$V$11,$T$10:$U$11)/L9</f>
        <v>0.99999999999994515</v>
      </c>
      <c r="N9" s="54" cm="1">
        <f t="array" ref="N9">$V$19*NMultDensity(C9:D9,$V$23:$V$24,$T$23:$U$24)/L9</f>
        <v>5.4490876031540581E-14</v>
      </c>
      <c r="O9" s="48" cm="1">
        <f t="array" ref="O9">$V$32*NMultDensity(C9:D9,$V$36:$V$37,$T$36:$U$37)/L9</f>
        <v>4.7764511077213269E-16</v>
      </c>
      <c r="Q9" s="70" t="s">
        <v>37</v>
      </c>
      <c r="R9" s="78">
        <f>_xlfn.COVARIANCE.S($B$2:$B$51,A2:A51)</f>
        <v>5.6042701367754605E-2</v>
      </c>
      <c r="S9" s="71">
        <f>_xlfn.COVARIANCE.S($B$2:$B$51,B2:B51)</f>
        <v>0.21769730314771776</v>
      </c>
      <c r="T9" s="56"/>
      <c r="U9" s="72"/>
      <c r="V9" s="72">
        <f>AVERAGE($B$2:$B$51)</f>
        <v>0.19088504677006957</v>
      </c>
    </row>
    <row r="10" spans="1:22" x14ac:dyDescent="0.25">
      <c r="A10" s="61">
        <v>-2.8863827317805528</v>
      </c>
      <c r="B10" s="62">
        <v>-0.57831175418670411</v>
      </c>
      <c r="C10" s="65">
        <v>-2.3268453293413325</v>
      </c>
      <c r="D10" s="66">
        <v>-1.1116036995379619</v>
      </c>
      <c r="E10" s="25" t="s">
        <v>5</v>
      </c>
      <c r="F10" s="50" t="str">
        <f t="shared" si="0"/>
        <v>setosa</v>
      </c>
      <c r="G10" s="52" cm="1">
        <f t="array" ref="G10">$V$6*NMultDensity(A10:B10,$V$8:$V$9,$R$8:$S$9)+$V$19*NMultDensity(A10:B10,$V$21:$V$22,$R$21:$S$22)+$V$32*NMultDensity(A10:B10,$V$34:$V$35,$R$34:$S$35)</f>
        <v>0.15235131915751549</v>
      </c>
      <c r="H10" s="54" cm="1">
        <f t="array" ref="H10">$V$6*NMultDensity(A10:B10,$V$8:$V$9,$R$8:$S$9)/G10</f>
        <v>0.99999999999999256</v>
      </c>
      <c r="I10" s="54" cm="1">
        <f t="array" ref="I10">$V$19*NMultDensity(A10:B10,$V$21:$V$22,$R$21:$S$22)/G10</f>
        <v>7.5278709215107148E-15</v>
      </c>
      <c r="J10" s="48" cm="1">
        <f t="array" ref="J10">$V$32*NMultDensity(A10:B10,$V$34:$V$35,$R$34:$S$35)/G10</f>
        <v>1.2844801101004026E-23</v>
      </c>
      <c r="K10" s="52" t="str">
        <f t="shared" si="1"/>
        <v>setosa</v>
      </c>
      <c r="L10" s="54" cm="1">
        <f t="array" ref="L10">$V$6*NMultDensity(C10:D10,$V$10:$V$11,$T$10:$U$11)+$V$19*NMultDensity(C10:D10,$V$23:$V$24,$T$23:$U$24)+$V$32*NMultDensity(C10:D10,$V$36:$V$37,$T$36:$U$37)</f>
        <v>7.1419201348016853E-2</v>
      </c>
      <c r="M10" s="54" cm="1">
        <f t="array" ref="M10">$V$6*NMultDensity(C10:D10,$V$10:$V$11,$T$10:$U$11)/L10</f>
        <v>0.99999999990381816</v>
      </c>
      <c r="N10" s="54" cm="1">
        <f t="array" ref="N10">$V$19*NMultDensity(C10:D10,$V$23:$V$24,$T$23:$U$24)/L10</f>
        <v>9.5873039137132035E-11</v>
      </c>
      <c r="O10" s="48" cm="1">
        <f t="array" ref="O10">$V$32*NMultDensity(C10:D10,$V$36:$V$37,$T$36:$U$37)/L10</f>
        <v>3.0877824666409895E-13</v>
      </c>
      <c r="Q10" s="24" t="s">
        <v>38</v>
      </c>
      <c r="R10" s="41"/>
      <c r="S10" s="56"/>
      <c r="T10" s="74">
        <f>_xlfn.COVARIANCE.S($C$2:$C$51,C2:C51)</f>
        <v>4.2357546083117315E-2</v>
      </c>
      <c r="U10" s="79">
        <f>_xlfn.COVARIANCE.S($C$2:$C$51,D2:D51)</f>
        <v>-1.8262058569659189E-2</v>
      </c>
      <c r="V10" s="72">
        <f>AVERAGE($C$2:$C$51)</f>
        <v>-2.2173249151368366</v>
      </c>
    </row>
    <row r="11" spans="1:22" ht="15.75" thickBot="1" x14ac:dyDescent="0.3">
      <c r="A11" s="61">
        <v>-2.6727557978209537</v>
      </c>
      <c r="B11" s="62">
        <v>-0.11377424587411719</v>
      </c>
      <c r="C11" s="65">
        <v>-2.1770349052411246</v>
      </c>
      <c r="D11" s="66">
        <v>-0.46744756851170033</v>
      </c>
      <c r="E11" s="25" t="s">
        <v>5</v>
      </c>
      <c r="F11" s="50" t="str">
        <f t="shared" si="0"/>
        <v>setosa</v>
      </c>
      <c r="G11" s="52" cm="1">
        <f t="array" ref="G11">$V$6*NMultDensity(A11:B11,$V$8:$V$9,$R$8:$S$9)+$V$19*NMultDensity(A11:B11,$V$21:$V$22,$R$21:$S$22)+$V$32*NMultDensity(A11:B11,$V$34:$V$35,$R$34:$S$35)</f>
        <v>0.47771545188738529</v>
      </c>
      <c r="H11" s="54" cm="1">
        <f t="array" ref="H11">$V$6*NMultDensity(A11:B11,$V$8:$V$9,$R$8:$S$9)/G11</f>
        <v>1</v>
      </c>
      <c r="I11" s="54" cm="1">
        <f t="array" ref="I11">$V$19*NMultDensity(A11:B11,$V$21:$V$22,$R$21:$S$22)/G11</f>
        <v>5.0114965586726215E-18</v>
      </c>
      <c r="J11" s="48" cm="1">
        <f t="array" ref="J11">$V$32*NMultDensity(A11:B11,$V$34:$V$35,$R$34:$S$35)/G11</f>
        <v>1.6575861501122398E-27</v>
      </c>
      <c r="K11" s="52" t="str">
        <f t="shared" si="1"/>
        <v>setosa</v>
      </c>
      <c r="L11" s="54" cm="1">
        <f t="array" ref="L11">$V$6*NMultDensity(C11:D11,$V$10:$V$11,$T$10:$U$11)+$V$19*NMultDensity(C11:D11,$V$23:$V$24,$T$23:$U$24)+$V$32*NMultDensity(C11:D11,$V$36:$V$37,$T$36:$U$37)</f>
        <v>0.19868558668007058</v>
      </c>
      <c r="M11" s="54" cm="1">
        <f t="array" ref="M11">$V$6*NMultDensity(C11:D11,$V$10:$V$11,$T$10:$U$11)/L11</f>
        <v>0.99999999998241085</v>
      </c>
      <c r="N11" s="54" cm="1">
        <f t="array" ref="N11">$V$19*NMultDensity(C11:D11,$V$23:$V$24,$T$23:$U$24)/L11</f>
        <v>1.7517801987020443E-11</v>
      </c>
      <c r="O11" s="48" cm="1">
        <f t="array" ref="O11">$V$32*NMultDensity(C11:D11,$V$36:$V$37,$T$36:$U$37)/L11</f>
        <v>7.1430076774684296E-14</v>
      </c>
      <c r="Q11" s="69" t="s">
        <v>39</v>
      </c>
      <c r="R11" s="45"/>
      <c r="S11" s="46"/>
      <c r="T11" s="80">
        <f>_xlfn.COVARIANCE.S($D$2:$D$51,C2:C51)</f>
        <v>-1.8262058569659189E-2</v>
      </c>
      <c r="U11" s="81">
        <f>_xlfn.COVARIANCE.S($D$2:$D$51,D2:D51)</f>
        <v>0.86744598696228647</v>
      </c>
      <c r="V11" s="73">
        <f>AVERAGE($D$2:$D$51)</f>
        <v>0.28796274898939833</v>
      </c>
    </row>
    <row r="12" spans="1:22" ht="15.75" thickBot="1" x14ac:dyDescent="0.3">
      <c r="A12" s="61">
        <v>-2.5069470906518556</v>
      </c>
      <c r="B12" s="62">
        <v>0.64506889864857364</v>
      </c>
      <c r="C12" s="65">
        <v>-2.1590769916914381</v>
      </c>
      <c r="D12" s="66">
        <v>1.0402058665204494</v>
      </c>
      <c r="E12" s="25" t="s">
        <v>5</v>
      </c>
      <c r="F12" s="50" t="str">
        <f t="shared" si="0"/>
        <v>setosa</v>
      </c>
      <c r="G12" s="52" cm="1">
        <f t="array" ref="G12">$V$6*NMultDensity(A12:B12,$V$8:$V$9,$R$8:$S$9)+$V$19*NMultDensity(A12:B12,$V$21:$V$22,$R$21:$S$22)+$V$32*NMultDensity(A12:B12,$V$34:$V$35,$R$34:$S$35)</f>
        <v>0.37874526463988734</v>
      </c>
      <c r="H12" s="54" cm="1">
        <f t="array" ref="H12">$V$6*NMultDensity(A12:B12,$V$8:$V$9,$R$8:$S$9)/G12</f>
        <v>1</v>
      </c>
      <c r="I12" s="54" cm="1">
        <f t="array" ref="I12">$V$19*NMultDensity(A12:B12,$V$21:$V$22,$R$21:$S$22)/G12</f>
        <v>4.1245159555710471E-26</v>
      </c>
      <c r="J12" s="48" cm="1">
        <f t="array" ref="J12">$V$32*NMultDensity(A12:B12,$V$34:$V$35,$R$34:$S$35)/G12</f>
        <v>7.7326169477428253E-37</v>
      </c>
      <c r="K12" s="52" t="str">
        <f t="shared" si="1"/>
        <v>setosa</v>
      </c>
      <c r="L12" s="54" cm="1">
        <f t="array" ref="L12">$V$6*NMultDensity(C12:D12,$V$10:$V$11,$T$10:$U$11)+$V$19*NMultDensity(C12:D12,$V$23:$V$24,$T$23:$U$24)+$V$32*NMultDensity(C12:D12,$V$36:$V$37,$T$36:$U$37)</f>
        <v>0.1879505177620486</v>
      </c>
      <c r="M12" s="54" cm="1">
        <f t="array" ref="M12">$V$6*NMultDensity(C12:D12,$V$10:$V$11,$T$10:$U$11)/L12</f>
        <v>0.99999999999999956</v>
      </c>
      <c r="N12" s="54" cm="1">
        <f t="array" ref="N12">$V$19*NMultDensity(C12:D12,$V$23:$V$24,$T$23:$U$24)/L12</f>
        <v>4.1525363588869473E-16</v>
      </c>
      <c r="O12" s="48" cm="1">
        <f t="array" ref="O12">$V$32*NMultDensity(C12:D12,$V$36:$V$37,$T$36:$U$37)/L12</f>
        <v>7.5667367727765684E-18</v>
      </c>
      <c r="Q12" s="42" t="s">
        <v>24</v>
      </c>
      <c r="R12" s="45">
        <f>AVERAGE($A$2:$A$51)</f>
        <v>-2.6424154639468509</v>
      </c>
      <c r="S12" s="46">
        <f>AVERAGE($B$2:$B$51)</f>
        <v>0.19088504677006957</v>
      </c>
      <c r="T12" s="46">
        <f>AVERAGE($C$2:$C$51)</f>
        <v>-2.2173249151368366</v>
      </c>
      <c r="U12" s="73">
        <f>AVERAGE($D$2:$D$51)</f>
        <v>0.28796274898939833</v>
      </c>
    </row>
    <row r="13" spans="1:22" x14ac:dyDescent="0.25">
      <c r="A13" s="61">
        <v>-2.6127552309087232</v>
      </c>
      <c r="B13" s="62">
        <v>1.4729939161373967E-2</v>
      </c>
      <c r="C13" s="65">
        <v>-2.318364130681835</v>
      </c>
      <c r="D13" s="66">
        <v>0.13263399898961414</v>
      </c>
      <c r="E13" s="25" t="s">
        <v>5</v>
      </c>
      <c r="F13" s="50" t="str">
        <f t="shared" si="0"/>
        <v>setosa</v>
      </c>
      <c r="G13" s="52" cm="1">
        <f t="array" ref="G13">$V$6*NMultDensity(A13:B13,$V$8:$V$9,$R$8:$S$9)+$V$19*NMultDensity(A13:B13,$V$21:$V$22,$R$21:$S$22)+$V$32*NMultDensity(A13:B13,$V$34:$V$35,$R$34:$S$35)</f>
        <v>0.524807540779621</v>
      </c>
      <c r="H13" s="54" cm="1">
        <f t="array" ref="H13">$V$6*NMultDensity(A13:B13,$V$8:$V$9,$R$8:$S$9)/G13</f>
        <v>1</v>
      </c>
      <c r="I13" s="54" cm="1">
        <f t="array" ref="I13">$V$19*NMultDensity(A13:B13,$V$21:$V$22,$R$21:$S$22)/G13</f>
        <v>6.2226369664409559E-19</v>
      </c>
      <c r="J13" s="48" cm="1">
        <f t="array" ref="J13">$V$32*NMultDensity(A13:B13,$V$34:$V$35,$R$34:$S$35)/G13</f>
        <v>1.3477537987635475E-28</v>
      </c>
      <c r="K13" s="52" t="str">
        <f t="shared" si="1"/>
        <v>setosa</v>
      </c>
      <c r="L13" s="54" cm="1">
        <f t="array" ref="L13">$V$6*NMultDensity(C13:D13,$V$10:$V$11,$T$10:$U$11)+$V$19*NMultDensity(C13:D13,$V$23:$V$24,$T$23:$U$24)+$V$32*NMultDensity(C13:D13,$V$36:$V$37,$T$36:$U$37)</f>
        <v>0.24085892870504805</v>
      </c>
      <c r="M13" s="54" cm="1">
        <f t="array" ref="M13">$V$6*NMultDensity(C13:D13,$V$10:$V$11,$T$10:$U$11)/L13</f>
        <v>0.99999999999998135</v>
      </c>
      <c r="N13" s="54" cm="1">
        <f t="array" ref="N13">$V$19*NMultDensity(C13:D13,$V$23:$V$24,$T$23:$U$24)/L13</f>
        <v>1.8453023332612429E-14</v>
      </c>
      <c r="O13" s="48" cm="1">
        <f t="array" ref="O13">$V$32*NMultDensity(C13:D13,$V$36:$V$37,$T$36:$U$37)/L13</f>
        <v>1.8655986663053158E-16</v>
      </c>
      <c r="Q13" s="43" t="s">
        <v>52</v>
      </c>
      <c r="R13" s="39">
        <f>MIN(A2:A51)</f>
        <v>-3.2238037438656519</v>
      </c>
      <c r="S13" s="40">
        <f>MIN(B2:B51)</f>
        <v>-0.94096057364119623</v>
      </c>
      <c r="T13" s="57">
        <f>MIN(C2:C51)</f>
        <v>-2.7650814226329929</v>
      </c>
      <c r="U13" s="58">
        <f>MIN(D2:D51)</f>
        <v>-2.3296107445884875</v>
      </c>
    </row>
    <row r="14" spans="1:22" ht="15.75" thickBot="1" x14ac:dyDescent="0.3">
      <c r="A14" s="61">
        <v>-2.786109266188018</v>
      </c>
      <c r="B14" s="62">
        <v>-0.2351120002017186</v>
      </c>
      <c r="C14" s="65">
        <v>-2.2110436965113922</v>
      </c>
      <c r="D14" s="66">
        <v>-0.72624318301413815</v>
      </c>
      <c r="E14" s="25" t="s">
        <v>5</v>
      </c>
      <c r="F14" s="50" t="str">
        <f t="shared" si="0"/>
        <v>setosa</v>
      </c>
      <c r="G14" s="52" cm="1">
        <f t="array" ref="G14">$V$6*NMultDensity(A14:B14,$V$8:$V$9,$R$8:$S$9)+$V$19*NMultDensity(A14:B14,$V$21:$V$22,$R$21:$S$22)+$V$32*NMultDensity(A14:B14,$V$34:$V$35,$R$34:$S$35)</f>
        <v>0.39626440791620654</v>
      </c>
      <c r="H14" s="54" cm="1">
        <f t="array" ref="H14">$V$6*NMultDensity(A14:B14,$V$8:$V$9,$R$8:$S$9)/G14</f>
        <v>1</v>
      </c>
      <c r="I14" s="54" cm="1">
        <f t="array" ref="I14">$V$19*NMultDensity(A14:B14,$V$21:$V$22,$R$21:$S$22)/G14</f>
        <v>9.4086352602428669E-18</v>
      </c>
      <c r="J14" s="48" cm="1">
        <f t="array" ref="J14">$V$32*NMultDensity(A14:B14,$V$34:$V$35,$R$34:$S$35)/G14</f>
        <v>3.9453846341861462E-27</v>
      </c>
      <c r="K14" s="52" t="str">
        <f t="shared" si="1"/>
        <v>setosa</v>
      </c>
      <c r="L14" s="54" cm="1">
        <f t="array" ref="L14">$V$6*NMultDensity(C14:D14,$V$10:$V$11,$T$10:$U$11)+$V$19*NMultDensity(C14:D14,$V$23:$V$24,$T$23:$U$24)+$V$32*NMultDensity(C14:D14,$V$36:$V$37,$T$36:$U$37)</f>
        <v>0.15325864171654119</v>
      </c>
      <c r="M14" s="54" cm="1">
        <f t="array" ref="M14">$V$6*NMultDensity(C14:D14,$V$10:$V$11,$T$10:$U$11)/L14</f>
        <v>0.99999999994837774</v>
      </c>
      <c r="N14" s="54" cm="1">
        <f t="array" ref="N14">$V$19*NMultDensity(C14:D14,$V$23:$V$24,$T$23:$U$24)/L14</f>
        <v>5.1442105359943016E-11</v>
      </c>
      <c r="O14" s="48" cm="1">
        <f t="array" ref="O14">$V$32*NMultDensity(C14:D14,$V$36:$V$37,$T$36:$U$37)/L14</f>
        <v>1.8011243444523126E-13</v>
      </c>
      <c r="Q14" s="44" t="s">
        <v>53</v>
      </c>
      <c r="R14" s="45">
        <f>MAX(A2:A51)</f>
        <v>-2.1998203236175802</v>
      </c>
      <c r="S14" s="46">
        <f>MAX(B2:B51)</f>
        <v>1.3380623304006525</v>
      </c>
      <c r="T14" s="59">
        <f>MAX(C2:C51)</f>
        <v>-1.8125971593938925</v>
      </c>
      <c r="U14" s="60">
        <f>MAX(D2:D51)</f>
        <v>2.6773152297366787</v>
      </c>
    </row>
    <row r="15" spans="1:22" x14ac:dyDescent="0.25">
      <c r="A15" s="61">
        <v>-3.2238037438656519</v>
      </c>
      <c r="B15" s="62">
        <v>-0.51139458700638263</v>
      </c>
      <c r="C15" s="65">
        <v>-2.6243090161435854</v>
      </c>
      <c r="D15" s="66">
        <v>-0.95829634715536627</v>
      </c>
      <c r="E15" s="25" t="s">
        <v>5</v>
      </c>
      <c r="F15" s="50" t="str">
        <f t="shared" si="0"/>
        <v>setosa</v>
      </c>
      <c r="G15" s="52" cm="1">
        <f t="array" ref="G15">$V$6*NMultDensity(A15:B15,$V$8:$V$9,$R$8:$S$9)+$V$19*NMultDensity(A15:B15,$V$21:$V$22,$R$21:$S$22)+$V$32*NMultDensity(A15:B15,$V$34:$V$35,$R$34:$S$35)</f>
        <v>1.9364658246276721E-2</v>
      </c>
      <c r="H15" s="54" cm="1">
        <f t="array" ref="H15">$V$6*NMultDensity(A15:B15,$V$8:$V$9,$R$8:$S$9)/G15</f>
        <v>1</v>
      </c>
      <c r="I15" s="54" cm="1">
        <f t="array" ref="I15">$V$19*NMultDensity(A15:B15,$V$21:$V$22,$R$21:$S$22)/G15</f>
        <v>5.4331988368979482E-18</v>
      </c>
      <c r="J15" s="48" cm="1">
        <f t="array" ref="J15">$V$32*NMultDensity(A15:B15,$V$34:$V$35,$R$34:$S$35)/G15</f>
        <v>2.4899230867653461E-27</v>
      </c>
      <c r="K15" s="52" t="str">
        <f t="shared" si="1"/>
        <v>setosa</v>
      </c>
      <c r="L15" s="54" cm="1">
        <f t="array" ref="L15">$V$6*NMultDensity(C15:D15,$V$10:$V$11,$T$10:$U$11)+$V$19*NMultDensity(C15:D15,$V$23:$V$24,$T$23:$U$24)+$V$32*NMultDensity(C15:D15,$V$36:$V$37,$T$36:$U$37)</f>
        <v>1.2143022545602766E-2</v>
      </c>
      <c r="M15" s="54" cm="1">
        <f t="array" ref="M15">$V$6*NMultDensity(C15:D15,$V$10:$V$11,$T$10:$U$11)/L15</f>
        <v>0.99999999999911759</v>
      </c>
      <c r="N15" s="54" cm="1">
        <f t="array" ref="N15">$V$19*NMultDensity(C15:D15,$V$23:$V$24,$T$23:$U$24)/L15</f>
        <v>8.7574527181020494E-13</v>
      </c>
      <c r="O15" s="48" cm="1">
        <f t="array" ref="O15">$V$32*NMultDensity(C15:D15,$V$36:$V$37,$T$36:$U$37)/L15</f>
        <v>6.6618187834080764E-15</v>
      </c>
    </row>
    <row r="16" spans="1:22" ht="15.75" thickBot="1" x14ac:dyDescent="0.3">
      <c r="A16" s="61">
        <v>-2.6447503899420295</v>
      </c>
      <c r="B16" s="62">
        <v>1.1787646364375755</v>
      </c>
      <c r="C16" s="65">
        <v>-2.1913992118090526</v>
      </c>
      <c r="D16" s="66">
        <v>1.853846554676003</v>
      </c>
      <c r="E16" s="25" t="s">
        <v>5</v>
      </c>
      <c r="F16" s="50" t="str">
        <f t="shared" si="0"/>
        <v>setosa</v>
      </c>
      <c r="G16" s="52" cm="1">
        <f t="array" ref="G16">$V$6*NMultDensity(A16:B16,$V$8:$V$9,$R$8:$S$9)+$V$19*NMultDensity(A16:B16,$V$21:$V$22,$R$21:$S$22)+$V$32*NMultDensity(A16:B16,$V$34:$V$35,$R$34:$S$35)</f>
        <v>2.5082848358184549E-2</v>
      </c>
      <c r="H16" s="54" cm="1">
        <f t="array" ref="H16">$V$6*NMultDensity(A16:B16,$V$8:$V$9,$R$8:$S$9)/G16</f>
        <v>1</v>
      </c>
      <c r="I16" s="54" cm="1">
        <f t="array" ref="I16">$V$19*NMultDensity(A16:B16,$V$21:$V$22,$R$21:$S$22)/G16</f>
        <v>7.9347650359299382E-36</v>
      </c>
      <c r="J16" s="48" cm="1">
        <f t="array" ref="J16">$V$32*NMultDensity(A16:B16,$V$34:$V$35,$R$34:$S$35)/G16</f>
        <v>1.443363141904593E-47</v>
      </c>
      <c r="K16" s="52" t="str">
        <f t="shared" si="1"/>
        <v>setosa</v>
      </c>
      <c r="L16" s="54" cm="1">
        <f t="array" ref="L16">$V$6*NMultDensity(C16:D16,$V$10:$V$11,$T$10:$U$11)+$V$19*NMultDensity(C16:D16,$V$23:$V$24,$T$23:$U$24)+$V$32*NMultDensity(C16:D16,$V$36:$V$37,$T$36:$U$37)</f>
        <v>6.4914783579114427E-2</v>
      </c>
      <c r="M16" s="54" cm="1">
        <f t="array" ref="M16">$V$6*NMultDensity(C16:D16,$V$10:$V$11,$T$10:$U$11)/L16</f>
        <v>1</v>
      </c>
      <c r="N16" s="54" cm="1">
        <f t="array" ref="N16">$V$19*NMultDensity(C16:D16,$V$23:$V$24,$T$23:$U$24)/L16</f>
        <v>2.0355062479729315E-19</v>
      </c>
      <c r="O16" s="48" cm="1">
        <f t="array" ref="O16">$V$32*NMultDensity(C16:D16,$V$36:$V$37,$T$36:$U$37)/L16</f>
        <v>1.1420574877937777E-20</v>
      </c>
      <c r="Q16" s="47" t="s">
        <v>14</v>
      </c>
      <c r="R16" s="47">
        <f>COUNT(C2:C51)</f>
        <v>50</v>
      </c>
    </row>
    <row r="17" spans="1:22" ht="15.75" thickTop="1" x14ac:dyDescent="0.25">
      <c r="A17" s="61">
        <v>-2.3860390335311337</v>
      </c>
      <c r="B17" s="62">
        <v>1.3380623304006525</v>
      </c>
      <c r="C17" s="65">
        <v>-2.2546612065689917</v>
      </c>
      <c r="D17" s="66">
        <v>2.6773152297366787</v>
      </c>
      <c r="E17" s="25" t="s">
        <v>5</v>
      </c>
      <c r="F17" s="50" t="str">
        <f t="shared" si="0"/>
        <v>setosa</v>
      </c>
      <c r="G17" s="52" cm="1">
        <f t="array" ref="G17">$V$6*NMultDensity(A17:B17,$V$8:$V$9,$R$8:$S$9)+$V$19*NMultDensity(A17:B17,$V$21:$V$22,$R$21:$S$22)+$V$32*NMultDensity(A17:B17,$V$34:$V$35,$R$34:$S$35)</f>
        <v>2.911096687719467E-2</v>
      </c>
      <c r="H17" s="54" cm="1">
        <f t="array" ref="H17">$V$6*NMultDensity(A17:B17,$V$8:$V$9,$R$8:$S$9)/G17</f>
        <v>1</v>
      </c>
      <c r="I17" s="54" cm="1">
        <f t="array" ref="I17">$V$19*NMultDensity(A17:B17,$V$21:$V$22,$R$21:$S$22)/G17</f>
        <v>3.3323010184910386E-35</v>
      </c>
      <c r="J17" s="48" cm="1">
        <f t="array" ref="J17">$V$32*NMultDensity(A17:B17,$V$34:$V$35,$R$34:$S$35)/G17</f>
        <v>6.4769172223205956E-47</v>
      </c>
      <c r="K17" s="52" t="str">
        <f t="shared" si="1"/>
        <v>setosa</v>
      </c>
      <c r="L17" s="54" cm="1">
        <f t="array" ref="L17">$V$6*NMultDensity(C17:D17,$V$10:$V$11,$T$10:$U$11)+$V$19*NMultDensity(C17:D17,$V$23:$V$24,$T$23:$U$24)+$V$32*NMultDensity(C17:D17,$V$36:$V$37,$T$36:$U$37)</f>
        <v>1.0329768019924196E-2</v>
      </c>
      <c r="M17" s="54" cm="1">
        <f t="array" ref="M17">$V$6*NMultDensity(C17:D17,$V$10:$V$11,$T$10:$U$11)/L17</f>
        <v>1</v>
      </c>
      <c r="N17" s="54" cm="1">
        <f t="array" ref="N17">$V$19*NMultDensity(C17:D17,$V$23:$V$24,$T$23:$U$24)/L17</f>
        <v>1.9415399226790777E-23</v>
      </c>
      <c r="O17" s="48" cm="1">
        <f t="array" ref="O17">$V$32*NMultDensity(C17:D17,$V$36:$V$37,$T$36:$U$37)/L17</f>
        <v>4.5027692981887565E-24</v>
      </c>
    </row>
    <row r="18" spans="1:22" x14ac:dyDescent="0.25">
      <c r="A18" s="61">
        <v>-2.6235278752244269</v>
      </c>
      <c r="B18" s="62">
        <v>0.81067951418125794</v>
      </c>
      <c r="C18" s="65">
        <v>-2.2002167647434003</v>
      </c>
      <c r="D18" s="66">
        <v>1.4786557287482562</v>
      </c>
      <c r="E18" s="25" t="s">
        <v>5</v>
      </c>
      <c r="F18" s="50" t="str">
        <f t="shared" si="0"/>
        <v>setosa</v>
      </c>
      <c r="G18" s="52" cm="1">
        <f t="array" ref="G18">$V$6*NMultDensity(A18:B18,$V$8:$V$9,$R$8:$S$9)+$V$19*NMultDensity(A18:B18,$V$21:$V$22,$R$21:$S$22)+$V$32*NMultDensity(A18:B18,$V$34:$V$35,$R$34:$S$35)</f>
        <v>0.19005886671889866</v>
      </c>
      <c r="H18" s="54" cm="1">
        <f t="array" ref="H18">$V$6*NMultDensity(A18:B18,$V$8:$V$9,$R$8:$S$9)/G18</f>
        <v>1</v>
      </c>
      <c r="I18" s="54" cm="1">
        <f t="array" ref="I18">$V$19*NMultDensity(A18:B18,$V$21:$V$22,$R$21:$S$22)/G18</f>
        <v>6.4780089307170879E-30</v>
      </c>
      <c r="J18" s="48" cm="1">
        <f t="array" ref="J18">$V$32*NMultDensity(A18:B18,$V$34:$V$35,$R$34:$S$35)/G18</f>
        <v>4.6536774048064918E-41</v>
      </c>
      <c r="K18" s="52" t="str">
        <f t="shared" si="1"/>
        <v>setosa</v>
      </c>
      <c r="L18" s="54" cm="1">
        <f t="array" ref="L18">$V$6*NMultDensity(C18:D18,$V$10:$V$11,$T$10:$U$11)+$V$19*NMultDensity(C18:D18,$V$23:$V$24,$T$23:$U$24)+$V$32*NMultDensity(C18:D18,$V$36:$V$37,$T$36:$U$37)</f>
        <v>0.12022238602605498</v>
      </c>
      <c r="M18" s="54" cm="1">
        <f t="array" ref="M18">$V$6*NMultDensity(C18:D18,$V$10:$V$11,$T$10:$U$11)/L18</f>
        <v>1</v>
      </c>
      <c r="N18" s="54" cm="1">
        <f t="array" ref="N18">$V$19*NMultDensity(C18:D18,$V$23:$V$24,$T$23:$U$24)/L18</f>
        <v>4.2739671897308373E-18</v>
      </c>
      <c r="O18" s="48" cm="1">
        <f t="array" ref="O18">$V$32*NMultDensity(C18:D18,$V$36:$V$37,$T$36:$U$37)/L18</f>
        <v>1.5013639306534901E-19</v>
      </c>
    </row>
    <row r="19" spans="1:22" ht="15.75" thickBot="1" x14ac:dyDescent="0.3">
      <c r="A19" s="61">
        <v>-2.6482967062543814</v>
      </c>
      <c r="B19" s="62">
        <v>0.31184914459335461</v>
      </c>
      <c r="C19" s="65">
        <v>-2.18303613482147</v>
      </c>
      <c r="D19" s="66">
        <v>0.48720613057249629</v>
      </c>
      <c r="E19" s="25" t="s">
        <v>5</v>
      </c>
      <c r="F19" s="50" t="str">
        <f t="shared" si="0"/>
        <v>setosa</v>
      </c>
      <c r="G19" s="52" cm="1">
        <f t="array" ref="G19">$V$6*NMultDensity(A19:B19,$V$8:$V$9,$R$8:$S$9)+$V$19*NMultDensity(A19:B19,$V$21:$V$22,$R$21:$S$22)+$V$32*NMultDensity(A19:B19,$V$34:$V$35,$R$34:$S$35)</f>
        <v>0.57952143233308528</v>
      </c>
      <c r="H19" s="54" cm="1">
        <f t="array" ref="H19">$V$6*NMultDensity(A19:B19,$V$8:$V$9,$R$8:$S$9)/G19</f>
        <v>1</v>
      </c>
      <c r="I19" s="54" cm="1">
        <f t="array" ref="I19">$V$19*NMultDensity(A19:B19,$V$21:$V$22,$R$21:$S$22)/G19</f>
        <v>3.6758108042046141E-23</v>
      </c>
      <c r="J19" s="48" cm="1">
        <f t="array" ref="J19">$V$32*NMultDensity(A19:B19,$V$34:$V$35,$R$34:$S$35)/G19</f>
        <v>1.8798248574151138E-33</v>
      </c>
      <c r="K19" s="52" t="str">
        <f t="shared" si="1"/>
        <v>setosa</v>
      </c>
      <c r="L19" s="54" cm="1">
        <f t="array" ref="L19">$V$6*NMultDensity(C19:D19,$V$10:$V$11,$T$10:$U$11)+$V$19*NMultDensity(C19:D19,$V$23:$V$24,$T$23:$U$24)+$V$32*NMultDensity(C19:D19,$V$36:$V$37,$T$36:$U$37)</f>
        <v>0.26698870402621239</v>
      </c>
      <c r="M19" s="54" cm="1">
        <f t="array" ref="M19">$V$6*NMultDensity(C19:D19,$V$10:$V$11,$T$10:$U$11)/L19</f>
        <v>0.9999999999999819</v>
      </c>
      <c r="N19" s="54" cm="1">
        <f t="array" ref="N19">$V$19*NMultDensity(C19:D19,$V$23:$V$24,$T$23:$U$24)/L19</f>
        <v>1.7944601577912524E-14</v>
      </c>
      <c r="O19" s="48" cm="1">
        <f t="array" ref="O19">$V$32*NMultDensity(C19:D19,$V$36:$V$37,$T$36:$U$37)/L19</f>
        <v>1.871625090995164E-16</v>
      </c>
      <c r="Q19" s="116" t="s">
        <v>54</v>
      </c>
      <c r="R19" s="116"/>
      <c r="S19" s="116"/>
      <c r="T19" s="116" t="s">
        <v>51</v>
      </c>
      <c r="U19" s="116"/>
      <c r="V19" s="37">
        <f>1/3</f>
        <v>0.33333333333333331</v>
      </c>
    </row>
    <row r="20" spans="1:22" ht="15.75" thickBot="1" x14ac:dyDescent="0.3">
      <c r="A20" s="61">
        <v>-2.1998203236175802</v>
      </c>
      <c r="B20" s="62">
        <v>0.87283903896221082</v>
      </c>
      <c r="C20" s="65">
        <v>-1.8922328395554022</v>
      </c>
      <c r="D20" s="66">
        <v>1.4003275666972714</v>
      </c>
      <c r="E20" s="25" t="s">
        <v>5</v>
      </c>
      <c r="F20" s="50" t="str">
        <f t="shared" si="0"/>
        <v>setosa</v>
      </c>
      <c r="G20" s="52" cm="1">
        <f t="array" ref="G20">$V$6*NMultDensity(A20:B20,$V$8:$V$9,$R$8:$S$9)+$V$19*NMultDensity(A20:B20,$V$21:$V$22,$R$21:$S$22)+$V$32*NMultDensity(A20:B20,$V$34:$V$35,$R$34:$S$35)</f>
        <v>7.495208358255484E-2</v>
      </c>
      <c r="H20" s="54" cm="1">
        <f t="array" ref="H20">$V$6*NMultDensity(A20:B20,$V$8:$V$9,$R$8:$S$9)/G20</f>
        <v>1</v>
      </c>
      <c r="I20" s="54" cm="1">
        <f t="array" ref="I20">$V$19*NMultDensity(A20:B20,$V$21:$V$22,$R$21:$S$22)/G20</f>
        <v>3.4778221697977827E-25</v>
      </c>
      <c r="J20" s="48" cm="1">
        <f t="array" ref="J20">$V$32*NMultDensity(A20:B20,$V$34:$V$35,$R$34:$S$35)/G20</f>
        <v>6.285980791518278E-36</v>
      </c>
      <c r="K20" s="52" t="str">
        <f t="shared" si="1"/>
        <v>setosa</v>
      </c>
      <c r="L20" s="54" cm="1">
        <f t="array" ref="L20">$V$6*NMultDensity(C20:D20,$V$10:$V$11,$T$10:$U$11)+$V$19*NMultDensity(C20:D20,$V$23:$V$24,$T$23:$U$24)+$V$32*NMultDensity(C20:D20,$V$36:$V$37,$T$36:$U$37)</f>
        <v>3.2060974827227168E-2</v>
      </c>
      <c r="M20" s="54" cm="1">
        <f t="array" ref="M20">$V$6*NMultDensity(C20:D20,$V$10:$V$11,$T$10:$U$11)/L20</f>
        <v>0.99999999999997535</v>
      </c>
      <c r="N20" s="54" cm="1">
        <f t="array" ref="N20">$V$19*NMultDensity(C20:D20,$V$23:$V$24,$T$23:$U$24)/L20</f>
        <v>2.4159736871481061E-14</v>
      </c>
      <c r="O20" s="48" cm="1">
        <f t="array" ref="O20">$V$32*NMultDensity(C20:D20,$V$36:$V$37,$T$36:$U$37)/L20</f>
        <v>3.4243176767719981E-16</v>
      </c>
      <c r="R20" s="21" t="s">
        <v>36</v>
      </c>
      <c r="S20" s="33" t="s">
        <v>37</v>
      </c>
      <c r="T20" s="21" t="s">
        <v>38</v>
      </c>
      <c r="U20" s="33" t="s">
        <v>39</v>
      </c>
      <c r="V20" s="38" t="s">
        <v>24</v>
      </c>
    </row>
    <row r="21" spans="1:22" x14ac:dyDescent="0.25">
      <c r="A21" s="61">
        <v>-2.5879863998787682</v>
      </c>
      <c r="B21" s="62">
        <v>0.51356030874927661</v>
      </c>
      <c r="C21" s="65">
        <v>-2.3355447606037663</v>
      </c>
      <c r="D21" s="66">
        <v>1.124083597165374</v>
      </c>
      <c r="E21" s="25" t="s">
        <v>5</v>
      </c>
      <c r="F21" s="50" t="str">
        <f t="shared" si="0"/>
        <v>setosa</v>
      </c>
      <c r="G21" s="52" cm="1">
        <f t="array" ref="G21">$V$6*NMultDensity(A21:B21,$V$8:$V$9,$R$8:$S$9)+$V$19*NMultDensity(A21:B21,$V$21:$V$22,$R$21:$S$22)+$V$32*NMultDensity(A21:B21,$V$34:$V$35,$R$34:$S$35)</f>
        <v>0.47562379910692015</v>
      </c>
      <c r="H21" s="54" cm="1">
        <f t="array" ref="H21">$V$6*NMultDensity(A21:B21,$V$8:$V$9,$R$8:$S$9)/G21</f>
        <v>1</v>
      </c>
      <c r="I21" s="54" cm="1">
        <f t="array" ref="I21">$V$19*NMultDensity(A21:B21,$V$21:$V$22,$R$21:$S$22)/G21</f>
        <v>3.1557313923052623E-25</v>
      </c>
      <c r="J21" s="48" cm="1">
        <f t="array" ref="J21">$V$32*NMultDensity(A21:B21,$V$34:$V$35,$R$34:$S$35)/G21</f>
        <v>8.1166745437675288E-36</v>
      </c>
      <c r="K21" s="52" t="str">
        <f t="shared" si="1"/>
        <v>setosa</v>
      </c>
      <c r="L21" s="54" cm="1">
        <f t="array" ref="L21">$V$6*NMultDensity(C21:D21,$V$10:$V$11,$T$10:$U$11)+$V$19*NMultDensity(C21:D21,$V$23:$V$24,$T$23:$U$24)+$V$32*NMultDensity(C21:D21,$V$36:$V$37,$T$36:$U$37)</f>
        <v>0.1647069360345923</v>
      </c>
      <c r="M21" s="54" cm="1">
        <f t="array" ref="M21">$V$6*NMultDensity(C21:D21,$V$10:$V$11,$T$10:$U$11)/L21</f>
        <v>1</v>
      </c>
      <c r="N21" s="54" cm="1">
        <f t="array" ref="N21">$V$19*NMultDensity(C21:D21,$V$23:$V$24,$T$23:$U$24)/L21</f>
        <v>4.5588160141670365E-18</v>
      </c>
      <c r="O21" s="48" cm="1">
        <f t="array" ref="O21">$V$32*NMultDensity(C21:D21,$V$36:$V$37,$T$36:$U$37)/L21</f>
        <v>1.5440440786289128E-19</v>
      </c>
      <c r="Q21" s="24" t="s">
        <v>36</v>
      </c>
      <c r="R21" s="76">
        <f>_xlfn.COVARIANCE.S($A$52:$A$101,A52:A101)</f>
        <v>0.35547096846284748</v>
      </c>
      <c r="S21" s="77">
        <f>_xlfn.COVARIANCE.S($A$52:$A$101,B52:B101)</f>
        <v>0.19874216796934469</v>
      </c>
      <c r="T21" s="40"/>
      <c r="U21" s="75"/>
      <c r="V21" s="75">
        <f>R25</f>
        <v>0.53320656903934094</v>
      </c>
    </row>
    <row r="22" spans="1:22" ht="15.75" thickBot="1" x14ac:dyDescent="0.3">
      <c r="A22" s="61">
        <v>-2.3102562152425183</v>
      </c>
      <c r="B22" s="62">
        <v>0.39134593565389397</v>
      </c>
      <c r="C22" s="65">
        <v>-1.9079312487023887</v>
      </c>
      <c r="D22" s="66">
        <v>0.40749057637302644</v>
      </c>
      <c r="E22" s="25" t="s">
        <v>5</v>
      </c>
      <c r="F22" s="50" t="str">
        <f t="shared" si="0"/>
        <v>setosa</v>
      </c>
      <c r="G22" s="52" cm="1">
        <f t="array" ref="G22">$V$6*NMultDensity(A22:B22,$V$8:$V$9,$R$8:$S$9)+$V$19*NMultDensity(A22:B22,$V$21:$V$22,$R$21:$S$22)+$V$32*NMultDensity(A22:B22,$V$34:$V$35,$R$34:$S$35)</f>
        <v>0.17870105863819691</v>
      </c>
      <c r="H22" s="54" cm="1">
        <f t="array" ref="H22">$V$6*NMultDensity(A22:B22,$V$8:$V$9,$R$8:$S$9)/G22</f>
        <v>1</v>
      </c>
      <c r="I22" s="54" cm="1">
        <f t="array" ref="I22">$V$19*NMultDensity(A22:B22,$V$21:$V$22,$R$21:$S$22)/G22</f>
        <v>6.1017670046640501E-20</v>
      </c>
      <c r="J22" s="48" cm="1">
        <f t="array" ref="J22">$V$32*NMultDensity(A22:B22,$V$34:$V$35,$R$34:$S$35)/G22</f>
        <v>6.0662351209634994E-30</v>
      </c>
      <c r="K22" s="52" t="str">
        <f t="shared" si="1"/>
        <v>setosa</v>
      </c>
      <c r="L22" s="54" cm="1">
        <f t="array" ref="L22">$V$6*NMultDensity(C22:D22,$V$10:$V$11,$T$10:$U$11)+$V$19*NMultDensity(C22:D22,$V$23:$V$24,$T$23:$U$24)+$V$32*NMultDensity(C22:D22,$V$36:$V$37,$T$36:$U$37)</f>
        <v>8.6536257544445883E-2</v>
      </c>
      <c r="M22" s="54" cm="1">
        <f t="array" ref="M22">$V$6*NMultDensity(C22:D22,$V$10:$V$11,$T$10:$U$11)/L22</f>
        <v>0.99999999997988975</v>
      </c>
      <c r="N22" s="54" cm="1">
        <f t="array" ref="N22">$V$19*NMultDensity(C22:D22,$V$23:$V$24,$T$23:$U$24)/L22</f>
        <v>2.0003686873159913E-11</v>
      </c>
      <c r="O22" s="48" cm="1">
        <f t="array" ref="O22">$V$32*NMultDensity(C22:D22,$V$36:$V$37,$T$36:$U$37)/L22</f>
        <v>1.0645132416782213E-13</v>
      </c>
      <c r="Q22" s="69" t="s">
        <v>37</v>
      </c>
      <c r="R22" s="78">
        <f>_xlfn.COVARIANCE.S($B$52:$B$101,A52:A101)</f>
        <v>0.19874216796934469</v>
      </c>
      <c r="S22" s="71">
        <f>_xlfn.COVARIANCE.S($B$52:$B$101,B52:B101)</f>
        <v>0.18517222651350332</v>
      </c>
      <c r="T22" s="56"/>
      <c r="U22" s="72"/>
      <c r="V22" s="72">
        <f>S25</f>
        <v>-0.24554983203538361</v>
      </c>
    </row>
    <row r="23" spans="1:22" x14ac:dyDescent="0.25">
      <c r="A23" s="61">
        <v>-2.5437052287571569</v>
      </c>
      <c r="B23" s="62">
        <v>0.43299606327902795</v>
      </c>
      <c r="C23" s="65">
        <v>-2.1996438314933542</v>
      </c>
      <c r="D23" s="66">
        <v>0.92103587079816895</v>
      </c>
      <c r="E23" s="25" t="s">
        <v>5</v>
      </c>
      <c r="F23" s="50" t="str">
        <f t="shared" si="0"/>
        <v>setosa</v>
      </c>
      <c r="G23" s="52" cm="1">
        <f t="array" ref="G23">$V$6*NMultDensity(A23:B23,$V$8:$V$9,$R$8:$S$9)+$V$19*NMultDensity(A23:B23,$V$21:$V$22,$R$21:$S$22)+$V$32*NMultDensity(A23:B23,$V$34:$V$35,$R$34:$S$35)</f>
        <v>0.52419103337709017</v>
      </c>
      <c r="H23" s="54" cm="1">
        <f t="array" ref="H23">$V$6*NMultDensity(A23:B23,$V$8:$V$9,$R$8:$S$9)/G23</f>
        <v>1</v>
      </c>
      <c r="I23" s="54" cm="1">
        <f t="array" ref="I23">$V$19*NMultDensity(A23:B23,$V$21:$V$22,$R$21:$S$22)/G23</f>
        <v>1.3762197516194318E-23</v>
      </c>
      <c r="J23" s="48" cm="1">
        <f t="array" ref="J23">$V$32*NMultDensity(A23:B23,$V$34:$V$35,$R$34:$S$35)/G23</f>
        <v>5.6286307683343795E-34</v>
      </c>
      <c r="K23" s="52" t="str">
        <f t="shared" si="1"/>
        <v>setosa</v>
      </c>
      <c r="L23" s="54" cm="1">
        <f t="array" ref="L23">$V$6*NMultDensity(C23:D23,$V$10:$V$11,$T$10:$U$11)+$V$19*NMultDensity(C23:D23,$V$23:$V$24,$T$23:$U$24)+$V$32*NMultDensity(C23:D23,$V$36:$V$37,$T$36:$U$37)</f>
        <v>0.21816758170016429</v>
      </c>
      <c r="M23" s="54" cm="1">
        <f t="array" ref="M23">$V$6*NMultDensity(C23:D23,$V$10:$V$11,$T$10:$U$11)/L23</f>
        <v>0.99999999999999967</v>
      </c>
      <c r="N23" s="54" cm="1">
        <f t="array" ref="N23">$V$19*NMultDensity(C23:D23,$V$23:$V$24,$T$23:$U$24)/L23</f>
        <v>4.3151720630551872E-16</v>
      </c>
      <c r="O23" s="48" cm="1">
        <f t="array" ref="O23">$V$32*NMultDensity(C23:D23,$V$36:$V$37,$T$36:$U$37)/L23</f>
        <v>7.6386320811996718E-18</v>
      </c>
      <c r="Q23" s="24" t="s">
        <v>38</v>
      </c>
      <c r="R23" s="41"/>
      <c r="S23" s="56"/>
      <c r="T23" s="74">
        <f>_xlfn.COVARIANCE.S($C$52:$C$101,C52:C101)</f>
        <v>0.21419869570638086</v>
      </c>
      <c r="U23" s="79">
        <f>_xlfn.COVARIANCE.S($C$52:$C$101,D52:D101)</f>
        <v>0.21371327976298854</v>
      </c>
      <c r="V23" s="72">
        <f>T25</f>
        <v>0.49479044035787401</v>
      </c>
    </row>
    <row r="24" spans="1:22" ht="15.75" thickBot="1" x14ac:dyDescent="0.3">
      <c r="A24" s="61">
        <v>-3.2159394156486112</v>
      </c>
      <c r="B24" s="62">
        <v>0.1334680695385255</v>
      </c>
      <c r="C24" s="65">
        <v>-2.7650814226329929</v>
      </c>
      <c r="D24" s="66">
        <v>0.45681330064998887</v>
      </c>
      <c r="E24" s="25" t="s">
        <v>5</v>
      </c>
      <c r="F24" s="50" t="str">
        <f t="shared" si="0"/>
        <v>setosa</v>
      </c>
      <c r="G24" s="52" cm="1">
        <f t="array" ref="G24">$V$6*NMultDensity(A24:B24,$V$8:$V$9,$R$8:$S$9)+$V$19*NMultDensity(A24:B24,$V$21:$V$22,$R$21:$S$22)+$V$32*NMultDensity(A24:B24,$V$34:$V$35,$R$34:$S$35)</f>
        <v>6.6584091412710909E-3</v>
      </c>
      <c r="H24" s="54" cm="1">
        <f t="array" ref="H24">$V$6*NMultDensity(A24:B24,$V$8:$V$9,$R$8:$S$9)/G24</f>
        <v>1</v>
      </c>
      <c r="I24" s="54" cm="1">
        <f t="array" ref="I24">$V$19*NMultDensity(A24:B24,$V$21:$V$22,$R$21:$S$22)/G24</f>
        <v>1.383702435751792E-25</v>
      </c>
      <c r="J24" s="48" cm="1">
        <f t="array" ref="J24">$V$32*NMultDensity(A24:B24,$V$34:$V$35,$R$34:$S$35)/G24</f>
        <v>3.5724963855727265E-36</v>
      </c>
      <c r="K24" s="52" t="str">
        <f t="shared" si="1"/>
        <v>setosa</v>
      </c>
      <c r="L24" s="54" cm="1">
        <f t="array" ref="L24">$V$6*NMultDensity(C24:D24,$V$10:$V$11,$T$10:$U$11)+$V$19*NMultDensity(C24:D24,$V$23:$V$24,$T$23:$U$24)+$V$32*NMultDensity(C24:D24,$V$36:$V$37,$T$36:$U$37)</f>
        <v>8.0315241918456903E-3</v>
      </c>
      <c r="M24" s="54" cm="1">
        <f t="array" ref="M24">$V$6*NMultDensity(C24:D24,$V$10:$V$11,$T$10:$U$11)/L24</f>
        <v>1</v>
      </c>
      <c r="N24" s="54" cm="1">
        <f t="array" ref="N24">$V$19*NMultDensity(C24:D24,$V$23:$V$24,$T$23:$U$24)/L24</f>
        <v>1.8714073576574935E-18</v>
      </c>
      <c r="O24" s="48" cm="1">
        <f t="array" ref="O24">$V$32*NMultDensity(C24:D24,$V$36:$V$37,$T$36:$U$37)/L24</f>
        <v>1.1810573707131549E-19</v>
      </c>
      <c r="Q24" s="69" t="s">
        <v>39</v>
      </c>
      <c r="R24" s="45"/>
      <c r="S24" s="46"/>
      <c r="T24" s="80">
        <f>_xlfn.COVARIANCE.S($D$52:$D$101,C52:C101)</f>
        <v>0.21371327976298854</v>
      </c>
      <c r="U24" s="81">
        <f>_xlfn.COVARIANCE.S($D$52:$D$101,D52:D101)</f>
        <v>0.68917612251855087</v>
      </c>
      <c r="V24" s="73">
        <f>U25</f>
        <v>-0.54833352162922522</v>
      </c>
    </row>
    <row r="25" spans="1:22" ht="15.75" thickBot="1" x14ac:dyDescent="0.3">
      <c r="A25" s="61">
        <v>-2.3027331822262069</v>
      </c>
      <c r="B25" s="62">
        <v>9.8708854814099412E-2</v>
      </c>
      <c r="C25" s="65">
        <v>-1.8125971593938925</v>
      </c>
      <c r="D25" s="66">
        <v>8.5272854283539729E-2</v>
      </c>
      <c r="E25" s="25" t="s">
        <v>5</v>
      </c>
      <c r="F25" s="50" t="str">
        <f t="shared" si="0"/>
        <v>setosa</v>
      </c>
      <c r="G25" s="52" cm="1">
        <f t="array" ref="G25">$V$6*NMultDensity(A25:B25,$V$8:$V$9,$R$8:$S$9)+$V$19*NMultDensity(A25:B25,$V$21:$V$22,$R$21:$S$22)+$V$32*NMultDensity(A25:B25,$V$34:$V$35,$R$34:$S$35)</f>
        <v>8.8882245177110089E-2</v>
      </c>
      <c r="H25" s="54" cm="1">
        <f t="array" ref="H25">$V$6*NMultDensity(A25:B25,$V$8:$V$9,$R$8:$S$9)/G25</f>
        <v>0.99999999999999956</v>
      </c>
      <c r="I25" s="54" cm="1">
        <f t="array" ref="I25">$V$19*NMultDensity(A25:B25,$V$21:$V$22,$R$21:$S$22)/G25</f>
        <v>5.4034240589832599E-16</v>
      </c>
      <c r="J25" s="48" cm="1">
        <f t="array" ref="J25">$V$32*NMultDensity(A25:B25,$V$34:$V$35,$R$34:$S$35)/G25</f>
        <v>2.1386331282213983E-25</v>
      </c>
      <c r="K25" s="52" t="str">
        <f t="shared" si="1"/>
        <v>setosa</v>
      </c>
      <c r="L25" s="54" cm="1">
        <f t="array" ref="L25">$V$6*NMultDensity(C25:D25,$V$10:$V$11,$T$10:$U$11)+$V$19*NMultDensity(C25:D25,$V$23:$V$24,$T$23:$U$24)+$V$32*NMultDensity(C25:D25,$V$36:$V$37,$T$36:$U$37)</f>
        <v>4.0192256778813926E-2</v>
      </c>
      <c r="M25" s="54" cm="1">
        <f t="array" ref="M25">$V$6*NMultDensity(C25:D25,$V$10:$V$11,$T$10:$U$11)/L25</f>
        <v>0.99999999805770512</v>
      </c>
      <c r="N25" s="54" cm="1">
        <f t="array" ref="N25">$V$19*NMultDensity(C25:D25,$V$23:$V$24,$T$23:$U$24)/L25</f>
        <v>1.9356204488767947E-9</v>
      </c>
      <c r="O25" s="48" cm="1">
        <f t="array" ref="O25">$V$32*NMultDensity(C25:D25,$V$36:$V$37,$T$36:$U$37)/L25</f>
        <v>6.6743161355119501E-12</v>
      </c>
      <c r="Q25" s="42" t="s">
        <v>24</v>
      </c>
      <c r="R25" s="45">
        <f>AVERAGE(A$52:A$101)</f>
        <v>0.53320656903934094</v>
      </c>
      <c r="S25" s="46">
        <f>AVERAGE(B$52:B$101)</f>
        <v>-0.24554983203538361</v>
      </c>
      <c r="T25" s="46">
        <f>AVERAGE(C$52:C$101)</f>
        <v>0.49479044035787401</v>
      </c>
      <c r="U25" s="73">
        <f>AVERAGE(D$52:D$101)</f>
        <v>-0.54833352162922522</v>
      </c>
    </row>
    <row r="26" spans="1:22" x14ac:dyDescent="0.25">
      <c r="A26" s="61">
        <v>-2.3557540491237727</v>
      </c>
      <c r="B26" s="62">
        <v>-3.7281859677383317E-2</v>
      </c>
      <c r="C26" s="65">
        <v>-2.2197270134750831</v>
      </c>
      <c r="D26" s="66">
        <v>0.13679617543507006</v>
      </c>
      <c r="E26" s="25" t="s">
        <v>5</v>
      </c>
      <c r="F26" s="50" t="str">
        <f t="shared" si="0"/>
        <v>setosa</v>
      </c>
      <c r="G26" s="52" cm="1">
        <f t="array" ref="G26">$V$6*NMultDensity(A26:B26,$V$8:$V$9,$R$8:$S$9)+$V$19*NMultDensity(A26:B26,$V$21:$V$22,$R$21:$S$22)+$V$32*NMultDensity(A26:B26,$V$34:$V$35,$R$34:$S$35)</f>
        <v>9.6716433503130181E-2</v>
      </c>
      <c r="H26" s="54" cm="1">
        <f t="array" ref="H26">$V$6*NMultDensity(A26:B26,$V$8:$V$9,$R$8:$S$9)/G26</f>
        <v>0.99999999999999523</v>
      </c>
      <c r="I26" s="54" cm="1">
        <f t="array" ref="I26">$V$19*NMultDensity(A26:B26,$V$21:$V$22,$R$21:$S$22)/G26</f>
        <v>4.7967446801498306E-15</v>
      </c>
      <c r="J26" s="48" cm="1">
        <f t="array" ref="J26">$V$32*NMultDensity(A26:B26,$V$34:$V$35,$R$34:$S$35)/G26</f>
        <v>3.0676300340108305E-24</v>
      </c>
      <c r="K26" s="52" t="str">
        <f t="shared" si="1"/>
        <v>setosa</v>
      </c>
      <c r="L26" s="54" cm="1">
        <f t="array" ref="L26">$V$6*NMultDensity(C26:D26,$V$10:$V$11,$T$10:$U$11)+$V$19*NMultDensity(C26:D26,$V$23:$V$24,$T$23:$U$24)+$V$32*NMultDensity(C26:D26,$V$36:$V$37,$T$36:$U$37)</f>
        <v>0.27429034696424692</v>
      </c>
      <c r="M26" s="54" cm="1">
        <f t="array" ref="M26">$V$6*NMultDensity(C26:D26,$V$10:$V$11,$T$10:$U$11)/L26</f>
        <v>0.99999999999988487</v>
      </c>
      <c r="N26" s="54" cm="1">
        <f t="array" ref="N26">$V$19*NMultDensity(C26:D26,$V$23:$V$24,$T$23:$U$24)/L26</f>
        <v>1.1435691130280393E-13</v>
      </c>
      <c r="O26" s="48" cm="1">
        <f t="array" ref="O26">$V$32*NMultDensity(C26:D26,$V$36:$V$37,$T$36:$U$37)/L26</f>
        <v>9.0558029369094228E-16</v>
      </c>
      <c r="Q26" s="43" t="s">
        <v>52</v>
      </c>
      <c r="R26" s="39">
        <f>MIN(A52:A101)</f>
        <v>-0.9064698649488363</v>
      </c>
      <c r="S26" s="40">
        <f>MIN(B52:B101)</f>
        <v>-1.2659711905263937</v>
      </c>
      <c r="T26" s="57">
        <f>MIN(C52:C101)</f>
        <v>-0.48569561657437421</v>
      </c>
      <c r="U26" s="58">
        <f>MIN(D52:D101)</f>
        <v>-2.6452111149372897</v>
      </c>
    </row>
    <row r="27" spans="1:22" ht="15.75" thickBot="1" x14ac:dyDescent="0.3">
      <c r="A27" s="61">
        <v>-2.5066689069258219</v>
      </c>
      <c r="B27" s="62">
        <v>-0.14601688049526793</v>
      </c>
      <c r="C27" s="65">
        <v>-1.9453292965767066</v>
      </c>
      <c r="D27" s="66">
        <v>-0.62352970519126694</v>
      </c>
      <c r="E27" s="25" t="s">
        <v>5</v>
      </c>
      <c r="F27" s="50" t="str">
        <f t="shared" si="0"/>
        <v>setosa</v>
      </c>
      <c r="G27" s="52" cm="1">
        <f t="array" ref="G27">$V$6*NMultDensity(A27:B27,$V$8:$V$9,$R$8:$S$9)+$V$19*NMultDensity(A27:B27,$V$21:$V$22,$R$21:$S$22)+$V$32*NMultDensity(A27:B27,$V$34:$V$35,$R$34:$S$35)</f>
        <v>0.23034099374362663</v>
      </c>
      <c r="H27" s="54" cm="1">
        <f t="array" ref="H27">$V$6*NMultDensity(A27:B27,$V$8:$V$9,$R$8:$S$9)/G27</f>
        <v>0.99999999999999889</v>
      </c>
      <c r="I27" s="54" cm="1">
        <f t="array" ref="I27">$V$19*NMultDensity(A27:B27,$V$21:$V$22,$R$21:$S$22)/G27</f>
        <v>1.0381124684663343E-15</v>
      </c>
      <c r="J27" s="48" cm="1">
        <f t="array" ref="J27">$V$32*NMultDensity(A27:B27,$V$34:$V$35,$R$34:$S$35)/G27</f>
        <v>6.8248688470160419E-25</v>
      </c>
      <c r="K27" s="52" t="str">
        <f t="shared" si="1"/>
        <v>setosa</v>
      </c>
      <c r="L27" s="54" cm="1">
        <f t="array" ref="L27">$V$6*NMultDensity(C27:D27,$V$10:$V$11,$T$10:$U$11)+$V$19*NMultDensity(C27:D27,$V$23:$V$24,$T$23:$U$24)+$V$32*NMultDensity(C27:D27,$V$36:$V$37,$T$36:$U$37)</f>
        <v>8.0439819446797289E-2</v>
      </c>
      <c r="M27" s="54" cm="1">
        <f t="array" ref="M27">$V$6*NMultDensity(C27:D27,$V$10:$V$11,$T$10:$U$11)/L27</f>
        <v>0.99999999450253851</v>
      </c>
      <c r="N27" s="54" cm="1">
        <f t="array" ref="N27">$V$19*NMultDensity(C27:D27,$V$23:$V$24,$T$23:$U$24)/L27</f>
        <v>5.4841786592189291E-9</v>
      </c>
      <c r="O27" s="48" cm="1">
        <f t="array" ref="O27">$V$32*NMultDensity(C27:D27,$V$36:$V$37,$T$36:$U$37)/L27</f>
        <v>1.328271438349072E-11</v>
      </c>
      <c r="Q27" s="44" t="s">
        <v>53</v>
      </c>
      <c r="R27" s="45">
        <f>MAX(A52:A101)</f>
        <v>1.5578021550660694</v>
      </c>
      <c r="S27" s="46">
        <f>MAX(B52:B101)</f>
        <v>0.68516047046730866</v>
      </c>
      <c r="T27" s="59">
        <f>MAX(C52:C101)</f>
        <v>1.3538695324131014</v>
      </c>
      <c r="U27" s="60">
        <f>MAX(D52:D101)</f>
        <v>0.86009103319556124</v>
      </c>
    </row>
    <row r="28" spans="1:22" x14ac:dyDescent="0.25">
      <c r="A28" s="61">
        <v>-2.4688200731213397</v>
      </c>
      <c r="B28" s="62">
        <v>0.13095148943525006</v>
      </c>
      <c r="C28" s="65">
        <v>-2.0443027680583103</v>
      </c>
      <c r="D28" s="66">
        <v>0.24135499096310625</v>
      </c>
      <c r="E28" s="25" t="s">
        <v>5</v>
      </c>
      <c r="F28" s="50" t="str">
        <f t="shared" si="0"/>
        <v>setosa</v>
      </c>
      <c r="G28" s="52" cm="1">
        <f t="array" ref="G28">$V$6*NMultDensity(A28:B28,$V$8:$V$9,$R$8:$S$9)+$V$19*NMultDensity(A28:B28,$V$21:$V$22,$R$21:$S$22)+$V$32*NMultDensity(A28:B28,$V$34:$V$35,$R$34:$S$35)</f>
        <v>0.36175118673342072</v>
      </c>
      <c r="H28" s="54" cm="1">
        <f t="array" ref="H28">$V$6*NMultDensity(A28:B28,$V$8:$V$9,$R$8:$S$9)/G28</f>
        <v>1</v>
      </c>
      <c r="I28" s="54" cm="1">
        <f t="array" ref="I28">$V$19*NMultDensity(A28:B28,$V$21:$V$22,$R$21:$S$22)/G28</f>
        <v>1.1724267175531488E-18</v>
      </c>
      <c r="J28" s="48" cm="1">
        <f t="array" ref="J28">$V$32*NMultDensity(A28:B28,$V$34:$V$35,$R$34:$S$35)/G28</f>
        <v>2.3120957418683466E-28</v>
      </c>
      <c r="K28" s="52" t="str">
        <f t="shared" si="1"/>
        <v>setosa</v>
      </c>
      <c r="L28" s="54" cm="1">
        <f t="array" ref="L28">$V$6*NMultDensity(C28:D28,$V$10:$V$11,$T$10:$U$11)+$V$19*NMultDensity(C28:D28,$V$23:$V$24,$T$23:$U$24)+$V$32*NMultDensity(C28:D28,$V$36:$V$37,$T$36:$U$37)</f>
        <v>0.19517451978652964</v>
      </c>
      <c r="M28" s="54" cm="1">
        <f t="array" ref="M28">$V$6*NMultDensity(C28:D28,$V$10:$V$11,$T$10:$U$11)/L28</f>
        <v>0.99999999999771516</v>
      </c>
      <c r="N28" s="54" cm="1">
        <f t="array" ref="N28">$V$19*NMultDensity(C28:D28,$V$23:$V$24,$T$23:$U$24)/L28</f>
        <v>2.2713602949040253E-12</v>
      </c>
      <c r="O28" s="48" cm="1">
        <f t="array" ref="O28">$V$32*NMultDensity(C28:D28,$V$36:$V$37,$T$36:$U$37)/L28</f>
        <v>1.3477510964855181E-14</v>
      </c>
    </row>
    <row r="29" spans="1:22" ht="15.75" thickBot="1" x14ac:dyDescent="0.3">
      <c r="A29" s="61">
        <v>-2.5623199061960156</v>
      </c>
      <c r="B29" s="62">
        <v>0.36771885743419974</v>
      </c>
      <c r="C29" s="65">
        <v>-2.1613364960941386</v>
      </c>
      <c r="D29" s="66">
        <v>0.52538942181254478</v>
      </c>
      <c r="E29" s="25" t="s">
        <v>5</v>
      </c>
      <c r="F29" s="50" t="str">
        <f t="shared" si="0"/>
        <v>setosa</v>
      </c>
      <c r="G29" s="52" cm="1">
        <f t="array" ref="G29">$V$6*NMultDensity(A29:B29,$V$8:$V$9,$R$8:$S$9)+$V$19*NMultDensity(A29:B29,$V$21:$V$22,$R$21:$S$22)+$V$32*NMultDensity(A29:B29,$V$34:$V$35,$R$34:$S$35)</f>
        <v>0.559209081515608</v>
      </c>
      <c r="H29" s="54" cm="1">
        <f t="array" ref="H29">$V$6*NMultDensity(A29:B29,$V$8:$V$9,$R$8:$S$9)/G29</f>
        <v>1</v>
      </c>
      <c r="I29" s="54" cm="1">
        <f t="array" ref="I29">$V$19*NMultDensity(A29:B29,$V$21:$V$22,$R$21:$S$22)/G29</f>
        <v>6.3602924015712307E-23</v>
      </c>
      <c r="J29" s="48" cm="1">
        <f t="array" ref="J29">$V$32*NMultDensity(A29:B29,$V$34:$V$35,$R$34:$S$35)/G29</f>
        <v>3.2644199808915848E-33</v>
      </c>
      <c r="K29" s="52" t="str">
        <f t="shared" si="1"/>
        <v>setosa</v>
      </c>
      <c r="L29" s="54" cm="1">
        <f t="array" ref="L29">$V$6*NMultDensity(C29:D29,$V$10:$V$11,$T$10:$U$11)+$V$19*NMultDensity(C29:D29,$V$23:$V$24,$T$23:$U$24)+$V$32*NMultDensity(C29:D29,$V$36:$V$37,$T$36:$U$37)</f>
        <v>0.25747705485316624</v>
      </c>
      <c r="M29" s="54" cm="1">
        <f t="array" ref="M29">$V$6*NMultDensity(C29:D29,$V$10:$V$11,$T$10:$U$11)/L29</f>
        <v>0.99999999999997846</v>
      </c>
      <c r="N29" s="54" cm="1">
        <f t="array" ref="N29">$V$19*NMultDensity(C29:D29,$V$23:$V$24,$T$23:$U$24)/L29</f>
        <v>2.1427598398985992E-14</v>
      </c>
      <c r="O29" s="48" cm="1">
        <f t="array" ref="O29">$V$32*NMultDensity(C29:D29,$V$36:$V$37,$T$36:$U$37)/L29</f>
        <v>2.206121009178575E-16</v>
      </c>
      <c r="Q29" s="47" t="s">
        <v>14</v>
      </c>
      <c r="R29" s="47">
        <f>COUNT(C52:C101)</f>
        <v>50</v>
      </c>
    </row>
    <row r="30" spans="1:22" ht="15.75" thickTop="1" x14ac:dyDescent="0.25">
      <c r="A30" s="61">
        <v>-2.6395347153845425</v>
      </c>
      <c r="B30" s="62">
        <v>0.31203998023528279</v>
      </c>
      <c r="C30" s="65">
        <v>-2.1324196468793177</v>
      </c>
      <c r="D30" s="66">
        <v>0.31217200484926155</v>
      </c>
      <c r="E30" s="25" t="s">
        <v>5</v>
      </c>
      <c r="F30" s="50" t="str">
        <f t="shared" si="0"/>
        <v>setosa</v>
      </c>
      <c r="G30" s="52" cm="1">
        <f t="array" ref="G30">$V$6*NMultDensity(A30:B30,$V$8:$V$9,$R$8:$S$9)+$V$19*NMultDensity(A30:B30,$V$21:$V$22,$R$21:$S$22)+$V$32*NMultDensity(A30:B30,$V$34:$V$35,$R$34:$S$35)</f>
        <v>0.58424675439874374</v>
      </c>
      <c r="H30" s="54" cm="1">
        <f t="array" ref="H30">$V$6*NMultDensity(A30:B30,$V$8:$V$9,$R$8:$S$9)/G30</f>
        <v>1</v>
      </c>
      <c r="I30" s="54" cm="1">
        <f t="array" ref="I30">$V$19*NMultDensity(A30:B30,$V$21:$V$22,$R$21:$S$22)/G30</f>
        <v>4.5737427564985973E-23</v>
      </c>
      <c r="J30" s="48" cm="1">
        <f t="array" ref="J30">$V$32*NMultDensity(A30:B30,$V$34:$V$35,$R$34:$S$35)/G30</f>
        <v>2.3957170979616752E-33</v>
      </c>
      <c r="K30" s="52" t="str">
        <f t="shared" si="1"/>
        <v>setosa</v>
      </c>
      <c r="L30" s="54" cm="1">
        <f t="array" ref="L30">$V$6*NMultDensity(C30:D30,$V$10:$V$11,$T$10:$U$11)+$V$19*NMultDensity(C30:D30,$V$23:$V$24,$T$23:$U$24)+$V$32*NMultDensity(C30:D30,$V$36:$V$37,$T$36:$U$37)</f>
        <v>0.25480106462594093</v>
      </c>
      <c r="M30" s="54" cm="1">
        <f t="array" ref="M30">$V$6*NMultDensity(C30:D30,$V$10:$V$11,$T$10:$U$11)/L30</f>
        <v>0.99999999999980527</v>
      </c>
      <c r="N30" s="54" cm="1">
        <f t="array" ref="N30">$V$19*NMultDensity(C30:D30,$V$23:$V$24,$T$23:$U$24)/L30</f>
        <v>1.9328198269548117E-13</v>
      </c>
      <c r="O30" s="48" cm="1">
        <f t="array" ref="O30">$V$32*NMultDensity(C30:D30,$V$36:$V$37,$T$36:$U$37)/L30</f>
        <v>1.4888341255292963E-15</v>
      </c>
    </row>
    <row r="31" spans="1:22" x14ac:dyDescent="0.25">
      <c r="A31" s="61">
        <v>-2.6319893872743458</v>
      </c>
      <c r="B31" s="62">
        <v>-0.19696122492431509</v>
      </c>
      <c r="C31" s="65">
        <v>-2.2576979945994475</v>
      </c>
      <c r="D31" s="66">
        <v>-0.33660424817913476</v>
      </c>
      <c r="E31" s="25" t="s">
        <v>5</v>
      </c>
      <c r="F31" s="50" t="str">
        <f t="shared" si="0"/>
        <v>setosa</v>
      </c>
      <c r="G31" s="52" cm="1">
        <f t="array" ref="G31">$V$6*NMultDensity(A31:B31,$V$8:$V$9,$R$8:$S$9)+$V$19*NMultDensity(A31:B31,$V$21:$V$22,$R$21:$S$22)+$V$32*NMultDensity(A31:B31,$V$34:$V$35,$R$34:$S$35)</f>
        <v>0.36299292907376385</v>
      </c>
      <c r="H31" s="54" cm="1">
        <f t="array" ref="H31">$V$6*NMultDensity(A31:B31,$V$8:$V$9,$R$8:$S$9)/G31</f>
        <v>0.99999999999999989</v>
      </c>
      <c r="I31" s="54" cm="1">
        <f t="array" ref="I31">$V$19*NMultDensity(A31:B31,$V$21:$V$22,$R$21:$S$22)/G31</f>
        <v>1.3831528412975757E-16</v>
      </c>
      <c r="J31" s="48" cm="1">
        <f t="array" ref="J31">$V$32*NMultDensity(A31:B31,$V$34:$V$35,$R$34:$S$35)/G31</f>
        <v>7.7750806292596372E-26</v>
      </c>
      <c r="K31" s="52" t="str">
        <f t="shared" si="1"/>
        <v>setosa</v>
      </c>
      <c r="L31" s="54" cm="1">
        <f t="array" ref="L31">$V$6*NMultDensity(C31:D31,$V$10:$V$11,$T$10:$U$11)+$V$19*NMultDensity(C31:D31,$V$23:$V$24,$T$23:$U$24)+$V$32*NMultDensity(C31:D31,$V$36:$V$37,$T$36:$U$37)</f>
        <v>0.21459659012080962</v>
      </c>
      <c r="M31" s="54" cm="1">
        <f t="array" ref="M31">$V$6*NMultDensity(C31:D31,$V$10:$V$11,$T$10:$U$11)/L31</f>
        <v>0.99999999999834499</v>
      </c>
      <c r="N31" s="54" cm="1">
        <f t="array" ref="N31">$V$19*NMultDensity(C31:D31,$V$23:$V$24,$T$23:$U$24)/L31</f>
        <v>1.6460651911916183E-12</v>
      </c>
      <c r="O31" s="48" cm="1">
        <f t="array" ref="O31">$V$32*NMultDensity(C31:D31,$V$36:$V$37,$T$36:$U$37)/L31</f>
        <v>8.976593039693868E-15</v>
      </c>
    </row>
    <row r="32" spans="1:22" ht="15.75" thickBot="1" x14ac:dyDescent="0.3">
      <c r="A32" s="61">
        <v>-2.5873984766893523</v>
      </c>
      <c r="B32" s="62">
        <v>-0.20431849127413379</v>
      </c>
      <c r="C32" s="65">
        <v>-2.1329764658306214</v>
      </c>
      <c r="D32" s="66">
        <v>-0.50285607545477817</v>
      </c>
      <c r="E32" s="25" t="s">
        <v>5</v>
      </c>
      <c r="F32" s="50" t="str">
        <f t="shared" si="0"/>
        <v>setosa</v>
      </c>
      <c r="G32" s="52" cm="1">
        <f t="array" ref="G32">$V$6*NMultDensity(A32:B32,$V$8:$V$9,$R$8:$S$9)+$V$19*NMultDensity(A32:B32,$V$21:$V$22,$R$21:$S$22)+$V$32*NMultDensity(A32:B32,$V$34:$V$35,$R$34:$S$35)</f>
        <v>0.2993906150040509</v>
      </c>
      <c r="H32" s="54" cm="1">
        <f t="array" ref="H32">$V$6*NMultDensity(A32:B32,$V$8:$V$9,$R$8:$S$9)/G32</f>
        <v>0.99999999999999944</v>
      </c>
      <c r="I32" s="54" cm="1">
        <f t="array" ref="I32">$V$19*NMultDensity(A32:B32,$V$21:$V$22,$R$21:$S$22)/G32</f>
        <v>5.4572454223385755E-16</v>
      </c>
      <c r="J32" s="48" cm="1">
        <f t="array" ref="J32">$V$32*NMultDensity(A32:B32,$V$34:$V$35,$R$34:$S$35)/G32</f>
        <v>3.6713740226437825E-25</v>
      </c>
      <c r="K32" s="52" t="str">
        <f t="shared" si="1"/>
        <v>setosa</v>
      </c>
      <c r="L32" s="54" cm="1">
        <f t="array" ref="L32">$V$6*NMultDensity(C32:D32,$V$10:$V$11,$T$10:$U$11)+$V$19*NMultDensity(C32:D32,$V$23:$V$24,$T$23:$U$24)+$V$32*NMultDensity(C32:D32,$V$36:$V$37,$T$36:$U$37)</f>
        <v>0.18358039629900452</v>
      </c>
      <c r="M32" s="54" cm="1">
        <f t="array" ref="M32">$V$6*NMultDensity(C32:D32,$V$10:$V$11,$T$10:$U$11)/L32</f>
        <v>0.99999999994846034</v>
      </c>
      <c r="N32" s="54" cm="1">
        <f t="array" ref="N32">$V$19*NMultDensity(C32:D32,$V$23:$V$24,$T$23:$U$24)/L32</f>
        <v>5.1353252321121336E-11</v>
      </c>
      <c r="O32" s="48" cm="1">
        <f t="array" ref="O32">$V$32*NMultDensity(C32:D32,$V$36:$V$37,$T$36:$U$37)/L32</f>
        <v>1.8637370159966008E-13</v>
      </c>
      <c r="Q32" s="116" t="s">
        <v>54</v>
      </c>
      <c r="R32" s="116"/>
      <c r="S32" s="116"/>
      <c r="T32" s="116" t="s">
        <v>51</v>
      </c>
      <c r="U32" s="116"/>
      <c r="V32" s="37">
        <f>1-V19-V6</f>
        <v>0.33333333333333343</v>
      </c>
    </row>
    <row r="33" spans="1:22" ht="15.75" thickBot="1" x14ac:dyDescent="0.3">
      <c r="A33" s="61">
        <v>-2.4099324970021754</v>
      </c>
      <c r="B33" s="62">
        <v>0.41092426422957307</v>
      </c>
      <c r="C33" s="65">
        <v>-1.8254792451868751</v>
      </c>
      <c r="D33" s="66">
        <v>0.42228038897123887</v>
      </c>
      <c r="E33" s="25" t="s">
        <v>5</v>
      </c>
      <c r="F33" s="50" t="str">
        <f t="shared" si="0"/>
        <v>setosa</v>
      </c>
      <c r="G33" s="52" cm="1">
        <f t="array" ref="G33">$V$6*NMultDensity(A33:B33,$V$8:$V$9,$R$8:$S$9)+$V$19*NMultDensity(A33:B33,$V$21:$V$22,$R$21:$S$22)+$V$32*NMultDensity(A33:B33,$V$34:$V$35,$R$34:$S$35)</f>
        <v>0.34986361778978142</v>
      </c>
      <c r="H33" s="54" cm="1">
        <f t="array" ref="H33">$V$6*NMultDensity(A33:B33,$V$8:$V$9,$R$8:$S$9)/G33</f>
        <v>1</v>
      </c>
      <c r="I33" s="54" cm="1">
        <f t="array" ref="I33">$V$19*NMultDensity(A33:B33,$V$21:$V$22,$R$21:$S$22)/G33</f>
        <v>1.3847018431654297E-21</v>
      </c>
      <c r="J33" s="48" cm="1">
        <f t="array" ref="J33">$V$32*NMultDensity(A33:B33,$V$34:$V$35,$R$34:$S$35)/G33</f>
        <v>9.2544537222697183E-32</v>
      </c>
      <c r="K33" s="52" t="str">
        <f t="shared" si="1"/>
        <v>setosa</v>
      </c>
      <c r="L33" s="54" cm="1">
        <f t="array" ref="L33">$V$6*NMultDensity(C33:D33,$V$10:$V$11,$T$10:$U$11)+$V$19*NMultDensity(C33:D33,$V$23:$V$24,$T$23:$U$24)+$V$32*NMultDensity(C33:D33,$V$36:$V$37,$T$36:$U$37)</f>
        <v>4.3024585392013232E-2</v>
      </c>
      <c r="M33" s="54" cm="1">
        <f t="array" ref="M33">$V$6*NMultDensity(C33:D33,$V$10:$V$11,$T$10:$U$11)/L33</f>
        <v>0.99999999983939025</v>
      </c>
      <c r="N33" s="54" cm="1">
        <f t="array" ref="N33">$V$19*NMultDensity(C33:D33,$V$23:$V$24,$T$23:$U$24)/L33</f>
        <v>1.5986227952232328E-10</v>
      </c>
      <c r="O33" s="48" cm="1">
        <f t="array" ref="O33">$V$32*NMultDensity(C33:D33,$V$36:$V$37,$T$36:$U$37)/L33</f>
        <v>7.474960616368504E-13</v>
      </c>
      <c r="R33" s="21" t="s">
        <v>36</v>
      </c>
      <c r="S33" s="33" t="s">
        <v>37</v>
      </c>
      <c r="T33" s="21" t="s">
        <v>38</v>
      </c>
      <c r="U33" s="33" t="s">
        <v>39</v>
      </c>
      <c r="V33" s="38" t="s">
        <v>24</v>
      </c>
    </row>
    <row r="34" spans="1:22" x14ac:dyDescent="0.25">
      <c r="A34" s="61">
        <v>-2.648862334349912</v>
      </c>
      <c r="B34" s="62">
        <v>0.81336382029696142</v>
      </c>
      <c r="C34" s="65">
        <v>-2.6062168666232406</v>
      </c>
      <c r="D34" s="66">
        <v>1.7875872722537378</v>
      </c>
      <c r="E34" s="25" t="s">
        <v>5</v>
      </c>
      <c r="F34" s="50" t="str">
        <f t="shared" si="0"/>
        <v>setosa</v>
      </c>
      <c r="G34" s="52" cm="1">
        <f t="array" ref="G34">$V$6*NMultDensity(A34:B34,$V$8:$V$9,$R$8:$S$9)+$V$19*NMultDensity(A34:B34,$V$21:$V$22,$R$21:$S$22)+$V$32*NMultDensity(A34:B34,$V$34:$V$35,$R$34:$S$35)</f>
        <v>0.16801625422215066</v>
      </c>
      <c r="H34" s="54" cm="1">
        <f t="array" ref="H34">$V$6*NMultDensity(A34:B34,$V$8:$V$9,$R$8:$S$9)/G34</f>
        <v>1</v>
      </c>
      <c r="I34" s="54" cm="1">
        <f t="array" ref="I34">$V$19*NMultDensity(A34:B34,$V$21:$V$22,$R$21:$S$22)/G34</f>
        <v>3.0711223686790893E-30</v>
      </c>
      <c r="J34" s="48" cm="1">
        <f t="array" ref="J34">$V$32*NMultDensity(A34:B34,$V$34:$V$35,$R$34:$S$35)/G34</f>
        <v>2.0500097472457346E-41</v>
      </c>
      <c r="K34" s="52" t="str">
        <f t="shared" si="1"/>
        <v>setosa</v>
      </c>
      <c r="L34" s="54" cm="1">
        <f t="array" ref="L34">$V$6*NMultDensity(C34:D34,$V$10:$V$11,$T$10:$U$11)+$V$19*NMultDensity(C34:D34,$V$23:$V$24,$T$23:$U$24)+$V$32*NMultDensity(C34:D34,$V$36:$V$37,$T$36:$U$37)</f>
        <v>1.6618484410436229E-2</v>
      </c>
      <c r="M34" s="54" cm="1">
        <f t="array" ref="M34">$V$6*NMultDensity(C34:D34,$V$10:$V$11,$T$10:$U$11)/L34</f>
        <v>1</v>
      </c>
      <c r="N34" s="54" cm="1">
        <f t="array" ref="N34">$V$19*NMultDensity(C34:D34,$V$23:$V$24,$T$23:$U$24)/L34</f>
        <v>6.30280932395349E-23</v>
      </c>
      <c r="O34" s="48" cm="1">
        <f t="array" ref="O34">$V$32*NMultDensity(C34:D34,$V$36:$V$37,$T$36:$U$37)/L34</f>
        <v>1.4527782984846414E-23</v>
      </c>
      <c r="Q34" s="24" t="s">
        <v>36</v>
      </c>
      <c r="R34" s="82">
        <f>_xlfn.COVARIANCE.S($A$102:$A$151,A102:A151)</f>
        <v>0.4982921819768637</v>
      </c>
      <c r="S34" s="77">
        <f>_xlfn.COVARIANCE.S($A$102:$A$151,B102:B151)</f>
        <v>0.27585485675414634</v>
      </c>
      <c r="T34" s="40"/>
      <c r="U34" s="75"/>
      <c r="V34" s="75">
        <f>R38</f>
        <v>2.1092088949075016</v>
      </c>
    </row>
    <row r="35" spans="1:22" ht="15.75" thickBot="1" x14ac:dyDescent="0.3">
      <c r="A35" s="61">
        <v>-2.5987367491005875</v>
      </c>
      <c r="B35" s="62">
        <v>1.0931457594493568</v>
      </c>
      <c r="C35" s="65">
        <v>-2.4380098316939582</v>
      </c>
      <c r="D35" s="66">
        <v>2.1435467959851069</v>
      </c>
      <c r="E35" s="25" t="s">
        <v>5</v>
      </c>
      <c r="F35" s="50" t="str">
        <f t="shared" si="0"/>
        <v>setosa</v>
      </c>
      <c r="G35" s="52" cm="1">
        <f t="array" ref="G35">$V$6*NMultDensity(A35:B35,$V$8:$V$9,$R$8:$S$9)+$V$19*NMultDensity(A35:B35,$V$21:$V$22,$R$21:$S$22)+$V$32*NMultDensity(A35:B35,$V$34:$V$35,$R$34:$S$35)</f>
        <v>5.6363200412369571E-2</v>
      </c>
      <c r="H35" s="54" cm="1">
        <f t="array" ref="H35">$V$6*NMultDensity(A35:B35,$V$8:$V$9,$R$8:$S$9)/G35</f>
        <v>1</v>
      </c>
      <c r="I35" s="54" cm="1">
        <f t="array" ref="I35">$V$19*NMultDensity(A35:B35,$V$21:$V$22,$R$21:$S$22)/G35</f>
        <v>6.0136442063195873E-34</v>
      </c>
      <c r="J35" s="48" cm="1">
        <f t="array" ref="J35">$V$32*NMultDensity(A35:B35,$V$34:$V$35,$R$34:$S$35)/G35</f>
        <v>1.633308263626494E-45</v>
      </c>
      <c r="K35" s="52" t="str">
        <f t="shared" si="1"/>
        <v>setosa</v>
      </c>
      <c r="L35" s="54" cm="1">
        <f t="array" ref="L35">$V$6*NMultDensity(C35:D35,$V$10:$V$11,$T$10:$U$11)+$V$19*NMultDensity(C35:D35,$V$23:$V$24,$T$23:$U$24)+$V$32*NMultDensity(C35:D35,$V$36:$V$37,$T$36:$U$37)</f>
        <v>2.5793386899226355E-2</v>
      </c>
      <c r="M35" s="54" cm="1">
        <f t="array" ref="M35">$V$6*NMultDensity(C35:D35,$V$10:$V$11,$T$10:$U$11)/L35</f>
        <v>1</v>
      </c>
      <c r="N35" s="54" cm="1">
        <f t="array" ref="N35">$V$19*NMultDensity(C35:D35,$V$23:$V$24,$T$23:$U$24)/L35</f>
        <v>4.8890284399778232E-23</v>
      </c>
      <c r="O35" s="48" cm="1">
        <f t="array" ref="O35">$V$32*NMultDensity(C35:D35,$V$36:$V$37,$T$36:$U$37)/L35</f>
        <v>9.9664073522370158E-24</v>
      </c>
      <c r="Q35" s="70" t="s">
        <v>37</v>
      </c>
      <c r="R35" s="78">
        <f>_xlfn.COVARIANCE.S($B$102:$B$151,A102:A151)</f>
        <v>0.27585485675414634</v>
      </c>
      <c r="S35" s="71">
        <f>_xlfn.COVARIANCE.S($B$102:$B$151,B102:B151)</f>
        <v>0.23329247950837956</v>
      </c>
      <c r="T35" s="56"/>
      <c r="U35" s="72"/>
      <c r="V35" s="72">
        <f>S38</f>
        <v>5.4664785265311336E-2</v>
      </c>
    </row>
    <row r="36" spans="1:22" x14ac:dyDescent="0.25">
      <c r="A36" s="61">
        <v>-2.6369268781057986</v>
      </c>
      <c r="B36" s="62">
        <v>-0.12132234786586341</v>
      </c>
      <c r="C36" s="65">
        <v>-2.1029298644144503</v>
      </c>
      <c r="D36" s="66">
        <v>-0.45866527006410879</v>
      </c>
      <c r="E36" s="25" t="s">
        <v>5</v>
      </c>
      <c r="F36" s="50" t="str">
        <f t="shared" si="0"/>
        <v>setosa</v>
      </c>
      <c r="G36" s="52" cm="1">
        <f t="array" ref="G36">$V$6*NMultDensity(A36:B36,$V$8:$V$9,$R$8:$S$9)+$V$19*NMultDensity(A36:B36,$V$21:$V$22,$R$21:$S$22)+$V$32*NMultDensity(A36:B36,$V$34:$V$35,$R$34:$S$35)</f>
        <v>0.43930514316490477</v>
      </c>
      <c r="H36" s="54" cm="1">
        <f t="array" ref="H36">$V$6*NMultDensity(A36:B36,$V$8:$V$9,$R$8:$S$9)/G36</f>
        <v>1</v>
      </c>
      <c r="I36" s="54" cm="1">
        <f t="array" ref="I36">$V$19*NMultDensity(A36:B36,$V$21:$V$22,$R$21:$S$22)/G36</f>
        <v>1.530780693114405E-17</v>
      </c>
      <c r="J36" s="48" cm="1">
        <f t="array" ref="J36">$V$32*NMultDensity(A36:B36,$V$34:$V$35,$R$34:$S$35)/G36</f>
        <v>5.8677302810434537E-27</v>
      </c>
      <c r="K36" s="52" t="str">
        <f t="shared" si="1"/>
        <v>setosa</v>
      </c>
      <c r="L36" s="54" cm="1">
        <f t="array" ref="L36">$V$6*NMultDensity(C36:D36,$V$10:$V$11,$T$10:$U$11)+$V$19*NMultDensity(C36:D36,$V$23:$V$24,$T$23:$U$24)+$V$32*NMultDensity(C36:D36,$V$36:$V$37,$T$36:$U$37)</f>
        <v>0.17954391686886348</v>
      </c>
      <c r="M36" s="54" cm="1">
        <f t="array" ref="M36">$V$6*NMultDensity(C36:D36,$V$10:$V$11,$T$10:$U$11)/L36</f>
        <v>0.99999999992981348</v>
      </c>
      <c r="N36" s="54" cm="1">
        <f t="array" ref="N36">$V$19*NMultDensity(C36:D36,$V$23:$V$24,$T$23:$U$24)/L36</f>
        <v>6.9937496367332669E-11</v>
      </c>
      <c r="O36" s="48" cm="1">
        <f t="array" ref="O36">$V$32*NMultDensity(C36:D36,$V$36:$V$37,$T$36:$U$37)/L36</f>
        <v>2.4897495737915483E-13</v>
      </c>
      <c r="Q36" s="24" t="s">
        <v>38</v>
      </c>
      <c r="R36" s="41"/>
      <c r="S36" s="56"/>
      <c r="T36" s="74">
        <f>_xlfn.COVARIANCE.S($C$102:$C$151,C102:C151)</f>
        <v>0.32370000036089108</v>
      </c>
      <c r="U36" s="79">
        <f>_xlfn.COVARIANCE.S($C$102:$C$151,D102:D151)</f>
        <v>0.27528299360103164</v>
      </c>
      <c r="V36" s="72">
        <f>T38</f>
        <v>1.7225344747789573</v>
      </c>
    </row>
    <row r="37" spans="1:22" ht="15.75" thickBot="1" x14ac:dyDescent="0.3">
      <c r="A37" s="61">
        <v>-2.8662416521186693</v>
      </c>
      <c r="B37" s="62">
        <v>6.9364471580080606E-2</v>
      </c>
      <c r="C37" s="65">
        <v>-2.2004372294198529</v>
      </c>
      <c r="D37" s="66">
        <v>-0.20541922415561267</v>
      </c>
      <c r="E37" s="25" t="s">
        <v>5</v>
      </c>
      <c r="F37" s="50" t="str">
        <f t="shared" si="0"/>
        <v>setosa</v>
      </c>
      <c r="G37" s="52" cm="1">
        <f t="array" ref="G37">$V$6*NMultDensity(A37:B37,$V$8:$V$9,$R$8:$S$9)+$V$19*NMultDensity(A37:B37,$V$21:$V$22,$R$21:$S$22)+$V$32*NMultDensity(A37:B37,$V$34:$V$35,$R$34:$S$35)</f>
        <v>0.34580907916383891</v>
      </c>
      <c r="H37" s="54" cm="1">
        <f t="array" ref="H37">$V$6*NMultDensity(A37:B37,$V$8:$V$9,$R$8:$S$9)/G37</f>
        <v>1</v>
      </c>
      <c r="I37" s="54" cm="1">
        <f t="array" ref="I37">$V$19*NMultDensity(A37:B37,$V$21:$V$22,$R$21:$S$22)/G37</f>
        <v>3.3376084065824765E-22</v>
      </c>
      <c r="J37" s="48" cm="1">
        <f t="array" ref="J37">$V$32*NMultDensity(A37:B37,$V$34:$V$35,$R$34:$S$35)/G37</f>
        <v>2.7052781040848482E-32</v>
      </c>
      <c r="K37" s="52" t="str">
        <f t="shared" si="1"/>
        <v>setosa</v>
      </c>
      <c r="L37" s="54" cm="1">
        <f t="array" ref="L37">$V$6*NMultDensity(C37:D37,$V$10:$V$11,$T$10:$U$11)+$V$19*NMultDensity(C37:D37,$V$23:$V$24,$T$23:$U$24)+$V$32*NMultDensity(C37:D37,$V$36:$V$37,$T$36:$U$37)</f>
        <v>0.24151103379587516</v>
      </c>
      <c r="M37" s="54" cm="1">
        <f t="array" ref="M37">$V$6*NMultDensity(C37:D37,$V$10:$V$11,$T$10:$U$11)/L37</f>
        <v>0.99999999999808864</v>
      </c>
      <c r="N37" s="54" cm="1">
        <f t="array" ref="N37">$V$19*NMultDensity(C37:D37,$V$23:$V$24,$T$23:$U$24)/L37</f>
        <v>1.9010134030621699E-12</v>
      </c>
      <c r="O37" s="48" cm="1">
        <f t="array" ref="O37">$V$32*NMultDensity(C37:D37,$V$36:$V$37,$T$36:$U$37)/L37</f>
        <v>1.0314434883146959E-14</v>
      </c>
      <c r="Q37" s="69" t="s">
        <v>39</v>
      </c>
      <c r="R37" s="45"/>
      <c r="S37" s="46"/>
      <c r="T37" s="80">
        <f>_xlfn.COVARIANCE.S($D$102:$D$151,C102:C151)</f>
        <v>0.27528299360103164</v>
      </c>
      <c r="U37" s="81">
        <f>_xlfn.COVARIANCE.S($D$102:$D$151,D102:D151)</f>
        <v>0.7621795945825558</v>
      </c>
      <c r="V37" s="73">
        <f>U38</f>
        <v>0.26037077263981989</v>
      </c>
    </row>
    <row r="38" spans="1:22" ht="15.75" thickBot="1" x14ac:dyDescent="0.3">
      <c r="A38" s="61">
        <v>-2.6252380498503722</v>
      </c>
      <c r="B38" s="62">
        <v>0.59937002137942386</v>
      </c>
      <c r="C38" s="65">
        <v>-2.0383176527767093</v>
      </c>
      <c r="D38" s="66">
        <v>0.65934923013303748</v>
      </c>
      <c r="E38" s="25" t="s">
        <v>5</v>
      </c>
      <c r="F38" s="50" t="str">
        <f t="shared" si="0"/>
        <v>setosa</v>
      </c>
      <c r="G38" s="52" cm="1">
        <f t="array" ref="G38">$V$6*NMultDensity(A38:B38,$V$8:$V$9,$R$8:$S$9)+$V$19*NMultDensity(A38:B38,$V$21:$V$22,$R$21:$S$22)+$V$32*NMultDensity(A38:B38,$V$34:$V$35,$R$34:$S$35)</f>
        <v>0.37259988922939002</v>
      </c>
      <c r="H38" s="54" cm="1">
        <f t="array" ref="H38">$V$6*NMultDensity(A38:B38,$V$8:$V$9,$R$8:$S$9)/G38</f>
        <v>1</v>
      </c>
      <c r="I38" s="54" cm="1">
        <f t="array" ref="I38">$V$19*NMultDensity(A38:B38,$V$21:$V$22,$R$21:$S$22)/G38</f>
        <v>7.2926080713575411E-27</v>
      </c>
      <c r="J38" s="48" cm="1">
        <f t="array" ref="J38">$V$32*NMultDensity(A38:B38,$V$34:$V$35,$R$34:$S$35)/G38</f>
        <v>1.1936084157898394E-37</v>
      </c>
      <c r="K38" s="52" t="str">
        <f t="shared" si="1"/>
        <v>setosa</v>
      </c>
      <c r="L38" s="54" cm="1">
        <f t="array" ref="L38">$V$6*NMultDensity(C38:D38,$V$10:$V$11,$T$10:$U$11)+$V$19*NMultDensity(C38:D38,$V$23:$V$24,$T$23:$U$24)+$V$32*NMultDensity(C38:D38,$V$36:$V$37,$T$36:$U$37)</f>
        <v>0.16942977474551221</v>
      </c>
      <c r="M38" s="54" cm="1">
        <f t="array" ref="M38">$V$6*NMultDensity(C38:D38,$V$10:$V$11,$T$10:$U$11)/L38</f>
        <v>0.99999999999986644</v>
      </c>
      <c r="N38" s="54" cm="1">
        <f t="array" ref="N38">$V$19*NMultDensity(C38:D38,$V$23:$V$24,$T$23:$U$24)/L38</f>
        <v>1.3234332786187992E-13</v>
      </c>
      <c r="O38" s="48" cm="1">
        <f t="array" ref="O38">$V$32*NMultDensity(C38:D38,$V$36:$V$37,$T$36:$U$37)/L38</f>
        <v>1.1743668490024037E-15</v>
      </c>
      <c r="Q38" s="42" t="s">
        <v>24</v>
      </c>
      <c r="R38" s="45">
        <f>AVERAGE(A$102:A$151)</f>
        <v>2.1092088949075016</v>
      </c>
      <c r="S38" s="46">
        <f>AVERAGE(B$102:B$151)</f>
        <v>5.4664785265311336E-2</v>
      </c>
      <c r="T38" s="46">
        <f>AVERAGE(C$102:C$151)</f>
        <v>1.7225344747789573</v>
      </c>
      <c r="U38" s="73">
        <f>AVERAGE(D$102:D$151)</f>
        <v>0.26037077263981989</v>
      </c>
    </row>
    <row r="39" spans="1:22" x14ac:dyDescent="0.25">
      <c r="A39" s="61">
        <v>-2.800684115448222</v>
      </c>
      <c r="B39" s="62">
        <v>0.26864373779798179</v>
      </c>
      <c r="C39" s="65">
        <v>-2.5188933857287323</v>
      </c>
      <c r="D39" s="66">
        <v>0.59031516341380219</v>
      </c>
      <c r="E39" s="25" t="s">
        <v>5</v>
      </c>
      <c r="F39" s="50" t="str">
        <f t="shared" si="0"/>
        <v>setosa</v>
      </c>
      <c r="G39" s="52" cm="1">
        <f t="array" ref="G39">$V$6*NMultDensity(A39:B39,$V$8:$V$9,$R$8:$S$9)+$V$19*NMultDensity(A39:B39,$V$21:$V$22,$R$21:$S$22)+$V$32*NMultDensity(A39:B39,$V$34:$V$35,$R$34:$S$35)</f>
        <v>0.38081925970769076</v>
      </c>
      <c r="H39" s="54" cm="1">
        <f t="array" ref="H39">$V$6*NMultDensity(A39:B39,$V$8:$V$9,$R$8:$S$9)/G39</f>
        <v>1</v>
      </c>
      <c r="I39" s="54" cm="1">
        <f t="array" ref="I39">$V$19*NMultDensity(A39:B39,$V$21:$V$22,$R$21:$S$22)/G39</f>
        <v>3.6366464473465359E-24</v>
      </c>
      <c r="J39" s="48" cm="1">
        <f t="array" ref="J39">$V$32*NMultDensity(A39:B39,$V$34:$V$35,$R$34:$S$35)/G39</f>
        <v>1.4745040722074883E-34</v>
      </c>
      <c r="K39" s="52" t="str">
        <f t="shared" si="1"/>
        <v>setosa</v>
      </c>
      <c r="L39" s="54" cm="1">
        <f t="array" ref="L39">$V$6*NMultDensity(C39:D39,$V$10:$V$11,$T$10:$U$11)+$V$19*NMultDensity(C39:D39,$V$23:$V$24,$T$23:$U$24)+$V$32*NMultDensity(C39:D39,$V$36:$V$37,$T$36:$U$37)</f>
        <v>9.3403849907167852E-2</v>
      </c>
      <c r="M39" s="54" cm="1">
        <f t="array" ref="M39">$V$6*NMultDensity(C39:D39,$V$10:$V$11,$T$10:$U$11)/L39</f>
        <v>1</v>
      </c>
      <c r="N39" s="54" cm="1">
        <f t="array" ref="N39">$V$19*NMultDensity(C39:D39,$V$23:$V$24,$T$23:$U$24)/L39</f>
        <v>1.5930190911914311E-17</v>
      </c>
      <c r="O39" s="48" cm="1">
        <f t="array" ref="O39">$V$32*NMultDensity(C39:D39,$V$36:$V$37,$T$36:$U$37)/L39</f>
        <v>4.9693889389121073E-19</v>
      </c>
      <c r="Q39" s="43" t="s">
        <v>52</v>
      </c>
      <c r="R39" s="39">
        <f>MIN(A102:A151)</f>
        <v>0.52123224390977319</v>
      </c>
      <c r="S39" s="40">
        <f>MIN(B102:B151)</f>
        <v>-1.1927587270006459</v>
      </c>
      <c r="T39" s="57">
        <f>MIN(C102:C151)</f>
        <v>0.36579224975561775</v>
      </c>
      <c r="U39" s="58">
        <f>MIN(D102:D151)</f>
        <v>-1.7010467154509117</v>
      </c>
    </row>
    <row r="40" spans="1:22" ht="15.75" thickBot="1" x14ac:dyDescent="0.3">
      <c r="A40" s="61">
        <v>-2.9805020437819931</v>
      </c>
      <c r="B40" s="62">
        <v>-0.48795834442861574</v>
      </c>
      <c r="C40" s="65">
        <v>-2.421520256693988</v>
      </c>
      <c r="D40" s="66">
        <v>-0.90116106687164943</v>
      </c>
      <c r="E40" s="25" t="s">
        <v>5</v>
      </c>
      <c r="F40" s="50" t="str">
        <f t="shared" si="0"/>
        <v>setosa</v>
      </c>
      <c r="G40" s="52" cm="1">
        <f t="array" ref="G40">$V$6*NMultDensity(A40:B40,$V$8:$V$9,$R$8:$S$9)+$V$19*NMultDensity(A40:B40,$V$21:$V$22,$R$21:$S$22)+$V$32*NMultDensity(A40:B40,$V$34:$V$35,$R$34:$S$35)</f>
        <v>0.14426423125135798</v>
      </c>
      <c r="H40" s="54" cm="1">
        <f t="array" ref="H40">$V$6*NMultDensity(A40:B40,$V$8:$V$9,$R$8:$S$9)/G40</f>
        <v>0.99999999999999978</v>
      </c>
      <c r="I40" s="54" cm="1">
        <f t="array" ref="I40">$V$19*NMultDensity(A40:B40,$V$21:$V$22,$R$21:$S$22)/G40</f>
        <v>1.3114989028282721E-16</v>
      </c>
      <c r="J40" s="48" cm="1">
        <f t="array" ref="J40">$V$32*NMultDensity(A40:B40,$V$34:$V$35,$R$34:$S$35)/G40</f>
        <v>1.0633318545201739E-25</v>
      </c>
      <c r="K40" s="52" t="str">
        <f t="shared" si="1"/>
        <v>setosa</v>
      </c>
      <c r="L40" s="54" cm="1">
        <f t="array" ref="L40">$V$6*NMultDensity(C40:D40,$V$10:$V$11,$T$10:$U$11)+$V$19*NMultDensity(C40:D40,$V$23:$V$24,$T$23:$U$24)+$V$32*NMultDensity(C40:D40,$V$36:$V$37,$T$36:$U$37)</f>
        <v>6.5807506086716108E-2</v>
      </c>
      <c r="M40" s="54" cm="1">
        <f t="array" ref="M40">$V$6*NMultDensity(C40:D40,$V$10:$V$11,$T$10:$U$11)/L40</f>
        <v>0.99999999999369604</v>
      </c>
      <c r="N40" s="54" cm="1">
        <f t="array" ref="N40">$V$19*NMultDensity(C40:D40,$V$23:$V$24,$T$23:$U$24)/L40</f>
        <v>6.2742466647709233E-12</v>
      </c>
      <c r="O40" s="48" cm="1">
        <f t="array" ref="O40">$V$32*NMultDensity(C40:D40,$V$36:$V$37,$T$36:$U$37)/L40</f>
        <v>2.9803496541428427E-14</v>
      </c>
      <c r="Q40" s="44" t="s">
        <v>53</v>
      </c>
      <c r="R40" s="45">
        <f>MAX(A102:A151)</f>
        <v>3.7956454220728828</v>
      </c>
      <c r="S40" s="46">
        <f>MAX(B102:B151)</f>
        <v>1.3741650867930471</v>
      </c>
      <c r="T40" s="59">
        <f>MAX(C102:C151)</f>
        <v>3.2996414776684135</v>
      </c>
      <c r="U40" s="60">
        <f>MAX(D102:D151)</f>
        <v>2.6175544171465361</v>
      </c>
    </row>
    <row r="41" spans="1:22" x14ac:dyDescent="0.25">
      <c r="A41" s="61">
        <v>-2.5900063139680958</v>
      </c>
      <c r="B41" s="62">
        <v>0.22904383682701238</v>
      </c>
      <c r="C41" s="65">
        <v>-2.1624662482954884</v>
      </c>
      <c r="D41" s="66">
        <v>0.26798119945859217</v>
      </c>
      <c r="E41" s="25" t="s">
        <v>5</v>
      </c>
      <c r="F41" s="50" t="str">
        <f t="shared" si="0"/>
        <v>setosa</v>
      </c>
      <c r="G41" s="52" cm="1">
        <f t="array" ref="G41">$V$6*NMultDensity(A41:B41,$V$8:$V$9,$R$8:$S$9)+$V$19*NMultDensity(A41:B41,$V$21:$V$22,$R$21:$S$22)+$V$32*NMultDensity(A41:B41,$V$34:$V$35,$R$34:$S$35)</f>
        <v>0.59351546636581332</v>
      </c>
      <c r="H41" s="54" cm="1">
        <f t="array" ref="H41">$V$6*NMultDensity(A41:B41,$V$8:$V$9,$R$8:$S$9)/G41</f>
        <v>1</v>
      </c>
      <c r="I41" s="54" cm="1">
        <f t="array" ref="I41">$V$19*NMultDensity(A41:B41,$V$21:$V$22,$R$21:$S$22)/G41</f>
        <v>2.0959121675851525E-21</v>
      </c>
      <c r="J41" s="48" cm="1">
        <f t="array" ref="J41">$V$32*NMultDensity(A41:B41,$V$34:$V$35,$R$34:$S$35)/G41</f>
        <v>1.8251400165974997E-31</v>
      </c>
      <c r="K41" s="52" t="str">
        <f t="shared" si="1"/>
        <v>setosa</v>
      </c>
      <c r="L41" s="54" cm="1">
        <f t="array" ref="L41">$V$6*NMultDensity(C41:D41,$V$10:$V$11,$T$10:$U$11)+$V$19*NMultDensity(C41:D41,$V$23:$V$24,$T$23:$U$24)+$V$32*NMultDensity(C41:D41,$V$36:$V$37,$T$36:$U$37)</f>
        <v>0.26832471244587008</v>
      </c>
      <c r="M41" s="54" cm="1">
        <f t="array" ref="M41">$V$6*NMultDensity(C41:D41,$V$10:$V$11,$T$10:$U$11)/L41</f>
        <v>0.99999999999985845</v>
      </c>
      <c r="N41" s="54" cm="1">
        <f t="array" ref="N41">$V$19*NMultDensity(C41:D41,$V$23:$V$24,$T$23:$U$24)/L41</f>
        <v>1.405487747479163E-13</v>
      </c>
      <c r="O41" s="48" cm="1">
        <f t="array" ref="O41">$V$32*NMultDensity(C41:D41,$V$36:$V$37,$T$36:$U$37)/L41</f>
        <v>1.1098974539434222E-15</v>
      </c>
    </row>
    <row r="42" spans="1:22" ht="15.75" thickBot="1" x14ac:dyDescent="0.3">
      <c r="A42" s="61">
        <v>-2.7701024260279015</v>
      </c>
      <c r="B42" s="62">
        <v>0.26352753374425641</v>
      </c>
      <c r="C42" s="65">
        <v>-2.2788408143754753</v>
      </c>
      <c r="D42" s="66">
        <v>0.44024054088485676</v>
      </c>
      <c r="E42" s="25" t="s">
        <v>5</v>
      </c>
      <c r="F42" s="50" t="str">
        <f t="shared" si="0"/>
        <v>setosa</v>
      </c>
      <c r="G42" s="52" cm="1">
        <f t="array" ref="G42">$V$6*NMultDensity(A42:B42,$V$8:$V$9,$R$8:$S$9)+$V$19*NMultDensity(A42:B42,$V$21:$V$22,$R$21:$S$22)+$V$32*NMultDensity(A42:B42,$V$34:$V$35,$R$34:$S$35)</f>
        <v>0.44309257032017524</v>
      </c>
      <c r="H42" s="54" cm="1">
        <f t="array" ref="H42">$V$6*NMultDensity(A42:B42,$V$8:$V$9,$R$8:$S$9)/G42</f>
        <v>1</v>
      </c>
      <c r="I42" s="54" cm="1">
        <f t="array" ref="I42">$V$19*NMultDensity(A42:B42,$V$21:$V$22,$R$21:$S$22)/G42</f>
        <v>8.4582529134299823E-24</v>
      </c>
      <c r="J42" s="48" cm="1">
        <f t="array" ref="J42">$V$32*NMultDensity(A42:B42,$V$34:$V$35,$R$34:$S$35)/G42</f>
        <v>3.8055628199861166E-34</v>
      </c>
      <c r="K42" s="52" t="str">
        <f t="shared" si="1"/>
        <v>setosa</v>
      </c>
      <c r="L42" s="54" cm="1">
        <f t="array" ref="L42">$V$6*NMultDensity(C42:D42,$V$10:$V$11,$T$10:$U$11)+$V$19*NMultDensity(C42:D42,$V$23:$V$24,$T$23:$U$24)+$V$32*NMultDensity(C42:D42,$V$36:$V$37,$T$36:$U$37)</f>
        <v>0.26344944295136169</v>
      </c>
      <c r="M42" s="54" cm="1">
        <f t="array" ref="M42">$V$6*NMultDensity(C42:D42,$V$10:$V$11,$T$10:$U$11)/L42</f>
        <v>0.99999999999999645</v>
      </c>
      <c r="N42" s="54" cm="1">
        <f t="array" ref="N42">$V$19*NMultDensity(C42:D42,$V$23:$V$24,$T$23:$U$24)/L42</f>
        <v>3.670331730184152E-15</v>
      </c>
      <c r="O42" s="48" cm="1">
        <f t="array" ref="O42">$V$32*NMultDensity(C42:D42,$V$36:$V$37,$T$36:$U$37)/L42</f>
        <v>4.6628857057490202E-17</v>
      </c>
      <c r="Q42" s="47" t="s">
        <v>14</v>
      </c>
      <c r="R42" s="47">
        <f>COUNT(C102:C151)</f>
        <v>50</v>
      </c>
    </row>
    <row r="43" spans="1:22" ht="15.75" thickTop="1" x14ac:dyDescent="0.25">
      <c r="A43" s="61">
        <v>-2.8493687050431031</v>
      </c>
      <c r="B43" s="62">
        <v>-0.94096057364119623</v>
      </c>
      <c r="C43" s="65">
        <v>-1.8519183573960591</v>
      </c>
      <c r="D43" s="66">
        <v>-2.3296107445884875</v>
      </c>
      <c r="E43" s="25" t="s">
        <v>5</v>
      </c>
      <c r="F43" s="50" t="str">
        <f t="shared" si="0"/>
        <v>setosa</v>
      </c>
      <c r="G43" s="52" cm="1">
        <f t="array" ref="G43">$V$6*NMultDensity(A43:B43,$V$8:$V$9,$R$8:$S$9)+$V$19*NMultDensity(A43:B43,$V$21:$V$22,$R$21:$S$22)+$V$32*NMultDensity(A43:B43,$V$34:$V$35,$R$34:$S$35)</f>
        <v>2.9086668966298197E-2</v>
      </c>
      <c r="H43" s="54" cm="1">
        <f t="array" ref="H43">$V$6*NMultDensity(A43:B43,$V$8:$V$9,$R$8:$S$9)/G43</f>
        <v>0.99999999992609168</v>
      </c>
      <c r="I43" s="54" cm="1">
        <f t="array" ref="I43">$V$19*NMultDensity(A43:B43,$V$21:$V$22,$R$21:$S$22)/G43</f>
        <v>7.3908296386533376E-11</v>
      </c>
      <c r="J43" s="48" cm="1">
        <f t="array" ref="J43">$V$32*NMultDensity(A43:B43,$V$34:$V$35,$R$34:$S$35)/G43</f>
        <v>9.9227777483167497E-19</v>
      </c>
      <c r="K43" s="52" t="str">
        <f t="shared" si="1"/>
        <v>setosa</v>
      </c>
      <c r="L43" s="54" cm="1">
        <f t="array" ref="L43">$V$6*NMultDensity(C43:D43,$V$10:$V$11,$T$10:$U$11)+$V$19*NMultDensity(C43:D43,$V$23:$V$24,$T$23:$U$24)+$V$32*NMultDensity(C43:D43,$V$36:$V$37,$T$36:$U$37)</f>
        <v>1.7016039200707285E-3</v>
      </c>
      <c r="M43" s="54" cm="1">
        <f t="array" ref="M43">$V$6*NMultDensity(C43:D43,$V$10:$V$11,$T$10:$U$11)/L43</f>
        <v>0.99981631937708393</v>
      </c>
      <c r="N43" s="54" cm="1">
        <f t="array" ref="N43">$V$19*NMultDensity(C43:D43,$V$23:$V$24,$T$23:$U$24)/L43</f>
        <v>1.8351342474425716E-4</v>
      </c>
      <c r="O43" s="48" cm="1">
        <f t="array" ref="O43">$V$32*NMultDensity(C43:D43,$V$36:$V$37,$T$36:$U$37)/L43</f>
        <v>1.6719817183252015E-7</v>
      </c>
    </row>
    <row r="44" spans="1:22" x14ac:dyDescent="0.25">
      <c r="A44" s="61">
        <v>-2.9974065465949069</v>
      </c>
      <c r="B44" s="62">
        <v>-0.34192605747161031</v>
      </c>
      <c r="C44" s="65">
        <v>-2.5451120332614643</v>
      </c>
      <c r="D44" s="66">
        <v>-0.4775010172420539</v>
      </c>
      <c r="E44" s="25" t="s">
        <v>5</v>
      </c>
      <c r="F44" s="50" t="str">
        <f t="shared" si="0"/>
        <v>setosa</v>
      </c>
      <c r="G44" s="52" cm="1">
        <f t="array" ref="G44">$V$6*NMultDensity(A44:B44,$V$8:$V$9,$R$8:$S$9)+$V$19*NMultDensity(A44:B44,$V$21:$V$22,$R$21:$S$22)+$V$32*NMultDensity(A44:B44,$V$34:$V$35,$R$34:$S$35)</f>
        <v>0.16042287223397131</v>
      </c>
      <c r="H44" s="54" cm="1">
        <f t="array" ref="H44">$V$6*NMultDensity(A44:B44,$V$8:$V$9,$R$8:$S$9)/G44</f>
        <v>1</v>
      </c>
      <c r="I44" s="54" cm="1">
        <f t="array" ref="I44">$V$19*NMultDensity(A44:B44,$V$21:$V$22,$R$21:$S$22)/G44</f>
        <v>2.279326375471035E-18</v>
      </c>
      <c r="J44" s="48" cm="1">
        <f t="array" ref="J44">$V$32*NMultDensity(A44:B44,$V$34:$V$35,$R$34:$S$35)/G44</f>
        <v>8.6103190485150641E-28</v>
      </c>
      <c r="K44" s="52" t="str">
        <f t="shared" si="1"/>
        <v>setosa</v>
      </c>
      <c r="L44" s="54" cm="1">
        <f t="array" ref="L44">$V$6*NMultDensity(C44:D44,$V$10:$V$11,$T$10:$U$11)+$V$19*NMultDensity(C44:D44,$V$23:$V$24,$T$23:$U$24)+$V$32*NMultDensity(C44:D44,$V$36:$V$37,$T$36:$U$37)</f>
        <v>4.8479011198293877E-2</v>
      </c>
      <c r="M44" s="54" cm="1">
        <f t="array" ref="M44">$V$6*NMultDensity(C44:D44,$V$10:$V$11,$T$10:$U$11)/L44</f>
        <v>0.99999999999994027</v>
      </c>
      <c r="N44" s="54" cm="1">
        <f t="array" ref="N44">$V$19*NMultDensity(C44:D44,$V$23:$V$24,$T$23:$U$24)/L44</f>
        <v>5.9070257794193383E-14</v>
      </c>
      <c r="O44" s="48" cm="1">
        <f t="array" ref="O44">$V$32*NMultDensity(C44:D44,$V$36:$V$37,$T$36:$U$37)/L44</f>
        <v>5.8501223304289546E-16</v>
      </c>
    </row>
    <row r="45" spans="1:22" x14ac:dyDescent="0.25">
      <c r="A45" s="61">
        <v>-2.4056144850974861</v>
      </c>
      <c r="B45" s="62">
        <v>0.18887142893026029</v>
      </c>
      <c r="C45" s="65">
        <v>-1.9578885746886998</v>
      </c>
      <c r="D45" s="66">
        <v>0.47074961267308735</v>
      </c>
      <c r="E45" s="25" t="s">
        <v>5</v>
      </c>
      <c r="F45" s="50" t="str">
        <f t="shared" si="0"/>
        <v>setosa</v>
      </c>
      <c r="G45" s="52" cm="1">
        <f t="array" ref="G45">$V$6*NMultDensity(A45:B45,$V$8:$V$9,$R$8:$S$9)+$V$19*NMultDensity(A45:B45,$V$21:$V$22,$R$21:$S$22)+$V$32*NMultDensity(A45:B45,$V$34:$V$35,$R$34:$S$35)</f>
        <v>0.27086050676270512</v>
      </c>
      <c r="H45" s="54" cm="1">
        <f t="array" ref="H45">$V$6*NMultDensity(A45:B45,$V$8:$V$9,$R$8:$S$9)/G45</f>
        <v>1</v>
      </c>
      <c r="I45" s="54" cm="1">
        <f t="array" ref="I45">$V$19*NMultDensity(A45:B45,$V$21:$V$22,$R$21:$S$22)/G45</f>
        <v>1.4141725180291399E-18</v>
      </c>
      <c r="J45" s="48" cm="1">
        <f t="array" ref="J45">$V$32*NMultDensity(A45:B45,$V$34:$V$35,$R$34:$S$35)/G45</f>
        <v>2.6065983694325087E-28</v>
      </c>
      <c r="K45" s="52" t="str">
        <f t="shared" si="1"/>
        <v>setosa</v>
      </c>
      <c r="L45" s="54" cm="1">
        <f t="array" ref="L45">$V$6*NMultDensity(C45:D45,$V$10:$V$11,$T$10:$U$11)+$V$19*NMultDensity(C45:D45,$V$23:$V$24,$T$23:$U$24)+$V$32*NMultDensity(C45:D45,$V$36:$V$37,$T$36:$U$37)</f>
        <v>0.11942874290814995</v>
      </c>
      <c r="M45" s="54" cm="1">
        <f t="array" ref="M45">$V$6*NMultDensity(C45:D45,$V$10:$V$11,$T$10:$U$11)/L45</f>
        <v>0.99999999999631806</v>
      </c>
      <c r="N45" s="54" cm="1">
        <f t="array" ref="N45">$V$19*NMultDensity(C45:D45,$V$23:$V$24,$T$23:$U$24)/L45</f>
        <v>3.6593561520503191E-12</v>
      </c>
      <c r="O45" s="48" cm="1">
        <f t="array" ref="O45">$V$32*NMultDensity(C45:D45,$V$36:$V$37,$T$36:$U$37)/L45</f>
        <v>2.2716331036539477E-14</v>
      </c>
    </row>
    <row r="46" spans="1:22" x14ac:dyDescent="0.25">
      <c r="A46" s="61">
        <v>-2.2094892377836799</v>
      </c>
      <c r="B46" s="62">
        <v>0.43666314163918729</v>
      </c>
      <c r="C46" s="65">
        <v>-2.1299235635014222</v>
      </c>
      <c r="D46" s="66">
        <v>1.1384154642069069</v>
      </c>
      <c r="E46" s="25" t="s">
        <v>5</v>
      </c>
      <c r="F46" s="50" t="str">
        <f t="shared" si="0"/>
        <v>setosa</v>
      </c>
      <c r="G46" s="52" cm="1">
        <f t="array" ref="G46">$V$6*NMultDensity(A46:B46,$V$8:$V$9,$R$8:$S$9)+$V$19*NMultDensity(A46:B46,$V$21:$V$22,$R$21:$S$22)+$V$32*NMultDensity(A46:B46,$V$34:$V$35,$R$34:$S$35)</f>
        <v>7.3842996674797629E-2</v>
      </c>
      <c r="H46" s="54" cm="1">
        <f t="array" ref="H46">$V$6*NMultDensity(A46:B46,$V$8:$V$9,$R$8:$S$9)/G46</f>
        <v>1</v>
      </c>
      <c r="I46" s="54" cm="1">
        <f t="array" ref="I46">$V$19*NMultDensity(A46:B46,$V$21:$V$22,$R$21:$S$22)/G46</f>
        <v>4.536189491120004E-19</v>
      </c>
      <c r="J46" s="48" cm="1">
        <f t="array" ref="J46">$V$32*NMultDensity(A46:B46,$V$34:$V$35,$R$34:$S$35)/G46</f>
        <v>5.0954156108991612E-29</v>
      </c>
      <c r="K46" s="52" t="str">
        <f t="shared" si="1"/>
        <v>setosa</v>
      </c>
      <c r="L46" s="54" cm="1">
        <f t="array" ref="L46">$V$6*NMultDensity(C46:D46,$V$10:$V$11,$T$10:$U$11)+$V$19*NMultDensity(C46:D46,$V$23:$V$24,$T$23:$U$24)+$V$32*NMultDensity(C46:D46,$V$36:$V$37,$T$36:$U$37)</f>
        <v>0.16057068450583489</v>
      </c>
      <c r="M46" s="54" cm="1">
        <f t="array" ref="M46">$V$6*NMultDensity(C46:D46,$V$10:$V$11,$T$10:$U$11)/L46</f>
        <v>0.99999999999999967</v>
      </c>
      <c r="N46" s="54" cm="1">
        <f t="array" ref="N46">$V$19*NMultDensity(C46:D46,$V$23:$V$24,$T$23:$U$24)/L46</f>
        <v>3.7438291555662849E-16</v>
      </c>
      <c r="O46" s="48" cm="1">
        <f t="array" ref="O46">$V$32*NMultDensity(C46:D46,$V$36:$V$37,$T$36:$U$37)/L46</f>
        <v>7.0782470261786496E-18</v>
      </c>
    </row>
    <row r="47" spans="1:22" x14ac:dyDescent="0.25">
      <c r="A47" s="61">
        <v>-2.7144514267577078</v>
      </c>
      <c r="B47" s="62">
        <v>-0.25020820418521106</v>
      </c>
      <c r="C47" s="65">
        <v>-2.062833614858044</v>
      </c>
      <c r="D47" s="66">
        <v>-0.70867858611895507</v>
      </c>
      <c r="E47" s="25" t="s">
        <v>5</v>
      </c>
      <c r="F47" s="50" t="str">
        <f t="shared" si="0"/>
        <v>setosa</v>
      </c>
      <c r="G47" s="52" cm="1">
        <f t="array" ref="G47">$V$6*NMultDensity(A47:B47,$V$8:$V$9,$R$8:$S$9)+$V$19*NMultDensity(A47:B47,$V$21:$V$22,$R$21:$S$22)+$V$32*NMultDensity(A47:B47,$V$34:$V$35,$R$34:$S$35)</f>
        <v>0.38139702338812792</v>
      </c>
      <c r="H47" s="54" cm="1">
        <f t="array" ref="H47">$V$6*NMultDensity(A47:B47,$V$8:$V$9,$R$8:$S$9)/G47</f>
        <v>0.99999999999999989</v>
      </c>
      <c r="I47" s="54" cm="1">
        <f t="array" ref="I47">$V$19*NMultDensity(A47:B47,$V$21:$V$22,$R$21:$S$22)/G47</f>
        <v>7.4535757311110904E-17</v>
      </c>
      <c r="J47" s="48" cm="1">
        <f t="array" ref="J47">$V$32*NMultDensity(A47:B47,$V$34:$V$35,$R$34:$S$35)/G47</f>
        <v>4.1928160190417972E-26</v>
      </c>
      <c r="K47" s="52" t="str">
        <f t="shared" si="1"/>
        <v>setosa</v>
      </c>
      <c r="L47" s="54" cm="1">
        <f t="array" ref="L47">$V$6*NMultDensity(C47:D47,$V$10:$V$11,$T$10:$U$11)+$V$19*NMultDensity(C47:D47,$V$23:$V$24,$T$23:$U$24)+$V$32*NMultDensity(C47:D47,$V$36:$V$37,$T$36:$U$37)</f>
        <v>0.12683100970850969</v>
      </c>
      <c r="M47" s="54" cm="1">
        <f t="array" ref="M47">$V$6*NMultDensity(C47:D47,$V$10:$V$11,$T$10:$U$11)/L47</f>
        <v>0.99999999924553185</v>
      </c>
      <c r="N47" s="54" cm="1">
        <f t="array" ref="N47">$V$19*NMultDensity(C47:D47,$V$23:$V$24,$T$23:$U$24)/L47</f>
        <v>7.5242293346769415E-10</v>
      </c>
      <c r="O47" s="48" cm="1">
        <f t="array" ref="O47">$V$32*NMultDensity(C47:D47,$V$36:$V$37,$T$36:$U$37)/L47</f>
        <v>2.0453543230815755E-12</v>
      </c>
    </row>
    <row r="48" spans="1:22" x14ac:dyDescent="0.25">
      <c r="A48" s="61">
        <v>-2.5381482589989401</v>
      </c>
      <c r="B48" s="62">
        <v>0.503771144461437</v>
      </c>
      <c r="C48" s="65">
        <v>-2.3767707623615228</v>
      </c>
      <c r="D48" s="66">
        <v>1.1166886908662677</v>
      </c>
      <c r="E48" s="25" t="s">
        <v>5</v>
      </c>
      <c r="F48" s="50" t="str">
        <f t="shared" si="0"/>
        <v>setosa</v>
      </c>
      <c r="G48" s="52" cm="1">
        <f t="array" ref="G48">$V$6*NMultDensity(A48:B48,$V$8:$V$9,$R$8:$S$9)+$V$19*NMultDensity(A48:B48,$V$21:$V$22,$R$21:$S$22)+$V$32*NMultDensity(A48:B48,$V$34:$V$35,$R$34:$S$35)</f>
        <v>0.48426830655731234</v>
      </c>
      <c r="H48" s="54" cm="1">
        <f t="array" ref="H48">$V$6*NMultDensity(A48:B48,$V$8:$V$9,$R$8:$S$9)/G48</f>
        <v>1</v>
      </c>
      <c r="I48" s="54" cm="1">
        <f t="array" ref="I48">$V$19*NMultDensity(A48:B48,$V$21:$V$22,$R$21:$S$22)/G48</f>
        <v>1.6927889005715292E-24</v>
      </c>
      <c r="J48" s="48" cm="1">
        <f t="array" ref="J48">$V$32*NMultDensity(A48:B48,$V$34:$V$35,$R$34:$S$35)/G48</f>
        <v>5.212808910122456E-35</v>
      </c>
      <c r="K48" s="52" t="str">
        <f t="shared" si="1"/>
        <v>setosa</v>
      </c>
      <c r="L48" s="54" cm="1">
        <f t="array" ref="L48">$V$6*NMultDensity(C48:D48,$V$10:$V$11,$T$10:$U$11)+$V$19*NMultDensity(C48:D48,$V$23:$V$24,$T$23:$U$24)+$V$32*NMultDensity(C48:D48,$V$36:$V$37,$T$36:$U$37)</f>
        <v>0.14718130634040216</v>
      </c>
      <c r="M48" s="54" cm="1">
        <f t="array" ref="M48">$V$6*NMultDensity(C48:D48,$V$10:$V$11,$T$10:$U$11)/L48</f>
        <v>1</v>
      </c>
      <c r="N48" s="54" cm="1">
        <f t="array" ref="N48">$V$19*NMultDensity(C48:D48,$V$23:$V$24,$T$23:$U$24)/L48</f>
        <v>2.1402748757743739E-18</v>
      </c>
      <c r="O48" s="48" cm="1">
        <f t="array" ref="O48">$V$32*NMultDensity(C48:D48,$V$36:$V$37,$T$36:$U$37)/L48</f>
        <v>8.1928814812406346E-20</v>
      </c>
    </row>
    <row r="49" spans="1:15" x14ac:dyDescent="0.25">
      <c r="A49" s="61">
        <v>-2.8394621676428504</v>
      </c>
      <c r="B49" s="62">
        <v>-0.22794556949382808</v>
      </c>
      <c r="C49" s="65">
        <v>-2.386381713222371</v>
      </c>
      <c r="D49" s="66">
        <v>-0.38495723001526011</v>
      </c>
      <c r="E49" s="25" t="s">
        <v>5</v>
      </c>
      <c r="F49" s="50" t="str">
        <f t="shared" si="0"/>
        <v>setosa</v>
      </c>
      <c r="G49" s="52" cm="1">
        <f t="array" ref="G49">$V$6*NMultDensity(A49:B49,$V$8:$V$9,$R$8:$S$9)+$V$19*NMultDensity(A49:B49,$V$21:$V$22,$R$21:$S$22)+$V$32*NMultDensity(A49:B49,$V$34:$V$35,$R$34:$S$35)</f>
        <v>0.36418371798052196</v>
      </c>
      <c r="H49" s="54" cm="1">
        <f t="array" ref="H49">$V$6*NMultDensity(A49:B49,$V$8:$V$9,$R$8:$S$9)/G49</f>
        <v>1</v>
      </c>
      <c r="I49" s="54" cm="1">
        <f t="array" ref="I49">$V$19*NMultDensity(A49:B49,$V$21:$V$22,$R$21:$S$22)/G49</f>
        <v>2.416447894184454E-18</v>
      </c>
      <c r="J49" s="48" cm="1">
        <f t="array" ref="J49">$V$32*NMultDensity(A49:B49,$V$34:$V$35,$R$34:$S$35)/G49</f>
        <v>8.3460604761501525E-28</v>
      </c>
      <c r="K49" s="52" t="str">
        <f t="shared" si="1"/>
        <v>setosa</v>
      </c>
      <c r="L49" s="54" cm="1">
        <f t="array" ref="L49">$V$6*NMultDensity(C49:D49,$V$10:$V$11,$T$10:$U$11)+$V$19*NMultDensity(C49:D49,$V$23:$V$24,$T$23:$U$24)+$V$32*NMultDensity(C49:D49,$V$36:$V$37,$T$36:$U$37)</f>
        <v>0.14356851882887003</v>
      </c>
      <c r="M49" s="54" cm="1">
        <f t="array" ref="M49">$V$6*NMultDensity(C49:D49,$V$10:$V$11,$T$10:$U$11)/L49</f>
        <v>0.99999999999972455</v>
      </c>
      <c r="N49" s="54" cm="1">
        <f t="array" ref="N49">$V$19*NMultDensity(C49:D49,$V$23:$V$24,$T$23:$U$24)/L49</f>
        <v>2.735983798396311E-13</v>
      </c>
      <c r="O49" s="48" cm="1">
        <f t="array" ref="O49">$V$32*NMultDensity(C49:D49,$V$36:$V$37,$T$36:$U$37)/L49</f>
        <v>1.9399670703497241E-15</v>
      </c>
    </row>
    <row r="50" spans="1:15" x14ac:dyDescent="0.25">
      <c r="A50" s="61">
        <v>-2.5430857498303929</v>
      </c>
      <c r="B50" s="62">
        <v>0.57941002151988907</v>
      </c>
      <c r="C50" s="65">
        <v>-2.2220026321765269</v>
      </c>
      <c r="D50" s="66">
        <v>0.99462766898129473</v>
      </c>
      <c r="E50" s="25" t="s">
        <v>5</v>
      </c>
      <c r="F50" s="50" t="str">
        <f t="shared" si="0"/>
        <v>setosa</v>
      </c>
      <c r="G50" s="52" cm="1">
        <f t="array" ref="G50">$V$6*NMultDensity(A50:B50,$V$8:$V$9,$R$8:$S$9)+$V$19*NMultDensity(A50:B50,$V$21:$V$22,$R$21:$S$22)+$V$32*NMultDensity(A50:B50,$V$34:$V$35,$R$34:$S$35)</f>
        <v>0.4322098841138472</v>
      </c>
      <c r="H50" s="54" cm="1">
        <f t="array" ref="H50">$V$6*NMultDensity(A50:B50,$V$8:$V$9,$R$8:$S$9)/G50</f>
        <v>1</v>
      </c>
      <c r="I50" s="54" cm="1">
        <f t="array" ref="I50">$V$19*NMultDensity(A50:B50,$V$21:$V$22,$R$21:$S$22)/G50</f>
        <v>1.280625160413808E-25</v>
      </c>
      <c r="J50" s="48" cm="1">
        <f t="array" ref="J50">$V$32*NMultDensity(A50:B50,$V$34:$V$35,$R$34:$S$35)/G50</f>
        <v>2.8408904361751162E-36</v>
      </c>
      <c r="K50" s="52" t="str">
        <f t="shared" si="1"/>
        <v>setosa</v>
      </c>
      <c r="L50" s="54" cm="1">
        <f t="array" ref="L50">$V$6*NMultDensity(C50:D50,$V$10:$V$11,$T$10:$U$11)+$V$19*NMultDensity(C50:D50,$V$23:$V$24,$T$23:$U$24)+$V$32*NMultDensity(C50:D50,$V$36:$V$37,$T$36:$U$37)</f>
        <v>0.20823115691688315</v>
      </c>
      <c r="M50" s="54" cm="1">
        <f t="array" ref="M50">$V$6*NMultDensity(C50:D50,$V$10:$V$11,$T$10:$U$11)/L50</f>
        <v>0.99999999999999989</v>
      </c>
      <c r="N50" s="54" cm="1">
        <f t="array" ref="N50">$V$19*NMultDensity(C50:D50,$V$23:$V$24,$T$23:$U$24)/L50</f>
        <v>1.4607103461058504E-16</v>
      </c>
      <c r="O50" s="48" cm="1">
        <f t="array" ref="O50">$V$32*NMultDensity(C50:D50,$V$36:$V$37,$T$36:$U$37)/L50</f>
        <v>3.0018435755349979E-18</v>
      </c>
    </row>
    <row r="51" spans="1:15" x14ac:dyDescent="0.25">
      <c r="A51" s="61">
        <v>-2.7033597823351596</v>
      </c>
      <c r="B51" s="62">
        <v>0.10770608249941147</v>
      </c>
      <c r="C51" s="65">
        <v>-2.196475039565756</v>
      </c>
      <c r="D51" s="66">
        <v>9.1855849561548047E-3</v>
      </c>
      <c r="E51" s="25" t="s">
        <v>5</v>
      </c>
      <c r="F51" s="50" t="str">
        <f t="shared" si="0"/>
        <v>setosa</v>
      </c>
      <c r="G51" s="52" cm="1">
        <f t="array" ref="G51">$V$6*NMultDensity(A51:B51,$V$8:$V$9,$R$8:$S$9)+$V$19*NMultDensity(A51:B51,$V$21:$V$22,$R$21:$S$22)+$V$32*NMultDensity(A51:B51,$V$34:$V$35,$R$34:$S$35)</f>
        <v>0.58824418035203008</v>
      </c>
      <c r="H51" s="54" cm="1">
        <f t="array" ref="H51">$V$6*NMultDensity(A51:B51,$V$8:$V$9,$R$8:$S$9)/G51</f>
        <v>1</v>
      </c>
      <c r="I51" s="54" cm="1">
        <f t="array" ref="I51">$V$19*NMultDensity(A51:B51,$V$21:$V$22,$R$21:$S$22)/G51</f>
        <v>4.264662106324072E-21</v>
      </c>
      <c r="J51" s="48" cm="1">
        <f t="array" ref="J51">$V$32*NMultDensity(A51:B51,$V$34:$V$35,$R$34:$S$35)/G51</f>
        <v>4.5978684180592088E-31</v>
      </c>
      <c r="K51" s="52" t="str">
        <f t="shared" si="1"/>
        <v>setosa</v>
      </c>
      <c r="L51" s="54" cm="1">
        <f t="array" ref="L51">$V$6*NMultDensity(C51:D51,$V$10:$V$11,$T$10:$U$11)+$V$19*NMultDensity(C51:D51,$V$23:$V$24,$T$23:$U$24)+$V$32*NMultDensity(C51:D51,$V$36:$V$37,$T$36:$U$37)</f>
        <v>0.265140692675431</v>
      </c>
      <c r="M51" s="54" cm="1">
        <f t="array" ref="M51">$V$6*NMultDensity(C51:D51,$V$10:$V$11,$T$10:$U$11)/L51</f>
        <v>0.99999999999954314</v>
      </c>
      <c r="N51" s="54" cm="1">
        <f t="array" ref="N51">$V$19*NMultDensity(C51:D51,$V$23:$V$24,$T$23:$U$24)/L51</f>
        <v>4.5397297177345432E-13</v>
      </c>
      <c r="O51" s="48" cm="1">
        <f t="array" ref="O51">$V$32*NMultDensity(C51:D51,$V$36:$V$37,$T$36:$U$37)/L51</f>
        <v>2.9974011148662892E-15</v>
      </c>
    </row>
    <row r="52" spans="1:15" x14ac:dyDescent="0.25">
      <c r="A52" s="61">
        <v>1.2848256888583505</v>
      </c>
      <c r="B52" s="62">
        <v>0.68516047046730866</v>
      </c>
      <c r="C52" s="65">
        <v>1.098102437614114</v>
      </c>
      <c r="D52" s="66">
        <v>0.86009103319556124</v>
      </c>
      <c r="E52" s="25" t="s">
        <v>6</v>
      </c>
      <c r="F52" s="50" t="str">
        <f t="shared" si="0"/>
        <v>versicolor</v>
      </c>
      <c r="G52" s="52" cm="1">
        <f t="array" ref="G52">$V$6*NMultDensity(A52:B52,$V$8:$V$9,$R$8:$S$9)+$V$19*NMultDensity(A52:B52,$V$21:$V$22,$R$21:$S$22)+$V$32*NMultDensity(A52:B52,$V$34:$V$35,$R$34:$S$35)</f>
        <v>2.5515396689477183E-2</v>
      </c>
      <c r="H52" s="54" cm="1">
        <f t="array" ref="H52">$V$6*NMultDensity(A52:B52,$V$8:$V$9,$R$8:$S$9)/G52</f>
        <v>3.1433360466576177E-90</v>
      </c>
      <c r="I52" s="54" cm="1">
        <f t="array" ref="I52">$V$19*NMultDensity(A52:B52,$V$21:$V$22,$R$21:$S$22)/G52</f>
        <v>0.9965605987388988</v>
      </c>
      <c r="J52" s="48" cm="1">
        <f t="array" ref="J52">$V$32*NMultDensity(A52:B52,$V$34:$V$35,$R$34:$S$35)/G52</f>
        <v>3.4394012611010929E-3</v>
      </c>
      <c r="K52" s="52" t="str">
        <f t="shared" si="1"/>
        <v>versicolor</v>
      </c>
      <c r="L52" s="54" cm="1">
        <f t="array" ref="L52">$V$6*NMultDensity(C52:D52,$V$10:$V$11,$T$10:$U$11)+$V$19*NMultDensity(C52:D52,$V$23:$V$24,$T$23:$U$24)+$V$32*NMultDensity(C52:D52,$V$36:$V$37,$T$36:$U$37)</f>
        <v>5.6811624749150705E-2</v>
      </c>
      <c r="M52" s="54" cm="1">
        <f t="array" ref="M52">$V$6*NMultDensity(C52:D52,$V$10:$V$11,$T$10:$U$11)/L52</f>
        <v>2.1207260062674257E-57</v>
      </c>
      <c r="N52" s="54" cm="1">
        <f t="array" ref="N52">$V$19*NMultDensity(C52:D52,$V$23:$V$24,$T$23:$U$24)/L52</f>
        <v>0.6314423178720211</v>
      </c>
      <c r="O52" s="48" cm="1">
        <f t="array" ref="O52">$V$32*NMultDensity(C52:D52,$V$36:$V$37,$T$36:$U$37)/L52</f>
        <v>0.36855768212797885</v>
      </c>
    </row>
    <row r="53" spans="1:15" x14ac:dyDescent="0.25">
      <c r="A53" s="61">
        <v>0.93248853231231754</v>
      </c>
      <c r="B53" s="62">
        <v>0.31833363826262873</v>
      </c>
      <c r="C53" s="65">
        <v>0.72889555739242462</v>
      </c>
      <c r="D53" s="66">
        <v>0.59262936211125539</v>
      </c>
      <c r="E53" s="25" t="s">
        <v>6</v>
      </c>
      <c r="F53" s="50" t="str">
        <f t="shared" si="0"/>
        <v>versicolor</v>
      </c>
      <c r="G53" s="52" cm="1">
        <f t="array" ref="G53">$V$6*NMultDensity(A53:B53,$V$8:$V$9,$R$8:$S$9)+$V$19*NMultDensity(A53:B53,$V$21:$V$22,$R$21:$S$22)+$V$32*NMultDensity(A53:B53,$V$34:$V$35,$R$34:$S$35)</f>
        <v>0.11972980207184485</v>
      </c>
      <c r="H53" s="54" cm="1">
        <f t="array" ref="H53">$V$6*NMultDensity(A53:B53,$V$8:$V$9,$R$8:$S$9)/G53</f>
        <v>8.6919147332208097E-79</v>
      </c>
      <c r="I53" s="54" cm="1">
        <f t="array" ref="I53">$V$19*NMultDensity(A53:B53,$V$21:$V$22,$R$21:$S$22)/G53</f>
        <v>0.99694830031709569</v>
      </c>
      <c r="J53" s="48" cm="1">
        <f t="array" ref="J53">$V$32*NMultDensity(A53:B53,$V$34:$V$35,$R$34:$S$35)/G53</f>
        <v>3.0516996829043457E-3</v>
      </c>
      <c r="K53" s="52" t="str">
        <f t="shared" si="1"/>
        <v>versicolor</v>
      </c>
      <c r="L53" s="54" cm="1">
        <f t="array" ref="L53">$V$6*NMultDensity(C53:D53,$V$10:$V$11,$T$10:$U$11)+$V$19*NMultDensity(C53:D53,$V$23:$V$24,$T$23:$U$24)+$V$32*NMultDensity(C53:D53,$V$36:$V$37,$T$36:$U$37)</f>
        <v>6.9077420317577062E-2</v>
      </c>
      <c r="M53" s="54" cm="1">
        <f t="array" ref="M53">$V$6*NMultDensity(C53:D53,$V$10:$V$11,$T$10:$U$11)/L53</f>
        <v>3.011533540871783E-45</v>
      </c>
      <c r="N53" s="54" cm="1">
        <f t="array" ref="N53">$V$19*NMultDensity(C53:D53,$V$23:$V$24,$T$23:$U$24)/L53</f>
        <v>0.8911824665478536</v>
      </c>
      <c r="O53" s="48" cm="1">
        <f t="array" ref="O53">$V$32*NMultDensity(C53:D53,$V$36:$V$37,$T$36:$U$37)/L53</f>
        <v>0.10881753345214634</v>
      </c>
    </row>
    <row r="54" spans="1:15" x14ac:dyDescent="0.25">
      <c r="A54" s="61">
        <v>1.4643023219913931</v>
      </c>
      <c r="B54" s="62">
        <v>0.50426281530920403</v>
      </c>
      <c r="C54" s="65">
        <v>1.2368358043772738</v>
      </c>
      <c r="D54" s="66">
        <v>0.61423989358617126</v>
      </c>
      <c r="E54" s="25" t="s">
        <v>6</v>
      </c>
      <c r="F54" s="50" t="str">
        <f t="shared" si="0"/>
        <v>versicolor</v>
      </c>
      <c r="G54" s="52" cm="1">
        <f t="array" ref="G54">$V$6*NMultDensity(A54:B54,$V$8:$V$9,$R$8:$S$9)+$V$19*NMultDensity(A54:B54,$V$21:$V$22,$R$21:$S$22)+$V$32*NMultDensity(A54:B54,$V$34:$V$35,$R$34:$S$35)</f>
        <v>7.0816366841611189E-2</v>
      </c>
      <c r="H54" s="54" cm="1">
        <f t="array" ref="H54">$V$6*NMultDensity(A54:B54,$V$8:$V$9,$R$8:$S$9)/G54</f>
        <v>1.2464444500389696E-101</v>
      </c>
      <c r="I54" s="54" cm="1">
        <f t="array" ref="I54">$V$19*NMultDensity(A54:B54,$V$21:$V$22,$R$21:$S$22)/G54</f>
        <v>0.95653719606982801</v>
      </c>
      <c r="J54" s="48" cm="1">
        <f t="array" ref="J54">$V$32*NMultDensity(A54:B54,$V$34:$V$35,$R$34:$S$35)/G54</f>
        <v>4.3462803930171996E-2</v>
      </c>
      <c r="K54" s="52" t="str">
        <f t="shared" si="1"/>
        <v>virginica</v>
      </c>
      <c r="L54" s="54" cm="1">
        <f t="array" ref="L54">$V$6*NMultDensity(C54:D54,$V$10:$V$11,$T$10:$U$11)+$V$19*NMultDensity(C54:D54,$V$23:$V$24,$T$23:$U$24)+$V$32*NMultDensity(C54:D54,$V$36:$V$37,$T$36:$U$37)</f>
        <v>8.91746383625035E-2</v>
      </c>
      <c r="M54" s="54" cm="1">
        <f t="array" ref="M54">$V$6*NMultDensity(C54:D54,$V$10:$V$11,$T$10:$U$11)/L54</f>
        <v>3.1289556412918814E-62</v>
      </c>
      <c r="N54" s="54" cm="1">
        <f t="array" ref="N54">$V$19*NMultDensity(C54:D54,$V$23:$V$24,$T$23:$U$24)/L54</f>
        <v>0.42729568104106808</v>
      </c>
      <c r="O54" s="48" cm="1">
        <f t="array" ref="O54">$V$32*NMultDensity(C54:D54,$V$36:$V$37,$T$36:$U$37)/L54</f>
        <v>0.57270431895893203</v>
      </c>
    </row>
    <row r="55" spans="1:15" x14ac:dyDescent="0.25">
      <c r="A55" s="61">
        <v>0.18331771995837018</v>
      </c>
      <c r="B55" s="62">
        <v>-0.82795901182063225</v>
      </c>
      <c r="C55" s="65">
        <v>0.40612251058233795</v>
      </c>
      <c r="D55" s="66">
        <v>-1.7485461967119234</v>
      </c>
      <c r="E55" s="25" t="s">
        <v>6</v>
      </c>
      <c r="F55" s="50" t="str">
        <f t="shared" si="0"/>
        <v>versicolor</v>
      </c>
      <c r="G55" s="52" cm="1">
        <f t="array" ref="G55">$V$6*NMultDensity(A55:B55,$V$8:$V$9,$R$8:$S$9)+$V$19*NMultDensity(A55:B55,$V$21:$V$22,$R$21:$S$22)+$V$32*NMultDensity(A55:B55,$V$34:$V$35,$R$34:$S$35)</f>
        <v>0.10544123324535629</v>
      </c>
      <c r="H55" s="54" cm="1">
        <f t="array" ref="H55">$V$6*NMultDensity(A55:B55,$V$8:$V$9,$R$8:$S$9)/G55</f>
        <v>7.450407167207901E-61</v>
      </c>
      <c r="I55" s="54" cm="1">
        <f t="array" ref="I55">$V$19*NMultDensity(A55:B55,$V$21:$V$22,$R$21:$S$22)/G55</f>
        <v>0.9507166545285658</v>
      </c>
      <c r="J55" s="48" cm="1">
        <f t="array" ref="J55">$V$32*NMultDensity(A55:B55,$V$34:$V$35,$R$34:$S$35)/G55</f>
        <v>4.9283345471434266E-2</v>
      </c>
      <c r="K55" s="52" t="str">
        <f t="shared" si="1"/>
        <v>versicolor</v>
      </c>
      <c r="L55" s="54" cm="1">
        <f t="array" ref="L55">$V$6*NMultDensity(C55:D55,$V$10:$V$11,$T$10:$U$11)+$V$19*NMultDensity(C55:D55,$V$23:$V$24,$T$23:$U$24)+$V$32*NMultDensity(C55:D55,$V$36:$V$37,$T$36:$U$37)</f>
        <v>4.8701623603215338E-2</v>
      </c>
      <c r="M55" s="54" cm="1">
        <f t="array" ref="M55">$V$6*NMultDensity(C55:D55,$V$10:$V$11,$T$10:$U$11)/L55</f>
        <v>1.8459621249518664E-35</v>
      </c>
      <c r="N55" s="54" cm="1">
        <f t="array" ref="N55">$V$19*NMultDensity(C55:D55,$V$23:$V$24,$T$23:$U$24)/L55</f>
        <v>0.91430634752567597</v>
      </c>
      <c r="O55" s="48" cm="1">
        <f t="array" ref="O55">$V$32*NMultDensity(C55:D55,$V$36:$V$37,$T$36:$U$37)/L55</f>
        <v>8.5693652474324117E-2</v>
      </c>
    </row>
    <row r="56" spans="1:15" x14ac:dyDescent="0.25">
      <c r="A56" s="61">
        <v>1.0881032577116649</v>
      </c>
      <c r="B56" s="62">
        <v>7.4590675197716241E-2</v>
      </c>
      <c r="C56" s="65">
        <v>1.0718837900813827</v>
      </c>
      <c r="D56" s="66">
        <v>-0.20772514746029591</v>
      </c>
      <c r="E56" s="25" t="s">
        <v>6</v>
      </c>
      <c r="F56" s="50" t="str">
        <f t="shared" si="0"/>
        <v>versicolor</v>
      </c>
      <c r="G56" s="52" cm="1">
        <f t="array" ref="G56">$V$6*NMultDensity(A56:B56,$V$8:$V$9,$R$8:$S$9)+$V$19*NMultDensity(A56:B56,$V$21:$V$22,$R$21:$S$22)+$V$32*NMultDensity(A56:B56,$V$34:$V$35,$R$34:$S$35)</f>
        <v>0.22300794838593005</v>
      </c>
      <c r="H56" s="54" cm="1">
        <f t="array" ref="H56">$V$6*NMultDensity(A56:B56,$V$8:$V$9,$R$8:$S$9)/G56</f>
        <v>4.5976862742292784E-89</v>
      </c>
      <c r="I56" s="54" cm="1">
        <f t="array" ref="I56">$V$19*NMultDensity(A56:B56,$V$21:$V$22,$R$21:$S$22)/G56</f>
        <v>0.9501976896680836</v>
      </c>
      <c r="J56" s="48" cm="1">
        <f t="array" ref="J56">$V$32*NMultDensity(A56:B56,$V$34:$V$35,$R$34:$S$35)/G56</f>
        <v>4.9802310331916344E-2</v>
      </c>
      <c r="K56" s="52" t="str">
        <f t="shared" si="1"/>
        <v>versicolor</v>
      </c>
      <c r="L56" s="54" cm="1">
        <f t="array" ref="L56">$V$6*NMultDensity(C56:D56,$V$10:$V$11,$T$10:$U$11)+$V$19*NMultDensity(C56:D56,$V$23:$V$24,$T$23:$U$24)+$V$32*NMultDensity(C56:D56,$V$36:$V$37,$T$36:$U$37)</f>
        <v>0.13832118596539072</v>
      </c>
      <c r="M56" s="54" cm="1">
        <f t="array" ref="M56">$V$6*NMultDensity(C56:D56,$V$10:$V$11,$T$10:$U$11)/L56</f>
        <v>4.2156945254035111E-56</v>
      </c>
      <c r="N56" s="54" cm="1">
        <f t="array" ref="N56">$V$19*NMultDensity(C56:D56,$V$23:$V$24,$T$23:$U$24)/L56</f>
        <v>0.5209154803503605</v>
      </c>
      <c r="O56" s="48" cm="1">
        <f t="array" ref="O56">$V$32*NMultDensity(C56:D56,$V$36:$V$37,$T$36:$U$37)/L56</f>
        <v>0.4790845196496395</v>
      </c>
    </row>
    <row r="57" spans="1:15" x14ac:dyDescent="0.25">
      <c r="A57" s="61">
        <v>0.641669084258077</v>
      </c>
      <c r="B57" s="62">
        <v>-0.41824687156867935</v>
      </c>
      <c r="C57" s="65">
        <v>0.38738954547841153</v>
      </c>
      <c r="D57" s="66">
        <v>-0.59130271681720004</v>
      </c>
      <c r="E57" s="25" t="s">
        <v>6</v>
      </c>
      <c r="F57" s="50" t="str">
        <f t="shared" si="0"/>
        <v>versicolor</v>
      </c>
      <c r="G57" s="52" cm="1">
        <f t="array" ref="G57">$V$6*NMultDensity(A57:B57,$V$8:$V$9,$R$8:$S$9)+$V$19*NMultDensity(A57:B57,$V$21:$V$22,$R$21:$S$22)+$V$32*NMultDensity(A57:B57,$V$34:$V$35,$R$34:$S$35)</f>
        <v>0.2375967421774198</v>
      </c>
      <c r="H57" s="54" cm="1">
        <f t="array" ref="H57">$V$6*NMultDensity(A57:B57,$V$8:$V$9,$R$8:$S$9)/G57</f>
        <v>5.287671205467019E-75</v>
      </c>
      <c r="I57" s="54" cm="1">
        <f t="array" ref="I57">$V$19*NMultDensity(A57:B57,$V$21:$V$22,$R$21:$S$22)/G57</f>
        <v>0.93721894078595158</v>
      </c>
      <c r="J57" s="48" cm="1">
        <f t="array" ref="J57">$V$32*NMultDensity(A57:B57,$V$34:$V$35,$R$34:$S$35)/G57</f>
        <v>6.2781059214048432E-2</v>
      </c>
      <c r="K57" s="52" t="str">
        <f t="shared" si="1"/>
        <v>versicolor</v>
      </c>
      <c r="L57" s="54" cm="1">
        <f t="array" ref="L57">$V$6*NMultDensity(C57:D57,$V$10:$V$11,$T$10:$U$11)+$V$19*NMultDensity(C57:D57,$V$23:$V$24,$T$23:$U$24)+$V$32*NMultDensity(C57:D57,$V$36:$V$37,$T$36:$U$37)</f>
        <v>0.1686156966639982</v>
      </c>
      <c r="M57" s="54" cm="1">
        <f t="array" ref="M57">$V$6*NMultDensity(C57:D57,$V$10:$V$11,$T$10:$U$11)/L57</f>
        <v>2.6366395950815099E-35</v>
      </c>
      <c r="N57" s="54" cm="1">
        <f t="array" ref="N57">$V$19*NMultDensity(C57:D57,$V$23:$V$24,$T$23:$U$24)/L57</f>
        <v>0.955079618830736</v>
      </c>
      <c r="O57" s="48" cm="1">
        <f t="array" ref="O57">$V$32*NMultDensity(C57:D57,$V$36:$V$37,$T$36:$U$37)/L57</f>
        <v>4.4920381169264056E-2</v>
      </c>
    </row>
    <row r="58" spans="1:15" x14ac:dyDescent="0.25">
      <c r="A58" s="61">
        <v>1.0950606626324459</v>
      </c>
      <c r="B58" s="62">
        <v>0.28346827006152869</v>
      </c>
      <c r="C58" s="65">
        <v>0.74403714758810779</v>
      </c>
      <c r="D58" s="66">
        <v>0.77043827213145977</v>
      </c>
      <c r="E58" s="25" t="s">
        <v>6</v>
      </c>
      <c r="F58" s="50" t="str">
        <f t="shared" si="0"/>
        <v>versicolor</v>
      </c>
      <c r="G58" s="52" cm="1">
        <f t="array" ref="G58">$V$6*NMultDensity(A58:B58,$V$8:$V$9,$R$8:$S$9)+$V$19*NMultDensity(A58:B58,$V$21:$V$22,$R$21:$S$22)+$V$32*NMultDensity(A58:B58,$V$34:$V$35,$R$34:$S$35)</f>
        <v>0.15551720843783373</v>
      </c>
      <c r="H58" s="54" cm="1">
        <f t="array" ref="H58">$V$6*NMultDensity(A58:B58,$V$8:$V$9,$R$8:$S$9)/G58</f>
        <v>1.0478530701965907E-86</v>
      </c>
      <c r="I58" s="54" cm="1">
        <f t="array" ref="I58">$V$19*NMultDensity(A58:B58,$V$21:$V$22,$R$21:$S$22)/G58</f>
        <v>0.98741038879915266</v>
      </c>
      <c r="J58" s="48" cm="1">
        <f t="array" ref="J58">$V$32*NMultDensity(A58:B58,$V$34:$V$35,$R$34:$S$35)/G58</f>
        <v>1.2589611200847364E-2</v>
      </c>
      <c r="K58" s="52" t="str">
        <f t="shared" si="1"/>
        <v>versicolor</v>
      </c>
      <c r="L58" s="54" cm="1">
        <f t="array" ref="L58">$V$6*NMultDensity(C58:D58,$V$10:$V$11,$T$10:$U$11)+$V$19*NMultDensity(C58:D58,$V$23:$V$24,$T$23:$U$24)+$V$32*NMultDensity(C58:D58,$V$36:$V$37,$T$36:$U$37)</f>
        <v>4.847227770339764E-2</v>
      </c>
      <c r="M58" s="54" cm="1">
        <f t="array" ref="M58">$V$6*NMultDensity(C58:D58,$V$10:$V$11,$T$10:$U$11)/L58</f>
        <v>1.0442346464083966E-45</v>
      </c>
      <c r="N58" s="54" cm="1">
        <f t="array" ref="N58">$V$19*NMultDensity(C58:D58,$V$23:$V$24,$T$23:$U$24)/L58</f>
        <v>0.89042825592004693</v>
      </c>
      <c r="O58" s="48" cm="1">
        <f t="array" ref="O58">$V$32*NMultDensity(C58:D58,$V$36:$V$37,$T$36:$U$37)/L58</f>
        <v>0.109571744079953</v>
      </c>
    </row>
    <row r="59" spans="1:15" x14ac:dyDescent="0.25">
      <c r="A59" s="61">
        <v>-0.74912266982965758</v>
      </c>
      <c r="B59" s="62">
        <v>-1.0048909611818957</v>
      </c>
      <c r="C59" s="65">
        <v>-0.48569561657437421</v>
      </c>
      <c r="D59" s="66">
        <v>-1.846243997514224</v>
      </c>
      <c r="E59" s="25" t="s">
        <v>6</v>
      </c>
      <c r="F59" s="50" t="str">
        <f t="shared" si="0"/>
        <v>versicolor</v>
      </c>
      <c r="G59" s="52" cm="1">
        <f t="array" ref="G59">$V$6*NMultDensity(A59:B59,$V$8:$V$9,$R$8:$S$9)+$V$19*NMultDensity(A59:B59,$V$21:$V$22,$R$21:$S$22)+$V$32*NMultDensity(A59:B59,$V$34:$V$35,$R$34:$S$35)</f>
        <v>3.1983645094709155E-2</v>
      </c>
      <c r="H59" s="54" cm="1">
        <f t="array" ref="H59">$V$6*NMultDensity(A59:B59,$V$8:$V$9,$R$8:$S$9)/G59</f>
        <v>2.7780850019576032E-31</v>
      </c>
      <c r="I59" s="54" cm="1">
        <f t="array" ref="I59">$V$19*NMultDensity(A59:B59,$V$21:$V$22,$R$21:$S$22)/G59</f>
        <v>0.99958222573618327</v>
      </c>
      <c r="J59" s="48" cm="1">
        <f t="array" ref="J59">$V$32*NMultDensity(A59:B59,$V$34:$V$35,$R$34:$S$35)/G59</f>
        <v>4.177742638167557E-4</v>
      </c>
      <c r="K59" s="52" t="str">
        <f t="shared" si="1"/>
        <v>versicolor</v>
      </c>
      <c r="L59" s="54" cm="1">
        <f t="array" ref="L59">$V$6*NMultDensity(C59:D59,$V$10:$V$11,$T$10:$U$11)+$V$19*NMultDensity(C59:D59,$V$23:$V$24,$T$23:$U$24)+$V$32*NMultDensity(C59:D59,$V$36:$V$37,$T$36:$U$37)</f>
        <v>1.5889131629402899E-2</v>
      </c>
      <c r="M59" s="54" cm="1">
        <f t="array" ref="M59">$V$6*NMultDensity(C59:D59,$V$10:$V$11,$T$10:$U$11)/L59</f>
        <v>2.4235753955289489E-15</v>
      </c>
      <c r="N59" s="54" cm="1">
        <f t="array" ref="N59">$V$19*NMultDensity(C59:D59,$V$23:$V$24,$T$23:$U$24)/L59</f>
        <v>0.99588349281156363</v>
      </c>
      <c r="O59" s="48" cm="1">
        <f t="array" ref="O59">$V$32*NMultDensity(C59:D59,$V$36:$V$37,$T$36:$U$37)/L59</f>
        <v>4.116507188434035E-3</v>
      </c>
    </row>
    <row r="60" spans="1:15" x14ac:dyDescent="0.25">
      <c r="A60" s="61">
        <v>1.0441318260534347</v>
      </c>
      <c r="B60" s="62">
        <v>0.22836189978839538</v>
      </c>
      <c r="C60" s="65">
        <v>0.92480346062938379</v>
      </c>
      <c r="D60" s="66">
        <v>3.2118477998473033E-2</v>
      </c>
      <c r="E60" s="25" t="s">
        <v>6</v>
      </c>
      <c r="F60" s="50" t="str">
        <f t="shared" si="0"/>
        <v>versicolor</v>
      </c>
      <c r="G60" s="52" cm="1">
        <f t="array" ref="G60">$V$6*NMultDensity(A60:B60,$V$8:$V$9,$R$8:$S$9)+$V$19*NMultDensity(A60:B60,$V$21:$V$22,$R$21:$S$22)+$V$32*NMultDensity(A60:B60,$V$34:$V$35,$R$34:$S$35)</f>
        <v>0.18057456180559059</v>
      </c>
      <c r="H60" s="54" cm="1">
        <f t="array" ref="H60">$V$6*NMultDensity(A60:B60,$V$8:$V$9,$R$8:$S$9)/G60</f>
        <v>4.6456786275330075E-85</v>
      </c>
      <c r="I60" s="54" cm="1">
        <f t="array" ref="I60">$V$19*NMultDensity(A60:B60,$V$21:$V$22,$R$21:$S$22)/G60</f>
        <v>0.9873625888595523</v>
      </c>
      <c r="J60" s="48" cm="1">
        <f t="array" ref="J60">$V$32*NMultDensity(A60:B60,$V$34:$V$35,$R$34:$S$35)/G60</f>
        <v>1.2637411140447707E-2</v>
      </c>
      <c r="K60" s="52" t="str">
        <f t="shared" si="1"/>
        <v>versicolor</v>
      </c>
      <c r="L60" s="54" cm="1">
        <f t="array" ref="L60">$V$6*NMultDensity(C60:D60,$V$10:$V$11,$T$10:$U$11)+$V$19*NMultDensity(C60:D60,$V$23:$V$24,$T$23:$U$24)+$V$32*NMultDensity(C60:D60,$V$36:$V$37,$T$36:$U$37)</f>
        <v>0.14497307505866711</v>
      </c>
      <c r="M60" s="54" cm="1">
        <f t="array" ref="M60">$V$6*NMultDensity(C60:D60,$V$10:$V$11,$T$10:$U$11)/L60</f>
        <v>2.3103877145706175E-51</v>
      </c>
      <c r="N60" s="54" cm="1">
        <f t="array" ref="N60">$V$19*NMultDensity(C60:D60,$V$23:$V$24,$T$23:$U$24)/L60</f>
        <v>0.72661996941455409</v>
      </c>
      <c r="O60" s="48" cm="1">
        <f t="array" ref="O60">$V$32*NMultDensity(C60:D60,$V$36:$V$37,$T$36:$U$37)/L60</f>
        <v>0.27338003058544591</v>
      </c>
    </row>
    <row r="61" spans="1:15" x14ac:dyDescent="0.25">
      <c r="A61" s="61">
        <v>-8.7454040828963547E-3</v>
      </c>
      <c r="B61" s="62">
        <v>-0.7230819050048346</v>
      </c>
      <c r="C61" s="65">
        <v>1.13880377498779E-2</v>
      </c>
      <c r="D61" s="66">
        <v>-1.0305657837710893</v>
      </c>
      <c r="E61" s="25" t="s">
        <v>6</v>
      </c>
      <c r="F61" s="50" t="str">
        <f t="shared" si="0"/>
        <v>versicolor</v>
      </c>
      <c r="G61" s="52" cm="1">
        <f t="array" ref="G61">$V$6*NMultDensity(A61:B61,$V$8:$V$9,$R$8:$S$9)+$V$19*NMultDensity(A61:B61,$V$21:$V$22,$R$21:$S$22)+$V$32*NMultDensity(A61:B61,$V$34:$V$35,$R$34:$S$35)</f>
        <v>0.17722523711862562</v>
      </c>
      <c r="H61" s="54" cm="1">
        <f t="array" ref="H61">$V$6*NMultDensity(A61:B61,$V$8:$V$9,$R$8:$S$9)/G61</f>
        <v>1.0961950940028146E-52</v>
      </c>
      <c r="I61" s="54" cm="1">
        <f t="array" ref="I61">$V$19*NMultDensity(A61:B61,$V$21:$V$22,$R$21:$S$22)/G61</f>
        <v>0.99369656805534068</v>
      </c>
      <c r="J61" s="48" cm="1">
        <f t="array" ref="J61">$V$32*NMultDensity(A61:B61,$V$34:$V$35,$R$34:$S$35)/G61</f>
        <v>6.3034319446593316E-3</v>
      </c>
      <c r="K61" s="52" t="str">
        <f t="shared" si="1"/>
        <v>versicolor</v>
      </c>
      <c r="L61" s="54" cm="1">
        <f t="array" ref="L61">$V$6*NMultDensity(C61:D61,$V$10:$V$11,$T$10:$U$11)+$V$19*NMultDensity(C61:D61,$V$23:$V$24,$T$23:$U$24)+$V$32*NMultDensity(C61:D61,$V$36:$V$37,$T$36:$U$37)</f>
        <v>9.7656098833176941E-2</v>
      </c>
      <c r="M61" s="54" cm="1">
        <f t="array" ref="M61">$V$6*NMultDensity(C61:D61,$V$10:$V$11,$T$10:$U$11)/L61</f>
        <v>9.0735577773518404E-26</v>
      </c>
      <c r="N61" s="54" cm="1">
        <f t="array" ref="N61">$V$19*NMultDensity(C61:D61,$V$23:$V$24,$T$23:$U$24)/L61</f>
        <v>0.98609136281260323</v>
      </c>
      <c r="O61" s="48" cm="1">
        <f t="array" ref="O61">$V$32*NMultDensity(C61:D61,$V$36:$V$37,$T$36:$U$37)/L61</f>
        <v>1.3908637187396773E-2</v>
      </c>
    </row>
    <row r="62" spans="1:15" x14ac:dyDescent="0.25">
      <c r="A62" s="61">
        <v>-0.50784088383532611</v>
      </c>
      <c r="B62" s="62">
        <v>-1.2659711905263937</v>
      </c>
      <c r="C62" s="65">
        <v>-0.10982834481649904</v>
      </c>
      <c r="D62" s="66">
        <v>-2.6452111149372897</v>
      </c>
      <c r="E62" s="25" t="s">
        <v>6</v>
      </c>
      <c r="F62" s="50" t="str">
        <f t="shared" si="0"/>
        <v>versicolor</v>
      </c>
      <c r="G62" s="52" cm="1">
        <f t="array" ref="G62">$V$6*NMultDensity(A62:B62,$V$8:$V$9,$R$8:$S$9)+$V$19*NMultDensity(A62:B62,$V$21:$V$22,$R$21:$S$22)+$V$32*NMultDensity(A62:B62,$V$34:$V$35,$R$34:$S$35)</f>
        <v>1.9700164524097966E-2</v>
      </c>
      <c r="H62" s="54" cm="1">
        <f t="array" ref="H62">$V$6*NMultDensity(A62:B62,$V$8:$V$9,$R$8:$S$9)/G62</f>
        <v>6.9440825433384067E-41</v>
      </c>
      <c r="I62" s="54" cm="1">
        <f t="array" ref="I62">$V$19*NMultDensity(A62:B62,$V$21:$V$22,$R$21:$S$22)/G62</f>
        <v>0.98742654168696053</v>
      </c>
      <c r="J62" s="48" cm="1">
        <f t="array" ref="J62">$V$32*NMultDensity(A62:B62,$V$34:$V$35,$R$34:$S$35)/G62</f>
        <v>1.2573458313039387E-2</v>
      </c>
      <c r="K62" s="52" t="str">
        <f t="shared" si="1"/>
        <v>versicolor</v>
      </c>
      <c r="L62" s="54" cm="1">
        <f t="array" ref="L62">$V$6*NMultDensity(C62:D62,$V$10:$V$11,$T$10:$U$11)+$V$19*NMultDensity(C62:D62,$V$23:$V$24,$T$23:$U$24)+$V$32*NMultDensity(C62:D62,$V$36:$V$37,$T$36:$U$37)</f>
        <v>6.9218352720490112E-3</v>
      </c>
      <c r="M62" s="54" cm="1">
        <f t="array" ref="M62">$V$6*NMultDensity(C62:D62,$V$10:$V$11,$T$10:$U$11)/L62</f>
        <v>6.2911052969720904E-23</v>
      </c>
      <c r="N62" s="54" cm="1">
        <f t="array" ref="N62">$V$19*NMultDensity(C62:D62,$V$23:$V$24,$T$23:$U$24)/L62</f>
        <v>0.98140939628521562</v>
      </c>
      <c r="O62" s="48" cm="1">
        <f t="array" ref="O62">$V$32*NMultDensity(C62:D62,$V$36:$V$37,$T$36:$U$37)/L62</f>
        <v>1.8590603714784371E-2</v>
      </c>
    </row>
    <row r="63" spans="1:15" x14ac:dyDescent="0.25">
      <c r="A63" s="61">
        <v>0.51169855744759685</v>
      </c>
      <c r="B63" s="62">
        <v>-0.10398123549904061</v>
      </c>
      <c r="C63" s="65">
        <v>0.4392220143277078</v>
      </c>
      <c r="D63" s="66">
        <v>-6.3083851659568244E-2</v>
      </c>
      <c r="E63" s="25" t="s">
        <v>6</v>
      </c>
      <c r="F63" s="50" t="str">
        <f t="shared" si="0"/>
        <v>versicolor</v>
      </c>
      <c r="G63" s="52" cm="1">
        <f t="array" ref="G63">$V$6*NMultDensity(A63:B63,$V$8:$V$9,$R$8:$S$9)+$V$19*NMultDensity(A63:B63,$V$21:$V$22,$R$21:$S$22)+$V$32*NMultDensity(A63:B63,$V$34:$V$35,$R$34:$S$35)</f>
        <v>0.27942908389433191</v>
      </c>
      <c r="H63" s="54" cm="1">
        <f t="array" ref="H63">$V$6*NMultDensity(A63:B63,$V$8:$V$9,$R$8:$S$9)/G63</f>
        <v>5.8350442495639344E-66</v>
      </c>
      <c r="I63" s="54" cm="1">
        <f t="array" ref="I63">$V$19*NMultDensity(A63:B63,$V$21:$V$22,$R$21:$S$22)/G63</f>
        <v>0.99721332419862552</v>
      </c>
      <c r="J63" s="48" cm="1">
        <f t="array" ref="J63">$V$32*NMultDensity(A63:B63,$V$34:$V$35,$R$34:$S$35)/G63</f>
        <v>2.7866758013745216E-3</v>
      </c>
      <c r="K63" s="52" t="str">
        <f t="shared" si="1"/>
        <v>versicolor</v>
      </c>
      <c r="L63" s="54" cm="1">
        <f t="array" ref="L63">$V$6*NMultDensity(C63:D63,$V$10:$V$11,$T$10:$U$11)+$V$19*NMultDensity(C63:D63,$V$23:$V$24,$T$23:$U$24)+$V$32*NMultDensity(C63:D63,$V$36:$V$37,$T$36:$U$37)</f>
        <v>0.12710655530842901</v>
      </c>
      <c r="M63" s="54" cm="1">
        <f t="array" ref="M63">$V$6*NMultDensity(C63:D63,$V$10:$V$11,$T$10:$U$11)/L63</f>
        <v>1.00318209791029E-36</v>
      </c>
      <c r="N63" s="54" cm="1">
        <f t="array" ref="N63">$V$19*NMultDensity(C63:D63,$V$23:$V$24,$T$23:$U$24)/L63</f>
        <v>0.95462158507208039</v>
      </c>
      <c r="O63" s="48" cm="1">
        <f t="array" ref="O63">$V$32*NMultDensity(C63:D63,$V$36:$V$37,$T$36:$U$37)/L63</f>
        <v>4.5378414927919566E-2</v>
      </c>
    </row>
    <row r="64" spans="1:15" x14ac:dyDescent="0.25">
      <c r="A64" s="61">
        <v>0.26497650811204604</v>
      </c>
      <c r="B64" s="62">
        <v>-0.55003646368047476</v>
      </c>
      <c r="C64" s="65">
        <v>0.5602314788114936</v>
      </c>
      <c r="D64" s="66">
        <v>-1.7588321291737226</v>
      </c>
      <c r="E64" s="25" t="s">
        <v>6</v>
      </c>
      <c r="F64" s="50" t="str">
        <f t="shared" si="0"/>
        <v>versicolor</v>
      </c>
      <c r="G64" s="52" cm="1">
        <f t="array" ref="G64">$V$6*NMultDensity(A64:B64,$V$8:$V$9,$R$8:$S$9)+$V$19*NMultDensity(A64:B64,$V$21:$V$22,$R$21:$S$22)+$V$32*NMultDensity(A64:B64,$V$34:$V$35,$R$34:$S$35)</f>
        <v>0.25448595935263946</v>
      </c>
      <c r="H64" s="54" cm="1">
        <f t="array" ref="H64">$V$6*NMultDensity(A64:B64,$V$8:$V$9,$R$8:$S$9)/G64</f>
        <v>3.8434360572276199E-61</v>
      </c>
      <c r="I64" s="54" cm="1">
        <f t="array" ref="I64">$V$19*NMultDensity(A64:B64,$V$21:$V$22,$R$21:$S$22)/G64</f>
        <v>0.98830382223868229</v>
      </c>
      <c r="J64" s="48" cm="1">
        <f t="array" ref="J64">$V$32*NMultDensity(A64:B64,$V$34:$V$35,$R$34:$S$35)/G64</f>
        <v>1.1696177761317645E-2</v>
      </c>
      <c r="K64" s="52" t="str">
        <f t="shared" si="1"/>
        <v>versicolor</v>
      </c>
      <c r="L64" s="54" cm="1">
        <f t="array" ref="L64">$V$6*NMultDensity(C64:D64,$V$10:$V$11,$T$10:$U$11)+$V$19*NMultDensity(C64:D64,$V$23:$V$24,$T$23:$U$24)+$V$32*NMultDensity(C64:D64,$V$36:$V$37,$T$36:$U$37)</f>
        <v>3.5578583805388621E-2</v>
      </c>
      <c r="M64" s="54" cm="1">
        <f t="array" ref="M64">$V$6*NMultDensity(C64:D64,$V$10:$V$11,$T$10:$U$11)/L64</f>
        <v>1.4468998571395356E-39</v>
      </c>
      <c r="N64" s="54" cm="1">
        <f t="array" ref="N64">$V$19*NMultDensity(C64:D64,$V$23:$V$24,$T$23:$U$24)/L64</f>
        <v>0.83633653816497888</v>
      </c>
      <c r="O64" s="48" cm="1">
        <f t="array" ref="O64">$V$32*NMultDensity(C64:D64,$V$36:$V$37,$T$36:$U$37)/L64</f>
        <v>0.16366346183502103</v>
      </c>
    </row>
    <row r="65" spans="1:15" x14ac:dyDescent="0.25">
      <c r="A65" s="61">
        <v>0.98493451047088953</v>
      </c>
      <c r="B65" s="62">
        <v>-0.12481785412635786</v>
      </c>
      <c r="C65" s="65">
        <v>0.71715933809953503</v>
      </c>
      <c r="D65" s="66">
        <v>-0.18560281910122242</v>
      </c>
      <c r="E65" s="25" t="s">
        <v>6</v>
      </c>
      <c r="F65" s="50" t="str">
        <f t="shared" si="0"/>
        <v>versicolor</v>
      </c>
      <c r="G65" s="52" cm="1">
        <f t="array" ref="G65">$V$6*NMultDensity(A65:B65,$V$8:$V$9,$R$8:$S$9)+$V$19*NMultDensity(A65:B65,$V$21:$V$22,$R$21:$S$22)+$V$32*NMultDensity(A65:B65,$V$34:$V$35,$R$34:$S$35)</f>
        <v>0.24027304962891652</v>
      </c>
      <c r="H65" s="54" cm="1">
        <f t="array" ref="H65">$V$6*NMultDensity(A65:B65,$V$8:$V$9,$R$8:$S$9)/G65</f>
        <v>9.4266011682533128E-87</v>
      </c>
      <c r="I65" s="54" cm="1">
        <f t="array" ref="I65">$V$19*NMultDensity(A65:B65,$V$21:$V$22,$R$21:$S$22)/G65</f>
        <v>0.90823961236790562</v>
      </c>
      <c r="J65" s="48" cm="1">
        <f t="array" ref="J65">$V$32*NMultDensity(A65:B65,$V$34:$V$35,$R$34:$S$35)/G65</f>
        <v>9.1760387632094376E-2</v>
      </c>
      <c r="K65" s="52" t="str">
        <f t="shared" si="1"/>
        <v>versicolor</v>
      </c>
      <c r="L65" s="54" cm="1">
        <f t="array" ref="L65">$V$6*NMultDensity(C65:D65,$V$10:$V$11,$T$10:$U$11)+$V$19*NMultDensity(C65:D65,$V$23:$V$24,$T$23:$U$24)+$V$32*NMultDensity(C65:D65,$V$36:$V$37,$T$36:$U$37)</f>
        <v>0.16797107650536666</v>
      </c>
      <c r="M65" s="54" cm="1">
        <f t="array" ref="M65">$V$6*NMultDensity(C65:D65,$V$10:$V$11,$T$10:$U$11)/L65</f>
        <v>8.2221767262826595E-45</v>
      </c>
      <c r="N65" s="54" cm="1">
        <f t="array" ref="N65">$V$19*NMultDensity(C65:D65,$V$23:$V$24,$T$23:$U$24)/L65</f>
        <v>0.86316675095572537</v>
      </c>
      <c r="O65" s="48" cm="1">
        <f t="array" ref="O65">$V$32*NMultDensity(C65:D65,$V$36:$V$37,$T$36:$U$37)/L65</f>
        <v>0.13683324904427469</v>
      </c>
    </row>
    <row r="66" spans="1:15" x14ac:dyDescent="0.25">
      <c r="A66" s="61">
        <v>-0.1739253716817683</v>
      </c>
      <c r="B66" s="62">
        <v>-0.25485420870258935</v>
      </c>
      <c r="C66" s="65">
        <v>-3.3243334910672578E-2</v>
      </c>
      <c r="D66" s="66">
        <v>-0.43753741887792469</v>
      </c>
      <c r="E66" s="25" t="s">
        <v>6</v>
      </c>
      <c r="F66" s="50" t="str">
        <f t="shared" si="0"/>
        <v>versicolor</v>
      </c>
      <c r="G66" s="52" cm="1">
        <f t="array" ref="G66">$V$6*NMultDensity(A66:B66,$V$8:$V$9,$R$8:$S$9)+$V$19*NMultDensity(A66:B66,$V$21:$V$22,$R$21:$S$22)+$V$32*NMultDensity(A66:B66,$V$34:$V$35,$R$34:$S$35)</f>
        <v>5.9169425815803631E-2</v>
      </c>
      <c r="H66" s="54" cm="1">
        <f t="array" ref="H66">$V$6*NMultDensity(A66:B66,$V$8:$V$9,$R$8:$S$9)/G66</f>
        <v>8.5005903522261879E-42</v>
      </c>
      <c r="I66" s="54" cm="1">
        <f t="array" ref="I66">$V$19*NMultDensity(A66:B66,$V$21:$V$22,$R$21:$S$22)/G66</f>
        <v>0.99991598803632842</v>
      </c>
      <c r="J66" s="48" cm="1">
        <f t="array" ref="J66">$V$32*NMultDensity(A66:B66,$V$34:$V$35,$R$34:$S$35)/G66</f>
        <v>8.4011963671551417E-5</v>
      </c>
      <c r="K66" s="52" t="str">
        <f t="shared" si="1"/>
        <v>versicolor</v>
      </c>
      <c r="L66" s="54" cm="1">
        <f t="array" ref="L66">$V$6*NMultDensity(C66:D66,$V$10:$V$11,$T$10:$U$11)+$V$19*NMultDensity(C66:D66,$V$23:$V$24,$T$23:$U$24)+$V$32*NMultDensity(C66:D66,$V$36:$V$37,$T$36:$U$37)</f>
        <v>5.7142904978388989E-2</v>
      </c>
      <c r="M66" s="54" cm="1">
        <f t="array" ref="M66">$V$6*NMultDensity(C66:D66,$V$10:$V$11,$T$10:$U$11)/L66</f>
        <v>1.6622247708859163E-24</v>
      </c>
      <c r="N66" s="54" cm="1">
        <f t="array" ref="N66">$V$19*NMultDensity(C66:D66,$V$23:$V$24,$T$23:$U$24)/L66</f>
        <v>0.98944982242203539</v>
      </c>
      <c r="O66" s="48" cm="1">
        <f t="array" ref="O66">$V$32*NMultDensity(C66:D66,$V$36:$V$37,$T$36:$U$37)/L66</f>
        <v>1.0550177577964639E-2</v>
      </c>
    </row>
    <row r="67" spans="1:15" x14ac:dyDescent="0.25">
      <c r="A67" s="61">
        <v>0.92786078094424662</v>
      </c>
      <c r="B67" s="62">
        <v>0.46717949444151058</v>
      </c>
      <c r="C67" s="65">
        <v>0.87248428723583527</v>
      </c>
      <c r="D67" s="66">
        <v>0.50736423931784413</v>
      </c>
      <c r="E67" s="25" t="s">
        <v>6</v>
      </c>
      <c r="F67" s="50" t="str">
        <f t="shared" ref="F67:F130" si="2">IF(H67&gt;MAX(I67:J67),$E$2,IF(I67&gt;J67,$E$52,$E$102))</f>
        <v>versicolor</v>
      </c>
      <c r="G67" s="52" cm="1">
        <f t="array" ref="G67">$V$6*NMultDensity(A67:B67,$V$8:$V$9,$R$8:$S$9)+$V$19*NMultDensity(A67:B67,$V$21:$V$22,$R$21:$S$22)+$V$32*NMultDensity(A67:B67,$V$34:$V$35,$R$34:$S$35)</f>
        <v>5.1267159555757676E-2</v>
      </c>
      <c r="H67" s="54" cm="1">
        <f t="array" ref="H67">$V$6*NMultDensity(A67:B67,$V$8:$V$9,$R$8:$S$9)/G67</f>
        <v>1.3983525141397579E-76</v>
      </c>
      <c r="I67" s="54" cm="1">
        <f t="array" ref="I67">$V$19*NMultDensity(A67:B67,$V$21:$V$22,$R$21:$S$22)/G67</f>
        <v>0.99890449536912718</v>
      </c>
      <c r="J67" s="48" cm="1">
        <f t="array" ref="J67">$V$32*NMultDensity(A67:B67,$V$34:$V$35,$R$34:$S$35)/G67</f>
        <v>1.0955046308728901E-3</v>
      </c>
      <c r="K67" s="52" t="str">
        <f t="shared" ref="K67:K130" si="3">IF(M67&gt;MAX(N67:O67),$E$2,IF(N67&gt;O67,$E$52,$E$102))</f>
        <v>versicolor</v>
      </c>
      <c r="L67" s="54" cm="1">
        <f t="array" ref="L67">$V$6*NMultDensity(C67:D67,$V$10:$V$11,$T$10:$U$11)+$V$19*NMultDensity(C67:D67,$V$23:$V$24,$T$23:$U$24)+$V$32*NMultDensity(C67:D67,$V$36:$V$37,$T$36:$U$37)</f>
        <v>9.0637190268650275E-2</v>
      </c>
      <c r="M67" s="54" cm="1">
        <f t="array" ref="M67">$V$6*NMultDensity(C67:D67,$V$10:$V$11,$T$10:$U$11)/L67</f>
        <v>8.6312211721701644E-50</v>
      </c>
      <c r="N67" s="54" cm="1">
        <f t="array" ref="N67">$V$19*NMultDensity(C67:D67,$V$23:$V$24,$T$23:$U$24)/L67</f>
        <v>0.80970859582962029</v>
      </c>
      <c r="O67" s="48" cm="1">
        <f t="array" ref="O67">$V$32*NMultDensity(C67:D67,$V$36:$V$37,$T$36:$U$37)/L67</f>
        <v>0.19029140417037968</v>
      </c>
    </row>
    <row r="68" spans="1:15" x14ac:dyDescent="0.25">
      <c r="A68" s="61">
        <v>0.66028376169693637</v>
      </c>
      <c r="B68" s="62">
        <v>-0.35296966572385102</v>
      </c>
      <c r="C68" s="65">
        <v>0.34908221007919538</v>
      </c>
      <c r="D68" s="66">
        <v>-0.19565626783157603</v>
      </c>
      <c r="E68" s="25" t="s">
        <v>6</v>
      </c>
      <c r="F68" s="50" t="str">
        <f t="shared" si="2"/>
        <v>versicolor</v>
      </c>
      <c r="G68" s="52" cm="1">
        <f t="array" ref="G68">$V$6*NMultDensity(A68:B68,$V$8:$V$9,$R$8:$S$9)+$V$19*NMultDensity(A68:B68,$V$21:$V$22,$R$21:$S$22)+$V$32*NMultDensity(A68:B68,$V$34:$V$35,$R$34:$S$35)</f>
        <v>0.27004807735986075</v>
      </c>
      <c r="H68" s="54" cm="1">
        <f t="array" ref="H68">$V$6*NMultDensity(A68:B68,$V$8:$V$9,$R$8:$S$9)/G68</f>
        <v>4.6187780721579553E-75</v>
      </c>
      <c r="I68" s="54" cm="1">
        <f t="array" ref="I68">$V$19*NMultDensity(A68:B68,$V$21:$V$22,$R$21:$S$22)/G68</f>
        <v>0.95459022059463838</v>
      </c>
      <c r="J68" s="48" cm="1">
        <f t="array" ref="J68">$V$32*NMultDensity(A68:B68,$V$34:$V$35,$R$34:$S$35)/G68</f>
        <v>4.5409779405361519E-2</v>
      </c>
      <c r="K68" s="52" t="str">
        <f t="shared" si="3"/>
        <v>versicolor</v>
      </c>
      <c r="L68" s="54" cm="1">
        <f t="array" ref="L68">$V$6*NMultDensity(C68:D68,$V$10:$V$11,$T$10:$U$11)+$V$19*NMultDensity(C68:D68,$V$23:$V$24,$T$23:$U$24)+$V$32*NMultDensity(C68:D68,$V$36:$V$37,$T$36:$U$37)</f>
        <v>0.12615563250403752</v>
      </c>
      <c r="M68" s="54" cm="1">
        <f t="array" ref="M68">$V$6*NMultDensity(C68:D68,$V$10:$V$11,$T$10:$U$11)/L68</f>
        <v>3.0169375661943667E-34</v>
      </c>
      <c r="N68" s="54" cm="1">
        <f t="array" ref="N68">$V$19*NMultDensity(C68:D68,$V$23:$V$24,$T$23:$U$24)/L68</f>
        <v>0.96584239576940756</v>
      </c>
      <c r="O68" s="48" cm="1">
        <f t="array" ref="O68">$V$32*NMultDensity(C68:D68,$V$36:$V$37,$T$36:$U$37)/L68</f>
        <v>3.415760423059256E-2</v>
      </c>
    </row>
    <row r="69" spans="1:15" x14ac:dyDescent="0.25">
      <c r="A69" s="61">
        <v>0.23610499331767115</v>
      </c>
      <c r="B69" s="62">
        <v>-0.33361076682491586</v>
      </c>
      <c r="C69" s="65">
        <v>0.15827979549154433</v>
      </c>
      <c r="D69" s="66">
        <v>-0.78945100802955859</v>
      </c>
      <c r="E69" s="25" t="s">
        <v>6</v>
      </c>
      <c r="F69" s="50" t="str">
        <f t="shared" si="2"/>
        <v>versicolor</v>
      </c>
      <c r="G69" s="52" cm="1">
        <f t="array" ref="G69">$V$6*NMultDensity(A69:B69,$V$8:$V$9,$R$8:$S$9)+$V$19*NMultDensity(A69:B69,$V$21:$V$22,$R$21:$S$22)+$V$32*NMultDensity(A69:B69,$V$34:$V$35,$R$34:$S$35)</f>
        <v>0.27773708884333931</v>
      </c>
      <c r="H69" s="54" cm="1">
        <f t="array" ref="H69">$V$6*NMultDensity(A69:B69,$V$8:$V$9,$R$8:$S$9)/G69</f>
        <v>1.1611289427757838E-57</v>
      </c>
      <c r="I69" s="54" cm="1">
        <f t="array" ref="I69">$V$19*NMultDensity(A69:B69,$V$21:$V$22,$R$21:$S$22)/G69</f>
        <v>0.99792830539944255</v>
      </c>
      <c r="J69" s="48" cm="1">
        <f t="array" ref="J69">$V$32*NMultDensity(A69:B69,$V$34:$V$35,$R$34:$S$35)/G69</f>
        <v>2.0716946005575453E-3</v>
      </c>
      <c r="K69" s="52" t="str">
        <f t="shared" si="3"/>
        <v>versicolor</v>
      </c>
      <c r="L69" s="54" cm="1">
        <f t="array" ref="L69">$V$6*NMultDensity(C69:D69,$V$10:$V$11,$T$10:$U$11)+$V$19*NMultDensity(C69:D69,$V$23:$V$24,$T$23:$U$24)+$V$32*NMultDensity(C69:D69,$V$36:$V$37,$T$36:$U$37)</f>
        <v>0.12908464217016283</v>
      </c>
      <c r="M69" s="54" cm="1">
        <f t="array" ref="M69">$V$6*NMultDensity(C69:D69,$V$10:$V$11,$T$10:$U$11)/L69</f>
        <v>2.5173348934675609E-29</v>
      </c>
      <c r="N69" s="54" cm="1">
        <f t="array" ref="N69">$V$19*NMultDensity(C69:D69,$V$23:$V$24,$T$23:$U$24)/L69</f>
        <v>0.97893237102938646</v>
      </c>
      <c r="O69" s="48" cm="1">
        <f t="array" ref="O69">$V$32*NMultDensity(C69:D69,$V$36:$V$37,$T$36:$U$37)/L69</f>
        <v>2.1067628970613601E-2</v>
      </c>
    </row>
    <row r="70" spans="1:15" x14ac:dyDescent="0.25">
      <c r="A70" s="61">
        <v>0.94473372801981259</v>
      </c>
      <c r="B70" s="62">
        <v>-0.54314555077976612</v>
      </c>
      <c r="C70" s="65">
        <v>1.2210031592596291</v>
      </c>
      <c r="D70" s="66">
        <v>-1.6168272811150293</v>
      </c>
      <c r="E70" s="25" t="s">
        <v>6</v>
      </c>
      <c r="F70" s="50" t="str">
        <f t="shared" si="2"/>
        <v>virginica</v>
      </c>
      <c r="G70" s="52" cm="1">
        <f t="array" ref="G70">$V$6*NMultDensity(A70:B70,$V$8:$V$9,$R$8:$S$9)+$V$19*NMultDensity(A70:B70,$V$21:$V$22,$R$21:$S$22)+$V$32*NMultDensity(A70:B70,$V$34:$V$35,$R$34:$S$35)</f>
        <v>0.10630956777478605</v>
      </c>
      <c r="H70" s="54" cm="1">
        <f t="array" ref="H70">$V$6*NMultDensity(A70:B70,$V$8:$V$9,$R$8:$S$9)/G70</f>
        <v>5.2441066204619092E-90</v>
      </c>
      <c r="I70" s="54" cm="1">
        <f t="array" ref="I70">$V$19*NMultDensity(A70:B70,$V$21:$V$22,$R$21:$S$22)/G70</f>
        <v>0.36985971350192681</v>
      </c>
      <c r="J70" s="48" cm="1">
        <f t="array" ref="J70">$V$32*NMultDensity(A70:B70,$V$34:$V$35,$R$34:$S$35)/G70</f>
        <v>0.63014028649807319</v>
      </c>
      <c r="K70" s="52" t="str">
        <f t="shared" si="3"/>
        <v>virginica</v>
      </c>
      <c r="L70" s="54" cm="1">
        <f t="array" ref="L70">$V$6*NMultDensity(C70:D70,$V$10:$V$11,$T$10:$U$11)+$V$19*NMultDensity(C70:D70,$V$23:$V$24,$T$23:$U$24)+$V$32*NMultDensity(C70:D70,$V$36:$V$37,$T$36:$U$37)</f>
        <v>1.3518063250722304E-2</v>
      </c>
      <c r="M70" s="54" cm="1">
        <f t="array" ref="M70">$V$6*NMultDensity(C70:D70,$V$10:$V$11,$T$10:$U$11)/L70</f>
        <v>4.5893827093310592E-60</v>
      </c>
      <c r="N70" s="54" cm="1">
        <f t="array" ref="N70">$V$19*NMultDensity(C70:D70,$V$23:$V$24,$T$23:$U$24)/L70</f>
        <v>0.12249050720330952</v>
      </c>
      <c r="O70" s="48" cm="1">
        <f t="array" ref="O70">$V$32*NMultDensity(C70:D70,$V$36:$V$37,$T$36:$U$37)/L70</f>
        <v>0.87750949279669055</v>
      </c>
    </row>
    <row r="71" spans="1:15" x14ac:dyDescent="0.25">
      <c r="A71" s="61">
        <v>4.5226976298699463E-2</v>
      </c>
      <c r="B71" s="62">
        <v>-0.58383437747186462</v>
      </c>
      <c r="C71" s="65">
        <v>0.16436725377768358</v>
      </c>
      <c r="D71" s="66">
        <v>-1.2982599385868421</v>
      </c>
      <c r="E71" s="25" t="s">
        <v>6</v>
      </c>
      <c r="F71" s="50" t="str">
        <f t="shared" si="2"/>
        <v>versicolor</v>
      </c>
      <c r="G71" s="52" cm="1">
        <f t="array" ref="G71">$V$6*NMultDensity(A71:B71,$V$8:$V$9,$R$8:$S$9)+$V$19*NMultDensity(A71:B71,$V$21:$V$22,$R$21:$S$22)+$V$32*NMultDensity(A71:B71,$V$34:$V$35,$R$34:$S$35)</f>
        <v>0.2280033250060465</v>
      </c>
      <c r="H71" s="54" cm="1">
        <f t="array" ref="H71">$V$6*NMultDensity(A71:B71,$V$8:$V$9,$R$8:$S$9)/G71</f>
        <v>3.2370829919753404E-53</v>
      </c>
      <c r="I71" s="54" cm="1">
        <f t="array" ref="I71">$V$19*NMultDensity(A71:B71,$V$21:$V$22,$R$21:$S$22)/G71</f>
        <v>0.99666115713183445</v>
      </c>
      <c r="J71" s="48" cm="1">
        <f t="array" ref="J71">$V$32*NMultDensity(A71:B71,$V$34:$V$35,$R$34:$S$35)/G71</f>
        <v>3.3388428681655532E-3</v>
      </c>
      <c r="K71" s="52" t="str">
        <f t="shared" si="3"/>
        <v>versicolor</v>
      </c>
      <c r="L71" s="54" cm="1">
        <f t="array" ref="L71">$V$6*NMultDensity(C71:D71,$V$10:$V$11,$T$10:$U$11)+$V$19*NMultDensity(C71:D71,$V$23:$V$24,$T$23:$U$24)+$V$32*NMultDensity(C71:D71,$V$36:$V$37,$T$36:$U$37)</f>
        <v>0.10983252054735589</v>
      </c>
      <c r="M71" s="54" cm="1">
        <f t="array" ref="M71">$V$6*NMultDensity(C71:D71,$V$10:$V$11,$T$10:$U$11)/L71</f>
        <v>1.7550492108771968E-29</v>
      </c>
      <c r="N71" s="54" cm="1">
        <f t="array" ref="N71">$V$19*NMultDensity(C71:D71,$V$23:$V$24,$T$23:$U$24)/L71</f>
        <v>0.97391261461692702</v>
      </c>
      <c r="O71" s="48" cm="1">
        <f t="array" ref="O71">$V$32*NMultDensity(C71:D71,$V$36:$V$37,$T$36:$U$37)/L71</f>
        <v>2.6087385383072925E-2</v>
      </c>
    </row>
    <row r="72" spans="1:15" x14ac:dyDescent="0.25">
      <c r="A72" s="61">
        <v>1.116283177350049</v>
      </c>
      <c r="B72" s="62">
        <v>-8.4616852194788483E-2</v>
      </c>
      <c r="C72" s="65">
        <v>0.73521959465375941</v>
      </c>
      <c r="D72" s="66">
        <v>0.39524744620371377</v>
      </c>
      <c r="E72" s="25" t="s">
        <v>6</v>
      </c>
      <c r="F72" s="50" t="str">
        <f t="shared" si="2"/>
        <v>versicolor</v>
      </c>
      <c r="G72" s="52" cm="1">
        <f t="array" ref="G72">$V$6*NMultDensity(A72:B72,$V$8:$V$9,$R$8:$S$9)+$V$19*NMultDensity(A72:B72,$V$21:$V$22,$R$21:$S$22)+$V$32*NMultDensity(A72:B72,$V$34:$V$35,$R$34:$S$35)</f>
        <v>0.20325220773785929</v>
      </c>
      <c r="H72" s="54" cm="1">
        <f t="array" ref="H72">$V$6*NMultDensity(A72:B72,$V$8:$V$9,$R$8:$S$9)/G72</f>
        <v>2.2152132750926484E-92</v>
      </c>
      <c r="I72" s="54" cm="1">
        <f t="array" ref="I72">$V$19*NMultDensity(A72:B72,$V$21:$V$22,$R$21:$S$22)/G72</f>
        <v>0.82967455974636639</v>
      </c>
      <c r="J72" s="48" cm="1">
        <f t="array" ref="J72">$V$32*NMultDensity(A72:B72,$V$34:$V$35,$R$34:$S$35)/G72</f>
        <v>0.17032544025363358</v>
      </c>
      <c r="K72" s="52" t="str">
        <f t="shared" si="3"/>
        <v>versicolor</v>
      </c>
      <c r="L72" s="54" cm="1">
        <f t="array" ref="L72">$V$6*NMultDensity(C72:D72,$V$10:$V$11,$T$10:$U$11)+$V$19*NMultDensity(C72:D72,$V$23:$V$24,$T$23:$U$24)+$V$32*NMultDensity(C72:D72,$V$36:$V$37,$T$36:$U$37)</f>
        <v>9.7878187794396429E-2</v>
      </c>
      <c r="M72" s="54" cm="1">
        <f t="array" ref="M72">$V$6*NMultDensity(C72:D72,$V$10:$V$11,$T$10:$U$11)/L72</f>
        <v>1.9121199137390163E-45</v>
      </c>
      <c r="N72" s="54" cm="1">
        <f t="array" ref="N72">$V$19*NMultDensity(C72:D72,$V$23:$V$24,$T$23:$U$24)/L72</f>
        <v>0.88165176788241961</v>
      </c>
      <c r="O72" s="48" cm="1">
        <f t="array" ref="O72">$V$32*NMultDensity(C72:D72,$V$36:$V$37,$T$36:$U$37)/L72</f>
        <v>0.11834823211758035</v>
      </c>
    </row>
    <row r="73" spans="1:15" x14ac:dyDescent="0.25">
      <c r="A73" s="61">
        <v>0.35788841799730675</v>
      </c>
      <c r="B73" s="62">
        <v>-6.892503165601388E-2</v>
      </c>
      <c r="C73" s="65">
        <v>0.47469691207417619</v>
      </c>
      <c r="D73" s="66">
        <v>-0.41592688740300898</v>
      </c>
      <c r="E73" s="25" t="s">
        <v>6</v>
      </c>
      <c r="F73" s="50" t="str">
        <f t="shared" si="2"/>
        <v>versicolor</v>
      </c>
      <c r="G73" s="52" cm="1">
        <f t="array" ref="G73">$V$6*NMultDensity(A73:B73,$V$8:$V$9,$R$8:$S$9)+$V$19*NMultDensity(A73:B73,$V$21:$V$22,$R$21:$S$22)+$V$32*NMultDensity(A73:B73,$V$34:$V$35,$R$34:$S$35)</f>
        <v>0.18832055565943628</v>
      </c>
      <c r="H73" s="54" cm="1">
        <f t="array" ref="H73">$V$6*NMultDensity(A73:B73,$V$8:$V$9,$R$8:$S$9)/G73</f>
        <v>2.472761099928564E-59</v>
      </c>
      <c r="I73" s="54" cm="1">
        <f t="array" ref="I73">$V$19*NMultDensity(A73:B73,$V$21:$V$22,$R$21:$S$22)/G73</f>
        <v>0.99923638420047223</v>
      </c>
      <c r="J73" s="48" cm="1">
        <f t="array" ref="J73">$V$32*NMultDensity(A73:B73,$V$34:$V$35,$R$34:$S$35)/G73</f>
        <v>7.636157995277405E-4</v>
      </c>
      <c r="K73" s="52" t="str">
        <f t="shared" si="3"/>
        <v>versicolor</v>
      </c>
      <c r="L73" s="54" cm="1">
        <f t="array" ref="L73">$V$6*NMultDensity(C73:D73,$V$10:$V$11,$T$10:$U$11)+$V$19*NMultDensity(C73:D73,$V$23:$V$24,$T$23:$U$24)+$V$32*NMultDensity(C73:D73,$V$36:$V$37,$T$36:$U$37)</f>
        <v>0.17205856810617171</v>
      </c>
      <c r="M73" s="54" cm="1">
        <f t="array" ref="M73">$V$6*NMultDensity(C73:D73,$V$10:$V$11,$T$10:$U$11)/L73</f>
        <v>1.0088897721395765E-37</v>
      </c>
      <c r="N73" s="54" cm="1">
        <f t="array" ref="N73">$V$19*NMultDensity(C73:D73,$V$23:$V$24,$T$23:$U$24)/L73</f>
        <v>0.94150214090095852</v>
      </c>
      <c r="O73" s="48" cm="1">
        <f t="array" ref="O73">$V$32*NMultDensity(C73:D73,$V$36:$V$37,$T$36:$U$37)/L73</f>
        <v>5.8497859099041503E-2</v>
      </c>
    </row>
    <row r="74" spans="1:15" x14ac:dyDescent="0.25">
      <c r="A74" s="61">
        <v>1.298183875358913</v>
      </c>
      <c r="B74" s="62">
        <v>-0.3277873083339175</v>
      </c>
      <c r="C74" s="65">
        <v>1.2300572911691732</v>
      </c>
      <c r="D74" s="66">
        <v>-0.9302094405375414</v>
      </c>
      <c r="E74" s="25" t="s">
        <v>6</v>
      </c>
      <c r="F74" s="50" t="str">
        <f t="shared" si="2"/>
        <v>virginica</v>
      </c>
      <c r="G74" s="52" cm="1">
        <f t="array" ref="G74">$V$6*NMultDensity(A74:B74,$V$8:$V$9,$R$8:$S$9)+$V$19*NMultDensity(A74:B74,$V$21:$V$22,$R$21:$S$22)+$V$32*NMultDensity(A74:B74,$V$34:$V$35,$R$34:$S$35)</f>
        <v>0.15793719788647823</v>
      </c>
      <c r="H74" s="54" cm="1">
        <f t="array" ref="H74">$V$6*NMultDensity(A74:B74,$V$8:$V$9,$R$8:$S$9)/G74</f>
        <v>1.3563784484489543E-104</v>
      </c>
      <c r="I74" s="54" cm="1">
        <f t="array" ref="I74">$V$19*NMultDensity(A74:B74,$V$21:$V$22,$R$21:$S$22)/G74</f>
        <v>0.15707027629373216</v>
      </c>
      <c r="J74" s="48" cm="1">
        <f t="array" ref="J74">$V$32*NMultDensity(A74:B74,$V$34:$V$35,$R$34:$S$35)/G74</f>
        <v>0.84292972370626784</v>
      </c>
      <c r="K74" s="52" t="str">
        <f t="shared" si="3"/>
        <v>virginica</v>
      </c>
      <c r="L74" s="54" cm="1">
        <f t="array" ref="L74">$V$6*NMultDensity(C74:D74,$V$10:$V$11,$T$10:$U$11)+$V$19*NMultDensity(C74:D74,$V$23:$V$24,$T$23:$U$24)+$V$32*NMultDensity(C74:D74,$V$36:$V$37,$T$36:$U$37)</f>
        <v>6.2922631260448364E-2</v>
      </c>
      <c r="M74" s="54" cm="1">
        <f t="array" ref="M74">$V$6*NMultDensity(C74:D74,$V$10:$V$11,$T$10:$U$11)/L74</f>
        <v>5.025286835000301E-61</v>
      </c>
      <c r="N74" s="54" cm="1">
        <f t="array" ref="N74">$V$19*NMultDensity(C74:D74,$V$23:$V$24,$T$23:$U$24)/L74</f>
        <v>0.20227780891297614</v>
      </c>
      <c r="O74" s="48" cm="1">
        <f t="array" ref="O74">$V$32*NMultDensity(C74:D74,$V$36:$V$37,$T$36:$U$37)/L74</f>
        <v>0.79772219108702391</v>
      </c>
    </row>
    <row r="75" spans="1:15" x14ac:dyDescent="0.25">
      <c r="A75" s="61">
        <v>0.9217289224470363</v>
      </c>
      <c r="B75" s="62">
        <v>-0.18273779362136808</v>
      </c>
      <c r="C75" s="65">
        <v>0.63074514472992449</v>
      </c>
      <c r="D75" s="66">
        <v>-0.41499744081120332</v>
      </c>
      <c r="E75" s="25" t="s">
        <v>6</v>
      </c>
      <c r="F75" s="50" t="str">
        <f t="shared" si="2"/>
        <v>versicolor</v>
      </c>
      <c r="G75" s="52" cm="1">
        <f t="array" ref="G75">$V$6*NMultDensity(A75:B75,$V$8:$V$9,$R$8:$S$9)+$V$19*NMultDensity(A75:B75,$V$21:$V$22,$R$21:$S$22)+$V$32*NMultDensity(A75:B75,$V$34:$V$35,$R$34:$S$35)</f>
        <v>0.24663816487686085</v>
      </c>
      <c r="H75" s="54" cm="1">
        <f t="array" ref="H75">$V$6*NMultDensity(A75:B75,$V$8:$V$9,$R$8:$S$9)/G75</f>
        <v>1.4355630328694608E-84</v>
      </c>
      <c r="I75" s="54" cm="1">
        <f t="array" ref="I75">$V$19*NMultDensity(A75:B75,$V$21:$V$22,$R$21:$S$22)/G75</f>
        <v>0.91271399889429972</v>
      </c>
      <c r="J75" s="48" cm="1">
        <f t="array" ref="J75">$V$32*NMultDensity(A75:B75,$V$34:$V$35,$R$34:$S$35)/G75</f>
        <v>8.7286001105700228E-2</v>
      </c>
      <c r="K75" s="52" t="str">
        <f t="shared" si="3"/>
        <v>versicolor</v>
      </c>
      <c r="L75" s="54" cm="1">
        <f t="array" ref="L75">$V$6*NMultDensity(C75:D75,$V$10:$V$11,$T$10:$U$11)+$V$19*NMultDensity(C75:D75,$V$23:$V$24,$T$23:$U$24)+$V$32*NMultDensity(C75:D75,$V$36:$V$37,$T$36:$U$37)</f>
        <v>0.17829278202242285</v>
      </c>
      <c r="M75" s="54" cm="1">
        <f t="array" ref="M75">$V$6*NMultDensity(C75:D75,$V$10:$V$11,$T$10:$U$11)/L75</f>
        <v>3.4631768119815901E-42</v>
      </c>
      <c r="N75" s="54" cm="1">
        <f t="array" ref="N75">$V$19*NMultDensity(C75:D75,$V$23:$V$24,$T$23:$U$24)/L75</f>
        <v>0.89255868706996377</v>
      </c>
      <c r="O75" s="48" cm="1">
        <f t="array" ref="O75">$V$32*NMultDensity(C75:D75,$V$36:$V$37,$T$36:$U$37)/L75</f>
        <v>0.10744131293003627</v>
      </c>
    </row>
    <row r="76" spans="1:15" x14ac:dyDescent="0.25">
      <c r="A76" s="61">
        <v>0.71485332591141104</v>
      </c>
      <c r="B76" s="62">
        <v>0.14905594436978467</v>
      </c>
      <c r="C76" s="65">
        <v>0.70031506245245534</v>
      </c>
      <c r="D76" s="66">
        <v>-6.3200093525291545E-2</v>
      </c>
      <c r="E76" s="25" t="s">
        <v>6</v>
      </c>
      <c r="F76" s="50" t="str">
        <f t="shared" si="2"/>
        <v>versicolor</v>
      </c>
      <c r="G76" s="52" cm="1">
        <f t="array" ref="G76">$V$6*NMultDensity(A76:B76,$V$8:$V$9,$R$8:$S$9)+$V$19*NMultDensity(A76:B76,$V$21:$V$22,$R$21:$S$22)+$V$32*NMultDensity(A76:B76,$V$34:$V$35,$R$34:$S$35)</f>
        <v>0.17516155005445416</v>
      </c>
      <c r="H76" s="54" cm="1">
        <f t="array" ref="H76">$V$6*NMultDensity(A76:B76,$V$8:$V$9,$R$8:$S$9)/G76</f>
        <v>2.1774069256335775E-71</v>
      </c>
      <c r="I76" s="54" cm="1">
        <f t="array" ref="I76">$V$19*NMultDensity(A76:B76,$V$21:$V$22,$R$21:$S$22)/G76</f>
        <v>0.99795965283447141</v>
      </c>
      <c r="J76" s="48" cm="1">
        <f t="array" ref="J76">$V$32*NMultDensity(A76:B76,$V$34:$V$35,$R$34:$S$35)/G76</f>
        <v>2.0403471655286304E-3</v>
      </c>
      <c r="K76" s="52" t="str">
        <f t="shared" si="3"/>
        <v>versicolor</v>
      </c>
      <c r="L76" s="54" cm="1">
        <f t="array" ref="L76">$V$6*NMultDensity(C76:D76,$V$10:$V$11,$T$10:$U$11)+$V$19*NMultDensity(C76:D76,$V$23:$V$24,$T$23:$U$24)+$V$32*NMultDensity(C76:D76,$V$36:$V$37,$T$36:$U$37)</f>
        <v>0.15791181374401422</v>
      </c>
      <c r="M76" s="54" cm="1">
        <f t="array" ref="M76">$V$6*NMultDensity(C76:D76,$V$10:$V$11,$T$10:$U$11)/L76</f>
        <v>2.4989240157267598E-44</v>
      </c>
      <c r="N76" s="54" cm="1">
        <f t="array" ref="N76">$V$19*NMultDensity(C76:D76,$V$23:$V$24,$T$23:$U$24)/L76</f>
        <v>0.87798317580496699</v>
      </c>
      <c r="O76" s="48" cm="1">
        <f t="array" ref="O76">$V$32*NMultDensity(C76:D76,$V$36:$V$37,$T$36:$U$37)/L76</f>
        <v>0.12201682419503301</v>
      </c>
    </row>
    <row r="77" spans="1:15" x14ac:dyDescent="0.25">
      <c r="A77" s="61">
        <v>0.90017437317216653</v>
      </c>
      <c r="B77" s="62">
        <v>0.3285044738343233</v>
      </c>
      <c r="C77" s="65">
        <v>0.87135453503448501</v>
      </c>
      <c r="D77" s="66">
        <v>0.24995601696389175</v>
      </c>
      <c r="E77" s="25" t="s">
        <v>6</v>
      </c>
      <c r="F77" s="50" t="str">
        <f t="shared" si="2"/>
        <v>versicolor</v>
      </c>
      <c r="G77" s="52" cm="1">
        <f t="array" ref="G77">$V$6*NMultDensity(A77:B77,$V$8:$V$9,$R$8:$S$9)+$V$19*NMultDensity(A77:B77,$V$21:$V$22,$R$21:$S$22)+$V$32*NMultDensity(A77:B77,$V$34:$V$35,$R$34:$S$35)</f>
        <v>0.10820223496638809</v>
      </c>
      <c r="H77" s="54" cm="1">
        <f t="array" ref="H77">$V$6*NMultDensity(A77:B77,$V$8:$V$9,$R$8:$S$9)/G77</f>
        <v>3.3578961734434969E-77</v>
      </c>
      <c r="I77" s="54" cm="1">
        <f t="array" ref="I77">$V$19*NMultDensity(A77:B77,$V$21:$V$22,$R$21:$S$22)/G77</f>
        <v>0.99773850618978854</v>
      </c>
      <c r="J77" s="48" cm="1">
        <f t="array" ref="J77">$V$32*NMultDensity(A77:B77,$V$34:$V$35,$R$34:$S$35)/G77</f>
        <v>2.2614938102114503E-3</v>
      </c>
      <c r="K77" s="52" t="str">
        <f t="shared" si="3"/>
        <v>versicolor</v>
      </c>
      <c r="L77" s="54" cm="1">
        <f t="array" ref="L77">$V$6*NMultDensity(C77:D77,$V$10:$V$11,$T$10:$U$11)+$V$19*NMultDensity(C77:D77,$V$23:$V$24,$T$23:$U$24)+$V$32*NMultDensity(C77:D77,$V$36:$V$37,$T$36:$U$37)</f>
        <v>0.12479966547058154</v>
      </c>
      <c r="M77" s="54" cm="1">
        <f t="array" ref="M77">$V$6*NMultDensity(C77:D77,$V$10:$V$11,$T$10:$U$11)/L77</f>
        <v>1.0430710465650517E-49</v>
      </c>
      <c r="N77" s="54" cm="1">
        <f t="array" ref="N77">$V$19*NMultDensity(C77:D77,$V$23:$V$24,$T$23:$U$24)/L77</f>
        <v>0.79263402925488069</v>
      </c>
      <c r="O77" s="48" cm="1">
        <f t="array" ref="O77">$V$32*NMultDensity(C77:D77,$V$36:$V$37,$T$36:$U$37)/L77</f>
        <v>0.20736597074511937</v>
      </c>
    </row>
    <row r="78" spans="1:15" x14ac:dyDescent="0.25">
      <c r="A78" s="61">
        <v>1.3320244367220875</v>
      </c>
      <c r="B78" s="62">
        <v>0.24444087601634359</v>
      </c>
      <c r="C78" s="65">
        <v>1.2523137488478076</v>
      </c>
      <c r="D78" s="66">
        <v>-7.6998068993453572E-2</v>
      </c>
      <c r="E78" s="25" t="s">
        <v>6</v>
      </c>
      <c r="F78" s="50" t="str">
        <f t="shared" si="2"/>
        <v>versicolor</v>
      </c>
      <c r="G78" s="52" cm="1">
        <f t="array" ref="G78">$V$6*NMultDensity(A78:B78,$V$8:$V$9,$R$8:$S$9)+$V$19*NMultDensity(A78:B78,$V$21:$V$22,$R$21:$S$22)+$V$32*NMultDensity(A78:B78,$V$34:$V$35,$R$34:$S$35)</f>
        <v>0.14487532890015326</v>
      </c>
      <c r="H78" s="54" cm="1">
        <f t="array" ref="H78">$V$6*NMultDensity(A78:B78,$V$8:$V$9,$R$8:$S$9)/G78</f>
        <v>1.4390157813916041E-98</v>
      </c>
      <c r="I78" s="54" cm="1">
        <f t="array" ref="I78">$V$19*NMultDensity(A78:B78,$V$21:$V$22,$R$21:$S$22)/G78</f>
        <v>0.90824057830349381</v>
      </c>
      <c r="J78" s="48" cm="1">
        <f t="array" ref="J78">$V$32*NMultDensity(A78:B78,$V$34:$V$35,$R$34:$S$35)/G78</f>
        <v>9.1759421696506194E-2</v>
      </c>
      <c r="K78" s="52" t="str">
        <f t="shared" si="3"/>
        <v>virginica</v>
      </c>
      <c r="L78" s="54" cm="1">
        <f t="array" ref="L78">$V$6*NMultDensity(C78:D78,$V$10:$V$11,$T$10:$U$11)+$V$19*NMultDensity(C78:D78,$V$23:$V$24,$T$23:$U$24)+$V$32*NMultDensity(C78:D78,$V$36:$V$37,$T$36:$U$37)</f>
        <v>0.13083555245988193</v>
      </c>
      <c r="M78" s="54" cm="1">
        <f t="array" ref="M78">$V$6*NMultDensity(C78:D78,$V$10:$V$11,$T$10:$U$11)/L78</f>
        <v>1.9456839169232101E-62</v>
      </c>
      <c r="N78" s="54" cm="1">
        <f t="array" ref="N78">$V$19*NMultDensity(C78:D78,$V$23:$V$24,$T$23:$U$24)/L78</f>
        <v>0.30557912411337868</v>
      </c>
      <c r="O78" s="48" cm="1">
        <f t="array" ref="O78">$V$32*NMultDensity(C78:D78,$V$36:$V$37,$T$36:$U$37)/L78</f>
        <v>0.69442087588662127</v>
      </c>
    </row>
    <row r="79" spans="1:15" x14ac:dyDescent="0.25">
      <c r="A79" s="61">
        <v>1.5578021550660694</v>
      </c>
      <c r="B79" s="62">
        <v>0.2674954473102546</v>
      </c>
      <c r="C79" s="65">
        <v>1.3538695324131014</v>
      </c>
      <c r="D79" s="66">
        <v>0.33020546273673296</v>
      </c>
      <c r="E79" s="25" t="s">
        <v>6</v>
      </c>
      <c r="F79" s="50" t="str">
        <f t="shared" si="2"/>
        <v>versicolor</v>
      </c>
      <c r="G79" s="52" cm="1">
        <f t="array" ref="G79">$V$6*NMultDensity(A79:B79,$V$8:$V$9,$R$8:$S$9)+$V$19*NMultDensity(A79:B79,$V$21:$V$22,$R$21:$S$22)+$V$32*NMultDensity(A79:B79,$V$34:$V$35,$R$34:$S$35)</f>
        <v>0.10980016138091271</v>
      </c>
      <c r="H79" s="54" cm="1">
        <f t="array" ref="H79">$V$6*NMultDensity(A79:B79,$V$8:$V$9,$R$8:$S$9)/G79</f>
        <v>1.0996081117426276E-109</v>
      </c>
      <c r="I79" s="54" cm="1">
        <f t="array" ref="I79">$V$19*NMultDensity(A79:B79,$V$21:$V$22,$R$21:$S$22)/G79</f>
        <v>0.66395009318322951</v>
      </c>
      <c r="J79" s="48" cm="1">
        <f t="array" ref="J79">$V$32*NMultDensity(A79:B79,$V$34:$V$35,$R$34:$S$35)/G79</f>
        <v>0.33604990681677044</v>
      </c>
      <c r="K79" s="52" t="str">
        <f t="shared" si="3"/>
        <v>virginica</v>
      </c>
      <c r="L79" s="54" cm="1">
        <f t="array" ref="L79">$V$6*NMultDensity(C79:D79,$V$10:$V$11,$T$10:$U$11)+$V$19*NMultDensity(C79:D79,$V$23:$V$24,$T$23:$U$24)+$V$32*NMultDensity(C79:D79,$V$36:$V$37,$T$36:$U$37)</f>
        <v>0.12016221157317852</v>
      </c>
      <c r="M79" s="54" cm="1">
        <f t="array" ref="M79">$V$6*NMultDensity(C79:D79,$V$10:$V$11,$T$10:$U$11)/L79</f>
        <v>2.2453961139673092E-66</v>
      </c>
      <c r="N79" s="54" cm="1">
        <f t="array" ref="N79">$V$19*NMultDensity(C79:D79,$V$23:$V$24,$T$23:$U$24)/L79</f>
        <v>0.24680734347031708</v>
      </c>
      <c r="O79" s="48" cm="1">
        <f t="array" ref="O79">$V$32*NMultDensity(C79:D79,$V$36:$V$37,$T$36:$U$37)/L79</f>
        <v>0.75319265652968292</v>
      </c>
    </row>
    <row r="80" spans="1:15" x14ac:dyDescent="0.25">
      <c r="A80" s="61">
        <v>0.81329064981754073</v>
      </c>
      <c r="B80" s="62">
        <v>-0.16335030068761652</v>
      </c>
      <c r="C80" s="65">
        <v>0.66258066030328633</v>
      </c>
      <c r="D80" s="66">
        <v>-0.22517350248975582</v>
      </c>
      <c r="E80" s="25" t="s">
        <v>6</v>
      </c>
      <c r="F80" s="50" t="str">
        <f t="shared" si="2"/>
        <v>versicolor</v>
      </c>
      <c r="G80" s="52" cm="1">
        <f t="array" ref="G80">$V$6*NMultDensity(A80:B80,$V$8:$V$9,$R$8:$S$9)+$V$19*NMultDensity(A80:B80,$V$21:$V$22,$R$21:$S$22)+$V$32*NMultDensity(A80:B80,$V$34:$V$35,$R$34:$S$35)</f>
        <v>0.2925203835978723</v>
      </c>
      <c r="H80" s="54" cm="1">
        <f t="array" ref="H80">$V$6*NMultDensity(A80:B80,$V$8:$V$9,$R$8:$S$9)/G80</f>
        <v>1.6921393507378144E-79</v>
      </c>
      <c r="I80" s="54" cm="1">
        <f t="array" ref="I80">$V$19*NMultDensity(A80:B80,$V$21:$V$22,$R$21:$S$22)/G80</f>
        <v>0.96429533756763619</v>
      </c>
      <c r="J80" s="48" cm="1">
        <f t="array" ref="J80">$V$32*NMultDensity(A80:B80,$V$34:$V$35,$R$34:$S$35)/G80</f>
        <v>3.5704662432363733E-2</v>
      </c>
      <c r="K80" s="52" t="str">
        <f t="shared" si="3"/>
        <v>versicolor</v>
      </c>
      <c r="L80" s="54" cm="1">
        <f t="array" ref="L80">$V$6*NMultDensity(C80:D80,$V$10:$V$11,$T$10:$U$11)+$V$19*NMultDensity(C80:D80,$V$23:$V$24,$T$23:$U$24)+$V$32*NMultDensity(C80:D80,$V$36:$V$37,$T$36:$U$37)</f>
        <v>0.17087916050460761</v>
      </c>
      <c r="M80" s="54" cm="1">
        <f t="array" ref="M80">$V$6*NMultDensity(C80:D80,$V$10:$V$11,$T$10:$U$11)/L80</f>
        <v>3.6193130901957082E-43</v>
      </c>
      <c r="N80" s="54" cm="1">
        <f t="array" ref="N80">$V$19*NMultDensity(C80:D80,$V$23:$V$24,$T$23:$U$24)/L80</f>
        <v>0.88759189701781283</v>
      </c>
      <c r="O80" s="48" cm="1">
        <f t="array" ref="O80">$V$32*NMultDensity(C80:D80,$V$36:$V$37,$T$36:$U$37)/L80</f>
        <v>0.11240810298218711</v>
      </c>
    </row>
    <row r="81" spans="1:15" x14ac:dyDescent="0.25">
      <c r="A81" s="61">
        <v>-0.30558377802430942</v>
      </c>
      <c r="B81" s="62">
        <v>-0.36826218975458797</v>
      </c>
      <c r="C81" s="65">
        <v>-4.0124191123310435E-2</v>
      </c>
      <c r="D81" s="66">
        <v>-1.0551835832744223</v>
      </c>
      <c r="E81" s="25" t="s">
        <v>6</v>
      </c>
      <c r="F81" s="50" t="str">
        <f t="shared" si="2"/>
        <v>versicolor</v>
      </c>
      <c r="G81" s="52" cm="1">
        <f t="array" ref="G81">$V$6*NMultDensity(A81:B81,$V$8:$V$9,$R$8:$S$9)+$V$19*NMultDensity(A81:B81,$V$21:$V$22,$R$21:$S$22)+$V$32*NMultDensity(A81:B81,$V$34:$V$35,$R$34:$S$35)</f>
        <v>5.4102710031430884E-2</v>
      </c>
      <c r="H81" s="54" cm="1">
        <f t="array" ref="H81">$V$6*NMultDensity(A81:B81,$V$8:$V$9,$R$8:$S$9)/G81</f>
        <v>1.2929628208479447E-38</v>
      </c>
      <c r="I81" s="54" cm="1">
        <f t="array" ref="I81">$V$19*NMultDensity(A81:B81,$V$21:$V$22,$R$21:$S$22)/G81</f>
        <v>0.9999209869088399</v>
      </c>
      <c r="J81" s="48" cm="1">
        <f t="array" ref="J81">$V$32*NMultDensity(A81:B81,$V$34:$V$35,$R$34:$S$35)/G81</f>
        <v>7.9013091160138016E-5</v>
      </c>
      <c r="K81" s="52" t="str">
        <f t="shared" si="3"/>
        <v>versicolor</v>
      </c>
      <c r="L81" s="54" cm="1">
        <f t="array" ref="L81">$V$6*NMultDensity(C81:D81,$V$10:$V$11,$T$10:$U$11)+$V$19*NMultDensity(C81:D81,$V$23:$V$24,$T$23:$U$24)+$V$32*NMultDensity(C81:D81,$V$36:$V$37,$T$36:$U$37)</f>
        <v>8.6159068801426986E-2</v>
      </c>
      <c r="M81" s="54" cm="1">
        <f t="array" ref="M81">$V$6*NMultDensity(C81:D81,$V$10:$V$11,$T$10:$U$11)/L81</f>
        <v>1.4678102555967651E-24</v>
      </c>
      <c r="N81" s="54" cm="1">
        <f t="array" ref="N81">$V$19*NMultDensity(C81:D81,$V$23:$V$24,$T$23:$U$24)/L81</f>
        <v>0.98811774948577658</v>
      </c>
      <c r="O81" s="48" cm="1">
        <f t="array" ref="O81">$V$32*NMultDensity(C81:D81,$V$36:$V$37,$T$36:$U$37)/L81</f>
        <v>1.188225051422348E-2</v>
      </c>
    </row>
    <row r="82" spans="1:15" x14ac:dyDescent="0.25">
      <c r="A82" s="61">
        <v>-6.8126492068363964E-2</v>
      </c>
      <c r="B82" s="62">
        <v>-0.70517213179946558</v>
      </c>
      <c r="C82" s="65">
        <v>0.13035846250741628</v>
      </c>
      <c r="D82" s="66">
        <v>-1.5570555530892793</v>
      </c>
      <c r="E82" s="25" t="s">
        <v>6</v>
      </c>
      <c r="F82" s="50" t="str">
        <f t="shared" si="2"/>
        <v>versicolor</v>
      </c>
      <c r="G82" s="52" cm="1">
        <f t="array" ref="G82">$V$6*NMultDensity(A82:B82,$V$8:$V$9,$R$8:$S$9)+$V$19*NMultDensity(A82:B82,$V$21:$V$22,$R$21:$S$22)+$V$32*NMultDensity(A82:B82,$V$34:$V$35,$R$34:$S$35)</f>
        <v>0.17806585552689194</v>
      </c>
      <c r="H82" s="54" cm="1">
        <f t="array" ref="H82">$V$6*NMultDensity(A82:B82,$V$8:$V$9,$R$8:$S$9)/G82</f>
        <v>2.2346490490244673E-50</v>
      </c>
      <c r="I82" s="54" cm="1">
        <f t="array" ref="I82">$V$19*NMultDensity(A82:B82,$V$21:$V$22,$R$21:$S$22)/G82</f>
        <v>0.9962728587926496</v>
      </c>
      <c r="J82" s="48" cm="1">
        <f t="array" ref="J82">$V$32*NMultDensity(A82:B82,$V$34:$V$35,$R$34:$S$35)/G82</f>
        <v>3.7271412073503381E-3</v>
      </c>
      <c r="K82" s="52" t="str">
        <f t="shared" si="3"/>
        <v>versicolor</v>
      </c>
      <c r="L82" s="54" cm="1">
        <f t="array" ref="L82">$V$6*NMultDensity(C82:D82,$V$10:$V$11,$T$10:$U$11)+$V$19*NMultDensity(C82:D82,$V$23:$V$24,$T$23:$U$24)+$V$32*NMultDensity(C82:D82,$V$36:$V$37,$T$36:$U$37)</f>
        <v>8.0790283994223985E-2</v>
      </c>
      <c r="M82" s="54" cm="1">
        <f t="array" ref="M82">$V$6*NMultDensity(C82:D82,$V$10:$V$11,$T$10:$U$11)/L82</f>
        <v>1.2765489866436269E-28</v>
      </c>
      <c r="N82" s="54" cm="1">
        <f t="array" ref="N82">$V$19*NMultDensity(C82:D82,$V$23:$V$24,$T$23:$U$24)/L82</f>
        <v>0.9741742443972623</v>
      </c>
      <c r="O82" s="48" cm="1">
        <f t="array" ref="O82">$V$32*NMultDensity(C82:D82,$V$36:$V$37,$T$36:$U$37)/L82</f>
        <v>2.5825755602737782E-2</v>
      </c>
    </row>
    <row r="83" spans="1:15" x14ac:dyDescent="0.25">
      <c r="A83" s="61">
        <v>-0.18962247237850222</v>
      </c>
      <c r="B83" s="62">
        <v>-0.68028676352813366</v>
      </c>
      <c r="C83" s="65">
        <v>2.3374382611824562E-2</v>
      </c>
      <c r="D83" s="66">
        <v>-1.5672252436853562</v>
      </c>
      <c r="E83" s="25" t="s">
        <v>6</v>
      </c>
      <c r="F83" s="50" t="str">
        <f t="shared" si="2"/>
        <v>versicolor</v>
      </c>
      <c r="G83" s="52" cm="1">
        <f t="array" ref="G83">$V$6*NMultDensity(A83:B83,$V$8:$V$9,$R$8:$S$9)+$V$19*NMultDensity(A83:B83,$V$21:$V$22,$R$21:$S$22)+$V$32*NMultDensity(A83:B83,$V$34:$V$35,$R$34:$S$35)</f>
        <v>0.15603059342115014</v>
      </c>
      <c r="H83" s="54" cm="1">
        <f t="array" ref="H83">$V$6*NMultDensity(A83:B83,$V$8:$V$9,$R$8:$S$9)/G83</f>
        <v>7.1053564995952696E-46</v>
      </c>
      <c r="I83" s="54" cm="1">
        <f t="array" ref="I83">$V$19*NMultDensity(A83:B83,$V$21:$V$22,$R$21:$S$22)/G83</f>
        <v>0.9985952414562469</v>
      </c>
      <c r="J83" s="48" cm="1">
        <f t="array" ref="J83">$V$32*NMultDensity(A83:B83,$V$34:$V$35,$R$34:$S$35)/G83</f>
        <v>1.404758543753093E-3</v>
      </c>
      <c r="K83" s="52" t="str">
        <f t="shared" si="3"/>
        <v>versicolor</v>
      </c>
      <c r="L83" s="54" cm="1">
        <f t="array" ref="L83">$V$6*NMultDensity(C83:D83,$V$10:$V$11,$T$10:$U$11)+$V$19*NMultDensity(C83:D83,$V$23:$V$24,$T$23:$U$24)+$V$32*NMultDensity(C83:D83,$V$36:$V$37,$T$36:$U$37)</f>
        <v>7.3392155003448409E-2</v>
      </c>
      <c r="M83" s="54" cm="1">
        <f t="array" ref="M83">$V$6*NMultDensity(C83:D83,$V$10:$V$11,$T$10:$U$11)/L83</f>
        <v>4.3630423589087891E-26</v>
      </c>
      <c r="N83" s="54" cm="1">
        <f t="array" ref="N83">$V$19*NMultDensity(C83:D83,$V$23:$V$24,$T$23:$U$24)/L83</f>
        <v>0.98239392377751722</v>
      </c>
      <c r="O83" s="48" cm="1">
        <f t="array" ref="O83">$V$32*NMultDensity(C83:D83,$V$36:$V$37,$T$36:$U$37)/L83</f>
        <v>1.7606076222482774E-2</v>
      </c>
    </row>
    <row r="84" spans="1:15" x14ac:dyDescent="0.25">
      <c r="A84" s="61">
        <v>0.13642871155801445</v>
      </c>
      <c r="B84" s="62">
        <v>-0.31403243824923688</v>
      </c>
      <c r="C84" s="65">
        <v>0.24073179900705793</v>
      </c>
      <c r="D84" s="66">
        <v>-0.77466119543134604</v>
      </c>
      <c r="E84" s="25" t="s">
        <v>6</v>
      </c>
      <c r="F84" s="50" t="str">
        <f t="shared" si="2"/>
        <v>versicolor</v>
      </c>
      <c r="G84" s="52" cm="1">
        <f t="array" ref="G84">$V$6*NMultDensity(A84:B84,$V$8:$V$9,$R$8:$S$9)+$V$19*NMultDensity(A84:B84,$V$21:$V$22,$R$21:$S$22)+$V$32*NMultDensity(A84:B84,$V$34:$V$35,$R$34:$S$35)</f>
        <v>0.22376342535084467</v>
      </c>
      <c r="H84" s="54" cm="1">
        <f t="array" ref="H84">$V$6*NMultDensity(A84:B84,$V$8:$V$9,$R$8:$S$9)/G84</f>
        <v>1.1791580521344266E-53</v>
      </c>
      <c r="I84" s="54" cm="1">
        <f t="array" ref="I84">$V$19*NMultDensity(A84:B84,$V$21:$V$22,$R$21:$S$22)/G84</f>
        <v>0.99907384104496888</v>
      </c>
      <c r="J84" s="48" cm="1">
        <f t="array" ref="J84">$V$32*NMultDensity(A84:B84,$V$34:$V$35,$R$34:$S$35)/G84</f>
        <v>9.261589550311354E-4</v>
      </c>
      <c r="K84" s="52" t="str">
        <f t="shared" si="3"/>
        <v>versicolor</v>
      </c>
      <c r="L84" s="54" cm="1">
        <f t="array" ref="L84">$V$6*NMultDensity(C84:D84,$V$10:$V$11,$T$10:$U$11)+$V$19*NMultDensity(C84:D84,$V$23:$V$24,$T$23:$U$24)+$V$32*NMultDensity(C84:D84,$V$36:$V$37,$T$36:$U$37)</f>
        <v>0.1469199888496098</v>
      </c>
      <c r="M84" s="54" cm="1">
        <f t="array" ref="M84">$V$6*NMultDensity(C84:D84,$V$10:$V$11,$T$10:$U$11)/L84</f>
        <v>2.0058298906059035E-31</v>
      </c>
      <c r="N84" s="54" cm="1">
        <f t="array" ref="N84">$V$19*NMultDensity(C84:D84,$V$23:$V$24,$T$23:$U$24)/L84</f>
        <v>0.97198480984178137</v>
      </c>
      <c r="O84" s="48" cm="1">
        <f t="array" ref="O84">$V$32*NMultDensity(C84:D84,$V$36:$V$37,$T$36:$U$37)/L84</f>
        <v>2.801519015821869E-2</v>
      </c>
    </row>
    <row r="85" spans="1:15" x14ac:dyDescent="0.25">
      <c r="A85" s="61">
        <v>1.3800264359155103</v>
      </c>
      <c r="B85" s="62">
        <v>-0.42095428731388251</v>
      </c>
      <c r="C85" s="65">
        <v>1.0575517121109415</v>
      </c>
      <c r="D85" s="66">
        <v>-0.63172690078084692</v>
      </c>
      <c r="E85" s="25" t="s">
        <v>6</v>
      </c>
      <c r="F85" s="50" t="str">
        <f t="shared" si="2"/>
        <v>virginica</v>
      </c>
      <c r="G85" s="52" cm="1">
        <f t="array" ref="G85">$V$6*NMultDensity(A85:B85,$V$8:$V$9,$R$8:$S$9)+$V$19*NMultDensity(A85:B85,$V$21:$V$22,$R$21:$S$22)+$V$32*NMultDensity(A85:B85,$V$34:$V$35,$R$34:$S$35)</f>
        <v>0.15732916486621293</v>
      </c>
      <c r="H85" s="54" cm="1">
        <f t="array" ref="H85">$V$6*NMultDensity(A85:B85,$V$8:$V$9,$R$8:$S$9)/G85</f>
        <v>3.5164215848635414E-110</v>
      </c>
      <c r="I85" s="54" cm="1">
        <f t="array" ref="I85">$V$19*NMultDensity(A85:B85,$V$21:$V$22,$R$21:$S$22)/G85</f>
        <v>4.4172265043884905E-2</v>
      </c>
      <c r="J85" s="48" cm="1">
        <f t="array" ref="J85">$V$32*NMultDensity(A85:B85,$V$34:$V$35,$R$34:$S$35)/G85</f>
        <v>0.95582773495611506</v>
      </c>
      <c r="K85" s="52" t="str">
        <f t="shared" si="3"/>
        <v>virginica</v>
      </c>
      <c r="L85" s="54" cm="1">
        <f t="array" ref="L85">$V$6*NMultDensity(C85:D85,$V$10:$V$11,$T$10:$U$11)+$V$19*NMultDensity(C85:D85,$V$23:$V$24,$T$23:$U$24)+$V$32*NMultDensity(C85:D85,$V$36:$V$37,$T$36:$U$37)</f>
        <v>0.10983684489914138</v>
      </c>
      <c r="M85" s="54" cm="1">
        <f t="array" ref="M85">$V$6*NMultDensity(C85:D85,$V$10:$V$11,$T$10:$U$11)/L85</f>
        <v>2.2963324591935E-55</v>
      </c>
      <c r="N85" s="54" cm="1">
        <f t="array" ref="N85">$V$19*NMultDensity(C85:D85,$V$23:$V$24,$T$23:$U$24)/L85</f>
        <v>0.46662292660285021</v>
      </c>
      <c r="O85" s="48" cm="1">
        <f t="array" ref="O85">$V$32*NMultDensity(C85:D85,$V$36:$V$37,$T$36:$U$37)/L85</f>
        <v>0.53337707339714979</v>
      </c>
    </row>
    <row r="86" spans="1:15" x14ac:dyDescent="0.25">
      <c r="A86" s="61">
        <v>0.58800644333986296</v>
      </c>
      <c r="B86" s="62">
        <v>-0.4842874199812191</v>
      </c>
      <c r="C86" s="65">
        <v>0.22323092910901954</v>
      </c>
      <c r="D86" s="66">
        <v>-0.28681266290988461</v>
      </c>
      <c r="E86" s="25" t="s">
        <v>6</v>
      </c>
      <c r="F86" s="50" t="str">
        <f t="shared" si="2"/>
        <v>versicolor</v>
      </c>
      <c r="G86" s="52" cm="1">
        <f t="array" ref="G86">$V$6*NMultDensity(A86:B86,$V$8:$V$9,$R$8:$S$9)+$V$19*NMultDensity(A86:B86,$V$21:$V$22,$R$21:$S$22)+$V$32*NMultDensity(A86:B86,$V$34:$V$35,$R$34:$S$35)</f>
        <v>0.21416488074640147</v>
      </c>
      <c r="H86" s="54" cm="1">
        <f t="array" ref="H86">$V$6*NMultDensity(A86:B86,$V$8:$V$9,$R$8:$S$9)/G86</f>
        <v>1.8153621895770805E-73</v>
      </c>
      <c r="I86" s="54" cm="1">
        <f t="array" ref="I86">$V$19*NMultDensity(A86:B86,$V$21:$V$22,$R$21:$S$22)/G86</f>
        <v>0.9314580662385088</v>
      </c>
      <c r="J86" s="48" cm="1">
        <f t="array" ref="J86">$V$32*NMultDensity(A86:B86,$V$34:$V$35,$R$34:$S$35)/G86</f>
        <v>6.8541933761491133E-2</v>
      </c>
      <c r="K86" s="52" t="str">
        <f t="shared" si="3"/>
        <v>versicolor</v>
      </c>
      <c r="L86" s="54" cm="1">
        <f t="array" ref="L86">$V$6*NMultDensity(C86:D86,$V$10:$V$11,$T$10:$U$11)+$V$19*NMultDensity(C86:D86,$V$23:$V$24,$T$23:$U$24)+$V$32*NMultDensity(C86:D86,$V$36:$V$37,$T$36:$U$37)</f>
        <v>0.10626047320749442</v>
      </c>
      <c r="M86" s="54" cm="1">
        <f t="array" ref="M86">$V$6*NMultDensity(C86:D86,$V$10:$V$11,$T$10:$U$11)/L86</f>
        <v>6.6821445067188399E-31</v>
      </c>
      <c r="N86" s="54" cm="1">
        <f t="array" ref="N86">$V$19*NMultDensity(C86:D86,$V$23:$V$24,$T$23:$U$24)/L86</f>
        <v>0.97729643329086746</v>
      </c>
      <c r="O86" s="48" cm="1">
        <f t="array" ref="O86">$V$32*NMultDensity(C86:D86,$V$36:$V$37,$T$36:$U$37)/L86</f>
        <v>2.2703566709132622E-2</v>
      </c>
    </row>
    <row r="87" spans="1:15" x14ac:dyDescent="0.25">
      <c r="A87" s="61">
        <v>0.8068583125004114</v>
      </c>
      <c r="B87" s="62">
        <v>0.19418231471315028</v>
      </c>
      <c r="C87" s="65">
        <v>0.42770625971127019</v>
      </c>
      <c r="D87" s="66">
        <v>0.84275892003182362</v>
      </c>
      <c r="E87" s="25" t="s">
        <v>6</v>
      </c>
      <c r="F87" s="50" t="str">
        <f t="shared" si="2"/>
        <v>versicolor</v>
      </c>
      <c r="G87" s="52" cm="1">
        <f t="array" ref="G87">$V$6*NMultDensity(A87:B87,$V$8:$V$9,$R$8:$S$9)+$V$19*NMultDensity(A87:B87,$V$21:$V$22,$R$21:$S$22)+$V$32*NMultDensity(A87:B87,$V$34:$V$35,$R$34:$S$35)</f>
        <v>0.16941331962824491</v>
      </c>
      <c r="H87" s="54" cm="1">
        <f t="array" ref="H87">$V$6*NMultDensity(A87:B87,$V$8:$V$9,$R$8:$S$9)/G87</f>
        <v>8.2160967092412098E-75</v>
      </c>
      <c r="I87" s="54" cm="1">
        <f t="array" ref="I87">$V$19*NMultDensity(A87:B87,$V$21:$V$22,$R$21:$S$22)/G87</f>
        <v>0.99712032663239814</v>
      </c>
      <c r="J87" s="48" cm="1">
        <f t="array" ref="J87">$V$32*NMultDensity(A87:B87,$V$34:$V$35,$R$34:$S$35)/G87</f>
        <v>2.8796733676018337E-3</v>
      </c>
      <c r="K87" s="52" t="str">
        <f t="shared" si="3"/>
        <v>versicolor</v>
      </c>
      <c r="L87" s="54" cm="1">
        <f t="array" ref="L87">$V$6*NMultDensity(C87:D87,$V$10:$V$11,$T$10:$U$11)+$V$19*NMultDensity(C87:D87,$V$23:$V$24,$T$23:$U$24)+$V$32*NMultDensity(C87:D87,$V$36:$V$37,$T$36:$U$37)</f>
        <v>1.8279686433331662E-2</v>
      </c>
      <c r="M87" s="54" cm="1">
        <f t="array" ref="M87">$V$6*NMultDensity(C87:D87,$V$10:$V$11,$T$10:$U$11)/L87</f>
        <v>3.8904757007702254E-36</v>
      </c>
      <c r="N87" s="54" cm="1">
        <f t="array" ref="N87">$V$19*NMultDensity(C87:D87,$V$23:$V$24,$T$23:$U$24)/L87</f>
        <v>0.96401518256654362</v>
      </c>
      <c r="O87" s="48" cm="1">
        <f t="array" ref="O87">$V$32*NMultDensity(C87:D87,$V$36:$V$37,$T$36:$U$37)/L87</f>
        <v>3.5984817433456461E-2</v>
      </c>
    </row>
    <row r="88" spans="1:15" x14ac:dyDescent="0.25">
      <c r="A88" s="61">
        <v>1.2206908824443521</v>
      </c>
      <c r="B88" s="62">
        <v>0.40761959361100708</v>
      </c>
      <c r="C88" s="65">
        <v>1.0452264452692621</v>
      </c>
      <c r="D88" s="66">
        <v>0.52030871421089164</v>
      </c>
      <c r="E88" s="25" t="s">
        <v>6</v>
      </c>
      <c r="F88" s="50" t="str">
        <f t="shared" si="2"/>
        <v>versicolor</v>
      </c>
      <c r="G88" s="52" cm="1">
        <f t="array" ref="G88">$V$6*NMultDensity(A88:B88,$V$8:$V$9,$R$8:$S$9)+$V$19*NMultDensity(A88:B88,$V$21:$V$22,$R$21:$S$22)+$V$32*NMultDensity(A88:B88,$V$34:$V$35,$R$34:$S$35)</f>
        <v>0.10469087532912499</v>
      </c>
      <c r="H88" s="54" cm="1">
        <f t="array" ref="H88">$V$6*NMultDensity(A88:B88,$V$8:$V$9,$R$8:$S$9)/G88</f>
        <v>5.3937371528757003E-91</v>
      </c>
      <c r="I88" s="54" cm="1">
        <f t="array" ref="I88">$V$19*NMultDensity(A88:B88,$V$21:$V$22,$R$21:$S$22)/G88</f>
        <v>0.98633982989682312</v>
      </c>
      <c r="J88" s="48" cm="1">
        <f t="array" ref="J88">$V$32*NMultDensity(A88:B88,$V$34:$V$35,$R$34:$S$35)/G88</f>
        <v>1.3660170103176897E-2</v>
      </c>
      <c r="K88" s="52" t="str">
        <f t="shared" si="3"/>
        <v>versicolor</v>
      </c>
      <c r="L88" s="54" cm="1">
        <f t="array" ref="L88">$V$6*NMultDensity(C88:D88,$V$10:$V$11,$T$10:$U$11)+$V$19*NMultDensity(C88:D88,$V$23:$V$24,$T$23:$U$24)+$V$32*NMultDensity(C88:D88,$V$36:$V$37,$T$36:$U$37)</f>
        <v>9.4293323375638533E-2</v>
      </c>
      <c r="M88" s="54" cm="1">
        <f t="array" ref="M88">$V$6*NMultDensity(C88:D88,$V$10:$V$11,$T$10:$U$11)/L88</f>
        <v>1.6710546990372221E-55</v>
      </c>
      <c r="N88" s="54" cm="1">
        <f t="array" ref="N88">$V$19*NMultDensity(C88:D88,$V$23:$V$24,$T$23:$U$24)/L88</f>
        <v>0.65429091110592463</v>
      </c>
      <c r="O88" s="48" cm="1">
        <f t="array" ref="O88">$V$32*NMultDensity(C88:D88,$V$36:$V$37,$T$36:$U$37)/L88</f>
        <v>0.34570908889407537</v>
      </c>
    </row>
    <row r="89" spans="1:15" x14ac:dyDescent="0.25">
      <c r="A89" s="61">
        <v>0.81509523576659915</v>
      </c>
      <c r="B89" s="62">
        <v>-0.37203705990950153</v>
      </c>
      <c r="C89" s="65">
        <v>1.0410437907387131</v>
      </c>
      <c r="D89" s="66">
        <v>-1.3783710478047464</v>
      </c>
      <c r="E89" s="25" t="s">
        <v>6</v>
      </c>
      <c r="F89" s="50" t="str">
        <f t="shared" si="2"/>
        <v>versicolor</v>
      </c>
      <c r="G89" s="52" cm="1">
        <f t="array" ref="G89">$V$6*NMultDensity(A89:B89,$V$8:$V$9,$R$8:$S$9)+$V$19*NMultDensity(A89:B89,$V$21:$V$22,$R$21:$S$22)+$V$32*NMultDensity(A89:B89,$V$34:$V$35,$R$34:$S$35)</f>
        <v>0.19885862120750208</v>
      </c>
      <c r="H89" s="54" cm="1">
        <f t="array" ref="H89">$V$6*NMultDensity(A89:B89,$V$8:$V$9,$R$8:$S$9)/G89</f>
        <v>5.1676653614990159E-82</v>
      </c>
      <c r="I89" s="54" cm="1">
        <f t="array" ref="I89">$V$19*NMultDensity(A89:B89,$V$21:$V$22,$R$21:$S$22)/G89</f>
        <v>0.85267248167292875</v>
      </c>
      <c r="J89" s="48" cm="1">
        <f t="array" ref="J89">$V$32*NMultDensity(A89:B89,$V$34:$V$35,$R$34:$S$35)/G89</f>
        <v>0.14732751832707131</v>
      </c>
      <c r="K89" s="52" t="str">
        <f t="shared" si="3"/>
        <v>virginica</v>
      </c>
      <c r="L89" s="54" cm="1">
        <f t="array" ref="L89">$V$6*NMultDensity(C89:D89,$V$10:$V$11,$T$10:$U$11)+$V$19*NMultDensity(C89:D89,$V$23:$V$24,$T$23:$U$24)+$V$32*NMultDensity(C89:D89,$V$36:$V$37,$T$36:$U$37)</f>
        <v>3.3006973330748125E-2</v>
      </c>
      <c r="M89" s="54" cm="1">
        <f t="array" ref="M89">$V$6*NMultDensity(C89:D89,$V$10:$V$11,$T$10:$U$11)/L89</f>
        <v>3.020012243958404E-54</v>
      </c>
      <c r="N89" s="54" cm="1">
        <f t="array" ref="N89">$V$19*NMultDensity(C89:D89,$V$23:$V$24,$T$23:$U$24)/L89</f>
        <v>0.34415616302476459</v>
      </c>
      <c r="O89" s="48" cm="1">
        <f t="array" ref="O89">$V$32*NMultDensity(C89:D89,$V$36:$V$37,$T$36:$U$37)/L89</f>
        <v>0.65584383697523529</v>
      </c>
    </row>
    <row r="90" spans="1:15" x14ac:dyDescent="0.25">
      <c r="A90" s="61">
        <v>0.24595767988669195</v>
      </c>
      <c r="B90" s="62">
        <v>-0.26852439662201544</v>
      </c>
      <c r="C90" s="65">
        <v>6.9355972150176665E-2</v>
      </c>
      <c r="D90" s="66">
        <v>-0.21877043332070037</v>
      </c>
      <c r="E90" s="25" t="s">
        <v>6</v>
      </c>
      <c r="F90" s="50" t="str">
        <f t="shared" si="2"/>
        <v>versicolor</v>
      </c>
      <c r="G90" s="52" cm="1">
        <f t="array" ref="G90">$V$6*NMultDensity(A90:B90,$V$8:$V$9,$R$8:$S$9)+$V$19*NMultDensity(A90:B90,$V$21:$V$22,$R$21:$S$22)+$V$32*NMultDensity(A90:B90,$V$34:$V$35,$R$34:$S$35)</f>
        <v>0.25655822333199113</v>
      </c>
      <c r="H90" s="54" cm="1">
        <f t="array" ref="H90">$V$6*NMultDensity(A90:B90,$V$8:$V$9,$R$8:$S$9)/G90</f>
        <v>2.6548976671730408E-57</v>
      </c>
      <c r="I90" s="54" cm="1">
        <f t="array" ref="I90">$V$19*NMultDensity(A90:B90,$V$21:$V$22,$R$21:$S$22)/G90</f>
        <v>0.99859151757142539</v>
      </c>
      <c r="J90" s="48" cm="1">
        <f t="array" ref="J90">$V$32*NMultDensity(A90:B90,$V$34:$V$35,$R$34:$S$35)/G90</f>
        <v>1.4084824285746026E-3</v>
      </c>
      <c r="K90" s="52" t="str">
        <f t="shared" si="3"/>
        <v>versicolor</v>
      </c>
      <c r="L90" s="54" cm="1">
        <f t="array" ref="L90">$V$6*NMultDensity(C90:D90,$V$10:$V$11,$T$10:$U$11)+$V$19*NMultDensity(C90:D90,$V$23:$V$24,$T$23:$U$24)+$V$32*NMultDensity(C90:D90,$V$36:$V$37,$T$36:$U$37)</f>
        <v>6.0761866916037618E-2</v>
      </c>
      <c r="M90" s="54" cm="1">
        <f t="array" ref="M90">$V$6*NMultDensity(C90:D90,$V$10:$V$11,$T$10:$U$11)/L90</f>
        <v>6.2560589066583492E-27</v>
      </c>
      <c r="N90" s="54" cm="1">
        <f t="array" ref="N90">$V$19*NMultDensity(C90:D90,$V$23:$V$24,$T$23:$U$24)/L90</f>
        <v>0.98625667380984172</v>
      </c>
      <c r="O90" s="48" cm="1">
        <f t="array" ref="O90">$V$32*NMultDensity(C90:D90,$V$36:$V$37,$T$36:$U$37)/L90</f>
        <v>1.3743326190158259E-2</v>
      </c>
    </row>
    <row r="91" spans="1:15" x14ac:dyDescent="0.25">
      <c r="A91" s="61">
        <v>0.1664132171454564</v>
      </c>
      <c r="B91" s="62">
        <v>-0.68192672486362693</v>
      </c>
      <c r="C91" s="65">
        <v>0.28253073401486173</v>
      </c>
      <c r="D91" s="66">
        <v>-1.3248861470823279</v>
      </c>
      <c r="E91" s="25" t="s">
        <v>6</v>
      </c>
      <c r="F91" s="50" t="str">
        <f t="shared" si="2"/>
        <v>versicolor</v>
      </c>
      <c r="G91" s="52" cm="1">
        <f t="array" ref="G91">$V$6*NMultDensity(A91:B91,$V$8:$V$9,$R$8:$S$9)+$V$19*NMultDensity(A91:B91,$V$21:$V$22,$R$21:$S$22)+$V$32*NMultDensity(A91:B91,$V$34:$V$35,$R$34:$S$35)</f>
        <v>0.19150207937744743</v>
      </c>
      <c r="H91" s="54" cm="1">
        <f t="array" ref="H91">$V$6*NMultDensity(A91:B91,$V$8:$V$9,$R$8:$S$9)/G91</f>
        <v>9.6076446087353641E-59</v>
      </c>
      <c r="I91" s="54" cm="1">
        <f t="array" ref="I91">$V$19*NMultDensity(A91:B91,$V$21:$V$22,$R$21:$S$22)/G91</f>
        <v>0.98464523769634404</v>
      </c>
      <c r="J91" s="48" cm="1">
        <f t="array" ref="J91">$V$32*NMultDensity(A91:B91,$V$34:$V$35,$R$34:$S$35)/G91</f>
        <v>1.5354762303655945E-2</v>
      </c>
      <c r="K91" s="52" t="str">
        <f t="shared" si="3"/>
        <v>versicolor</v>
      </c>
      <c r="L91" s="54" cm="1">
        <f t="array" ref="L91">$V$6*NMultDensity(C91:D91,$V$10:$V$11,$T$10:$U$11)+$V$19*NMultDensity(C91:D91,$V$23:$V$24,$T$23:$U$24)+$V$32*NMultDensity(C91:D91,$V$36:$V$37,$T$36:$U$37)</f>
        <v>0.11159229024036869</v>
      </c>
      <c r="M91" s="54" cm="1">
        <f t="array" ref="M91">$V$6*NMultDensity(C91:D91,$V$10:$V$11,$T$10:$U$11)/L91</f>
        <v>1.9365159202662102E-32</v>
      </c>
      <c r="N91" s="54" cm="1">
        <f t="array" ref="N91">$V$19*NMultDensity(C91:D91,$V$23:$V$24,$T$23:$U$24)/L91</f>
        <v>0.95868315245445468</v>
      </c>
      <c r="O91" s="48" cm="1">
        <f t="array" ref="O91">$V$32*NMultDensity(C91:D91,$V$36:$V$37,$T$36:$U$37)/L91</f>
        <v>4.1316847545545342E-2</v>
      </c>
    </row>
    <row r="92" spans="1:15" x14ac:dyDescent="0.25">
      <c r="A92" s="61">
        <v>0.46480028840377868</v>
      </c>
      <c r="B92" s="62">
        <v>-0.6707115445117211</v>
      </c>
      <c r="C92" s="65">
        <v>0.27814596118011942</v>
      </c>
      <c r="D92" s="66">
        <v>-1.1162888521211805</v>
      </c>
      <c r="E92" s="25" t="s">
        <v>6</v>
      </c>
      <c r="F92" s="50" t="str">
        <f t="shared" si="2"/>
        <v>versicolor</v>
      </c>
      <c r="G92" s="52" cm="1">
        <f t="array" ref="G92">$V$6*NMultDensity(A92:B92,$V$8:$V$9,$R$8:$S$9)+$V$19*NMultDensity(A92:B92,$V$21:$V$22,$R$21:$S$22)+$V$32*NMultDensity(A92:B92,$V$34:$V$35,$R$34:$S$35)</f>
        <v>0.13242042489144365</v>
      </c>
      <c r="H92" s="54" cm="1">
        <f t="array" ref="H92">$V$6*NMultDensity(A92:B92,$V$8:$V$9,$R$8:$S$9)/G92</f>
        <v>2.2953196990898412E-70</v>
      </c>
      <c r="I92" s="54" cm="1">
        <f t="array" ref="I92">$V$19*NMultDensity(A92:B92,$V$21:$V$22,$R$21:$S$22)/G92</f>
        <v>0.89277431259911988</v>
      </c>
      <c r="J92" s="48" cm="1">
        <f t="array" ref="J92">$V$32*NMultDensity(A92:B92,$V$34:$V$35,$R$34:$S$35)/G92</f>
        <v>0.10722568740088009</v>
      </c>
      <c r="K92" s="52" t="str">
        <f t="shared" si="3"/>
        <v>versicolor</v>
      </c>
      <c r="L92" s="54" cm="1">
        <f t="array" ref="L92">$V$6*NMultDensity(C92:D92,$V$10:$V$11,$T$10:$U$11)+$V$19*NMultDensity(C92:D92,$V$23:$V$24,$T$23:$U$24)+$V$32*NMultDensity(C92:D92,$V$36:$V$37,$T$36:$U$37)</f>
        <v>0.13576515959631302</v>
      </c>
      <c r="M92" s="54" cm="1">
        <f t="array" ref="M92">$V$6*NMultDensity(C92:D92,$V$10:$V$11,$T$10:$U$11)/L92</f>
        <v>2.2868704380112882E-32</v>
      </c>
      <c r="N92" s="54" cm="1">
        <f t="array" ref="N92">$V$19*NMultDensity(C92:D92,$V$23:$V$24,$T$23:$U$24)/L92</f>
        <v>0.9631085578797326</v>
      </c>
      <c r="O92" s="48" cm="1">
        <f t="array" ref="O92">$V$32*NMultDensity(C92:D92,$V$36:$V$37,$T$36:$U$37)/L92</f>
        <v>3.68914421202673E-2</v>
      </c>
    </row>
    <row r="93" spans="1:15" x14ac:dyDescent="0.25">
      <c r="A93" s="61">
        <v>0.89081519846944868</v>
      </c>
      <c r="B93" s="62">
        <v>-3.4464444368269322E-2</v>
      </c>
      <c r="C93" s="65">
        <v>0.6224844107468791</v>
      </c>
      <c r="D93" s="66">
        <v>2.4839813565090033E-2</v>
      </c>
      <c r="E93" s="25" t="s">
        <v>6</v>
      </c>
      <c r="F93" s="50" t="str">
        <f t="shared" si="2"/>
        <v>versicolor</v>
      </c>
      <c r="G93" s="52" cm="1">
        <f t="array" ref="G93">$V$6*NMultDensity(A93:B93,$V$8:$V$9,$R$8:$S$9)+$V$19*NMultDensity(A93:B93,$V$21:$V$22,$R$21:$S$22)+$V$32*NMultDensity(A93:B93,$V$34:$V$35,$R$34:$S$35)</f>
        <v>0.28003741413959898</v>
      </c>
      <c r="H93" s="54" cm="1">
        <f t="array" ref="H93">$V$6*NMultDensity(A93:B93,$V$8:$V$9,$R$8:$S$9)/G93</f>
        <v>2.1626877434748606E-81</v>
      </c>
      <c r="I93" s="54" cm="1">
        <f t="array" ref="I93">$V$19*NMultDensity(A93:B93,$V$21:$V$22,$R$21:$S$22)/G93</f>
        <v>0.97457288893321881</v>
      </c>
      <c r="J93" s="48" cm="1">
        <f t="array" ref="J93">$V$32*NMultDensity(A93:B93,$V$34:$V$35,$R$34:$S$35)/G93</f>
        <v>2.5427111066781225E-2</v>
      </c>
      <c r="K93" s="52" t="str">
        <f t="shared" si="3"/>
        <v>versicolor</v>
      </c>
      <c r="L93" s="54" cm="1">
        <f t="array" ref="L93">$V$6*NMultDensity(C93:D93,$V$10:$V$11,$T$10:$U$11)+$V$19*NMultDensity(C93:D93,$V$23:$V$24,$T$23:$U$24)+$V$32*NMultDensity(C93:D93,$V$36:$V$37,$T$36:$U$37)</f>
        <v>0.14225969426368981</v>
      </c>
      <c r="M93" s="54" cm="1">
        <f t="array" ref="M93">$V$6*NMultDensity(C93:D93,$V$10:$V$11,$T$10:$U$11)/L93</f>
        <v>5.1832748250671861E-42</v>
      </c>
      <c r="N93" s="54" cm="1">
        <f t="array" ref="N93">$V$19*NMultDensity(C93:D93,$V$23:$V$24,$T$23:$U$24)/L93</f>
        <v>0.91251331291678128</v>
      </c>
      <c r="O93" s="48" cm="1">
        <f t="array" ref="O93">$V$32*NMultDensity(C93:D93,$V$36:$V$37,$T$36:$U$37)/L93</f>
        <v>8.7486687083218759E-2</v>
      </c>
    </row>
    <row r="94" spans="1:15" x14ac:dyDescent="0.25">
      <c r="A94" s="61">
        <v>0.23054802355945489</v>
      </c>
      <c r="B94" s="62">
        <v>-0.4043858480073253</v>
      </c>
      <c r="C94" s="65">
        <v>0.33540672635971353</v>
      </c>
      <c r="D94" s="66">
        <v>-0.98510382809765851</v>
      </c>
      <c r="E94" s="25" t="s">
        <v>6</v>
      </c>
      <c r="F94" s="50" t="str">
        <f t="shared" si="2"/>
        <v>versicolor</v>
      </c>
      <c r="G94" s="52" cm="1">
        <f t="array" ref="G94">$V$6*NMultDensity(A94:B94,$V$8:$V$9,$R$8:$S$9)+$V$19*NMultDensity(A94:B94,$V$21:$V$22,$R$21:$S$22)+$V$32*NMultDensity(A94:B94,$V$34:$V$35,$R$34:$S$35)</f>
        <v>0.28818286533034471</v>
      </c>
      <c r="H94" s="54" cm="1">
        <f t="array" ref="H94">$V$6*NMultDensity(A94:B94,$V$8:$V$9,$R$8:$S$9)/G94</f>
        <v>3.0883802180734374E-58</v>
      </c>
      <c r="I94" s="54" cm="1">
        <f t="array" ref="I94">$V$19*NMultDensity(A94:B94,$V$21:$V$22,$R$21:$S$22)/G94</f>
        <v>0.99672251915768495</v>
      </c>
      <c r="J94" s="48" cm="1">
        <f t="array" ref="J94">$V$32*NMultDensity(A94:B94,$V$34:$V$35,$R$34:$S$35)/G94</f>
        <v>3.2774808423149701E-3</v>
      </c>
      <c r="K94" s="52" t="str">
        <f t="shared" si="3"/>
        <v>versicolor</v>
      </c>
      <c r="L94" s="54" cm="1">
        <f t="array" ref="L94">$V$6*NMultDensity(C94:D94,$V$10:$V$11,$T$10:$U$11)+$V$19*NMultDensity(C94:D94,$V$23:$V$24,$T$23:$U$24)+$V$32*NMultDensity(C94:D94,$V$36:$V$37,$T$36:$U$37)</f>
        <v>0.15094073721800375</v>
      </c>
      <c r="M94" s="54" cm="1">
        <f t="array" ref="M94">$V$6*NMultDensity(C94:D94,$V$10:$V$11,$T$10:$U$11)/L94</f>
        <v>7.0965888048391444E-34</v>
      </c>
      <c r="N94" s="54" cm="1">
        <f t="array" ref="N94">$V$19*NMultDensity(C94:D94,$V$23:$V$24,$T$23:$U$24)/L94</f>
        <v>0.95665532406826692</v>
      </c>
      <c r="O94" s="48" cm="1">
        <f t="array" ref="O94">$V$32*NMultDensity(C94:D94,$V$36:$V$37,$T$36:$U$37)/L94</f>
        <v>4.3344675931733044E-2</v>
      </c>
    </row>
    <row r="95" spans="1:15" x14ac:dyDescent="0.25">
      <c r="A95" s="61">
        <v>-0.70453175924466394</v>
      </c>
      <c r="B95" s="62">
        <v>-1.0122482275317144</v>
      </c>
      <c r="C95" s="65">
        <v>-0.36097408780554829</v>
      </c>
      <c r="D95" s="66">
        <v>-2.0124958247898674</v>
      </c>
      <c r="E95" s="25" t="s">
        <v>6</v>
      </c>
      <c r="F95" s="50" t="str">
        <f t="shared" si="2"/>
        <v>versicolor</v>
      </c>
      <c r="G95" s="52" cm="1">
        <f t="array" ref="G95">$V$6*NMultDensity(A95:B95,$V$8:$V$9,$R$8:$S$9)+$V$19*NMultDensity(A95:B95,$V$21:$V$22,$R$21:$S$22)+$V$32*NMultDensity(A95:B95,$V$34:$V$35,$R$34:$S$35)</f>
        <v>3.6522245697940117E-2</v>
      </c>
      <c r="H95" s="54" cm="1">
        <f t="array" ref="H95">$V$6*NMultDensity(A95:B95,$V$8:$V$9,$R$8:$S$9)/G95</f>
        <v>1.1761222845269963E-32</v>
      </c>
      <c r="I95" s="54" cm="1">
        <f t="array" ref="I95">$V$19*NMultDensity(A95:B95,$V$21:$V$22,$R$21:$S$22)/G95</f>
        <v>0.9994231597214569</v>
      </c>
      <c r="J95" s="48" cm="1">
        <f t="array" ref="J95">$V$32*NMultDensity(A95:B95,$V$34:$V$35,$R$34:$S$35)/G95</f>
        <v>5.7684027854321433E-4</v>
      </c>
      <c r="K95" s="52" t="str">
        <f t="shared" si="3"/>
        <v>versicolor</v>
      </c>
      <c r="L95" s="54" cm="1">
        <f t="array" ref="L95">$V$6*NMultDensity(C95:D95,$V$10:$V$11,$T$10:$U$11)+$V$19*NMultDensity(C95:D95,$V$23:$V$24,$T$23:$U$24)+$V$32*NMultDensity(C95:D95,$V$36:$V$37,$T$36:$U$37)</f>
        <v>2.045408578684816E-2</v>
      </c>
      <c r="M95" s="54" cm="1">
        <f t="array" ref="M95">$V$6*NMultDensity(C95:D95,$V$10:$V$11,$T$10:$U$11)/L95</f>
        <v>7.9178660341395085E-18</v>
      </c>
      <c r="N95" s="54" cm="1">
        <f t="array" ref="N95">$V$19*NMultDensity(C95:D95,$V$23:$V$24,$T$23:$U$24)/L95</f>
        <v>0.99394357366105213</v>
      </c>
      <c r="O95" s="48" cm="1">
        <f t="array" ref="O95">$V$32*NMultDensity(C95:D95,$V$36:$V$37,$T$36:$U$37)/L95</f>
        <v>6.056426338947791E-3</v>
      </c>
    </row>
    <row r="96" spans="1:15" x14ac:dyDescent="0.25">
      <c r="A96" s="61">
        <v>0.35698149470104656</v>
      </c>
      <c r="B96" s="62">
        <v>-0.50491009333710901</v>
      </c>
      <c r="C96" s="65">
        <v>0.2876226760703085</v>
      </c>
      <c r="D96" s="66">
        <v>-0.8528731156166075</v>
      </c>
      <c r="E96" s="25" t="s">
        <v>6</v>
      </c>
      <c r="F96" s="50" t="str">
        <f t="shared" si="2"/>
        <v>versicolor</v>
      </c>
      <c r="G96" s="52" cm="1">
        <f t="array" ref="G96">$V$6*NMultDensity(A96:B96,$V$8:$V$9,$R$8:$S$9)+$V$19*NMultDensity(A96:B96,$V$21:$V$22,$R$21:$S$22)+$V$32*NMultDensity(A96:B96,$V$34:$V$35,$R$34:$S$35)</f>
        <v>0.26711712257605125</v>
      </c>
      <c r="H96" s="54" cm="1">
        <f t="array" ref="H96">$V$6*NMultDensity(A96:B96,$V$8:$V$9,$R$8:$S$9)/G96</f>
        <v>2.8922439668384065E-64</v>
      </c>
      <c r="I96" s="54" cm="1">
        <f t="array" ref="I96">$V$19*NMultDensity(A96:B96,$V$21:$V$22,$R$21:$S$22)/G96</f>
        <v>0.98399918680653464</v>
      </c>
      <c r="J96" s="48" cm="1">
        <f t="array" ref="J96">$V$32*NMultDensity(A96:B96,$V$34:$V$35,$R$34:$S$35)/G96</f>
        <v>1.6000813193465378E-2</v>
      </c>
      <c r="K96" s="52" t="str">
        <f t="shared" si="3"/>
        <v>versicolor</v>
      </c>
      <c r="L96" s="54" cm="1">
        <f t="array" ref="L96">$V$6*NMultDensity(C96:D96,$V$10:$V$11,$T$10:$U$11)+$V$19*NMultDensity(C96:D96,$V$23:$V$24,$T$23:$U$24)+$V$32*NMultDensity(C96:D96,$V$36:$V$37,$T$36:$U$37)</f>
        <v>0.15408730448471519</v>
      </c>
      <c r="M96" s="54" cm="1">
        <f t="array" ref="M96">$V$6*NMultDensity(C96:D96,$V$10:$V$11,$T$10:$U$11)/L96</f>
        <v>1.2235749186116811E-32</v>
      </c>
      <c r="N96" s="54" cm="1">
        <f t="array" ref="N96">$V$19*NMultDensity(C96:D96,$V$23:$V$24,$T$23:$U$24)/L96</f>
        <v>0.96575594618124538</v>
      </c>
      <c r="O96" s="48" cm="1">
        <f t="array" ref="O96">$V$32*NMultDensity(C96:D96,$V$36:$V$37,$T$36:$U$37)/L96</f>
        <v>3.4244053818754706E-2</v>
      </c>
    </row>
    <row r="97" spans="1:15" x14ac:dyDescent="0.25">
      <c r="A97" s="61">
        <v>0.33193447994505787</v>
      </c>
      <c r="B97" s="62">
        <v>-0.21265468378117047</v>
      </c>
      <c r="C97" s="65">
        <v>9.1055610877508492E-2</v>
      </c>
      <c r="D97" s="66">
        <v>-0.18058714208065191</v>
      </c>
      <c r="E97" s="25" t="s">
        <v>6</v>
      </c>
      <c r="F97" s="50" t="str">
        <f t="shared" si="2"/>
        <v>versicolor</v>
      </c>
      <c r="G97" s="52" cm="1">
        <f t="array" ref="G97">$V$6*NMultDensity(A97:B97,$V$8:$V$9,$R$8:$S$9)+$V$19*NMultDensity(A97:B97,$V$21:$V$22,$R$21:$S$22)+$V$32*NMultDensity(A97:B97,$V$34:$V$35,$R$34:$S$35)</f>
        <v>0.26822693510866036</v>
      </c>
      <c r="H97" s="54" cm="1">
        <f t="array" ref="H97">$V$6*NMultDensity(A97:B97,$V$8:$V$9,$R$8:$S$9)/G97</f>
        <v>5.2281380040081889E-60</v>
      </c>
      <c r="I97" s="54" cm="1">
        <f t="array" ref="I97">$V$19*NMultDensity(A97:B97,$V$21:$V$22,$R$21:$S$22)/G97</f>
        <v>0.99828577131609619</v>
      </c>
      <c r="J97" s="48" cm="1">
        <f t="array" ref="J97">$V$32*NMultDensity(A97:B97,$V$34:$V$35,$R$34:$S$35)/G97</f>
        <v>1.7142286839037504E-3</v>
      </c>
      <c r="K97" s="52" t="str">
        <f t="shared" si="3"/>
        <v>versicolor</v>
      </c>
      <c r="L97" s="54" cm="1">
        <f t="array" ref="L97">$V$6*NMultDensity(C97:D97,$V$10:$V$11,$T$10:$U$11)+$V$19*NMultDensity(C97:D97,$V$23:$V$24,$T$23:$U$24)+$V$32*NMultDensity(C97:D97,$V$36:$V$37,$T$36:$U$37)</f>
        <v>6.176432770624099E-2</v>
      </c>
      <c r="M97" s="54" cm="1">
        <f t="array" ref="M97">$V$6*NMultDensity(C97:D97,$V$10:$V$11,$T$10:$U$11)/L97</f>
        <v>1.8447708279357197E-27</v>
      </c>
      <c r="N97" s="54" cm="1">
        <f t="array" ref="N97">$V$19*NMultDensity(C97:D97,$V$23:$V$24,$T$23:$U$24)/L97</f>
        <v>0.98542523213662436</v>
      </c>
      <c r="O97" s="48" cm="1">
        <f t="array" ref="O97">$V$32*NMultDensity(C97:D97,$V$36:$V$37,$T$36:$U$37)/L97</f>
        <v>1.4574767863375642E-2</v>
      </c>
    </row>
    <row r="98" spans="1:15" x14ac:dyDescent="0.25">
      <c r="A98" s="61">
        <v>0.37621565106666988</v>
      </c>
      <c r="B98" s="62">
        <v>-0.2932189292514194</v>
      </c>
      <c r="C98" s="65">
        <v>0.22695653998792101</v>
      </c>
      <c r="D98" s="66">
        <v>-0.38363486844785816</v>
      </c>
      <c r="E98" s="25" t="s">
        <v>6</v>
      </c>
      <c r="F98" s="50" t="str">
        <f t="shared" si="2"/>
        <v>versicolor</v>
      </c>
      <c r="G98" s="52" cm="1">
        <f t="array" ref="G98">$V$6*NMultDensity(A98:B98,$V$8:$V$9,$R$8:$S$9)+$V$19*NMultDensity(A98:B98,$V$21:$V$22,$R$21:$S$22)+$V$32*NMultDensity(A98:B98,$V$34:$V$35,$R$34:$S$35)</f>
        <v>0.31370126394099884</v>
      </c>
      <c r="H98" s="54" cm="1">
        <f t="array" ref="H98">$V$6*NMultDensity(A98:B98,$V$8:$V$9,$R$8:$S$9)/G98</f>
        <v>1.0960115229284953E-62</v>
      </c>
      <c r="I98" s="54" cm="1">
        <f t="array" ref="I98">$V$19*NMultDensity(A98:B98,$V$21:$V$22,$R$21:$S$22)/G98</f>
        <v>0.99592747243892965</v>
      </c>
      <c r="J98" s="48" cm="1">
        <f t="array" ref="J98">$V$32*NMultDensity(A98:B98,$V$34:$V$35,$R$34:$S$35)/G98</f>
        <v>4.0725275610703666E-3</v>
      </c>
      <c r="K98" s="52" t="str">
        <f t="shared" si="3"/>
        <v>versicolor</v>
      </c>
      <c r="L98" s="54" cm="1">
        <f t="array" ref="L98">$V$6*NMultDensity(C98:D98,$V$10:$V$11,$T$10:$U$11)+$V$19*NMultDensity(C98:D98,$V$23:$V$24,$T$23:$U$24)+$V$32*NMultDensity(C98:D98,$V$36:$V$37,$T$36:$U$37)</f>
        <v>0.11831457359194299</v>
      </c>
      <c r="M98" s="54" cm="1">
        <f t="array" ref="M98">$V$6*NMultDensity(C98:D98,$V$10:$V$11,$T$10:$U$11)/L98</f>
        <v>5.0772677025261693E-31</v>
      </c>
      <c r="N98" s="54" cm="1">
        <f t="array" ref="N98">$V$19*NMultDensity(C98:D98,$V$23:$V$24,$T$23:$U$24)/L98</f>
        <v>0.97641389389189348</v>
      </c>
      <c r="O98" s="48" cm="1">
        <f t="array" ref="O98">$V$32*NMultDensity(C98:D98,$V$36:$V$37,$T$36:$U$37)/L98</f>
        <v>2.358610610810646E-2</v>
      </c>
    </row>
    <row r="99" spans="1:15" x14ac:dyDescent="0.25">
      <c r="A99" s="61">
        <v>0.6425760075543373</v>
      </c>
      <c r="B99" s="62">
        <v>1.7738190112416109E-2</v>
      </c>
      <c r="C99" s="65">
        <v>0.57446378148227906</v>
      </c>
      <c r="D99" s="66">
        <v>-0.15435648860360052</v>
      </c>
      <c r="E99" s="25" t="s">
        <v>6</v>
      </c>
      <c r="F99" s="50" t="str">
        <f t="shared" si="2"/>
        <v>versicolor</v>
      </c>
      <c r="G99" s="52" cm="1">
        <f t="array" ref="G99">$V$6*NMultDensity(A99:B99,$V$8:$V$9,$R$8:$S$9)+$V$19*NMultDensity(A99:B99,$V$21:$V$22,$R$21:$S$22)+$V$32*NMultDensity(A99:B99,$V$34:$V$35,$R$34:$S$35)</f>
        <v>0.24474030300664179</v>
      </c>
      <c r="H99" s="54" cm="1">
        <f t="array" ref="H99">$V$6*NMultDensity(A99:B99,$V$8:$V$9,$R$8:$S$9)/G99</f>
        <v>6.0516013490663519E-70</v>
      </c>
      <c r="I99" s="54" cm="1">
        <f t="array" ref="I99">$V$19*NMultDensity(A99:B99,$V$21:$V$22,$R$21:$S$22)/G99</f>
        <v>0.99699273722042892</v>
      </c>
      <c r="J99" s="48" cm="1">
        <f t="array" ref="J99">$V$32*NMultDensity(A99:B99,$V$34:$V$35,$R$34:$S$35)/G99</f>
        <v>3.0072627795710957E-3</v>
      </c>
      <c r="K99" s="52" t="str">
        <f t="shared" si="3"/>
        <v>versicolor</v>
      </c>
      <c r="L99" s="54" cm="1">
        <f t="array" ref="L99">$V$6*NMultDensity(C99:D99,$V$10:$V$11,$T$10:$U$11)+$V$19*NMultDensity(C99:D99,$V$23:$V$24,$T$23:$U$24)+$V$32*NMultDensity(C99:D99,$V$36:$V$37,$T$36:$U$37)</f>
        <v>0.15998223564388883</v>
      </c>
      <c r="M99" s="54" cm="1">
        <f t="array" ref="M99">$V$6*NMultDensity(C99:D99,$V$10:$V$11,$T$10:$U$11)/L99</f>
        <v>1.3708344712685983E-40</v>
      </c>
      <c r="N99" s="54" cm="1">
        <f t="array" ref="N99">$V$19*NMultDensity(C99:D99,$V$23:$V$24,$T$23:$U$24)/L99</f>
        <v>0.92231992423398967</v>
      </c>
      <c r="O99" s="48" cm="1">
        <f t="array" ref="O99">$V$32*NMultDensity(C99:D99,$V$36:$V$37,$T$36:$U$37)/L99</f>
        <v>7.7680075766010451E-2</v>
      </c>
    </row>
    <row r="100" spans="1:15" x14ac:dyDescent="0.25">
      <c r="A100" s="61">
        <v>-0.9064698649488363</v>
      </c>
      <c r="B100" s="62">
        <v>-0.75609336659901394</v>
      </c>
      <c r="C100" s="65">
        <v>-0.44617230026801463</v>
      </c>
      <c r="D100" s="66">
        <v>-1.5386374556189821</v>
      </c>
      <c r="E100" s="25" t="s">
        <v>6</v>
      </c>
      <c r="F100" s="50" t="str">
        <f t="shared" si="2"/>
        <v>versicolor</v>
      </c>
      <c r="G100" s="52" cm="1">
        <f t="array" ref="G100">$V$6*NMultDensity(A100:B100,$V$8:$V$9,$R$8:$S$9)+$V$19*NMultDensity(A100:B100,$V$21:$V$22,$R$21:$S$22)+$V$32*NMultDensity(A100:B100,$V$34:$V$35,$R$34:$S$35)</f>
        <v>9.8696979944815754E-3</v>
      </c>
      <c r="H100" s="54" cm="1">
        <f t="array" ref="H100">$V$6*NMultDensity(A100:B100,$V$8:$V$9,$R$8:$S$9)/G100</f>
        <v>1.9778681411135757E-24</v>
      </c>
      <c r="I100" s="54" cm="1">
        <f t="array" ref="I100">$V$19*NMultDensity(A100:B100,$V$21:$V$22,$R$21:$S$22)/G100</f>
        <v>0.99996992498758552</v>
      </c>
      <c r="J100" s="48" cm="1">
        <f t="array" ref="J100">$V$32*NMultDensity(A100:B100,$V$34:$V$35,$R$34:$S$35)/G100</f>
        <v>3.0075012414505502E-5</v>
      </c>
      <c r="K100" s="52" t="str">
        <f t="shared" si="3"/>
        <v>versicolor</v>
      </c>
      <c r="L100" s="54" cm="1">
        <f t="array" ref="L100">$V$6*NMultDensity(C100:D100,$V$10:$V$11,$T$10:$U$11)+$V$19*NMultDensity(C100:D100,$V$23:$V$24,$T$23:$U$24)+$V$32*NMultDensity(C100:D100,$V$36:$V$37,$T$36:$U$37)</f>
        <v>2.1064669638656993E-2</v>
      </c>
      <c r="M100" s="54" cm="1">
        <f t="array" ref="M100">$V$6*NMultDensity(C100:D100,$V$10:$V$11,$T$10:$U$11)/L100</f>
        <v>5.6657780061170013E-16</v>
      </c>
      <c r="N100" s="54" cm="1">
        <f t="array" ref="N100">$V$19*NMultDensity(C100:D100,$V$23:$V$24,$T$23:$U$24)/L100</f>
        <v>0.99574616344337052</v>
      </c>
      <c r="O100" s="48" cm="1">
        <f t="array" ref="O100">$V$32*NMultDensity(C100:D100,$V$36:$V$37,$T$36:$U$37)/L100</f>
        <v>4.2538365566289387E-3</v>
      </c>
    </row>
    <row r="101" spans="1:15" x14ac:dyDescent="0.25">
      <c r="A101" s="61">
        <v>0.29900084187814274</v>
      </c>
      <c r="B101" s="62">
        <v>-0.34889780645033619</v>
      </c>
      <c r="C101" s="65">
        <v>0.25587338920274139</v>
      </c>
      <c r="D101" s="66">
        <v>-0.59685228541114133</v>
      </c>
      <c r="E101" s="25" t="s">
        <v>6</v>
      </c>
      <c r="F101" s="50" t="str">
        <f t="shared" si="2"/>
        <v>versicolor</v>
      </c>
      <c r="G101" s="52" cm="1">
        <f t="array" ref="G101">$V$6*NMultDensity(A101:B101,$V$8:$V$9,$R$8:$S$9)+$V$19*NMultDensity(A101:B101,$V$21:$V$22,$R$21:$S$22)+$V$32*NMultDensity(A101:B101,$V$34:$V$35,$R$34:$S$35)</f>
        <v>0.30221432731117287</v>
      </c>
      <c r="H101" s="54" cm="1">
        <f t="array" ref="H101">$V$6*NMultDensity(A101:B101,$V$8:$V$9,$R$8:$S$9)/G101</f>
        <v>2.8550426383398932E-60</v>
      </c>
      <c r="I101" s="54" cm="1">
        <f t="array" ref="I101">$V$19*NMultDensity(A101:B101,$V$21:$V$22,$R$21:$S$22)/G101</f>
        <v>0.99645991832415426</v>
      </c>
      <c r="J101" s="48" cm="1">
        <f t="array" ref="J101">$V$32*NMultDensity(A101:B101,$V$34:$V$35,$R$34:$S$35)/G101</f>
        <v>3.5400816758457713E-3</v>
      </c>
      <c r="K101" s="52" t="str">
        <f t="shared" si="3"/>
        <v>versicolor</v>
      </c>
      <c r="L101" s="54" cm="1">
        <f t="array" ref="L101">$V$6*NMultDensity(C101:D101,$V$10:$V$11,$T$10:$U$11)+$V$19*NMultDensity(C101:D101,$V$23:$V$24,$T$23:$U$24)+$V$32*NMultDensity(C101:D101,$V$36:$V$37,$T$36:$U$37)</f>
        <v>0.14402859696014472</v>
      </c>
      <c r="M101" s="54" cm="1">
        <f t="array" ref="M101">$V$6*NMultDensity(C101:D101,$V$10:$V$11,$T$10:$U$11)/L101</f>
        <v>8.3142913157666201E-32</v>
      </c>
      <c r="N101" s="54" cm="1">
        <f t="array" ref="N101">$V$19*NMultDensity(C101:D101,$V$23:$V$24,$T$23:$U$24)/L101</f>
        <v>0.97218679438702893</v>
      </c>
      <c r="O101" s="48" cm="1">
        <f t="array" ref="O101">$V$32*NMultDensity(C101:D101,$V$36:$V$37,$T$36:$U$37)/L101</f>
        <v>2.7813205612971115E-2</v>
      </c>
    </row>
    <row r="102" spans="1:15" x14ac:dyDescent="0.25">
      <c r="A102" s="61">
        <v>2.531192727803627</v>
      </c>
      <c r="B102" s="62">
        <v>-9.8491094988024386E-3</v>
      </c>
      <c r="C102" s="65">
        <v>1.8384100229241036</v>
      </c>
      <c r="D102" s="66">
        <v>0.86751505609009283</v>
      </c>
      <c r="E102" s="25" t="s">
        <v>7</v>
      </c>
      <c r="F102" s="50" t="str">
        <f t="shared" si="2"/>
        <v>virginica</v>
      </c>
      <c r="G102" s="52" cm="1">
        <f t="array" ref="G102">$V$6*NMultDensity(A102:B102,$V$8:$V$9,$R$8:$S$9)+$V$19*NMultDensity(A102:B102,$V$21:$V$22,$R$21:$S$22)+$V$32*NMultDensity(A102:B102,$V$34:$V$35,$R$34:$S$35)</f>
        <v>0.12757194200922745</v>
      </c>
      <c r="H102" s="54" cm="1">
        <f t="array" ref="H102">$V$6*NMultDensity(A102:B102,$V$8:$V$9,$R$8:$S$9)/G102</f>
        <v>1.8125925823214001E-171</v>
      </c>
      <c r="I102" s="54" cm="1">
        <f t="array" ref="I102">$V$19*NMultDensity(A102:B102,$V$21:$V$22,$R$21:$S$22)/G102</f>
        <v>4.925611770734807E-5</v>
      </c>
      <c r="J102" s="48" cm="1">
        <f t="array" ref="J102">$V$32*NMultDensity(A102:B102,$V$34:$V$35,$R$34:$S$35)/G102</f>
        <v>0.99995074388229266</v>
      </c>
      <c r="K102" s="52" t="str">
        <f t="shared" si="3"/>
        <v>virginica</v>
      </c>
      <c r="L102" s="54" cm="1">
        <f t="array" ref="L102">$V$6*NMultDensity(C102:D102,$V$10:$V$11,$T$10:$U$11)+$V$19*NMultDensity(C102:D102,$V$23:$V$24,$T$23:$U$24)+$V$32*NMultDensity(C102:D102,$V$36:$V$37,$T$36:$U$37)</f>
        <v>0.10082161295402758</v>
      </c>
      <c r="M102" s="54" cm="1">
        <f t="array" ref="M102">$V$6*NMultDensity(C102:D102,$V$10:$V$11,$T$10:$U$11)/L102</f>
        <v>5.5595160079340357E-86</v>
      </c>
      <c r="N102" s="54" cm="1">
        <f t="array" ref="N102">$V$19*NMultDensity(C102:D102,$V$23:$V$24,$T$23:$U$24)/L102</f>
        <v>2.4221874246174221E-2</v>
      </c>
      <c r="O102" s="48" cm="1">
        <f t="array" ref="O102">$V$32*NMultDensity(C102:D102,$V$36:$V$37,$T$36:$U$37)/L102</f>
        <v>0.97577812575382583</v>
      </c>
    </row>
    <row r="103" spans="1:15" x14ac:dyDescent="0.25">
      <c r="A103" s="61">
        <v>1.4152358767039015</v>
      </c>
      <c r="B103" s="62">
        <v>-0.57491634754648979</v>
      </c>
      <c r="C103" s="65">
        <v>1.1540155536207879</v>
      </c>
      <c r="D103" s="66">
        <v>-0.69653640051638133</v>
      </c>
      <c r="E103" s="25" t="s">
        <v>7</v>
      </c>
      <c r="F103" s="50" t="str">
        <f t="shared" si="2"/>
        <v>virginica</v>
      </c>
      <c r="G103" s="52" cm="1">
        <f t="array" ref="G103">$V$6*NMultDensity(A103:B103,$V$8:$V$9,$R$8:$S$9)+$V$19*NMultDensity(A103:B103,$V$21:$V$22,$R$21:$S$22)+$V$32*NMultDensity(A103:B103,$V$34:$V$35,$R$34:$S$35)</f>
        <v>0.11351707086170056</v>
      </c>
      <c r="H103" s="54" cm="1">
        <f t="array" ref="H103">$V$6*NMultDensity(A103:B103,$V$8:$V$9,$R$8:$S$9)/G103</f>
        <v>3.2636701323395408E-114</v>
      </c>
      <c r="I103" s="54" cm="1">
        <f t="array" ref="I103">$V$19*NMultDensity(A103:B103,$V$21:$V$22,$R$21:$S$22)/G103</f>
        <v>1.0012525904745058E-2</v>
      </c>
      <c r="J103" s="48" cm="1">
        <f t="array" ref="J103">$V$32*NMultDensity(A103:B103,$V$34:$V$35,$R$34:$S$35)/G103</f>
        <v>0.98998747409525489</v>
      </c>
      <c r="K103" s="52" t="str">
        <f t="shared" si="3"/>
        <v>virginica</v>
      </c>
      <c r="L103" s="54" cm="1">
        <f t="array" ref="L103">$V$6*NMultDensity(C103:D103,$V$10:$V$11,$T$10:$U$11)+$V$19*NMultDensity(C103:D103,$V$23:$V$24,$T$23:$U$24)+$V$32*NMultDensity(C103:D103,$V$36:$V$37,$T$36:$U$37)</f>
        <v>9.34450041504859E-2</v>
      </c>
      <c r="M103" s="54" cm="1">
        <f t="array" ref="M103">$V$6*NMultDensity(C103:D103,$V$10:$V$11,$T$10:$U$11)/L103</f>
        <v>1.4130132176204997E-58</v>
      </c>
      <c r="N103" s="54" cm="1">
        <f t="array" ref="N103">$V$19*NMultDensity(C103:D103,$V$23:$V$24,$T$23:$U$24)/L103</f>
        <v>0.32587582596817066</v>
      </c>
      <c r="O103" s="48" cm="1">
        <f t="array" ref="O103">$V$32*NMultDensity(C103:D103,$V$36:$V$37,$T$36:$U$37)/L103</f>
        <v>0.67412417403182934</v>
      </c>
    </row>
    <row r="104" spans="1:15" x14ac:dyDescent="0.25">
      <c r="A104" s="61">
        <v>2.6166760159956888</v>
      </c>
      <c r="B104" s="62">
        <v>0.34390315134173433</v>
      </c>
      <c r="C104" s="65">
        <v>2.1979036092804085</v>
      </c>
      <c r="D104" s="66">
        <v>0.56013397602008463</v>
      </c>
      <c r="E104" s="25" t="s">
        <v>7</v>
      </c>
      <c r="F104" s="50" t="str">
        <f t="shared" si="2"/>
        <v>virginica</v>
      </c>
      <c r="G104" s="52" cm="1">
        <f t="array" ref="G104">$V$6*NMultDensity(A104:B104,$V$8:$V$9,$R$8:$S$9)+$V$19*NMultDensity(A104:B104,$V$21:$V$22,$R$21:$S$22)+$V$32*NMultDensity(A104:B104,$V$34:$V$35,$R$34:$S$35)</f>
        <v>0.20445676871824353</v>
      </c>
      <c r="H104" s="54" cm="1">
        <f t="array" ref="H104">$V$6*NMultDensity(A104:B104,$V$8:$V$9,$R$8:$S$9)/G104</f>
        <v>2.7316740734554794E-171</v>
      </c>
      <c r="I104" s="54" cm="1">
        <f t="array" ref="I104">$V$19*NMultDensity(A104:B104,$V$21:$V$22,$R$21:$S$22)/G104</f>
        <v>3.8141054972472396E-4</v>
      </c>
      <c r="J104" s="48" cm="1">
        <f t="array" ref="J104">$V$32*NMultDensity(A104:B104,$V$34:$V$35,$R$34:$S$35)/G104</f>
        <v>0.99961858945027526</v>
      </c>
      <c r="K104" s="52" t="str">
        <f t="shared" si="3"/>
        <v>virginica</v>
      </c>
      <c r="L104" s="54" cm="1">
        <f t="array" ref="L104">$V$6*NMultDensity(C104:D104,$V$10:$V$11,$T$10:$U$11)+$V$19*NMultDensity(C104:D104,$V$23:$V$24,$T$23:$U$24)+$V$32*NMultDensity(C104:D104,$V$36:$V$37,$T$36:$U$37)</f>
        <v>8.9709618670822125E-2</v>
      </c>
      <c r="M104" s="54" cm="1">
        <f t="array" ref="M104">$V$6*NMultDensity(C104:D104,$V$10:$V$11,$T$10:$U$11)/L104</f>
        <v>2.2779026209077785E-101</v>
      </c>
      <c r="N104" s="54" cm="1">
        <f t="array" ref="N104">$V$19*NMultDensity(C104:D104,$V$23:$V$24,$T$23:$U$24)/L104</f>
        <v>1.4720011233466503E-3</v>
      </c>
      <c r="O104" s="48" cm="1">
        <f t="array" ref="O104">$V$32*NMultDensity(C104:D104,$V$36:$V$37,$T$36:$U$37)/L104</f>
        <v>0.99852799887665333</v>
      </c>
    </row>
    <row r="105" spans="1:15" x14ac:dyDescent="0.25">
      <c r="A105" s="61">
        <v>1.9715310530434347</v>
      </c>
      <c r="B105" s="62">
        <v>-0.17972790435224606</v>
      </c>
      <c r="C105" s="65">
        <v>1.4353421339966659</v>
      </c>
      <c r="D105" s="66">
        <v>-4.6830700896179384E-2</v>
      </c>
      <c r="E105" s="25" t="s">
        <v>7</v>
      </c>
      <c r="F105" s="50" t="str">
        <f t="shared" si="2"/>
        <v>virginica</v>
      </c>
      <c r="G105" s="52" cm="1">
        <f t="array" ref="G105">$V$6*NMultDensity(A105:B105,$V$8:$V$9,$R$8:$S$9)+$V$19*NMultDensity(A105:B105,$V$21:$V$22,$R$21:$S$22)+$V$32*NMultDensity(A105:B105,$V$34:$V$35,$R$34:$S$35)</f>
        <v>0.22286357810611682</v>
      </c>
      <c r="H105" s="54" cm="1">
        <f t="array" ref="H105">$V$6*NMultDensity(A105:B105,$V$8:$V$9,$R$8:$S$9)/G105</f>
        <v>1.23567799950151E-139</v>
      </c>
      <c r="I105" s="54" cm="1">
        <f t="array" ref="I105">$V$19*NMultDensity(A105:B105,$V$21:$V$22,$R$21:$S$22)/G105</f>
        <v>2.0149040429216824E-3</v>
      </c>
      <c r="J105" s="48" cm="1">
        <f t="array" ref="J105">$V$32*NMultDensity(A105:B105,$V$34:$V$35,$R$34:$S$35)/G105</f>
        <v>0.99798509595707829</v>
      </c>
      <c r="K105" s="52" t="str">
        <f t="shared" si="3"/>
        <v>virginica</v>
      </c>
      <c r="L105" s="54" cm="1">
        <f t="array" ref="L105">$V$6*NMultDensity(C105:D105,$V$10:$V$11,$T$10:$U$11)+$V$19*NMultDensity(C105:D105,$V$23:$V$24,$T$23:$U$24)+$V$32*NMultDensity(C105:D105,$V$36:$V$37,$T$36:$U$37)</f>
        <v>0.12978623342969184</v>
      </c>
      <c r="M105" s="54" cm="1">
        <f t="array" ref="M105">$V$6*NMultDensity(C105:D105,$V$10:$V$11,$T$10:$U$11)/L105</f>
        <v>3.5024563481800803E-69</v>
      </c>
      <c r="N105" s="54" cm="1">
        <f t="array" ref="N105">$V$19*NMultDensity(C105:D105,$V$23:$V$24,$T$23:$U$24)/L105</f>
        <v>0.13285329287488076</v>
      </c>
      <c r="O105" s="48" cm="1">
        <f t="array" ref="O105">$V$32*NMultDensity(C105:D105,$V$36:$V$37,$T$36:$U$37)/L105</f>
        <v>0.86714670712511921</v>
      </c>
    </row>
    <row r="106" spans="1:15" x14ac:dyDescent="0.25">
      <c r="A106" s="61">
        <v>2.350005920044639</v>
      </c>
      <c r="B106" s="62">
        <v>-4.0260947142531339E-2</v>
      </c>
      <c r="C106" s="65">
        <v>1.8615757681276364</v>
      </c>
      <c r="D106" s="66">
        <v>0.29405969708426433</v>
      </c>
      <c r="E106" s="25" t="s">
        <v>7</v>
      </c>
      <c r="F106" s="50" t="str">
        <f t="shared" si="2"/>
        <v>virginica</v>
      </c>
      <c r="G106" s="52" cm="1">
        <f t="array" ref="G106">$V$6*NMultDensity(A106:B106,$V$8:$V$9,$R$8:$S$9)+$V$19*NMultDensity(A106:B106,$V$21:$V$22,$R$21:$S$22)+$V$32*NMultDensity(A106:B106,$V$34:$V$35,$R$34:$S$35)</f>
        <v>0.18084016160062424</v>
      </c>
      <c r="H106" s="54" cm="1">
        <f t="array" ref="H106">$V$6*NMultDensity(A106:B106,$V$8:$V$9,$R$8:$S$9)/G106</f>
        <v>1.8914961760138013E-160</v>
      </c>
      <c r="I106" s="54" cm="1">
        <f t="array" ref="I106">$V$19*NMultDensity(A106:B106,$V$21:$V$22,$R$21:$S$22)/G106</f>
        <v>2.0644912538670456E-4</v>
      </c>
      <c r="J106" s="48" cm="1">
        <f t="array" ref="J106">$V$32*NMultDensity(A106:B106,$V$34:$V$35,$R$34:$S$35)/G106</f>
        <v>0.9997935508746133</v>
      </c>
      <c r="K106" s="52" t="str">
        <f t="shared" si="3"/>
        <v>virginica</v>
      </c>
      <c r="L106" s="54" cm="1">
        <f t="array" ref="L106">$V$6*NMultDensity(C106:D106,$V$10:$V$11,$T$10:$U$11)+$V$19*NMultDensity(C106:D106,$V$23:$V$24,$T$23:$U$24)+$V$32*NMultDensity(C106:D106,$V$36:$V$37,$T$36:$U$37)</f>
        <v>0.12529556174779552</v>
      </c>
      <c r="M106" s="54" cm="1">
        <f t="array" ref="M106">$V$6*NMultDensity(C106:D106,$V$10:$V$11,$T$10:$U$11)/L106</f>
        <v>1.8500233817375043E-86</v>
      </c>
      <c r="N106" s="54" cm="1">
        <f t="array" ref="N106">$V$19*NMultDensity(C106:D106,$V$23:$V$24,$T$23:$U$24)/L106</f>
        <v>1.2728433497270321E-2</v>
      </c>
      <c r="O106" s="48" cm="1">
        <f t="array" ref="O106">$V$32*NMultDensity(C106:D106,$V$36:$V$37,$T$36:$U$37)/L106</f>
        <v>0.98727156650272974</v>
      </c>
    </row>
    <row r="107" spans="1:15" x14ac:dyDescent="0.25">
      <c r="A107" s="61">
        <v>3.3970387360532563</v>
      </c>
      <c r="B107" s="62">
        <v>0.55083667302805539</v>
      </c>
      <c r="C107" s="65">
        <v>2.7426850851882718</v>
      </c>
      <c r="D107" s="66">
        <v>0.79773670875525415</v>
      </c>
      <c r="E107" s="25" t="s">
        <v>7</v>
      </c>
      <c r="F107" s="50" t="str">
        <f t="shared" si="2"/>
        <v>virginica</v>
      </c>
      <c r="G107" s="52" cm="1">
        <f t="array" ref="G107">$V$6*NMultDensity(A107:B107,$V$8:$V$9,$R$8:$S$9)+$V$19*NMultDensity(A107:B107,$V$21:$V$22,$R$21:$S$22)+$V$32*NMultDensity(A107:B107,$V$34:$V$35,$R$34:$S$35)</f>
        <v>3.7451371200043132E-2</v>
      </c>
      <c r="H107" s="54" cm="1">
        <f t="array" ref="H107">$V$6*NMultDensity(A107:B107,$V$8:$V$9,$R$8:$S$9)/G107</f>
        <v>1.27397470551491E-221</v>
      </c>
      <c r="I107" s="54" cm="1">
        <f t="array" ref="I107">$V$19*NMultDensity(A107:B107,$V$21:$V$22,$R$21:$S$22)/G107</f>
        <v>1.0762698918246828E-6</v>
      </c>
      <c r="J107" s="48" cm="1">
        <f t="array" ref="J107">$V$32*NMultDensity(A107:B107,$V$34:$V$35,$R$34:$S$35)/G107</f>
        <v>0.99999892373010824</v>
      </c>
      <c r="K107" s="52" t="str">
        <f t="shared" si="3"/>
        <v>virginica</v>
      </c>
      <c r="L107" s="54" cm="1">
        <f t="array" ref="L107">$V$6*NMultDensity(C107:D107,$V$10:$V$11,$T$10:$U$11)+$V$19*NMultDensity(C107:D107,$V$23:$V$24,$T$23:$U$24)+$V$32*NMultDensity(C107:D107,$V$36:$V$37,$T$36:$U$37)</f>
        <v>2.319107486986895E-2</v>
      </c>
      <c r="M107" s="54" cm="1">
        <f t="array" ref="M107">$V$6*NMultDensity(C107:D107,$V$10:$V$11,$T$10:$U$11)/L107</f>
        <v>1.5336884276310856E-127</v>
      </c>
      <c r="N107" s="54" cm="1">
        <f t="array" ref="N107">$V$19*NMultDensity(C107:D107,$V$23:$V$24,$T$23:$U$24)/L107</f>
        <v>2.3212752000786525E-5</v>
      </c>
      <c r="O107" s="48" cm="1">
        <f t="array" ref="O107">$V$32*NMultDensity(C107:D107,$V$36:$V$37,$T$36:$U$37)/L107</f>
        <v>0.99997678724799921</v>
      </c>
    </row>
    <row r="108" spans="1:15" x14ac:dyDescent="0.25">
      <c r="A108" s="61">
        <v>0.52123224390977319</v>
      </c>
      <c r="B108" s="62">
        <v>-1.1927587270006459</v>
      </c>
      <c r="C108" s="65">
        <v>0.36579224975561775</v>
      </c>
      <c r="D108" s="66">
        <v>-1.5562891777844619</v>
      </c>
      <c r="E108" s="25" t="s">
        <v>7</v>
      </c>
      <c r="F108" s="50" t="str">
        <f t="shared" si="2"/>
        <v>virginica</v>
      </c>
      <c r="G108" s="52" cm="1">
        <f t="array" ref="G108">$V$6*NMultDensity(A108:B108,$V$8:$V$9,$R$8:$S$9)+$V$19*NMultDensity(A108:B108,$V$21:$V$22,$R$21:$S$22)+$V$32*NMultDensity(A108:B108,$V$34:$V$35,$R$34:$S$35)</f>
        <v>9.9190178815491067E-3</v>
      </c>
      <c r="H108" s="54" cm="1">
        <f t="array" ref="H108">$V$6*NMultDensity(A108:B108,$V$8:$V$9,$R$8:$S$9)/G108</f>
        <v>1.2992139925727698E-78</v>
      </c>
      <c r="I108" s="54" cm="1">
        <f t="array" ref="I108">$V$19*NMultDensity(A108:B108,$V$21:$V$22,$R$21:$S$22)/G108</f>
        <v>8.3993136620534758E-2</v>
      </c>
      <c r="J108" s="48" cm="1">
        <f t="array" ref="J108">$V$32*NMultDensity(A108:B108,$V$34:$V$35,$R$34:$S$35)/G108</f>
        <v>0.91600686337946524</v>
      </c>
      <c r="K108" s="52" t="str">
        <f t="shared" si="3"/>
        <v>versicolor</v>
      </c>
      <c r="L108" s="54" cm="1">
        <f t="array" ref="L108">$V$6*NMultDensity(C108:D108,$V$10:$V$11,$T$10:$U$11)+$V$19*NMultDensity(C108:D108,$V$23:$V$24,$T$23:$U$24)+$V$32*NMultDensity(C108:D108,$V$36:$V$37,$T$36:$U$37)</f>
        <v>7.5875521044390784E-2</v>
      </c>
      <c r="M108" s="54" cm="1">
        <f t="array" ref="M108">$V$6*NMultDensity(C108:D108,$V$10:$V$11,$T$10:$U$11)/L108</f>
        <v>1.6688441752811497E-34</v>
      </c>
      <c r="N108" s="54" cm="1">
        <f t="array" ref="N108">$V$19*NMultDensity(C108:D108,$V$23:$V$24,$T$23:$U$24)/L108</f>
        <v>0.93503505838349676</v>
      </c>
      <c r="O108" s="48" cm="1">
        <f t="array" ref="O108">$V$32*NMultDensity(C108:D108,$V$36:$V$37,$T$36:$U$37)/L108</f>
        <v>6.496494161650318E-2</v>
      </c>
    </row>
    <row r="109" spans="1:15" x14ac:dyDescent="0.25">
      <c r="A109" s="61">
        <v>2.9325870689936879</v>
      </c>
      <c r="B109" s="62">
        <v>0.35550000297749595</v>
      </c>
      <c r="C109" s="65">
        <v>2.2947518123299697</v>
      </c>
      <c r="D109" s="66">
        <v>0.41866301953476237</v>
      </c>
      <c r="E109" s="25" t="s">
        <v>7</v>
      </c>
      <c r="F109" s="50" t="str">
        <f t="shared" si="2"/>
        <v>virginica</v>
      </c>
      <c r="G109" s="52" cm="1">
        <f t="array" ref="G109">$V$6*NMultDensity(A109:B109,$V$8:$V$9,$R$8:$S$9)+$V$19*NMultDensity(A109:B109,$V$21:$V$22,$R$21:$S$22)+$V$32*NMultDensity(A109:B109,$V$34:$V$35,$R$34:$S$35)</f>
        <v>0.11552668084339099</v>
      </c>
      <c r="H109" s="54" cm="1">
        <f t="array" ref="H109">$V$6*NMultDensity(A109:B109,$V$8:$V$9,$R$8:$S$9)/G109</f>
        <v>3.6384396093250794E-192</v>
      </c>
      <c r="I109" s="54" cm="1">
        <f t="array" ref="I109">$V$19*NMultDensity(A109:B109,$V$21:$V$22,$R$21:$S$22)/G109</f>
        <v>2.1256080720262103E-5</v>
      </c>
      <c r="J109" s="48" cm="1">
        <f t="array" ref="J109">$V$32*NMultDensity(A109:B109,$V$34:$V$35,$R$34:$S$35)/G109</f>
        <v>0.99997874391927977</v>
      </c>
      <c r="K109" s="52" t="str">
        <f t="shared" si="3"/>
        <v>virginica</v>
      </c>
      <c r="L109" s="54" cm="1">
        <f t="array" ref="L109">$V$6*NMultDensity(C109:D109,$V$10:$V$11,$T$10:$U$11)+$V$19*NMultDensity(C109:D109,$V$23:$V$24,$T$23:$U$24)+$V$32*NMultDensity(C109:D109,$V$36:$V$37,$T$36:$U$37)</f>
        <v>6.9913371562207088E-2</v>
      </c>
      <c r="M109" s="54" cm="1">
        <f t="array" ref="M109">$V$6*NMultDensity(C109:D109,$V$10:$V$11,$T$10:$U$11)/L109</f>
        <v>1.3821459509390205E-105</v>
      </c>
      <c r="N109" s="54" cm="1">
        <f t="array" ref="N109">$V$19*NMultDensity(C109:D109,$V$23:$V$24,$T$23:$U$24)/L109</f>
        <v>5.9983206441536715E-4</v>
      </c>
      <c r="O109" s="48" cm="1">
        <f t="array" ref="O109">$V$32*NMultDensity(C109:D109,$V$36:$V$37,$T$36:$U$37)/L109</f>
        <v>0.99940016793558473</v>
      </c>
    </row>
    <row r="110" spans="1:15" x14ac:dyDescent="0.25">
      <c r="A110" s="61">
        <v>2.3212288165733765</v>
      </c>
      <c r="B110" s="62">
        <v>-0.24383150231069087</v>
      </c>
      <c r="C110" s="65">
        <v>1.999986327209806</v>
      </c>
      <c r="D110" s="66">
        <v>-0.70906322570178082</v>
      </c>
      <c r="E110" s="25" t="s">
        <v>7</v>
      </c>
      <c r="F110" s="50" t="str">
        <f t="shared" si="2"/>
        <v>virginica</v>
      </c>
      <c r="G110" s="52" cm="1">
        <f t="array" ref="G110">$V$6*NMultDensity(A110:B110,$V$8:$V$9,$R$8:$S$9)+$V$19*NMultDensity(A110:B110,$V$21:$V$22,$R$21:$S$22)+$V$32*NMultDensity(A110:B110,$V$34:$V$35,$R$34:$S$35)</f>
        <v>8.6538804466706032E-2</v>
      </c>
      <c r="H110" s="54" cm="1">
        <f t="array" ref="H110">$V$6*NMultDensity(A110:B110,$V$8:$V$9,$R$8:$S$9)/G110</f>
        <v>9.1119565052092057E-162</v>
      </c>
      <c r="I110" s="54" cm="1">
        <f t="array" ref="I110">$V$19*NMultDensity(A110:B110,$V$21:$V$22,$R$21:$S$22)/G110</f>
        <v>5.0596019585655398E-5</v>
      </c>
      <c r="J110" s="48" cm="1">
        <f t="array" ref="J110">$V$32*NMultDensity(A110:B110,$V$34:$V$35,$R$34:$S$35)/G110</f>
        <v>0.99994940398041432</v>
      </c>
      <c r="K110" s="52" t="str">
        <f t="shared" si="3"/>
        <v>virginica</v>
      </c>
      <c r="L110" s="54" cm="1">
        <f t="array" ref="L110">$V$6*NMultDensity(C110:D110,$V$10:$V$11,$T$10:$U$11)+$V$19*NMultDensity(C110:D110,$V$23:$V$24,$T$23:$U$24)+$V$32*NMultDensity(C110:D110,$V$36:$V$37,$T$36:$U$37)</f>
        <v>2.8831502769583031E-2</v>
      </c>
      <c r="M110" s="54" cm="1">
        <f t="array" ref="M110">$V$6*NMultDensity(C110:D110,$V$10:$V$11,$T$10:$U$11)/L110</f>
        <v>4.3137121818514468E-91</v>
      </c>
      <c r="N110" s="54" cm="1">
        <f t="array" ref="N110">$V$19*NMultDensity(C110:D110,$V$23:$V$24,$T$23:$U$24)/L110</f>
        <v>1.595176897932919E-3</v>
      </c>
      <c r="O110" s="48" cm="1">
        <f t="array" ref="O110">$V$32*NMultDensity(C110:D110,$V$36:$V$37,$T$36:$U$37)/L110</f>
        <v>0.99840482310206713</v>
      </c>
    </row>
    <row r="111" spans="1:15" x14ac:dyDescent="0.25">
      <c r="A111" s="61">
        <v>2.9167509667860712</v>
      </c>
      <c r="B111" s="62">
        <v>0.78279194881527836</v>
      </c>
      <c r="C111" s="65">
        <v>2.2522321615076</v>
      </c>
      <c r="D111" s="66">
        <v>1.9145963005353617</v>
      </c>
      <c r="E111" s="25" t="s">
        <v>7</v>
      </c>
      <c r="F111" s="50" t="str">
        <f t="shared" si="2"/>
        <v>virginica</v>
      </c>
      <c r="G111" s="52" cm="1">
        <f t="array" ref="G111">$V$6*NMultDensity(A111:B111,$V$8:$V$9,$R$8:$S$9)+$V$19*NMultDensity(A111:B111,$V$21:$V$22,$R$21:$S$22)+$V$32*NMultDensity(A111:B111,$V$34:$V$35,$R$34:$S$35)</f>
        <v>8.4347305416299576E-2</v>
      </c>
      <c r="H111" s="54" cm="1">
        <f t="array" ref="H111">$V$6*NMultDensity(A111:B111,$V$8:$V$9,$R$8:$S$9)/G111</f>
        <v>1.0367424380654453E-183</v>
      </c>
      <c r="I111" s="54" cm="1">
        <f t="array" ref="I111">$V$19*NMultDensity(A111:B111,$V$21:$V$22,$R$21:$S$22)/G111</f>
        <v>7.0212552006337751E-4</v>
      </c>
      <c r="J111" s="48" cm="1">
        <f t="array" ref="J111">$V$32*NMultDensity(A111:B111,$V$34:$V$35,$R$34:$S$35)/G111</f>
        <v>0.99929787447993668</v>
      </c>
      <c r="K111" s="52" t="str">
        <f t="shared" si="3"/>
        <v>virginica</v>
      </c>
      <c r="L111" s="54" cm="1">
        <f t="array" ref="L111">$V$6*NMultDensity(C111:D111,$V$10:$V$11,$T$10:$U$11)+$V$19*NMultDensity(C111:D111,$V$23:$V$24,$T$23:$U$24)+$V$32*NMultDensity(C111:D111,$V$36:$V$37,$T$36:$U$37)</f>
        <v>2.1168764634851168E-2</v>
      </c>
      <c r="M111" s="54" cm="1">
        <f t="array" ref="M111">$V$6*NMultDensity(C111:D111,$V$10:$V$11,$T$10:$U$11)/L111</f>
        <v>3.2794394825581312E-105</v>
      </c>
      <c r="N111" s="54" cm="1">
        <f t="array" ref="N111">$V$19*NMultDensity(C111:D111,$V$23:$V$24,$T$23:$U$24)/L111</f>
        <v>3.4201810403620401E-3</v>
      </c>
      <c r="O111" s="48" cm="1">
        <f t="array" ref="O111">$V$32*NMultDensity(C111:D111,$V$36:$V$37,$T$36:$U$37)/L111</f>
        <v>0.99657981895963799</v>
      </c>
    </row>
    <row r="112" spans="1:15" x14ac:dyDescent="0.25">
      <c r="A112" s="61">
        <v>1.6617741536365305</v>
      </c>
      <c r="B112" s="62">
        <v>0.24222840775506685</v>
      </c>
      <c r="C112" s="65">
        <v>1.359620636424389</v>
      </c>
      <c r="D112" s="66">
        <v>0.69044340477927957</v>
      </c>
      <c r="E112" s="25" t="s">
        <v>7</v>
      </c>
      <c r="F112" s="50" t="str">
        <f t="shared" si="2"/>
        <v>virginica</v>
      </c>
      <c r="G112" s="52" cm="1">
        <f t="array" ref="G112">$V$6*NMultDensity(A112:B112,$V$8:$V$9,$R$8:$S$9)+$V$19*NMultDensity(A112:B112,$V$21:$V$22,$R$21:$S$22)+$V$32*NMultDensity(A112:B112,$V$34:$V$35,$R$34:$S$35)</f>
        <v>0.11430434627768341</v>
      </c>
      <c r="H112" s="54" cm="1">
        <f t="array" ref="H112">$V$6*NMultDensity(A112:B112,$V$8:$V$9,$R$8:$S$9)/G112</f>
        <v>1.4205479013385848E-115</v>
      </c>
      <c r="I112" s="54" cm="1">
        <f t="array" ref="I112">$V$19*NMultDensity(A112:B112,$V$21:$V$22,$R$21:$S$22)/G112</f>
        <v>0.41522133756715374</v>
      </c>
      <c r="J112" s="48" cm="1">
        <f t="array" ref="J112">$V$32*NMultDensity(A112:B112,$V$34:$V$35,$R$34:$S$35)/G112</f>
        <v>0.58477866243284626</v>
      </c>
      <c r="K112" s="52" t="str">
        <f t="shared" si="3"/>
        <v>virginica</v>
      </c>
      <c r="L112" s="54" cm="1">
        <f t="array" ref="L112">$V$6*NMultDensity(C112:D112,$V$10:$V$11,$T$10:$U$11)+$V$19*NMultDensity(C112:D112,$V$23:$V$24,$T$23:$U$24)+$V$32*NMultDensity(C112:D112,$V$36:$V$37,$T$36:$U$37)</f>
        <v>8.7443743496189164E-2</v>
      </c>
      <c r="M112" s="54" cm="1">
        <f t="array" ref="M112">$V$6*NMultDensity(C112:D112,$V$10:$V$11,$T$10:$U$11)/L112</f>
        <v>9.0248471188606559E-67</v>
      </c>
      <c r="N112" s="54" cm="1">
        <f t="array" ref="N112">$V$19*NMultDensity(C112:D112,$V$23:$V$24,$T$23:$U$24)/L112</f>
        <v>0.28581550654622895</v>
      </c>
      <c r="O112" s="48" cm="1">
        <f t="array" ref="O112">$V$32*NMultDensity(C112:D112,$V$36:$V$37,$T$36:$U$37)/L112</f>
        <v>0.71418449345377111</v>
      </c>
    </row>
    <row r="113" spans="1:15" x14ac:dyDescent="0.25">
      <c r="A113" s="61">
        <v>1.80340195296509</v>
      </c>
      <c r="B113" s="62">
        <v>-0.21563761733355552</v>
      </c>
      <c r="C113" s="65">
        <v>1.5973274746691521</v>
      </c>
      <c r="D113" s="66">
        <v>-0.42029243098448377</v>
      </c>
      <c r="E113" s="25" t="s">
        <v>7</v>
      </c>
      <c r="F113" s="50" t="str">
        <f t="shared" si="2"/>
        <v>virginica</v>
      </c>
      <c r="G113" s="52" cm="1">
        <f t="array" ref="G113">$V$6*NMultDensity(A113:B113,$V$8:$V$9,$R$8:$S$9)+$V$19*NMultDensity(A113:B113,$V$21:$V$22,$R$21:$S$22)+$V$32*NMultDensity(A113:B113,$V$34:$V$35,$R$34:$S$35)</f>
        <v>0.22774127249030945</v>
      </c>
      <c r="H113" s="54" cm="1">
        <f t="array" ref="H113">$V$6*NMultDensity(A113:B113,$V$8:$V$9,$R$8:$S$9)/G113</f>
        <v>1.9477245546584939E-130</v>
      </c>
      <c r="I113" s="54" cm="1">
        <f t="array" ref="I113">$V$19*NMultDensity(A113:B113,$V$21:$V$22,$R$21:$S$22)/G113</f>
        <v>6.5262270809904946E-3</v>
      </c>
      <c r="J113" s="48" cm="1">
        <f t="array" ref="J113">$V$32*NMultDensity(A113:B113,$V$34:$V$35,$R$34:$S$35)/G113</f>
        <v>0.9934737729190094</v>
      </c>
      <c r="K113" s="52" t="str">
        <f t="shared" si="3"/>
        <v>virginica</v>
      </c>
      <c r="L113" s="54" cm="1">
        <f t="array" ref="L113">$V$6*NMultDensity(C113:D113,$V$10:$V$11,$T$10:$U$11)+$V$19*NMultDensity(C113:D113,$V$23:$V$24,$T$23:$U$24)+$V$32*NMultDensity(C113:D113,$V$36:$V$37,$T$36:$U$37)</f>
        <v>9.5270097795921951E-2</v>
      </c>
      <c r="M113" s="54" cm="1">
        <f t="array" ref="M113">$V$6*NMultDensity(C113:D113,$V$10:$V$11,$T$10:$U$11)/L113</f>
        <v>4.4111147913207982E-75</v>
      </c>
      <c r="N113" s="54" cm="1">
        <f t="array" ref="N113">$V$19*NMultDensity(C113:D113,$V$23:$V$24,$T$23:$U$24)/L113</f>
        <v>3.7860409489809475E-2</v>
      </c>
      <c r="O113" s="48" cm="1">
        <f t="array" ref="O113">$V$32*NMultDensity(C113:D113,$V$36:$V$37,$T$36:$U$37)/L113</f>
        <v>0.96213959051019049</v>
      </c>
    </row>
    <row r="114" spans="1:15" x14ac:dyDescent="0.25">
      <c r="A114" s="61">
        <v>2.1655917960801441</v>
      </c>
      <c r="B114" s="62">
        <v>0.21627558507402489</v>
      </c>
      <c r="C114" s="65">
        <v>1.877610531549474</v>
      </c>
      <c r="D114" s="66">
        <v>0.41784981480868011</v>
      </c>
      <c r="E114" s="25" t="s">
        <v>7</v>
      </c>
      <c r="F114" s="50" t="str">
        <f t="shared" si="2"/>
        <v>virginica</v>
      </c>
      <c r="G114" s="52" cm="1">
        <f t="array" ref="G114">$V$6*NMultDensity(A114:B114,$V$8:$V$9,$R$8:$S$9)+$V$19*NMultDensity(A114:B114,$V$21:$V$22,$R$21:$S$22)+$V$32*NMultDensity(A114:B114,$V$34:$V$35,$R$34:$S$35)</f>
        <v>0.2394397988555832</v>
      </c>
      <c r="H114" s="54" cm="1">
        <f t="array" ref="H114">$V$6*NMultDensity(A114:B114,$V$8:$V$9,$R$8:$S$9)/G114</f>
        <v>4.9879741213303371E-145</v>
      </c>
      <c r="I114" s="54" cm="1">
        <f t="array" ref="I114">$V$19*NMultDensity(A114:B114,$V$21:$V$22,$R$21:$S$22)/G114</f>
        <v>8.1577468327169184E-3</v>
      </c>
      <c r="J114" s="48" cm="1">
        <f t="array" ref="J114">$V$32*NMultDensity(A114:B114,$V$34:$V$35,$R$34:$S$35)/G114</f>
        <v>0.99184225316728303</v>
      </c>
      <c r="K114" s="52" t="str">
        <f t="shared" si="3"/>
        <v>virginica</v>
      </c>
      <c r="L114" s="54" cm="1">
        <f t="array" ref="L114">$V$6*NMultDensity(C114:D114,$V$10:$V$11,$T$10:$U$11)+$V$19*NMultDensity(C114:D114,$V$23:$V$24,$T$23:$U$24)+$V$32*NMultDensity(C114:D114,$V$36:$V$37,$T$36:$U$37)</f>
        <v>0.125159865643027</v>
      </c>
      <c r="M114" s="54" cm="1">
        <f t="array" ref="M114">$V$6*NMultDensity(C114:D114,$V$10:$V$11,$T$10:$U$11)/L114</f>
        <v>2.9846024987396154E-87</v>
      </c>
      <c r="N114" s="54" cm="1">
        <f t="array" ref="N114">$V$19*NMultDensity(C114:D114,$V$23:$V$24,$T$23:$U$24)/L114</f>
        <v>1.2779737009577795E-2</v>
      </c>
      <c r="O114" s="48" cm="1">
        <f t="array" ref="O114">$V$32*NMultDensity(C114:D114,$V$36:$V$37,$T$36:$U$37)/L114</f>
        <v>0.98722026299042231</v>
      </c>
    </row>
    <row r="115" spans="1:15" x14ac:dyDescent="0.25">
      <c r="A115" s="61">
        <v>1.3461635794584508</v>
      </c>
      <c r="B115" s="62">
        <v>-0.77681834734433974</v>
      </c>
      <c r="C115" s="65">
        <v>1.2559076914609331</v>
      </c>
      <c r="D115" s="66">
        <v>-1.1583797413860248</v>
      </c>
      <c r="E115" s="25" t="s">
        <v>7</v>
      </c>
      <c r="F115" s="50" t="str">
        <f t="shared" si="2"/>
        <v>virginica</v>
      </c>
      <c r="G115" s="52" cm="1">
        <f t="array" ref="G115">$V$6*NMultDensity(A115:B115,$V$8:$V$9,$R$8:$S$9)+$V$19*NMultDensity(A115:B115,$V$21:$V$22,$R$21:$S$22)+$V$32*NMultDensity(A115:B115,$V$34:$V$35,$R$34:$S$35)</f>
        <v>5.2444733541158174E-2</v>
      </c>
      <c r="H115" s="54" cm="1">
        <f t="array" ref="H115">$V$6*NMultDensity(A115:B115,$V$8:$V$9,$R$8:$S$9)/G115</f>
        <v>2.577938552853237E-113</v>
      </c>
      <c r="I115" s="54" cm="1">
        <f t="array" ref="I115">$V$19*NMultDensity(A115:B115,$V$21:$V$22,$R$21:$S$22)/G115</f>
        <v>3.4805516822512057E-3</v>
      </c>
      <c r="J115" s="48" cm="1">
        <f t="array" ref="J115">$V$32*NMultDensity(A115:B115,$V$34:$V$35,$R$34:$S$35)/G115</f>
        <v>0.99651944831774875</v>
      </c>
      <c r="K115" s="52" t="str">
        <f t="shared" si="3"/>
        <v>virginica</v>
      </c>
      <c r="L115" s="54" cm="1">
        <f t="array" ref="L115">$V$6*NMultDensity(C115:D115,$V$10:$V$11,$T$10:$U$11)+$V$19*NMultDensity(C115:D115,$V$23:$V$24,$T$23:$U$24)+$V$32*NMultDensity(C115:D115,$V$36:$V$37,$T$36:$U$37)</f>
        <v>4.0094853221916422E-2</v>
      </c>
      <c r="M115" s="54" cm="1">
        <f t="array" ref="M115">$V$6*NMultDensity(C115:D115,$V$10:$V$11,$T$10:$U$11)/L115</f>
        <v>9.9366981197751084E-62</v>
      </c>
      <c r="N115" s="54" cm="1">
        <f t="array" ref="N115">$V$19*NMultDensity(C115:D115,$V$23:$V$24,$T$23:$U$24)/L115</f>
        <v>0.14946140688366322</v>
      </c>
      <c r="O115" s="48" cm="1">
        <f t="array" ref="O115">$V$32*NMultDensity(C115:D115,$V$36:$V$37,$T$36:$U$37)/L115</f>
        <v>0.85053859311633684</v>
      </c>
    </row>
    <row r="116" spans="1:15" x14ac:dyDescent="0.25">
      <c r="A116" s="61">
        <v>1.58592822387322</v>
      </c>
      <c r="B116" s="62">
        <v>-0.53964071402671854</v>
      </c>
      <c r="C116" s="65">
        <v>1.4627448694704215</v>
      </c>
      <c r="D116" s="66">
        <v>-0.44079488346362672</v>
      </c>
      <c r="E116" s="25" t="s">
        <v>7</v>
      </c>
      <c r="F116" s="50" t="str">
        <f t="shared" si="2"/>
        <v>virginica</v>
      </c>
      <c r="G116" s="52" cm="1">
        <f t="array" ref="G116">$V$6*NMultDensity(A116:B116,$V$8:$V$9,$R$8:$S$9)+$V$19*NMultDensity(A116:B116,$V$21:$V$22,$R$21:$S$22)+$V$32*NMultDensity(A116:B116,$V$34:$V$35,$R$34:$S$35)</f>
        <v>0.11345684766753472</v>
      </c>
      <c r="H116" s="54" cm="1">
        <f t="array" ref="H116">$V$6*NMultDensity(A116:B116,$V$8:$V$9,$R$8:$S$9)/G116</f>
        <v>5.893402210782434E-123</v>
      </c>
      <c r="I116" s="54" cm="1">
        <f t="array" ref="I116">$V$19*NMultDensity(A116:B116,$V$21:$V$22,$R$21:$S$22)/G116</f>
        <v>3.1495957609620167E-3</v>
      </c>
      <c r="J116" s="48" cm="1">
        <f t="array" ref="J116">$V$32*NMultDensity(A116:B116,$V$34:$V$35,$R$34:$S$35)/G116</f>
        <v>0.99685040423903792</v>
      </c>
      <c r="K116" s="52" t="str">
        <f t="shared" si="3"/>
        <v>virginica</v>
      </c>
      <c r="L116" s="54" cm="1">
        <f t="array" ref="L116">$V$6*NMultDensity(C116:D116,$V$10:$V$11,$T$10:$U$11)+$V$19*NMultDensity(C116:D116,$V$23:$V$24,$T$23:$U$24)+$V$32*NMultDensity(C116:D116,$V$36:$V$37,$T$36:$U$37)</f>
        <v>0.10153610220133363</v>
      </c>
      <c r="M116" s="54" cm="1">
        <f t="array" ref="M116">$V$6*NMultDensity(C116:D116,$V$10:$V$11,$T$10:$U$11)/L116</f>
        <v>6.6588678811278883E-70</v>
      </c>
      <c r="N116" s="54" cm="1">
        <f t="array" ref="N116">$V$19*NMultDensity(C116:D116,$V$23:$V$24,$T$23:$U$24)/L116</f>
        <v>8.4725530037597307E-2</v>
      </c>
      <c r="O116" s="48" cm="1">
        <f t="array" ref="O116">$V$32*NMultDensity(C116:D116,$V$36:$V$37,$T$36:$U$37)/L116</f>
        <v>0.91527446996240269</v>
      </c>
    </row>
    <row r="117" spans="1:15" x14ac:dyDescent="0.25">
      <c r="A117" s="61">
        <v>1.9044563747934258</v>
      </c>
      <c r="B117" s="62">
        <v>0.11925069209197268</v>
      </c>
      <c r="C117" s="65">
        <v>1.5847681965571589</v>
      </c>
      <c r="D117" s="66">
        <v>0.67398688687987041</v>
      </c>
      <c r="E117" s="25" t="s">
        <v>7</v>
      </c>
      <c r="F117" s="50" t="str">
        <f t="shared" si="2"/>
        <v>virginica</v>
      </c>
      <c r="G117" s="52" cm="1">
        <f t="array" ref="G117">$V$6*NMultDensity(A117:B117,$V$8:$V$9,$R$8:$S$9)+$V$19*NMultDensity(A117:B117,$V$21:$V$22,$R$21:$S$22)+$V$32*NMultDensity(A117:B117,$V$34:$V$35,$R$34:$S$35)</f>
        <v>0.21637546080447795</v>
      </c>
      <c r="H117" s="54" cm="1">
        <f t="array" ref="H117">$V$6*NMultDensity(A117:B117,$V$8:$V$9,$R$8:$S$9)/G117</f>
        <v>4.1898587949401065E-131</v>
      </c>
      <c r="I117" s="54" cm="1">
        <f t="array" ref="I117">$V$19*NMultDensity(A117:B117,$V$21:$V$22,$R$21:$S$22)/G117</f>
        <v>3.6070198546971008E-2</v>
      </c>
      <c r="J117" s="48" cm="1">
        <f t="array" ref="J117">$V$32*NMultDensity(A117:B117,$V$34:$V$35,$R$34:$S$35)/G117</f>
        <v>0.96392980145302898</v>
      </c>
      <c r="K117" s="52" t="str">
        <f t="shared" si="3"/>
        <v>virginica</v>
      </c>
      <c r="L117" s="54" cm="1">
        <f t="array" ref="L117">$V$6*NMultDensity(C117:D117,$V$10:$V$11,$T$10:$U$11)+$V$19*NMultDensity(C117:D117,$V$23:$V$24,$T$23:$U$24)+$V$32*NMultDensity(C117:D117,$V$36:$V$37,$T$36:$U$37)</f>
        <v>0.10561533664857328</v>
      </c>
      <c r="M117" s="54" cm="1">
        <f t="array" ref="M117">$V$6*NMultDensity(C117:D117,$V$10:$V$11,$T$10:$U$11)/L117</f>
        <v>1.885899129549062E-75</v>
      </c>
      <c r="N117" s="54" cm="1">
        <f t="array" ref="N117">$V$19*NMultDensity(C117:D117,$V$23:$V$24,$T$23:$U$24)/L117</f>
        <v>9.6402112015492952E-2</v>
      </c>
      <c r="O117" s="48" cm="1">
        <f t="array" ref="O117">$V$32*NMultDensity(C117:D117,$V$36:$V$37,$T$36:$U$37)/L117</f>
        <v>0.90359788798450713</v>
      </c>
    </row>
    <row r="118" spans="1:15" x14ac:dyDescent="0.25">
      <c r="A118" s="61">
        <v>1.9496890593990683</v>
      </c>
      <c r="B118" s="62">
        <v>4.1943259663210913E-2</v>
      </c>
      <c r="C118" s="65">
        <v>1.4665184876141868</v>
      </c>
      <c r="D118" s="66">
        <v>0.25476832684844219</v>
      </c>
      <c r="E118" s="25" t="s">
        <v>7</v>
      </c>
      <c r="F118" s="50" t="str">
        <f t="shared" si="2"/>
        <v>virginica</v>
      </c>
      <c r="G118" s="52" cm="1">
        <f t="array" ref="G118">$V$6*NMultDensity(A118:B118,$V$8:$V$9,$R$8:$S$9)+$V$19*NMultDensity(A118:B118,$V$21:$V$22,$R$21:$S$22)+$V$32*NMultDensity(A118:B118,$V$34:$V$35,$R$34:$S$35)</f>
        <v>0.25258047590678373</v>
      </c>
      <c r="H118" s="54" cm="1">
        <f t="array" ref="H118">$V$6*NMultDensity(A118:B118,$V$8:$V$9,$R$8:$S$9)/G118</f>
        <v>6.0033122371131141E-135</v>
      </c>
      <c r="I118" s="54" cm="1">
        <f t="array" ref="I118">$V$19*NMultDensity(A118:B118,$V$21:$V$22,$R$21:$S$22)/G118</f>
        <v>1.3812696755326525E-2</v>
      </c>
      <c r="J118" s="48" cm="1">
        <f t="array" ref="J118">$V$32*NMultDensity(A118:B118,$V$34:$V$35,$R$34:$S$35)/G118</f>
        <v>0.98618730324467352</v>
      </c>
      <c r="K118" s="52" t="str">
        <f t="shared" si="3"/>
        <v>virginica</v>
      </c>
      <c r="L118" s="54" cm="1">
        <f t="array" ref="L118">$V$6*NMultDensity(C118:D118,$V$10:$V$11,$T$10:$U$11)+$V$19*NMultDensity(C118:D118,$V$23:$V$24,$T$23:$U$24)+$V$32*NMultDensity(C118:D118,$V$36:$V$37,$T$36:$U$37)</f>
        <v>0.12893275184514003</v>
      </c>
      <c r="M118" s="54" cm="1">
        <f t="array" ref="M118">$V$6*NMultDensity(C118:D118,$V$10:$V$11,$T$10:$U$11)/L118</f>
        <v>1.4197740411185486E-70</v>
      </c>
      <c r="N118" s="54" cm="1">
        <f t="array" ref="N118">$V$19*NMultDensity(C118:D118,$V$23:$V$24,$T$23:$U$24)/L118</f>
        <v>0.13812039075945656</v>
      </c>
      <c r="O118" s="48" cm="1">
        <f t="array" ref="O118">$V$32*NMultDensity(C118:D118,$V$36:$V$37,$T$36:$U$37)/L118</f>
        <v>0.86187960924054341</v>
      </c>
    </row>
    <row r="119" spans="1:15" x14ac:dyDescent="0.25">
      <c r="A119" s="61">
        <v>3.4870553642902777</v>
      </c>
      <c r="B119" s="62">
        <v>1.1757393297134286</v>
      </c>
      <c r="C119" s="65">
        <v>2.4182276992990475</v>
      </c>
      <c r="D119" s="66">
        <v>2.5481247954088659</v>
      </c>
      <c r="E119" s="25" t="s">
        <v>7</v>
      </c>
      <c r="F119" s="50" t="str">
        <f t="shared" si="2"/>
        <v>virginica</v>
      </c>
      <c r="G119" s="52" cm="1">
        <f t="array" ref="G119">$V$6*NMultDensity(A119:B119,$V$8:$V$9,$R$8:$S$9)+$V$19*NMultDensity(A119:B119,$V$21:$V$22,$R$21:$S$22)+$V$32*NMultDensity(A119:B119,$V$34:$V$35,$R$34:$S$35)</f>
        <v>1.7766389085991083E-2</v>
      </c>
      <c r="H119" s="54" cm="1">
        <f t="array" ref="H119">$V$6*NMultDensity(A119:B119,$V$8:$V$9,$R$8:$S$9)/G119</f>
        <v>7.0616785190263729E-217</v>
      </c>
      <c r="I119" s="54" cm="1">
        <f t="array" ref="I119">$V$19*NMultDensity(A119:B119,$V$21:$V$22,$R$21:$S$22)/G119</f>
        <v>6.0193296343821089E-5</v>
      </c>
      <c r="J119" s="48" cm="1">
        <f t="array" ref="J119">$V$32*NMultDensity(A119:B119,$V$34:$V$35,$R$34:$S$35)/G119</f>
        <v>0.99993980670365612</v>
      </c>
      <c r="K119" s="52" t="str">
        <f t="shared" si="3"/>
        <v>virginica</v>
      </c>
      <c r="L119" s="54" cm="1">
        <f t="array" ref="L119">$V$6*NMultDensity(C119:D119,$V$10:$V$11,$T$10:$U$11)+$V$19*NMultDensity(C119:D119,$V$23:$V$24,$T$23:$U$24)+$V$32*NMultDensity(C119:D119,$V$36:$V$37,$T$36:$U$37)</f>
        <v>3.993799108805947E-3</v>
      </c>
      <c r="M119" s="54" cm="1">
        <f t="array" ref="M119">$V$6*NMultDensity(C119:D119,$V$10:$V$11,$T$10:$U$11)/L119</f>
        <v>1.2597024270740484E-113</v>
      </c>
      <c r="N119" s="54" cm="1">
        <f t="array" ref="N119">$V$19*NMultDensity(C119:D119,$V$23:$V$24,$T$23:$U$24)/L119</f>
        <v>1.7223970176492953E-3</v>
      </c>
      <c r="O119" s="48" cm="1">
        <f t="array" ref="O119">$V$32*NMultDensity(C119:D119,$V$36:$V$37,$T$36:$U$37)/L119</f>
        <v>0.9982776029823508</v>
      </c>
    </row>
    <row r="120" spans="1:15" x14ac:dyDescent="0.25">
      <c r="A120" s="61">
        <v>3.7956454220728828</v>
      </c>
      <c r="B120" s="62">
        <v>0.25732297342047955</v>
      </c>
      <c r="C120" s="65">
        <v>3.2996414776684135</v>
      </c>
      <c r="D120" s="66">
        <v>1.7721580375857734E-2</v>
      </c>
      <c r="E120" s="25" t="s">
        <v>7</v>
      </c>
      <c r="F120" s="50" t="str">
        <f t="shared" si="2"/>
        <v>virginica</v>
      </c>
      <c r="G120" s="52" cm="1">
        <f t="array" ref="G120">$V$6*NMultDensity(A120:B120,$V$8:$V$9,$R$8:$S$9)+$V$19*NMultDensity(A120:B120,$V$21:$V$22,$R$21:$S$22)+$V$32*NMultDensity(A120:B120,$V$34:$V$35,$R$34:$S$35)</f>
        <v>5.5413505840468005E-4</v>
      </c>
      <c r="H120" s="54" cm="1">
        <f t="array" ref="H120">$V$6*NMultDensity(A120:B120,$V$8:$V$9,$R$8:$S$9)/G120</f>
        <v>1.7770699295821233E-256</v>
      </c>
      <c r="I120" s="54" cm="1">
        <f t="array" ref="I120">$V$19*NMultDensity(A120:B120,$V$21:$V$22,$R$21:$S$22)/G120</f>
        <v>1.4164324425538903E-9</v>
      </c>
      <c r="J120" s="48" cm="1">
        <f t="array" ref="J120">$V$32*NMultDensity(A120:B120,$V$34:$V$35,$R$34:$S$35)/G120</f>
        <v>0.9999999985835677</v>
      </c>
      <c r="K120" s="52" t="str">
        <f t="shared" si="3"/>
        <v>virginica</v>
      </c>
      <c r="L120" s="54" cm="1">
        <f t="array" ref="L120">$V$6*NMultDensity(C120:D120,$V$10:$V$11,$T$10:$U$11)+$V$19*NMultDensity(C120:D120,$V$23:$V$24,$T$23:$U$24)+$V$32*NMultDensity(C120:D120,$V$36:$V$37,$T$36:$U$37)</f>
        <v>2.5596877430136773E-4</v>
      </c>
      <c r="M120" s="54" cm="1">
        <f t="array" ref="M120">$V$6*NMultDensity(C120:D120,$V$10:$V$11,$T$10:$U$11)/L120</f>
        <v>7.5367660509277132E-155</v>
      </c>
      <c r="N120" s="54" cm="1">
        <f t="array" ref="N120">$V$19*NMultDensity(C120:D120,$V$23:$V$24,$T$23:$U$24)/L120</f>
        <v>3.6561569615812406E-8</v>
      </c>
      <c r="O120" s="48" cm="1">
        <f t="array" ref="O120">$V$32*NMultDensity(C120:D120,$V$36:$V$37,$T$36:$U$37)/L120</f>
        <v>0.99999996343843034</v>
      </c>
    </row>
    <row r="121" spans="1:15" x14ac:dyDescent="0.25">
      <c r="A121" s="61">
        <v>1.3007917126376565</v>
      </c>
      <c r="B121" s="62">
        <v>-0.76114963643506361</v>
      </c>
      <c r="C121" s="65">
        <v>1.2595470736340402</v>
      </c>
      <c r="D121" s="66">
        <v>-1.7010467154509117</v>
      </c>
      <c r="E121" s="25" t="s">
        <v>7</v>
      </c>
      <c r="F121" s="50" t="str">
        <f t="shared" si="2"/>
        <v>virginica</v>
      </c>
      <c r="G121" s="52" cm="1">
        <f t="array" ref="G121">$V$6*NMultDensity(A121:B121,$V$8:$V$9,$R$8:$S$9)+$V$19*NMultDensity(A121:B121,$V$21:$V$22,$R$21:$S$22)+$V$32*NMultDensity(A121:B121,$V$34:$V$35,$R$34:$S$35)</f>
        <v>5.9576596223467969E-2</v>
      </c>
      <c r="H121" s="54" cm="1">
        <f t="array" ref="H121">$V$6*NMultDensity(A121:B121,$V$8:$V$9,$R$8:$S$9)/G121</f>
        <v>9.975126830633293E-111</v>
      </c>
      <c r="I121" s="54" cm="1">
        <f t="array" ref="I121">$V$19*NMultDensity(A121:B121,$V$21:$V$22,$R$21:$S$22)/G121</f>
        <v>5.7859363496515033E-3</v>
      </c>
      <c r="J121" s="48" cm="1">
        <f t="array" ref="J121">$V$32*NMultDensity(A121:B121,$V$34:$V$35,$R$34:$S$35)/G121</f>
        <v>0.99421406365034848</v>
      </c>
      <c r="K121" s="52" t="str">
        <f t="shared" si="3"/>
        <v>virginica</v>
      </c>
      <c r="L121" s="54" cm="1">
        <f t="array" ref="L121">$V$6*NMultDensity(C121:D121,$V$10:$V$11,$T$10:$U$11)+$V$19*NMultDensity(C121:D121,$V$23:$V$24,$T$23:$U$24)+$V$32*NMultDensity(C121:D121,$V$36:$V$37,$T$36:$U$37)</f>
        <v>9.8904924821546988E-3</v>
      </c>
      <c r="M121" s="54" cm="1">
        <f t="array" ref="M121">$V$6*NMultDensity(C121:D121,$V$10:$V$11,$T$10:$U$11)/L121</f>
        <v>2.6028548519737474E-61</v>
      </c>
      <c r="N121" s="54" cm="1">
        <f t="array" ref="N121">$V$19*NMultDensity(C121:D121,$V$23:$V$24,$T$23:$U$24)/L121</f>
        <v>9.0773438429376282E-2</v>
      </c>
      <c r="O121" s="48" cm="1">
        <f t="array" ref="O121">$V$32*NMultDensity(C121:D121,$V$36:$V$37,$T$36:$U$37)/L121</f>
        <v>0.90922656157062365</v>
      </c>
    </row>
    <row r="122" spans="1:15" x14ac:dyDescent="0.25">
      <c r="A122" s="61">
        <v>2.4278179130660447</v>
      </c>
      <c r="B122" s="62">
        <v>0.37819601261705077</v>
      </c>
      <c r="C122" s="65">
        <v>2.0309125552582694</v>
      </c>
      <c r="D122" s="66">
        <v>0.9074274431695839</v>
      </c>
      <c r="E122" s="25" t="s">
        <v>7</v>
      </c>
      <c r="F122" s="50" t="str">
        <f t="shared" si="2"/>
        <v>virginica</v>
      </c>
      <c r="G122" s="52" cm="1">
        <f t="array" ref="G122">$V$6*NMultDensity(A122:B122,$V$8:$V$9,$R$8:$S$9)+$V$19*NMultDensity(A122:B122,$V$21:$V$22,$R$21:$S$22)+$V$32*NMultDensity(A122:B122,$V$34:$V$35,$R$34:$S$35)</f>
        <v>0.20963656097929126</v>
      </c>
      <c r="H122" s="54" cm="1">
        <f t="array" ref="H122">$V$6*NMultDensity(A122:B122,$V$8:$V$9,$R$8:$S$9)/G122</f>
        <v>1.3256484744026643E-158</v>
      </c>
      <c r="I122" s="54" cm="1">
        <f t="array" ref="I122">$V$19*NMultDensity(A122:B122,$V$21:$V$22,$R$21:$S$22)/G122</f>
        <v>2.7804481222280498E-3</v>
      </c>
      <c r="J122" s="48" cm="1">
        <f t="array" ref="J122">$V$32*NMultDensity(A122:B122,$V$34:$V$35,$R$34:$S$35)/G122</f>
        <v>0.99721955187777189</v>
      </c>
      <c r="K122" s="52" t="str">
        <f t="shared" si="3"/>
        <v>virginica</v>
      </c>
      <c r="L122" s="54" cm="1">
        <f t="array" ref="L122">$V$6*NMultDensity(C122:D122,$V$10:$V$11,$T$10:$U$11)+$V$19*NMultDensity(C122:D122,$V$23:$V$24,$T$23:$U$24)+$V$32*NMultDensity(C122:D122,$V$36:$V$37,$T$36:$U$37)</f>
        <v>9.6963105088608184E-2</v>
      </c>
      <c r="M122" s="54" cm="1">
        <f t="array" ref="M122">$V$6*NMultDensity(C122:D122,$V$10:$V$11,$T$10:$U$11)/L122</f>
        <v>2.6221141259707282E-94</v>
      </c>
      <c r="N122" s="54" cm="1">
        <f t="array" ref="N122">$V$19*NMultDensity(C122:D122,$V$23:$V$24,$T$23:$U$24)/L122</f>
        <v>6.9032693206471513E-3</v>
      </c>
      <c r="O122" s="48" cm="1">
        <f t="array" ref="O122">$V$32*NMultDensity(C122:D122,$V$36:$V$37,$T$36:$U$37)/L122</f>
        <v>0.99309673067935278</v>
      </c>
    </row>
    <row r="123" spans="1:15" x14ac:dyDescent="0.25">
      <c r="A123" s="61">
        <v>1.1990011054655598</v>
      </c>
      <c r="B123" s="62">
        <v>-0.60609152775793085</v>
      </c>
      <c r="C123" s="65">
        <v>0.97471534705571328</v>
      </c>
      <c r="D123" s="66">
        <v>-0.5698552566292725</v>
      </c>
      <c r="E123" s="25" t="s">
        <v>7</v>
      </c>
      <c r="F123" s="50" t="str">
        <f t="shared" si="2"/>
        <v>virginica</v>
      </c>
      <c r="G123" s="52" cm="1">
        <f t="array" ref="G123">$V$6*NMultDensity(A123:B123,$V$8:$V$9,$R$8:$S$9)+$V$19*NMultDensity(A123:B123,$V$21:$V$22,$R$21:$S$22)+$V$32*NMultDensity(A123:B123,$V$34:$V$35,$R$34:$S$35)</f>
        <v>0.10363781885096837</v>
      </c>
      <c r="H123" s="54" cm="1">
        <f t="array" ref="H123">$V$6*NMultDensity(A123:B123,$V$8:$V$9,$R$8:$S$9)/G123</f>
        <v>2.2584081008694815E-103</v>
      </c>
      <c r="I123" s="54" cm="1">
        <f t="array" ref="I123">$V$19*NMultDensity(A123:B123,$V$21:$V$22,$R$21:$S$22)/G123</f>
        <v>4.5050899314235164E-2</v>
      </c>
      <c r="J123" s="48" cm="1">
        <f t="array" ref="J123">$V$32*NMultDensity(A123:B123,$V$34:$V$35,$R$34:$S$35)/G123</f>
        <v>0.95494910068576488</v>
      </c>
      <c r="K123" s="52" t="str">
        <f t="shared" si="3"/>
        <v>versicolor</v>
      </c>
      <c r="L123" s="54" cm="1">
        <f t="array" ref="L123">$V$6*NMultDensity(C123:D123,$V$10:$V$11,$T$10:$U$11)+$V$19*NMultDensity(C123:D123,$V$23:$V$24,$T$23:$U$24)+$V$32*NMultDensity(C123:D123,$V$36:$V$37,$T$36:$U$37)</f>
        <v>0.12680160707375698</v>
      </c>
      <c r="M123" s="54" cm="1">
        <f t="array" ref="M123">$V$6*NMultDensity(C123:D123,$V$10:$V$11,$T$10:$U$11)/L123</f>
        <v>1.0920459785541722E-52</v>
      </c>
      <c r="N123" s="54" cm="1">
        <f t="array" ref="N123">$V$19*NMultDensity(C123:D123,$V$23:$V$24,$T$23:$U$24)/L123</f>
        <v>0.58838745055712938</v>
      </c>
      <c r="O123" s="48" cm="1">
        <f t="array" ref="O123">$V$32*NMultDensity(C123:D123,$V$36:$V$37,$T$36:$U$37)/L123</f>
        <v>0.41161254944287073</v>
      </c>
    </row>
    <row r="124" spans="1:15" x14ac:dyDescent="0.25">
      <c r="A124" s="61">
        <v>3.4999200389245364</v>
      </c>
      <c r="B124" s="62">
        <v>0.46067409891189487</v>
      </c>
      <c r="C124" s="65">
        <v>2.8879765004830795</v>
      </c>
      <c r="D124" s="66">
        <v>0.41225995036570706</v>
      </c>
      <c r="E124" s="25" t="s">
        <v>7</v>
      </c>
      <c r="F124" s="50" t="str">
        <f t="shared" si="2"/>
        <v>virginica</v>
      </c>
      <c r="G124" s="52" cm="1">
        <f t="array" ref="G124">$V$6*NMultDensity(A124:B124,$V$8:$V$9,$R$8:$S$9)+$V$19*NMultDensity(A124:B124,$V$21:$V$22,$R$21:$S$22)+$V$32*NMultDensity(A124:B124,$V$34:$V$35,$R$34:$S$35)</f>
        <v>1.6717460062818854E-2</v>
      </c>
      <c r="H124" s="54" cm="1">
        <f t="array" ref="H124">$V$6*NMultDensity(A124:B124,$V$8:$V$9,$R$8:$S$9)/G124</f>
        <v>9.9746736549728489E-231</v>
      </c>
      <c r="I124" s="54" cm="1">
        <f t="array" ref="I124">$V$19*NMultDensity(A124:B124,$V$21:$V$22,$R$21:$S$22)/G124</f>
        <v>1.7982405128840133E-7</v>
      </c>
      <c r="J124" s="48" cm="1">
        <f t="array" ref="J124">$V$32*NMultDensity(A124:B124,$V$34:$V$35,$R$34:$S$35)/G124</f>
        <v>0.99999982017594868</v>
      </c>
      <c r="K124" s="52" t="str">
        <f t="shared" si="3"/>
        <v>virginica</v>
      </c>
      <c r="L124" s="54" cm="1">
        <f t="array" ref="L124">$V$6*NMultDensity(C124:D124,$V$10:$V$11,$T$10:$U$11)+$V$19*NMultDensity(C124:D124,$V$23:$V$24,$T$23:$U$24)+$V$32*NMultDensity(C124:D124,$V$36:$V$37,$T$36:$U$37)</f>
        <v>8.0817858739606792E-3</v>
      </c>
      <c r="M124" s="54" cm="1">
        <f t="array" ref="M124">$V$6*NMultDensity(C124:D124,$V$10:$V$11,$T$10:$U$11)/L124</f>
        <v>3.5655228123933264E-134</v>
      </c>
      <c r="N124" s="54" cm="1">
        <f t="array" ref="N124">$V$19*NMultDensity(C124:D124,$V$23:$V$24,$T$23:$U$24)/L124</f>
        <v>3.7804627189183321E-6</v>
      </c>
      <c r="O124" s="48" cm="1">
        <f t="array" ref="O124">$V$32*NMultDensity(C124:D124,$V$36:$V$37,$T$36:$U$37)/L124</f>
        <v>0.99999621953728113</v>
      </c>
    </row>
    <row r="125" spans="1:15" x14ac:dyDescent="0.25">
      <c r="A125" s="61">
        <v>1.3887661316914643</v>
      </c>
      <c r="B125" s="62">
        <v>-0.20439932735215086</v>
      </c>
      <c r="C125" s="65">
        <v>1.3287806370817197</v>
      </c>
      <c r="D125" s="66">
        <v>-0.48020249556517125</v>
      </c>
      <c r="E125" s="25" t="s">
        <v>7</v>
      </c>
      <c r="F125" s="50" t="str">
        <f t="shared" si="2"/>
        <v>virginica</v>
      </c>
      <c r="G125" s="52" cm="1">
        <f t="array" ref="G125">$V$6*NMultDensity(A125:B125,$V$8:$V$9,$R$8:$S$9)+$V$19*NMultDensity(A125:B125,$V$21:$V$22,$R$21:$S$22)+$V$32*NMultDensity(A125:B125,$V$34:$V$35,$R$34:$S$35)</f>
        <v>0.17145009344306011</v>
      </c>
      <c r="H125" s="54" cm="1">
        <f t="array" ref="H125">$V$6*NMultDensity(A125:B125,$V$8:$V$9,$R$8:$S$9)/G125</f>
        <v>1.5108038852463493E-107</v>
      </c>
      <c r="I125" s="54" cm="1">
        <f t="array" ref="I125">$V$19*NMultDensity(A125:B125,$V$21:$V$22,$R$21:$S$22)/G125</f>
        <v>0.1874085508012539</v>
      </c>
      <c r="J125" s="48" cm="1">
        <f t="array" ref="J125">$V$32*NMultDensity(A125:B125,$V$34:$V$35,$R$34:$S$35)/G125</f>
        <v>0.81259144919874615</v>
      </c>
      <c r="K125" s="52" t="str">
        <f t="shared" si="3"/>
        <v>virginica</v>
      </c>
      <c r="L125" s="54" cm="1">
        <f t="array" ref="L125">$V$6*NMultDensity(C125:D125,$V$10:$V$11,$T$10:$U$11)+$V$19*NMultDensity(C125:D125,$V$23:$V$24,$T$23:$U$24)+$V$32*NMultDensity(C125:D125,$V$36:$V$37,$T$36:$U$37)</f>
        <v>0.10416119013316039</v>
      </c>
      <c r="M125" s="54" cm="1">
        <f t="array" ref="M125">$V$6*NMultDensity(C125:D125,$V$10:$V$11,$T$10:$U$11)/L125</f>
        <v>6.5279561454335512E-65</v>
      </c>
      <c r="N125" s="54" cm="1">
        <f t="array" ref="N125">$V$19*NMultDensity(C125:D125,$V$23:$V$24,$T$23:$U$24)/L125</f>
        <v>0.17037495092396179</v>
      </c>
      <c r="O125" s="48" cm="1">
        <f t="array" ref="O125">$V$32*NMultDensity(C125:D125,$V$36:$V$37,$T$36:$U$37)/L125</f>
        <v>0.82962504907603818</v>
      </c>
    </row>
    <row r="126" spans="1:15" x14ac:dyDescent="0.25">
      <c r="A126" s="61">
        <v>2.2754305038722036</v>
      </c>
      <c r="B126" s="62">
        <v>0.334990605821677</v>
      </c>
      <c r="C126" s="65">
        <v>1.695055304351007</v>
      </c>
      <c r="D126" s="66">
        <v>1.0105364760108886</v>
      </c>
      <c r="E126" s="25" t="s">
        <v>7</v>
      </c>
      <c r="F126" s="50" t="str">
        <f t="shared" si="2"/>
        <v>virginica</v>
      </c>
      <c r="G126" s="52" cm="1">
        <f t="array" ref="G126">$V$6*NMultDensity(A126:B126,$V$8:$V$9,$R$8:$S$9)+$V$19*NMultDensity(A126:B126,$V$21:$V$22,$R$21:$S$22)+$V$32*NMultDensity(A126:B126,$V$34:$V$35,$R$34:$S$35)</f>
        <v>0.20826432453519469</v>
      </c>
      <c r="H126" s="54" cm="1">
        <f t="array" ref="H126">$V$6*NMultDensity(A126:B126,$V$8:$V$9,$R$8:$S$9)/G126</f>
        <v>8.3253163459924066E-150</v>
      </c>
      <c r="I126" s="54" cm="1">
        <f t="array" ref="I126">$V$19*NMultDensity(A126:B126,$V$21:$V$22,$R$21:$S$22)/G126</f>
        <v>7.7197081561141655E-3</v>
      </c>
      <c r="J126" s="48" cm="1">
        <f t="array" ref="J126">$V$32*NMultDensity(A126:B126,$V$34:$V$35,$R$34:$S$35)/G126</f>
        <v>0.99228029184388589</v>
      </c>
      <c r="K126" s="52" t="str">
        <f t="shared" si="3"/>
        <v>virginica</v>
      </c>
      <c r="L126" s="54" cm="1">
        <f t="array" ref="L126">$V$6*NMultDensity(C126:D126,$V$10:$V$11,$T$10:$U$11)+$V$19*NMultDensity(C126:D126,$V$23:$V$24,$T$23:$U$24)+$V$32*NMultDensity(C126:D126,$V$36:$V$37,$T$36:$U$37)</f>
        <v>7.7749460084711355E-2</v>
      </c>
      <c r="M126" s="54" cm="1">
        <f t="array" ref="M126">$V$6*NMultDensity(C126:D126,$V$10:$V$11,$T$10:$U$11)/L126</f>
        <v>4.1358097577781928E-80</v>
      </c>
      <c r="N126" s="54" cm="1">
        <f t="array" ref="N126">$V$19*NMultDensity(C126:D126,$V$23:$V$24,$T$23:$U$24)/L126</f>
        <v>6.4532996097845727E-2</v>
      </c>
      <c r="O126" s="48" cm="1">
        <f t="array" ref="O126">$V$32*NMultDensity(C126:D126,$V$36:$V$37,$T$36:$U$37)/L126</f>
        <v>0.93546700390215431</v>
      </c>
    </row>
    <row r="127" spans="1:15" x14ac:dyDescent="0.25">
      <c r="A127" s="61">
        <v>2.6140904738108297</v>
      </c>
      <c r="B127" s="62">
        <v>0.56090135512307726</v>
      </c>
      <c r="C127" s="65">
        <v>1.9478013897869151</v>
      </c>
      <c r="D127" s="66">
        <v>1.0044127199945454</v>
      </c>
      <c r="E127" s="25" t="s">
        <v>7</v>
      </c>
      <c r="F127" s="50" t="str">
        <f t="shared" si="2"/>
        <v>virginica</v>
      </c>
      <c r="G127" s="52" cm="1">
        <f t="array" ref="G127">$V$6*NMultDensity(A127:B127,$V$8:$V$9,$R$8:$S$9)+$V$19*NMultDensity(A127:B127,$V$21:$V$22,$R$21:$S$22)+$V$32*NMultDensity(A127:B127,$V$34:$V$35,$R$34:$S$35)</f>
        <v>0.14932667146429973</v>
      </c>
      <c r="H127" s="54" cm="1">
        <f t="array" ref="H127">$V$6*NMultDensity(A127:B127,$V$8:$V$9,$R$8:$S$9)/G127</f>
        <v>1.8543205236894961E-167</v>
      </c>
      <c r="I127" s="54" cm="1">
        <f t="array" ref="I127">$V$19*NMultDensity(A127:B127,$V$21:$V$22,$R$21:$S$22)/G127</f>
        <v>2.0971604603290625E-3</v>
      </c>
      <c r="J127" s="48" cm="1">
        <f t="array" ref="J127">$V$32*NMultDensity(A127:B127,$V$34:$V$35,$R$34:$S$35)/G127</f>
        <v>0.99790283953967085</v>
      </c>
      <c r="K127" s="52" t="str">
        <f t="shared" si="3"/>
        <v>virginica</v>
      </c>
      <c r="L127" s="54" cm="1">
        <f t="array" ref="L127">$V$6*NMultDensity(C127:D127,$V$10:$V$11,$T$10:$U$11)+$V$19*NMultDensity(C127:D127,$V$23:$V$24,$T$23:$U$24)+$V$32*NMultDensity(C127:D127,$V$36:$V$37,$T$36:$U$37)</f>
        <v>9.0054359980372131E-2</v>
      </c>
      <c r="M127" s="54" cm="1">
        <f t="array" ref="M127">$V$6*NMultDensity(C127:D127,$V$10:$V$11,$T$10:$U$11)/L127</f>
        <v>9.0944454105853302E-91</v>
      </c>
      <c r="N127" s="54" cm="1">
        <f t="array" ref="N127">$V$19*NMultDensity(C127:D127,$V$23:$V$24,$T$23:$U$24)/L127</f>
        <v>1.320870983893393E-2</v>
      </c>
      <c r="O127" s="48" cm="1">
        <f t="array" ref="O127">$V$32*NMultDensity(C127:D127,$V$36:$V$37,$T$36:$U$37)/L127</f>
        <v>0.98679129016106604</v>
      </c>
    </row>
    <row r="128" spans="1:15" x14ac:dyDescent="0.25">
      <c r="A128" s="61">
        <v>1.258508160511487</v>
      </c>
      <c r="B128" s="62">
        <v>-0.17970479472274661</v>
      </c>
      <c r="C128" s="65">
        <v>1.1711800692439762</v>
      </c>
      <c r="D128" s="66">
        <v>-0.31533806043801393</v>
      </c>
      <c r="E128" s="25" t="s">
        <v>7</v>
      </c>
      <c r="F128" s="50" t="str">
        <f t="shared" si="2"/>
        <v>virginica</v>
      </c>
      <c r="G128" s="52" cm="1">
        <f t="array" ref="G128">$V$6*NMultDensity(A128:B128,$V$8:$V$9,$R$8:$S$9)+$V$19*NMultDensity(A128:B128,$V$21:$V$22,$R$21:$S$22)+$V$32*NMultDensity(A128:B128,$V$34:$V$35,$R$34:$S$35)</f>
        <v>0.16209042819609232</v>
      </c>
      <c r="H128" s="54" cm="1">
        <f t="array" ref="H128">$V$6*NMultDensity(A128:B128,$V$8:$V$9,$R$8:$S$9)/G128</f>
        <v>1.5612257130368652E-100</v>
      </c>
      <c r="I128" s="54" cm="1">
        <f t="array" ref="I128">$V$19*NMultDensity(A128:B128,$V$21:$V$22,$R$21:$S$22)/G128</f>
        <v>0.44167492264238534</v>
      </c>
      <c r="J128" s="48" cm="1">
        <f t="array" ref="J128">$V$32*NMultDensity(A128:B128,$V$34:$V$35,$R$34:$S$35)/G128</f>
        <v>0.55832507735761461</v>
      </c>
      <c r="K128" s="52" t="str">
        <f t="shared" si="3"/>
        <v>virginica</v>
      </c>
      <c r="L128" s="54" cm="1">
        <f t="array" ref="L128">$V$6*NMultDensity(C128:D128,$V$10:$V$11,$T$10:$U$11)+$V$19*NMultDensity(C128:D128,$V$23:$V$24,$T$23:$U$24)+$V$32*NMultDensity(C128:D128,$V$36:$V$37,$T$36:$U$37)</f>
        <v>0.12589038890198848</v>
      </c>
      <c r="M128" s="54" cm="1">
        <f t="array" ref="M128">$V$6*NMultDensity(C128:D128,$V$10:$V$11,$T$10:$U$11)/L128</f>
        <v>1.9753597358227365E-59</v>
      </c>
      <c r="N128" s="54" cm="1">
        <f t="array" ref="N128">$V$19*NMultDensity(C128:D128,$V$23:$V$24,$T$23:$U$24)/L128</f>
        <v>0.3695221187587337</v>
      </c>
      <c r="O128" s="48" cm="1">
        <f t="array" ref="O128">$V$32*NMultDensity(C128:D128,$V$36:$V$37,$T$36:$U$37)/L128</f>
        <v>0.63047788124126625</v>
      </c>
    </row>
    <row r="129" spans="1:15" x14ac:dyDescent="0.25">
      <c r="A129" s="61">
        <v>1.2911320591150199</v>
      </c>
      <c r="B129" s="62">
        <v>-0.11666865117401171</v>
      </c>
      <c r="C129" s="65">
        <v>1.0175416912603292</v>
      </c>
      <c r="D129" s="66">
        <v>6.4131183800912206E-2</v>
      </c>
      <c r="E129" s="25" t="s">
        <v>7</v>
      </c>
      <c r="F129" s="50" t="str">
        <f t="shared" si="2"/>
        <v>virginica</v>
      </c>
      <c r="G129" s="52" cm="1">
        <f t="array" ref="G129">$V$6*NMultDensity(A129:B129,$V$8:$V$9,$R$8:$S$9)+$V$19*NMultDensity(A129:B129,$V$21:$V$22,$R$21:$S$22)+$V$32*NMultDensity(A129:B129,$V$34:$V$35,$R$34:$S$35)</f>
        <v>0.16374288474730006</v>
      </c>
      <c r="H129" s="54" cm="1">
        <f t="array" ref="H129">$V$6*NMultDensity(A129:B129,$V$8:$V$9,$R$8:$S$9)/G129</f>
        <v>2.5552158095351899E-101</v>
      </c>
      <c r="I129" s="54" cm="1">
        <f t="array" ref="I129">$V$19*NMultDensity(A129:B129,$V$21:$V$22,$R$21:$S$22)/G129</f>
        <v>0.49486392673363211</v>
      </c>
      <c r="J129" s="48" cm="1">
        <f t="array" ref="J129">$V$32*NMultDensity(A129:B129,$V$34:$V$35,$R$34:$S$35)/G129</f>
        <v>0.50513607326636789</v>
      </c>
      <c r="K129" s="52" t="str">
        <f t="shared" si="3"/>
        <v>versicolor</v>
      </c>
      <c r="L129" s="54" cm="1">
        <f t="array" ref="L129">$V$6*NMultDensity(C129:D129,$V$10:$V$11,$T$10:$U$11)+$V$19*NMultDensity(C129:D129,$V$23:$V$24,$T$23:$U$24)+$V$32*NMultDensity(C129:D129,$V$36:$V$37,$T$36:$U$37)</f>
        <v>0.13808705522514758</v>
      </c>
      <c r="M129" s="54" cm="1">
        <f t="array" ref="M129">$V$6*NMultDensity(C129:D129,$V$10:$V$11,$T$10:$U$11)/L129</f>
        <v>2.0499973780297457E-54</v>
      </c>
      <c r="N129" s="54" cm="1">
        <f t="array" ref="N129">$V$19*NMultDensity(C129:D129,$V$23:$V$24,$T$23:$U$24)/L129</f>
        <v>0.63031537002966953</v>
      </c>
      <c r="O129" s="48" cm="1">
        <f t="array" ref="O129">$V$32*NMultDensity(C129:D129,$V$36:$V$37,$T$36:$U$37)/L129</f>
        <v>0.36968462997033041</v>
      </c>
    </row>
    <row r="130" spans="1:15" x14ac:dyDescent="0.25">
      <c r="A130" s="61">
        <v>2.1236087227738936</v>
      </c>
      <c r="B130" s="62">
        <v>-0.20972947667730291</v>
      </c>
      <c r="C130" s="65">
        <v>1.7823787852455153</v>
      </c>
      <c r="D130" s="66">
        <v>-0.18673563282904782</v>
      </c>
      <c r="E130" s="25" t="s">
        <v>7</v>
      </c>
      <c r="F130" s="50" t="str">
        <f t="shared" si="2"/>
        <v>virginica</v>
      </c>
      <c r="G130" s="52" cm="1">
        <f t="array" ref="G130">$V$6*NMultDensity(A130:B130,$V$8:$V$9,$R$8:$S$9)+$V$19*NMultDensity(A130:B130,$V$21:$V$22,$R$21:$S$22)+$V$32*NMultDensity(A130:B130,$V$34:$V$35,$R$34:$S$35)</f>
        <v>0.16711721372138033</v>
      </c>
      <c r="H130" s="54" cm="1">
        <f t="array" ref="H130">$V$6*NMultDensity(A130:B130,$V$8:$V$9,$R$8:$S$9)/G130</f>
        <v>3.8553168606439527E-149</v>
      </c>
      <c r="I130" s="54" cm="1">
        <f t="array" ref="I130">$V$19*NMultDensity(A130:B130,$V$21:$V$22,$R$21:$S$22)/G130</f>
        <v>4.0836644935435018E-4</v>
      </c>
      <c r="J130" s="48" cm="1">
        <f t="array" ref="J130">$V$32*NMultDensity(A130:B130,$V$34:$V$35,$R$34:$S$35)/G130</f>
        <v>0.99959163355064562</v>
      </c>
      <c r="K130" s="52" t="str">
        <f t="shared" si="3"/>
        <v>virginica</v>
      </c>
      <c r="L130" s="54" cm="1">
        <f t="array" ref="L130">$V$6*NMultDensity(C130:D130,$V$10:$V$11,$T$10:$U$11)+$V$19*NMultDensity(C130:D130,$V$23:$V$24,$T$23:$U$24)+$V$32*NMultDensity(C130:D130,$V$36:$V$37,$T$36:$U$37)</f>
        <v>0.10231747702853564</v>
      </c>
      <c r="M130" s="54" cm="1">
        <f t="array" ref="M130">$V$6*NMultDensity(C130:D130,$V$10:$V$11,$T$10:$U$11)/L130</f>
        <v>1.0647656697758093E-82</v>
      </c>
      <c r="N130" s="54" cm="1">
        <f t="array" ref="N130">$V$19*NMultDensity(C130:D130,$V$23:$V$24,$T$23:$U$24)/L130</f>
        <v>1.3839131028423497E-2</v>
      </c>
      <c r="O130" s="48" cm="1">
        <f t="array" ref="O130">$V$32*NMultDensity(C130:D130,$V$36:$V$37,$T$36:$U$37)/L130</f>
        <v>0.98616086897157651</v>
      </c>
    </row>
    <row r="131" spans="1:15" x14ac:dyDescent="0.25">
      <c r="A131" s="61">
        <v>2.3880030160034664</v>
      </c>
      <c r="B131" s="62">
        <v>0.46463980470873595</v>
      </c>
      <c r="C131" s="65">
        <v>1.8574250065632076</v>
      </c>
      <c r="D131" s="66">
        <v>0.56041328917279631</v>
      </c>
      <c r="E131" s="25" t="s">
        <v>7</v>
      </c>
      <c r="F131" s="50" t="str">
        <f t="shared" ref="F131:F151" si="4">IF(H131&gt;MAX(I131:J131),$E$2,IF(I131&gt;J131,$E$52,$E$102))</f>
        <v>virginica</v>
      </c>
      <c r="G131" s="52" cm="1">
        <f t="array" ref="G131">$V$6*NMultDensity(A131:B131,$V$8:$V$9,$R$8:$S$9)+$V$19*NMultDensity(A131:B131,$V$21:$V$22,$R$21:$S$22)+$V$32*NMultDensity(A131:B131,$V$34:$V$35,$R$34:$S$35)</f>
        <v>0.16451432112212416</v>
      </c>
      <c r="H131" s="54" cm="1">
        <f t="array" ref="H131">$V$6*NMultDensity(A131:B131,$V$8:$V$9,$R$8:$S$9)/G131</f>
        <v>1.1936725170207494E-154</v>
      </c>
      <c r="I131" s="54" cm="1">
        <f t="array" ref="I131">$V$19*NMultDensity(A131:B131,$V$21:$V$22,$R$21:$S$22)/G131</f>
        <v>7.6482076834661194E-3</v>
      </c>
      <c r="J131" s="48" cm="1">
        <f t="array" ref="J131">$V$32*NMultDensity(A131:B131,$V$34:$V$35,$R$34:$S$35)/G131</f>
        <v>0.99235179231653381</v>
      </c>
      <c r="K131" s="52" t="str">
        <f t="shared" ref="K131:K151" si="5">IF(M131&gt;MAX(N131:O131),$E$2,IF(N131&gt;O131,$E$52,$E$102))</f>
        <v>virginica</v>
      </c>
      <c r="L131" s="54" cm="1">
        <f t="array" ref="L131">$V$6*NMultDensity(C131:D131,$V$10:$V$11,$T$10:$U$11)+$V$19*NMultDensity(C131:D131,$V$23:$V$24,$T$23:$U$24)+$V$32*NMultDensity(C131:D131,$V$36:$V$37,$T$36:$U$37)</f>
        <v>0.12280719520612006</v>
      </c>
      <c r="M131" s="54" cm="1">
        <f t="array" ref="M131">$V$6*NMultDensity(C131:D131,$V$10:$V$11,$T$10:$U$11)/L131</f>
        <v>1.569730042937461E-86</v>
      </c>
      <c r="N131" s="54" cm="1">
        <f t="array" ref="N131">$V$19*NMultDensity(C131:D131,$V$23:$V$24,$T$23:$U$24)/L131</f>
        <v>1.6605696454840273E-2</v>
      </c>
      <c r="O131" s="48" cm="1">
        <f t="array" ref="O131">$V$32*NMultDensity(C131:D131,$V$36:$V$37,$T$36:$U$37)/L131</f>
        <v>0.98339430354515978</v>
      </c>
    </row>
    <row r="132" spans="1:15" x14ac:dyDescent="0.25">
      <c r="A132" s="61">
        <v>2.8416727781038693</v>
      </c>
      <c r="B132" s="62">
        <v>0.37526916719510323</v>
      </c>
      <c r="C132" s="65">
        <v>2.4278203037876356</v>
      </c>
      <c r="D132" s="66">
        <v>0.2584187064097403</v>
      </c>
      <c r="E132" s="25" t="s">
        <v>7</v>
      </c>
      <c r="F132" s="50" t="str">
        <f t="shared" si="4"/>
        <v>virginica</v>
      </c>
      <c r="G132" s="52" cm="1">
        <f t="array" ref="G132">$V$6*NMultDensity(A132:B132,$V$8:$V$9,$R$8:$S$9)+$V$19*NMultDensity(A132:B132,$V$21:$V$22,$R$21:$S$22)+$V$32*NMultDensity(A132:B132,$V$34:$V$35,$R$34:$S$35)</f>
        <v>0.14779290725615096</v>
      </c>
      <c r="H132" s="54" cm="1">
        <f t="array" ref="H132">$V$6*NMultDensity(A132:B132,$V$8:$V$9,$R$8:$S$9)/G132</f>
        <v>1.1407350721669324E-185</v>
      </c>
      <c r="I132" s="54" cm="1">
        <f t="array" ref="I132">$V$19*NMultDensity(A132:B132,$V$21:$V$22,$R$21:$S$22)/G132</f>
        <v>5.9416864563499522E-5</v>
      </c>
      <c r="J132" s="48" cm="1">
        <f t="array" ref="J132">$V$32*NMultDensity(A132:B132,$V$34:$V$35,$R$34:$S$35)/G132</f>
        <v>0.99994058313543654</v>
      </c>
      <c r="K132" s="52" t="str">
        <f t="shared" si="5"/>
        <v>virginica</v>
      </c>
      <c r="L132" s="54" cm="1">
        <f t="array" ref="L132">$V$6*NMultDensity(C132:D132,$V$10:$V$11,$T$10:$U$11)+$V$19*NMultDensity(C132:D132,$V$23:$V$24,$T$23:$U$24)+$V$32*NMultDensity(C132:D132,$V$36:$V$37,$T$36:$U$37)</f>
        <v>4.2244359709554098E-2</v>
      </c>
      <c r="M132" s="54" cm="1">
        <f t="array" ref="M132">$V$6*NMultDensity(C132:D132,$V$10:$V$11,$T$10:$U$11)/L132</f>
        <v>1.6508436715067428E-111</v>
      </c>
      <c r="N132" s="54" cm="1">
        <f t="array" ref="N132">$V$19*NMultDensity(C132:D132,$V$23:$V$24,$T$23:$U$24)/L132</f>
        <v>1.7078552809730426E-4</v>
      </c>
      <c r="O132" s="48" cm="1">
        <f t="array" ref="O132">$V$32*NMultDensity(C132:D132,$V$36:$V$37,$T$36:$U$37)/L132</f>
        <v>0.99982921447190265</v>
      </c>
    </row>
    <row r="133" spans="1:15" x14ac:dyDescent="0.25">
      <c r="A133" s="61">
        <v>3.2306736614320908</v>
      </c>
      <c r="B133" s="62">
        <v>1.3741650867930471</v>
      </c>
      <c r="C133" s="65">
        <v>2.2972317814091223</v>
      </c>
      <c r="D133" s="66">
        <v>2.6175544171465361</v>
      </c>
      <c r="E133" s="25" t="s">
        <v>7</v>
      </c>
      <c r="F133" s="50" t="str">
        <f t="shared" si="4"/>
        <v>virginica</v>
      </c>
      <c r="G133" s="52" cm="1">
        <f t="array" ref="G133">$V$6*NMultDensity(A133:B133,$V$8:$V$9,$R$8:$S$9)+$V$19*NMultDensity(A133:B133,$V$21:$V$22,$R$21:$S$22)+$V$32*NMultDensity(A133:B133,$V$34:$V$35,$R$34:$S$35)</f>
        <v>3.6362504130988214E-3</v>
      </c>
      <c r="H133" s="54" cm="1">
        <f t="array" ref="H133">$V$6*NMultDensity(A133:B133,$V$8:$V$9,$R$8:$S$9)/G133</f>
        <v>1.568508947099688E-194</v>
      </c>
      <c r="I133" s="54" cm="1">
        <f t="array" ref="I133">$V$19*NMultDensity(A133:B133,$V$21:$V$22,$R$21:$S$22)/G133</f>
        <v>2.9679381139713678E-3</v>
      </c>
      <c r="J133" s="48" cm="1">
        <f t="array" ref="J133">$V$32*NMultDensity(A133:B133,$V$34:$V$35,$R$34:$S$35)/G133</f>
        <v>0.99703206188602855</v>
      </c>
      <c r="K133" s="52" t="str">
        <f t="shared" si="5"/>
        <v>virginica</v>
      </c>
      <c r="L133" s="54" cm="1">
        <f t="array" ref="L133">$V$6*NMultDensity(C133:D133,$V$10:$V$11,$T$10:$U$11)+$V$19*NMultDensity(C133:D133,$V$23:$V$24,$T$23:$U$24)+$V$32*NMultDensity(C133:D133,$V$36:$V$37,$T$36:$U$37)</f>
        <v>2.8377589675856619E-3</v>
      </c>
      <c r="M133" s="54" cm="1">
        <f t="array" ref="M133">$V$6*NMultDensity(C133:D133,$V$10:$V$11,$T$10:$U$11)/L133</f>
        <v>7.7120884677304704E-108</v>
      </c>
      <c r="N133" s="54" cm="1">
        <f t="array" ref="N133">$V$19*NMultDensity(C133:D133,$V$23:$V$24,$T$23:$U$24)/L133</f>
        <v>4.176204612988346E-3</v>
      </c>
      <c r="O133" s="48" cm="1">
        <f t="array" ref="O133">$V$32*NMultDensity(C133:D133,$V$36:$V$37,$T$36:$U$37)/L133</f>
        <v>0.99582379538701171</v>
      </c>
    </row>
    <row r="134" spans="1:15" x14ac:dyDescent="0.25">
      <c r="A134" s="61">
        <v>2.1594376424890487</v>
      </c>
      <c r="B134" s="62">
        <v>-0.21727757866904915</v>
      </c>
      <c r="C134" s="65">
        <v>1.8564838260721896</v>
      </c>
      <c r="D134" s="66">
        <v>-0.17795333438145622</v>
      </c>
      <c r="E134" s="25" t="s">
        <v>7</v>
      </c>
      <c r="F134" s="50" t="str">
        <f t="shared" si="4"/>
        <v>virginica</v>
      </c>
      <c r="G134" s="52" cm="1">
        <f t="array" ref="G134">$V$6*NMultDensity(A134:B134,$V$8:$V$9,$R$8:$S$9)+$V$19*NMultDensity(A134:B134,$V$21:$V$22,$R$21:$S$22)+$V$32*NMultDensity(A134:B134,$V$34:$V$35,$R$34:$S$35)</f>
        <v>0.15126465163670577</v>
      </c>
      <c r="H134" s="54" cm="1">
        <f t="array" ref="H134">$V$6*NMultDensity(A134:B134,$V$8:$V$9,$R$8:$S$9)/G134</f>
        <v>2.0203536663712029E-151</v>
      </c>
      <c r="I134" s="54" cm="1">
        <f t="array" ref="I134">$V$19*NMultDensity(A134:B134,$V$21:$V$22,$R$21:$S$22)/G134</f>
        <v>2.7776592237626773E-4</v>
      </c>
      <c r="J134" s="48" cm="1">
        <f t="array" ref="J134">$V$32*NMultDensity(A134:B134,$V$34:$V$35,$R$34:$S$35)/G134</f>
        <v>0.99972223407762373</v>
      </c>
      <c r="K134" s="52" t="str">
        <f t="shared" si="5"/>
        <v>virginica</v>
      </c>
      <c r="L134" s="54" cm="1">
        <f t="array" ref="L134">$V$6*NMultDensity(C134:D134,$V$10:$V$11,$T$10:$U$11)+$V$19*NMultDensity(C134:D134,$V$23:$V$24,$T$23:$U$24)+$V$32*NMultDensity(C134:D134,$V$36:$V$37,$T$36:$U$37)</f>
        <v>9.4291728009021358E-2</v>
      </c>
      <c r="M134" s="54" cm="1">
        <f t="array" ref="M134">$V$6*NMultDensity(C134:D134,$V$10:$V$11,$T$10:$U$11)/L134</f>
        <v>9.3207459638849689E-86</v>
      </c>
      <c r="N134" s="54" cm="1">
        <f t="array" ref="N134">$V$19*NMultDensity(C134:D134,$V$23:$V$24,$T$23:$U$24)/L134</f>
        <v>8.3318488734738429E-3</v>
      </c>
      <c r="O134" s="48" cm="1">
        <f t="array" ref="O134">$V$32*NMultDensity(C134:D134,$V$36:$V$37,$T$36:$U$37)/L134</f>
        <v>0.99166815112652607</v>
      </c>
    </row>
    <row r="135" spans="1:15" x14ac:dyDescent="0.25">
      <c r="A135" s="61">
        <v>1.4441612423295089</v>
      </c>
      <c r="B135" s="62">
        <v>-0.14341341045758119</v>
      </c>
      <c r="C135" s="65">
        <v>1.1104277044557938</v>
      </c>
      <c r="D135" s="66">
        <v>-0.29194458179617844</v>
      </c>
      <c r="E135" s="25" t="s">
        <v>7</v>
      </c>
      <c r="F135" s="50" t="str">
        <f t="shared" si="4"/>
        <v>virginica</v>
      </c>
      <c r="G135" s="52" cm="1">
        <f t="array" ref="G135">$V$6*NMultDensity(A135:B135,$V$8:$V$9,$R$8:$S$9)+$V$19*NMultDensity(A135:B135,$V$21:$V$22,$R$21:$S$22)+$V$32*NMultDensity(A135:B135,$V$34:$V$35,$R$34:$S$35)</f>
        <v>0.17517567995193983</v>
      </c>
      <c r="H135" s="54" cm="1">
        <f t="array" ref="H135">$V$6*NMultDensity(A135:B135,$V$8:$V$9,$R$8:$S$9)/G135</f>
        <v>1.3957531619747778E-109</v>
      </c>
      <c r="I135" s="54" cm="1">
        <f t="array" ref="I135">$V$19*NMultDensity(A135:B135,$V$21:$V$22,$R$21:$S$22)/G135</f>
        <v>0.18966498084328362</v>
      </c>
      <c r="J135" s="48" cm="1">
        <f t="array" ref="J135">$V$32*NMultDensity(A135:B135,$V$34:$V$35,$R$34:$S$35)/G135</f>
        <v>0.81033501915671635</v>
      </c>
      <c r="K135" s="52" t="str">
        <f t="shared" si="5"/>
        <v>virginica</v>
      </c>
      <c r="L135" s="54" cm="1">
        <f t="array" ref="L135">$V$6*NMultDensity(C135:D135,$V$10:$V$11,$T$10:$U$11)+$V$19*NMultDensity(C135:D135,$V$23:$V$24,$T$23:$U$24)+$V$32*NMultDensity(C135:D135,$V$36:$V$37,$T$36:$U$37)</f>
        <v>0.1318256331532722</v>
      </c>
      <c r="M135" s="54" cm="1">
        <f t="array" ref="M135">$V$6*NMultDensity(C135:D135,$V$10:$V$11,$T$10:$U$11)/L135</f>
        <v>2.3367944411092404E-57</v>
      </c>
      <c r="N135" s="54" cm="1">
        <f t="array" ref="N135">$V$19*NMultDensity(C135:D135,$V$23:$V$24,$T$23:$U$24)/L135</f>
        <v>0.45484022236743443</v>
      </c>
      <c r="O135" s="48" cm="1">
        <f t="array" ref="O135">$V$32*NMultDensity(C135:D135,$V$36:$V$37,$T$36:$U$37)/L135</f>
        <v>0.54515977763256551</v>
      </c>
    </row>
    <row r="136" spans="1:15" x14ac:dyDescent="0.25">
      <c r="A136" s="61">
        <v>1.7812948100451114</v>
      </c>
      <c r="B136" s="62">
        <v>-0.49990168107813743</v>
      </c>
      <c r="C136" s="65">
        <v>1.1984583545710061</v>
      </c>
      <c r="D136" s="66">
        <v>-0.80860636420924692</v>
      </c>
      <c r="E136" s="25" t="s">
        <v>7</v>
      </c>
      <c r="F136" s="50" t="str">
        <f t="shared" si="4"/>
        <v>virginica</v>
      </c>
      <c r="G136" s="52" cm="1">
        <f t="array" ref="G136">$V$6*NMultDensity(A136:B136,$V$8:$V$9,$R$8:$S$9)+$V$19*NMultDensity(A136:B136,$V$21:$V$22,$R$21:$S$22)+$V$32*NMultDensity(A136:B136,$V$34:$V$35,$R$34:$S$35)</f>
        <v>0.10030872906920066</v>
      </c>
      <c r="H136" s="54" cm="1">
        <f t="array" ref="H136">$V$6*NMultDensity(A136:B136,$V$8:$V$9,$R$8:$S$9)/G136</f>
        <v>2.5152972313004193E-133</v>
      </c>
      <c r="I136" s="54" cm="1">
        <f t="array" ref="I136">$V$19*NMultDensity(A136:B136,$V$21:$V$22,$R$21:$S$22)/G136</f>
        <v>8.0039427791609005E-4</v>
      </c>
      <c r="J136" s="48" cm="1">
        <f t="array" ref="J136">$V$32*NMultDensity(A136:B136,$V$34:$V$35,$R$34:$S$35)/G136</f>
        <v>0.99919960572208399</v>
      </c>
      <c r="K136" s="52" t="str">
        <f t="shared" si="5"/>
        <v>virginica</v>
      </c>
      <c r="L136" s="54" cm="1">
        <f t="array" ref="L136">$V$6*NMultDensity(C136:D136,$V$10:$V$11,$T$10:$U$11)+$V$19*NMultDensity(C136:D136,$V$23:$V$24,$T$23:$U$24)+$V$32*NMultDensity(C136:D136,$V$36:$V$37,$T$36:$U$37)</f>
        <v>7.7884896382310623E-2</v>
      </c>
      <c r="M136" s="54" cm="1">
        <f t="array" ref="M136">$V$6*NMultDensity(C136:D136,$V$10:$V$11,$T$10:$U$11)/L136</f>
        <v>5.0434157281083316E-60</v>
      </c>
      <c r="N136" s="54" cm="1">
        <f t="array" ref="N136">$V$19*NMultDensity(C136:D136,$V$23:$V$24,$T$23:$U$24)/L136</f>
        <v>0.25384158214780217</v>
      </c>
      <c r="O136" s="48" cm="1">
        <f t="array" ref="O136">$V$32*NMultDensity(C136:D136,$V$36:$V$37,$T$36:$U$37)/L136</f>
        <v>0.74615841785219783</v>
      </c>
    </row>
    <row r="137" spans="1:15" x14ac:dyDescent="0.25">
      <c r="A137" s="61">
        <v>3.0764999316871866</v>
      </c>
      <c r="B137" s="62">
        <v>0.68808567757117622</v>
      </c>
      <c r="C137" s="65">
        <v>2.7894256119821206</v>
      </c>
      <c r="D137" s="66">
        <v>0.85394254244716539</v>
      </c>
      <c r="E137" s="25" t="s">
        <v>7</v>
      </c>
      <c r="F137" s="50" t="str">
        <f t="shared" si="4"/>
        <v>virginica</v>
      </c>
      <c r="G137" s="52" cm="1">
        <f t="array" ref="G137">$V$6*NMultDensity(A137:B137,$V$8:$V$9,$R$8:$S$9)+$V$19*NMultDensity(A137:B137,$V$21:$V$22,$R$21:$S$22)+$V$32*NMultDensity(A137:B137,$V$34:$V$35,$R$34:$S$35)</f>
        <v>9.7564976453546101E-2</v>
      </c>
      <c r="H137" s="54" cm="1">
        <f t="array" ref="H137">$V$6*NMultDensity(A137:B137,$V$8:$V$9,$R$8:$S$9)/G137</f>
        <v>2.2109613069895435E-196</v>
      </c>
      <c r="I137" s="54" cm="1">
        <f t="array" ref="I137">$V$19*NMultDensity(A137:B137,$V$21:$V$22,$R$21:$S$22)/G137</f>
        <v>7.4942629868306697E-5</v>
      </c>
      <c r="J137" s="48" cm="1">
        <f t="array" ref="J137">$V$32*NMultDensity(A137:B137,$V$34:$V$35,$R$34:$S$35)/G137</f>
        <v>0.99992505737013171</v>
      </c>
      <c r="K137" s="52" t="str">
        <f t="shared" si="5"/>
        <v>virginica</v>
      </c>
      <c r="L137" s="54" cm="1">
        <f t="array" ref="L137">$V$6*NMultDensity(C137:D137,$V$10:$V$11,$T$10:$U$11)+$V$19*NMultDensity(C137:D137,$V$23:$V$24,$T$23:$U$24)+$V$32*NMultDensity(C137:D137,$V$36:$V$37,$T$36:$U$37)</f>
        <v>2.0148215181595194E-2</v>
      </c>
      <c r="M137" s="54" cm="1">
        <f t="array" ref="M137">$V$6*NMultDensity(C137:D137,$V$10:$V$11,$T$10:$U$11)/L137</f>
        <v>5.6882547403990316E-130</v>
      </c>
      <c r="N137" s="54" cm="1">
        <f t="array" ref="N137">$V$19*NMultDensity(C137:D137,$V$23:$V$24,$T$23:$U$24)/L137</f>
        <v>1.6571350122208015E-5</v>
      </c>
      <c r="O137" s="48" cm="1">
        <f t="array" ref="O137">$V$32*NMultDensity(C137:D137,$V$36:$V$37,$T$36:$U$37)/L137</f>
        <v>0.99998342864987788</v>
      </c>
    </row>
    <row r="138" spans="1:15" x14ac:dyDescent="0.25">
      <c r="A138" s="61">
        <v>2.1442433143020807</v>
      </c>
      <c r="B138" s="62">
        <v>0.14006420108978962</v>
      </c>
      <c r="C138" s="65">
        <v>1.5709929375380209</v>
      </c>
      <c r="D138" s="66">
        <v>1.0650132138633577</v>
      </c>
      <c r="E138" s="25" t="s">
        <v>7</v>
      </c>
      <c r="F138" s="50" t="str">
        <f t="shared" si="4"/>
        <v>virginica</v>
      </c>
      <c r="G138" s="52" cm="1">
        <f t="array" ref="G138">$V$6*NMultDensity(A138:B138,$V$8:$V$9,$R$8:$S$9)+$V$19*NMultDensity(A138:B138,$V$21:$V$22,$R$21:$S$22)+$V$32*NMultDensity(A138:B138,$V$34:$V$35,$R$34:$S$35)</f>
        <v>0.258793362070527</v>
      </c>
      <c r="H138" s="54" cm="1">
        <f t="array" ref="H138">$V$6*NMultDensity(A138:B138,$V$8:$V$9,$R$8:$S$9)/G138</f>
        <v>5.8403447528132569E-145</v>
      </c>
      <c r="I138" s="54" cm="1">
        <f t="array" ref="I138">$V$19*NMultDensity(A138:B138,$V$21:$V$22,$R$21:$S$22)/G138</f>
        <v>5.4709440624086678E-3</v>
      </c>
      <c r="J138" s="48" cm="1">
        <f t="array" ref="J138">$V$32*NMultDensity(A138:B138,$V$34:$V$35,$R$34:$S$35)/G138</f>
        <v>0.99452905593759133</v>
      </c>
      <c r="K138" s="52" t="str">
        <f t="shared" si="5"/>
        <v>virginica</v>
      </c>
      <c r="L138" s="54" cm="1">
        <f t="array" ref="L138">$V$6*NMultDensity(C138:D138,$V$10:$V$11,$T$10:$U$11)+$V$19*NMultDensity(C138:D138,$V$23:$V$24,$T$23:$U$24)+$V$32*NMultDensity(C138:D138,$V$36:$V$37,$T$36:$U$37)</f>
        <v>6.2460321303328813E-2</v>
      </c>
      <c r="M138" s="54" cm="1">
        <f t="array" ref="M138">$V$6*NMultDensity(C138:D138,$V$10:$V$11,$T$10:$U$11)/L138</f>
        <v>4.0566468715269809E-75</v>
      </c>
      <c r="N138" s="54" cm="1">
        <f t="array" ref="N138">$V$19*NMultDensity(C138:D138,$V$23:$V$24,$T$23:$U$24)/L138</f>
        <v>0.13119485693537697</v>
      </c>
      <c r="O138" s="48" cm="1">
        <f t="array" ref="O138">$V$32*NMultDensity(C138:D138,$V$36:$V$37,$T$36:$U$37)/L138</f>
        <v>0.86880514306462298</v>
      </c>
    </row>
    <row r="139" spans="1:15" x14ac:dyDescent="0.25">
      <c r="A139" s="61">
        <v>1.9050981488140748</v>
      </c>
      <c r="B139" s="62">
        <v>4.9300526013029616E-2</v>
      </c>
      <c r="C139" s="65">
        <v>1.3417969588453607</v>
      </c>
      <c r="D139" s="66">
        <v>0.42102015412408555</v>
      </c>
      <c r="E139" s="25" t="s">
        <v>7</v>
      </c>
      <c r="F139" s="50" t="str">
        <f t="shared" si="4"/>
        <v>virginica</v>
      </c>
      <c r="G139" s="52" cm="1">
        <f t="array" ref="G139">$V$6*NMultDensity(A139:B139,$V$8:$V$9,$R$8:$S$9)+$V$19*NMultDensity(A139:B139,$V$21:$V$22,$R$21:$S$22)+$V$32*NMultDensity(A139:B139,$V$34:$V$35,$R$34:$S$35)</f>
        <v>0.24144605569797209</v>
      </c>
      <c r="H139" s="54" cm="1">
        <f t="array" ref="H139">$V$6*NMultDensity(A139:B139,$V$8:$V$9,$R$8:$S$9)/G139</f>
        <v>3.0810284559425022E-132</v>
      </c>
      <c r="I139" s="54" cm="1">
        <f t="array" ref="I139">$V$19*NMultDensity(A139:B139,$V$21:$V$22,$R$21:$S$22)/G139</f>
        <v>2.1294744868844424E-2</v>
      </c>
      <c r="J139" s="48" cm="1">
        <f t="array" ref="J139">$V$32*NMultDensity(A139:B139,$V$34:$V$35,$R$34:$S$35)/G139</f>
        <v>0.97870525513115558</v>
      </c>
      <c r="K139" s="52" t="str">
        <f t="shared" si="5"/>
        <v>virginica</v>
      </c>
      <c r="L139" s="54" cm="1">
        <f t="array" ref="L139">$V$6*NMultDensity(C139:D139,$V$10:$V$11,$T$10:$U$11)+$V$19*NMultDensity(C139:D139,$V$23:$V$24,$T$23:$U$24)+$V$32*NMultDensity(C139:D139,$V$36:$V$37,$T$36:$U$37)</f>
        <v>0.11276780217438626</v>
      </c>
      <c r="M139" s="54" cm="1">
        <f t="array" ref="M139">$V$6*NMultDensity(C139:D139,$V$10:$V$11,$T$10:$U$11)/L139</f>
        <v>5.622092016677792E-66</v>
      </c>
      <c r="N139" s="54" cm="1">
        <f t="array" ref="N139">$V$19*NMultDensity(C139:D139,$V$23:$V$24,$T$23:$U$24)/L139</f>
        <v>0.27163450192017097</v>
      </c>
      <c r="O139" s="48" cm="1">
        <f t="array" ref="O139">$V$32*NMultDensity(C139:D139,$V$36:$V$37,$T$36:$U$37)/L139</f>
        <v>0.72836549807982898</v>
      </c>
    </row>
    <row r="140" spans="1:15" x14ac:dyDescent="0.25">
      <c r="A140" s="61">
        <v>1.1693263393414992</v>
      </c>
      <c r="B140" s="62">
        <v>-0.16499026202310985</v>
      </c>
      <c r="C140" s="65">
        <v>0.92173701170632349</v>
      </c>
      <c r="D140" s="66">
        <v>1.7165594113272599E-2</v>
      </c>
      <c r="E140" s="25" t="s">
        <v>7</v>
      </c>
      <c r="F140" s="50" t="str">
        <f t="shared" si="4"/>
        <v>versicolor</v>
      </c>
      <c r="G140" s="52" cm="1">
        <f t="array" ref="G140">$V$6*NMultDensity(A140:B140,$V$8:$V$9,$R$8:$S$9)+$V$19*NMultDensity(A140:B140,$V$21:$V$22,$R$21:$S$22)+$V$32*NMultDensity(A140:B140,$V$34:$V$35,$R$34:$S$35)</f>
        <v>0.17329709446446168</v>
      </c>
      <c r="H140" s="54" cm="1">
        <f t="array" ref="H140">$V$6*NMultDensity(A140:B140,$V$8:$V$9,$R$8:$S$9)/G140</f>
        <v>6.0961357976889712E-96</v>
      </c>
      <c r="I140" s="54" cm="1">
        <f t="array" ref="I140">$V$19*NMultDensity(A140:B140,$V$21:$V$22,$R$21:$S$22)/G140</f>
        <v>0.64067941427127484</v>
      </c>
      <c r="J140" s="48" cm="1">
        <f t="array" ref="J140">$V$32*NMultDensity(A140:B140,$V$34:$V$35,$R$34:$S$35)/G140</f>
        <v>0.35932058572872516</v>
      </c>
      <c r="K140" s="52" t="str">
        <f t="shared" si="5"/>
        <v>versicolor</v>
      </c>
      <c r="L140" s="54" cm="1">
        <f t="array" ref="L140">$V$6*NMultDensity(C140:D140,$V$10:$V$11,$T$10:$U$11)+$V$19*NMultDensity(C140:D140,$V$23:$V$24,$T$23:$U$24)+$V$32*NMultDensity(C140:D140,$V$36:$V$37,$T$36:$U$37)</f>
        <v>0.14611864068083458</v>
      </c>
      <c r="M140" s="54" cm="1">
        <f t="array" ref="M140">$V$6*NMultDensity(C140:D140,$V$10:$V$11,$T$10:$U$11)/L140</f>
        <v>2.9374955858510282E-51</v>
      </c>
      <c r="N140" s="54" cm="1">
        <f t="array" ref="N140">$V$19*NMultDensity(C140:D140,$V$23:$V$24,$T$23:$U$24)/L140</f>
        <v>0.72800059706317188</v>
      </c>
      <c r="O140" s="48" cm="1">
        <f t="array" ref="O140">$V$32*NMultDensity(C140:D140,$V$36:$V$37,$T$36:$U$37)/L140</f>
        <v>0.27199940293682823</v>
      </c>
    </row>
    <row r="141" spans="1:15" x14ac:dyDescent="0.25">
      <c r="A141" s="61">
        <v>2.1076111432572411</v>
      </c>
      <c r="B141" s="62">
        <v>0.37228787196079777</v>
      </c>
      <c r="C141" s="65">
        <v>1.8458612446819069</v>
      </c>
      <c r="D141" s="66">
        <v>0.67387064501414717</v>
      </c>
      <c r="E141" s="25" t="s">
        <v>7</v>
      </c>
      <c r="F141" s="50" t="str">
        <f t="shared" si="4"/>
        <v>virginica</v>
      </c>
      <c r="G141" s="52" cm="1">
        <f t="array" ref="G141">$V$6*NMultDensity(A141:B141,$V$8:$V$9,$R$8:$S$9)+$V$19*NMultDensity(A141:B141,$V$21:$V$22,$R$21:$S$22)+$V$32*NMultDensity(A141:B141,$V$34:$V$35,$R$34:$S$35)</f>
        <v>0.14736534013987812</v>
      </c>
      <c r="H141" s="54" cm="1">
        <f t="array" ref="H141">$V$6*NMultDensity(A141:B141,$V$8:$V$9,$R$8:$S$9)/G141</f>
        <v>5.3933210716919393E-139</v>
      </c>
      <c r="I141" s="54" cm="1">
        <f t="array" ref="I141">$V$19*NMultDensity(A141:B141,$V$21:$V$22,$R$21:$S$22)/G141</f>
        <v>4.2660142072358756E-2</v>
      </c>
      <c r="J141" s="48" cm="1">
        <f t="array" ref="J141">$V$32*NMultDensity(A141:B141,$V$34:$V$35,$R$34:$S$35)/G141</f>
        <v>0.9573398579276412</v>
      </c>
      <c r="K141" s="52" t="str">
        <f t="shared" si="5"/>
        <v>virginica</v>
      </c>
      <c r="L141" s="54" cm="1">
        <f t="array" ref="L141">$V$6*NMultDensity(C141:D141,$V$10:$V$11,$T$10:$U$11)+$V$19*NMultDensity(C141:D141,$V$23:$V$24,$T$23:$U$24)+$V$32*NMultDensity(C141:D141,$V$36:$V$37,$T$36:$U$37)</f>
        <v>0.11683366745541041</v>
      </c>
      <c r="M141" s="54" cm="1">
        <f t="array" ref="M141">$V$6*NMultDensity(C141:D141,$V$10:$V$11,$T$10:$U$11)/L141</f>
        <v>3.852380851107524E-86</v>
      </c>
      <c r="N141" s="54" cm="1">
        <f t="array" ref="N141">$V$19*NMultDensity(C141:D141,$V$23:$V$24,$T$23:$U$24)/L141</f>
        <v>1.9733426672736514E-2</v>
      </c>
      <c r="O141" s="48" cm="1">
        <f t="array" ref="O141">$V$32*NMultDensity(C141:D141,$V$36:$V$37,$T$36:$U$37)/L141</f>
        <v>0.98026657332726341</v>
      </c>
    </row>
    <row r="142" spans="1:15" x14ac:dyDescent="0.25">
      <c r="A142" s="61">
        <v>2.3141547052355986</v>
      </c>
      <c r="B142" s="62">
        <v>0.18365127916901908</v>
      </c>
      <c r="C142" s="65">
        <v>2.0080831643295878</v>
      </c>
      <c r="D142" s="66">
        <v>0.61183592957558341</v>
      </c>
      <c r="E142" s="25" t="s">
        <v>7</v>
      </c>
      <c r="F142" s="50" t="str">
        <f t="shared" si="4"/>
        <v>virginica</v>
      </c>
      <c r="G142" s="52" cm="1">
        <f t="array" ref="G142">$V$6*NMultDensity(A142:B142,$V$8:$V$9,$R$8:$S$9)+$V$19*NMultDensity(A142:B142,$V$21:$V$22,$R$21:$S$22)+$V$32*NMultDensity(A142:B142,$V$34:$V$35,$R$34:$S$35)</f>
        <v>0.25388214395698439</v>
      </c>
      <c r="H142" s="54" cm="1">
        <f t="array" ref="H142">$V$6*NMultDensity(A142:B142,$V$8:$V$9,$R$8:$S$9)/G142</f>
        <v>1.1410566818862308E-154</v>
      </c>
      <c r="I142" s="54" cm="1">
        <f t="array" ref="I142">$V$19*NMultDensity(A142:B142,$V$21:$V$22,$R$21:$S$22)/G142</f>
        <v>1.7032087807468742E-3</v>
      </c>
      <c r="J142" s="48" cm="1">
        <f t="array" ref="J142">$V$32*NMultDensity(A142:B142,$V$34:$V$35,$R$34:$S$35)/G142</f>
        <v>0.99829679121925319</v>
      </c>
      <c r="K142" s="52" t="str">
        <f t="shared" si="5"/>
        <v>virginica</v>
      </c>
      <c r="L142" s="54" cm="1">
        <f t="array" ref="L142">$V$6*NMultDensity(C142:D142,$V$10:$V$11,$T$10:$U$11)+$V$19*NMultDensity(C142:D142,$V$23:$V$24,$T$23:$U$24)+$V$32*NMultDensity(C142:D142,$V$36:$V$37,$T$36:$U$37)</f>
        <v>0.11257128119809102</v>
      </c>
      <c r="M142" s="54" cm="1">
        <f t="array" ref="M142">$V$6*NMultDensity(C142:D142,$V$10:$V$11,$T$10:$U$11)/L142</f>
        <v>5.0144722782338075E-93</v>
      </c>
      <c r="N142" s="54" cm="1">
        <f t="array" ref="N142">$V$19*NMultDensity(C142:D142,$V$23:$V$24,$T$23:$U$24)/L142</f>
        <v>6.1903183967729697E-3</v>
      </c>
      <c r="O142" s="48" cm="1">
        <f t="array" ref="O142">$V$32*NMultDensity(C142:D142,$V$36:$V$37,$T$36:$U$37)/L142</f>
        <v>0.99380968160322714</v>
      </c>
    </row>
    <row r="143" spans="1:15" x14ac:dyDescent="0.25">
      <c r="A143" s="61">
        <v>1.9222678009025997</v>
      </c>
      <c r="B143" s="62">
        <v>0.40920346681606273</v>
      </c>
      <c r="C143" s="65">
        <v>1.8954342091285024</v>
      </c>
      <c r="D143" s="66">
        <v>0.68727306546387434</v>
      </c>
      <c r="E143" s="25" t="s">
        <v>7</v>
      </c>
      <c r="F143" s="50" t="str">
        <f t="shared" si="4"/>
        <v>virginica</v>
      </c>
      <c r="G143" s="52" cm="1">
        <f t="array" ref="G143">$V$6*NMultDensity(A143:B143,$V$8:$V$9,$R$8:$S$9)+$V$19*NMultDensity(A143:B143,$V$21:$V$22,$R$21:$S$22)+$V$32*NMultDensity(A143:B143,$V$34:$V$35,$R$34:$S$35)</f>
        <v>8.9146678238345656E-2</v>
      </c>
      <c r="H143" s="54" cm="1">
        <f t="array" ref="H143">$V$6*NMultDensity(A143:B143,$V$8:$V$9,$R$8:$S$9)/G143</f>
        <v>1.5914031970930041E-127</v>
      </c>
      <c r="I143" s="54" cm="1">
        <f t="array" ref="I143">$V$19*NMultDensity(A143:B143,$V$21:$V$22,$R$21:$S$22)/G143</f>
        <v>0.2198835055710181</v>
      </c>
      <c r="J143" s="48" cm="1">
        <f t="array" ref="J143">$V$32*NMultDensity(A143:B143,$V$34:$V$35,$R$34:$S$35)/G143</f>
        <v>0.7801164944289819</v>
      </c>
      <c r="K143" s="52" t="str">
        <f t="shared" si="5"/>
        <v>virginica</v>
      </c>
      <c r="L143" s="54" cm="1">
        <f t="array" ref="L143">$V$6*NMultDensity(C143:D143,$V$10:$V$11,$T$10:$U$11)+$V$19*NMultDensity(C143:D143,$V$23:$V$24,$T$23:$U$24)+$V$32*NMultDensity(C143:D143,$V$36:$V$37,$T$36:$U$37)</f>
        <v>0.11542653817325396</v>
      </c>
      <c r="M143" s="54" cm="1">
        <f t="array" ref="M143">$V$6*NMultDensity(C143:D143,$V$10:$V$11,$T$10:$U$11)/L143</f>
        <v>2.9875394564609376E-88</v>
      </c>
      <c r="N143" s="54" cm="1">
        <f t="array" ref="N143">$V$19*NMultDensity(C143:D143,$V$23:$V$24,$T$23:$U$24)/L143</f>
        <v>1.4369575396538043E-2</v>
      </c>
      <c r="O143" s="48" cm="1">
        <f t="array" ref="O143">$V$32*NMultDensity(C143:D143,$V$36:$V$37,$T$36:$U$37)/L143</f>
        <v>0.98563042460346195</v>
      </c>
    </row>
    <row r="144" spans="1:15" x14ac:dyDescent="0.25">
      <c r="A144" s="61">
        <v>1.4152358767039015</v>
      </c>
      <c r="B144" s="62">
        <v>-0.57491634754648979</v>
      </c>
      <c r="C144" s="65">
        <v>1.1540155536207879</v>
      </c>
      <c r="D144" s="66">
        <v>-0.69653640051638133</v>
      </c>
      <c r="E144" s="25" t="s">
        <v>7</v>
      </c>
      <c r="F144" s="50" t="str">
        <f t="shared" si="4"/>
        <v>virginica</v>
      </c>
      <c r="G144" s="52" cm="1">
        <f t="array" ref="G144">$V$6*NMultDensity(A144:B144,$V$8:$V$9,$R$8:$S$9)+$V$19*NMultDensity(A144:B144,$V$21:$V$22,$R$21:$S$22)+$V$32*NMultDensity(A144:B144,$V$34:$V$35,$R$34:$S$35)</f>
        <v>0.11351707086170056</v>
      </c>
      <c r="H144" s="54" cm="1">
        <f t="array" ref="H144">$V$6*NMultDensity(A144:B144,$V$8:$V$9,$R$8:$S$9)/G144</f>
        <v>3.2636701323395408E-114</v>
      </c>
      <c r="I144" s="54" cm="1">
        <f t="array" ref="I144">$V$19*NMultDensity(A144:B144,$V$21:$V$22,$R$21:$S$22)/G144</f>
        <v>1.0012525904745058E-2</v>
      </c>
      <c r="J144" s="48" cm="1">
        <f t="array" ref="J144">$V$32*NMultDensity(A144:B144,$V$34:$V$35,$R$34:$S$35)/G144</f>
        <v>0.98998747409525489</v>
      </c>
      <c r="K144" s="52" t="str">
        <f t="shared" si="5"/>
        <v>virginica</v>
      </c>
      <c r="L144" s="54" cm="1">
        <f t="array" ref="L144">$V$6*NMultDensity(C144:D144,$V$10:$V$11,$T$10:$U$11)+$V$19*NMultDensity(C144:D144,$V$23:$V$24,$T$23:$U$24)+$V$32*NMultDensity(C144:D144,$V$36:$V$37,$T$36:$U$37)</f>
        <v>9.34450041504859E-2</v>
      </c>
      <c r="M144" s="54" cm="1">
        <f t="array" ref="M144">$V$6*NMultDensity(C144:D144,$V$10:$V$11,$T$10:$U$11)/L144</f>
        <v>1.4130132176204997E-58</v>
      </c>
      <c r="N144" s="54" cm="1">
        <f t="array" ref="N144">$V$19*NMultDensity(C144:D144,$V$23:$V$24,$T$23:$U$24)/L144</f>
        <v>0.32587582596817066</v>
      </c>
      <c r="O144" s="48" cm="1">
        <f t="array" ref="O144">$V$32*NMultDensity(C144:D144,$V$36:$V$37,$T$36:$U$37)/L144</f>
        <v>0.67412417403182934</v>
      </c>
    </row>
    <row r="145" spans="1:15" x14ac:dyDescent="0.25">
      <c r="A145" s="61">
        <v>2.5630133750774746</v>
      </c>
      <c r="B145" s="62">
        <v>0.27786260292919462</v>
      </c>
      <c r="C145" s="65">
        <v>2.0337449929110165</v>
      </c>
      <c r="D145" s="66">
        <v>0.86462402992739995</v>
      </c>
      <c r="E145" s="25" t="s">
        <v>7</v>
      </c>
      <c r="F145" s="50" t="str">
        <f t="shared" si="4"/>
        <v>virginica</v>
      </c>
      <c r="G145" s="52" cm="1">
        <f t="array" ref="G145">$V$6*NMultDensity(A145:B145,$V$8:$V$9,$R$8:$S$9)+$V$19*NMultDensity(A145:B145,$V$21:$V$22,$R$21:$S$22)+$V$32*NMultDensity(A145:B145,$V$34:$V$35,$R$34:$S$35)</f>
        <v>0.21436094350057458</v>
      </c>
      <c r="H145" s="54" cm="1">
        <f t="array" ref="H145">$V$6*NMultDensity(A145:B145,$V$8:$V$9,$R$8:$S$9)/G145</f>
        <v>6.6924146099696824E-169</v>
      </c>
      <c r="I145" s="54" cm="1">
        <f t="array" ref="I145">$V$19*NMultDensity(A145:B145,$V$21:$V$22,$R$21:$S$22)/G145</f>
        <v>3.7176743923402703E-4</v>
      </c>
      <c r="J145" s="48" cm="1">
        <f t="array" ref="J145">$V$32*NMultDensity(A145:B145,$V$34:$V$35,$R$34:$S$35)/G145</f>
        <v>0.99962823256076605</v>
      </c>
      <c r="K145" s="52" t="str">
        <f t="shared" si="5"/>
        <v>virginica</v>
      </c>
      <c r="L145" s="54" cm="1">
        <f t="array" ref="L145">$V$6*NMultDensity(C145:D145,$V$10:$V$11,$T$10:$U$11)+$V$19*NMultDensity(C145:D145,$V$23:$V$24,$T$23:$U$24)+$V$32*NMultDensity(C145:D145,$V$36:$V$37,$T$36:$U$37)</f>
        <v>9.9707405719587722E-2</v>
      </c>
      <c r="M145" s="54" cm="1">
        <f t="array" ref="M145">$V$6*NMultDensity(C145:D145,$V$10:$V$11,$T$10:$U$11)/L145</f>
        <v>2.1586075829822404E-94</v>
      </c>
      <c r="N145" s="54" cm="1">
        <f t="array" ref="N145">$V$19*NMultDensity(C145:D145,$V$23:$V$24,$T$23:$U$24)/L145</f>
        <v>6.5155810384936695E-3</v>
      </c>
      <c r="O145" s="48" cm="1">
        <f t="array" ref="O145">$V$32*NMultDensity(C145:D145,$V$36:$V$37,$T$36:$U$37)/L145</f>
        <v>0.9934844189615063</v>
      </c>
    </row>
    <row r="146" spans="1:15" x14ac:dyDescent="0.25">
      <c r="A146" s="61">
        <v>2.418746182732824</v>
      </c>
      <c r="B146" s="62">
        <v>0.30479819785469209</v>
      </c>
      <c r="C146" s="65">
        <v>1.991475467657704</v>
      </c>
      <c r="D146" s="66">
        <v>1.0456656698012547</v>
      </c>
      <c r="E146" s="25" t="s">
        <v>7</v>
      </c>
      <c r="F146" s="50" t="str">
        <f t="shared" si="4"/>
        <v>virginica</v>
      </c>
      <c r="G146" s="52" cm="1">
        <f t="array" ref="G146">$V$6*NMultDensity(A146:B146,$V$8:$V$9,$R$8:$S$9)+$V$19*NMultDensity(A146:B146,$V$21:$V$22,$R$21:$S$22)+$V$32*NMultDensity(A146:B146,$V$34:$V$35,$R$34:$S$35)</f>
        <v>0.23180002061255539</v>
      </c>
      <c r="H146" s="54" cm="1">
        <f t="array" ref="H146">$V$6*NMultDensity(A146:B146,$V$8:$V$9,$R$8:$S$9)/G146</f>
        <v>3.0262971781012955E-159</v>
      </c>
      <c r="I146" s="54" cm="1">
        <f t="array" ref="I146">$V$19*NMultDensity(A146:B146,$V$21:$V$22,$R$21:$S$22)/G146</f>
        <v>1.7108784858276965E-3</v>
      </c>
      <c r="J146" s="48" cm="1">
        <f t="array" ref="J146">$V$32*NMultDensity(A146:B146,$V$34:$V$35,$R$34:$S$35)/G146</f>
        <v>0.99828912151417226</v>
      </c>
      <c r="K146" s="52" t="str">
        <f t="shared" si="5"/>
        <v>virginica</v>
      </c>
      <c r="L146" s="54" cm="1">
        <f t="array" ref="L146">$V$6*NMultDensity(C146:D146,$V$10:$V$11,$T$10:$U$11)+$V$19*NMultDensity(C146:D146,$V$23:$V$24,$T$23:$U$24)+$V$32*NMultDensity(C146:D146,$V$36:$V$37,$T$36:$U$37)</f>
        <v>8.6461715817598511E-2</v>
      </c>
      <c r="M146" s="54" cm="1">
        <f t="array" ref="M146">$V$6*NMultDensity(C146:D146,$V$10:$V$11,$T$10:$U$11)/L146</f>
        <v>1.0577691037536165E-92</v>
      </c>
      <c r="N146" s="54" cm="1">
        <f t="array" ref="N146">$V$19*NMultDensity(C146:D146,$V$23:$V$24,$T$23:$U$24)/L146</f>
        <v>1.0189633219407288E-2</v>
      </c>
      <c r="O146" s="48" cm="1">
        <f t="array" ref="O146">$V$32*NMultDensity(C146:D146,$V$36:$V$37,$T$36:$U$37)/L146</f>
        <v>0.98981036678059264</v>
      </c>
    </row>
    <row r="147" spans="1:15" x14ac:dyDescent="0.25">
      <c r="A147" s="61">
        <v>1.9441097945469668</v>
      </c>
      <c r="B147" s="62">
        <v>0.18753230280060562</v>
      </c>
      <c r="C147" s="65">
        <v>1.8642578555109819</v>
      </c>
      <c r="D147" s="66">
        <v>0.38567403771925285</v>
      </c>
      <c r="E147" s="25" t="s">
        <v>7</v>
      </c>
      <c r="F147" s="50" t="str">
        <f t="shared" si="4"/>
        <v>virginica</v>
      </c>
      <c r="G147" s="52" cm="1">
        <f t="array" ref="G147">$V$6*NMultDensity(A147:B147,$V$8:$V$9,$R$8:$S$9)+$V$19*NMultDensity(A147:B147,$V$21:$V$22,$R$21:$S$22)+$V$32*NMultDensity(A147:B147,$V$34:$V$35,$R$34:$S$35)</f>
        <v>0.19701176907388721</v>
      </c>
      <c r="H147" s="54" cm="1">
        <f t="array" ref="H147">$V$6*NMultDensity(A147:B147,$V$8:$V$9,$R$8:$S$9)/G147</f>
        <v>2.5105946965780472E-132</v>
      </c>
      <c r="I147" s="54" cm="1">
        <f t="array" ref="I147">$V$19*NMultDensity(A147:B147,$V$21:$V$22,$R$21:$S$22)/G147</f>
        <v>4.2944351986882311E-2</v>
      </c>
      <c r="J147" s="48" cm="1">
        <f t="array" ref="J147">$V$32*NMultDensity(A147:B147,$V$34:$V$35,$R$34:$S$35)/G147</f>
        <v>0.95705564801311771</v>
      </c>
      <c r="K147" s="52" t="str">
        <f t="shared" si="5"/>
        <v>virginica</v>
      </c>
      <c r="L147" s="54" cm="1">
        <f t="array" ref="L147">$V$6*NMultDensity(C147:D147,$V$10:$V$11,$T$10:$U$11)+$V$19*NMultDensity(C147:D147,$V$23:$V$24,$T$23:$U$24)+$V$32*NMultDensity(C147:D147,$V$36:$V$37,$T$36:$U$37)</f>
        <v>0.1261073477996742</v>
      </c>
      <c r="M147" s="54" cm="1">
        <f t="array" ref="M147">$V$6*NMultDensity(C147:D147,$V$10:$V$11,$T$10:$U$11)/L147</f>
        <v>1.1675609092909544E-86</v>
      </c>
      <c r="N147" s="54" cm="1">
        <f t="array" ref="N147">$V$19*NMultDensity(C147:D147,$V$23:$V$24,$T$23:$U$24)/L147</f>
        <v>1.3590238333674884E-2</v>
      </c>
      <c r="O147" s="48" cm="1">
        <f t="array" ref="O147">$V$32*NMultDensity(C147:D147,$V$36:$V$37,$T$36:$U$37)/L147</f>
        <v>0.9864097616663251</v>
      </c>
    </row>
    <row r="148" spans="1:15" x14ac:dyDescent="0.25">
      <c r="A148" s="61">
        <v>1.5271666148145164</v>
      </c>
      <c r="B148" s="62">
        <v>-0.37531698258048818</v>
      </c>
      <c r="C148" s="65">
        <v>1.5593564935447874</v>
      </c>
      <c r="D148" s="66">
        <v>-0.89369285459868986</v>
      </c>
      <c r="E148" s="25" t="s">
        <v>7</v>
      </c>
      <c r="F148" s="50" t="str">
        <f t="shared" si="4"/>
        <v>virginica</v>
      </c>
      <c r="G148" s="52" cm="1">
        <f t="array" ref="G148">$V$6*NMultDensity(A148:B148,$V$8:$V$9,$R$8:$S$9)+$V$19*NMultDensity(A148:B148,$V$21:$V$22,$R$21:$S$22)+$V$32*NMultDensity(A148:B148,$V$34:$V$35,$R$34:$S$35)</f>
        <v>0.17876899713867175</v>
      </c>
      <c r="H148" s="54" cm="1">
        <f t="array" ref="H148">$V$6*NMultDensity(A148:B148,$V$8:$V$9,$R$8:$S$9)/G148</f>
        <v>2.1115755935075362E-117</v>
      </c>
      <c r="I148" s="54" cm="1">
        <f t="array" ref="I148">$V$19*NMultDensity(A148:B148,$V$21:$V$22,$R$21:$S$22)/G148</f>
        <v>1.909419721734754E-2</v>
      </c>
      <c r="J148" s="48" cm="1">
        <f t="array" ref="J148">$V$32*NMultDensity(A148:B148,$V$34:$V$35,$R$34:$S$35)/G148</f>
        <v>0.98090580278265238</v>
      </c>
      <c r="K148" s="52" t="str">
        <f t="shared" si="5"/>
        <v>virginica</v>
      </c>
      <c r="L148" s="54" cm="1">
        <f t="array" ref="L148">$V$6*NMultDensity(C148:D148,$V$10:$V$11,$T$10:$U$11)+$V$19*NMultDensity(C148:D148,$V$23:$V$24,$T$23:$U$24)+$V$32*NMultDensity(C148:D148,$V$36:$V$37,$T$36:$U$37)</f>
        <v>4.787359034886067E-2</v>
      </c>
      <c r="M148" s="54" cm="1">
        <f t="array" ref="M148">$V$6*NMultDensity(C148:D148,$V$10:$V$11,$T$10:$U$11)/L148</f>
        <v>3.9106655948031407E-73</v>
      </c>
      <c r="N148" s="54" cm="1">
        <f t="array" ref="N148">$V$19*NMultDensity(C148:D148,$V$23:$V$24,$T$23:$U$24)/L148</f>
        <v>3.0736580241003134E-2</v>
      </c>
      <c r="O148" s="48" cm="1">
        <f t="array" ref="O148">$V$32*NMultDensity(C148:D148,$V$36:$V$37,$T$36:$U$37)/L148</f>
        <v>0.96926341975899688</v>
      </c>
    </row>
    <row r="149" spans="1:15" x14ac:dyDescent="0.25">
      <c r="A149" s="61">
        <v>1.7643457170444279</v>
      </c>
      <c r="B149" s="62">
        <v>7.8858854518475713E-2</v>
      </c>
      <c r="C149" s="65">
        <v>1.5160914520607829</v>
      </c>
      <c r="D149" s="66">
        <v>0.26817074729816937</v>
      </c>
      <c r="E149" s="25" t="s">
        <v>7</v>
      </c>
      <c r="F149" s="50" t="str">
        <f t="shared" si="4"/>
        <v>virginica</v>
      </c>
      <c r="G149" s="52" cm="1">
        <f t="array" ref="G149">$V$6*NMultDensity(A149:B149,$V$8:$V$9,$R$8:$S$9)+$V$19*NMultDensity(A149:B149,$V$21:$V$22,$R$21:$S$22)+$V$32*NMultDensity(A149:B149,$V$34:$V$35,$R$34:$S$35)</f>
        <v>0.19218745889061475</v>
      </c>
      <c r="H149" s="54" cm="1">
        <f t="array" ref="H149">$V$6*NMultDensity(A149:B149,$V$8:$V$9,$R$8:$S$9)/G149</f>
        <v>9.880019955519449E-124</v>
      </c>
      <c r="I149" s="54" cm="1">
        <f t="array" ref="I149">$V$19*NMultDensity(A149:B149,$V$21:$V$22,$R$21:$S$22)/G149</f>
        <v>8.252146666106637E-2</v>
      </c>
      <c r="J149" s="48" cm="1">
        <f t="array" ref="J149">$V$32*NMultDensity(A149:B149,$V$34:$V$35,$R$34:$S$35)/G149</f>
        <v>0.91747853333893359</v>
      </c>
      <c r="K149" s="52" t="str">
        <f t="shared" si="5"/>
        <v>virginica</v>
      </c>
      <c r="L149" s="54" cm="1">
        <f t="array" ref="L149">$V$6*NMultDensity(C149:D149,$V$10:$V$11,$T$10:$U$11)+$V$19*NMultDensity(C149:D149,$V$23:$V$24,$T$23:$U$24)+$V$32*NMultDensity(C149:D149,$V$36:$V$37,$T$36:$U$37)</f>
        <v>0.13032065651022262</v>
      </c>
      <c r="M149" s="54" cm="1">
        <f t="array" ref="M149">$V$6*NMultDensity(C149:D149,$V$10:$V$11,$T$10:$U$11)/L149</f>
        <v>1.7176664967182633E-72</v>
      </c>
      <c r="N149" s="54" cm="1">
        <f t="array" ref="N149">$V$19*NMultDensity(C149:D149,$V$23:$V$24,$T$23:$U$24)/L149</f>
        <v>0.10699867961709277</v>
      </c>
      <c r="O149" s="48" cm="1">
        <f t="array" ref="O149">$V$32*NMultDensity(C149:D149,$V$36:$V$37,$T$36:$U$37)/L149</f>
        <v>0.89300132038290714</v>
      </c>
    </row>
    <row r="150" spans="1:15" x14ac:dyDescent="0.25">
      <c r="A150" s="61">
        <v>1.9009416142184223</v>
      </c>
      <c r="B150" s="62">
        <v>0.11662795851202327</v>
      </c>
      <c r="C150" s="65">
        <v>1.368204178088424</v>
      </c>
      <c r="D150" s="66">
        <v>1.0078779335796413</v>
      </c>
      <c r="E150" s="25" t="s">
        <v>7</v>
      </c>
      <c r="F150" s="50" t="str">
        <f t="shared" si="4"/>
        <v>virginica</v>
      </c>
      <c r="G150" s="52" cm="1">
        <f t="array" ref="G150">$V$6*NMultDensity(A150:B150,$V$8:$V$9,$R$8:$S$9)+$V$19*NMultDensity(A150:B150,$V$21:$V$22,$R$21:$S$22)+$V$32*NMultDensity(A150:B150,$V$34:$V$35,$R$34:$S$35)</f>
        <v>0.21646104165809335</v>
      </c>
      <c r="H150" s="54" cm="1">
        <f t="array" ref="H150">$V$6*NMultDensity(A150:B150,$V$8:$V$9,$R$8:$S$9)/G150</f>
        <v>6.0860781129280265E-131</v>
      </c>
      <c r="I150" s="54" cm="1">
        <f t="array" ref="I150">$V$19*NMultDensity(A150:B150,$V$21:$V$22,$R$21:$S$22)/G150</f>
        <v>3.6417193173235579E-2</v>
      </c>
      <c r="J150" s="48" cm="1">
        <f t="array" ref="J150">$V$32*NMultDensity(A150:B150,$V$34:$V$35,$R$34:$S$35)/G150</f>
        <v>0.96358280682676445</v>
      </c>
      <c r="K150" s="52" t="str">
        <f t="shared" si="5"/>
        <v>virginica</v>
      </c>
      <c r="L150" s="54" cm="1">
        <f t="array" ref="L150">$V$6*NMultDensity(C150:D150,$V$10:$V$11,$T$10:$U$11)+$V$19*NMultDensity(C150:D150,$V$23:$V$24,$T$23:$U$24)+$V$32*NMultDensity(C150:D150,$V$36:$V$37,$T$36:$U$37)</f>
        <v>5.4408300493149424E-2</v>
      </c>
      <c r="M150" s="54" cm="1">
        <f t="array" ref="M150">$V$6*NMultDensity(C150:D150,$V$10:$V$11,$T$10:$U$11)/L150</f>
        <v>3.1970714470533946E-67</v>
      </c>
      <c r="N150" s="54" cm="1">
        <f t="array" ref="N150">$V$19*NMultDensity(C150:D150,$V$23:$V$24,$T$23:$U$24)/L150</f>
        <v>0.31445057981279351</v>
      </c>
      <c r="O150" s="48" cm="1">
        <f t="array" ref="O150">$V$32*NMultDensity(C150:D150,$V$36:$V$37,$T$36:$U$37)/L150</f>
        <v>0.68554942018720655</v>
      </c>
    </row>
    <row r="151" spans="1:15" ht="15.75" thickBot="1" x14ac:dyDescent="0.3">
      <c r="A151" s="63">
        <v>1.390188861947913</v>
      </c>
      <c r="B151" s="64">
        <v>-0.28266093799055114</v>
      </c>
      <c r="C151" s="67">
        <v>0.95744848842798813</v>
      </c>
      <c r="D151" s="68">
        <v>-2.4250426980425774E-2</v>
      </c>
      <c r="E151" s="26" t="s">
        <v>7</v>
      </c>
      <c r="F151" s="51" t="str">
        <f t="shared" si="4"/>
        <v>virginica</v>
      </c>
      <c r="G151" s="53" cm="1">
        <f t="array" ref="G151">$V$6*NMultDensity(A151:B151,$V$8:$V$9,$R$8:$S$9)+$V$19*NMultDensity(A151:B151,$V$21:$V$22,$R$21:$S$22)+$V$32*NMultDensity(A151:B151,$V$34:$V$35,$R$34:$S$35)</f>
        <v>0.17328251409242548</v>
      </c>
      <c r="H151" s="55" cm="1">
        <f t="array" ref="H151">$V$6*NMultDensity(A151:B151,$V$8:$V$9,$R$8:$S$9)/G151</f>
        <v>9.6540321739734651E-109</v>
      </c>
      <c r="I151" s="55" cm="1">
        <f t="array" ref="I151">$V$19*NMultDensity(A151:B151,$V$21:$V$22,$R$21:$S$22)/G151</f>
        <v>0.11108827145077536</v>
      </c>
      <c r="J151" s="49" cm="1">
        <f t="array" ref="J151">$V$32*NMultDensity(A151:B151,$V$34:$V$35,$R$34:$S$35)/G151</f>
        <v>0.88891172854922473</v>
      </c>
      <c r="K151" s="53" t="str">
        <f t="shared" si="5"/>
        <v>versicolor</v>
      </c>
      <c r="L151" s="55" cm="1">
        <f t="array" ref="L151">$V$6*NMultDensity(C151:D151,$V$10:$V$11,$T$10:$U$11)+$V$19*NMultDensity(C151:D151,$V$23:$V$24,$T$23:$U$24)+$V$32*NMultDensity(C151:D151,$V$36:$V$37,$T$36:$U$37)</f>
        <v>0.14616251175543632</v>
      </c>
      <c r="M151" s="55" cm="1">
        <f t="array" ref="M151">$V$6*NMultDensity(C151:D151,$V$10:$V$11,$T$10:$U$11)/L151</f>
        <v>2.1183419766993285E-52</v>
      </c>
      <c r="N151" s="55" cm="1">
        <f t="array" ref="N151">$V$19*NMultDensity(C151:D151,$V$23:$V$24,$T$23:$U$24)/L151</f>
        <v>0.68690299583054448</v>
      </c>
      <c r="O151" s="49" cm="1">
        <f t="array" ref="O151">$V$32*NMultDensity(C151:D151,$V$36:$V$37,$T$36:$U$37)/L151</f>
        <v>0.31309700416945568</v>
      </c>
    </row>
  </sheetData>
  <mergeCells count="9">
    <mergeCell ref="Q19:S19"/>
    <mergeCell ref="T19:U19"/>
    <mergeCell ref="Q32:S32"/>
    <mergeCell ref="T32:U32"/>
    <mergeCell ref="Q2:S2"/>
    <mergeCell ref="Q3:R3"/>
    <mergeCell ref="Q4:R4"/>
    <mergeCell ref="Q6:S6"/>
    <mergeCell ref="T6:U6"/>
  </mergeCell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notContainsText" priority="9" operator="notContains" id="{C1C24A77-35C1-43F5-B780-82DEDF3444BF}">
            <xm:f>ISERROR(SEARCH($E$2,F2))</xm:f>
            <xm:f>$E$2</xm:f>
            <x14:dxf>
              <fill>
                <patternFill patternType="solid">
                  <fgColor auto="1"/>
                  <bgColor rgb="FFFF5050"/>
                </patternFill>
              </fill>
            </x14:dxf>
          </x14:cfRule>
          <xm:sqref>F2:F51</xm:sqref>
        </x14:conditionalFormatting>
        <x14:conditionalFormatting xmlns:xm="http://schemas.microsoft.com/office/excel/2006/main">
          <x14:cfRule type="notContainsText" priority="8" operator="notContains" id="{408F209A-9FC3-4797-AC6E-C3F53036513B}">
            <xm:f>ISERROR(SEARCH($E$52,F52))</xm:f>
            <xm:f>$E$52</xm:f>
            <x14:dxf>
              <fill>
                <patternFill>
                  <bgColor rgb="FFFF5050"/>
                </patternFill>
              </fill>
            </x14:dxf>
          </x14:cfRule>
          <xm:sqref>F52:F101</xm:sqref>
        </x14:conditionalFormatting>
        <x14:conditionalFormatting xmlns:xm="http://schemas.microsoft.com/office/excel/2006/main">
          <x14:cfRule type="notContainsText" priority="7" operator="notContains" id="{342CAD1E-EE31-46B1-A140-03A7D8552926}">
            <xm:f>ISERROR(SEARCH($E$102,F102))</xm:f>
            <xm:f>$E$102</xm:f>
            <x14:dxf>
              <fill>
                <patternFill>
                  <bgColor rgb="FFFF5050"/>
                </patternFill>
              </fill>
            </x14:dxf>
          </x14:cfRule>
          <xm:sqref>F102:F151</xm:sqref>
        </x14:conditionalFormatting>
        <x14:conditionalFormatting xmlns:xm="http://schemas.microsoft.com/office/excel/2006/main">
          <x14:cfRule type="notContainsText" priority="3" operator="notContains" id="{C62E35FD-C19A-4C1E-8529-CDAC5E8876AD}">
            <xm:f>ISERROR(SEARCH($E$2,K2))</xm:f>
            <xm:f>$E$2</xm:f>
            <x14:dxf>
              <fill>
                <patternFill patternType="solid">
                  <fgColor auto="1"/>
                  <bgColor rgb="FFFF5050"/>
                </patternFill>
              </fill>
            </x14:dxf>
          </x14:cfRule>
          <xm:sqref>K2:K51</xm:sqref>
        </x14:conditionalFormatting>
        <x14:conditionalFormatting xmlns:xm="http://schemas.microsoft.com/office/excel/2006/main">
          <x14:cfRule type="notContainsText" priority="2" operator="notContains" id="{19C0CC97-72DD-405F-B2E0-72303F0DE92A}">
            <xm:f>ISERROR(SEARCH($E$52,K52))</xm:f>
            <xm:f>$E$52</xm:f>
            <x14:dxf>
              <fill>
                <patternFill>
                  <bgColor rgb="FFFF5050"/>
                </patternFill>
              </fill>
            </x14:dxf>
          </x14:cfRule>
          <xm:sqref>K52:K101</xm:sqref>
        </x14:conditionalFormatting>
        <x14:conditionalFormatting xmlns:xm="http://schemas.microsoft.com/office/excel/2006/main">
          <x14:cfRule type="notContainsText" priority="1" operator="notContains" id="{C63A3B98-5FF2-48F3-815B-11D2B12B5C47}">
            <xm:f>ISERROR(SEARCH($E$102,K102))</xm:f>
            <xm:f>$E$102</xm:f>
            <x14:dxf>
              <fill>
                <patternFill>
                  <bgColor rgb="FFFF5050"/>
                </patternFill>
              </fill>
            </x14:dxf>
          </x14:cfRule>
          <xm:sqref>K102:K151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AE851-135D-4A04-8407-3C66A0A56C2F}">
  <sheetPr codeName="Arkusz5"/>
  <dimension ref="A1:T151"/>
  <sheetViews>
    <sheetView tabSelected="1" workbookViewId="0">
      <selection activeCell="W5" sqref="W5"/>
    </sheetView>
  </sheetViews>
  <sheetFormatPr defaultRowHeight="15" x14ac:dyDescent="0.25"/>
  <cols>
    <col min="1" max="4" width="9.140625" style="1"/>
    <col min="5" max="5" width="9.7109375" style="1" bestFit="1" customWidth="1"/>
    <col min="6" max="6" width="13.28515625" bestFit="1" customWidth="1"/>
    <col min="7" max="10" width="9.7109375" customWidth="1"/>
    <col min="11" max="11" width="16.140625" bestFit="1" customWidth="1"/>
    <col min="12" max="12" width="11.42578125" bestFit="1" customWidth="1"/>
    <col min="13" max="15" width="9.7109375" customWidth="1"/>
    <col min="17" max="17" width="9.42578125" style="1" bestFit="1" customWidth="1"/>
    <col min="18" max="18" width="9.140625" style="1"/>
    <col min="19" max="19" width="9.85546875" style="1" customWidth="1"/>
    <col min="20" max="20" width="9.140625" style="1"/>
  </cols>
  <sheetData>
    <row r="1" spans="1:20" ht="15.75" thickBot="1" x14ac:dyDescent="0.3">
      <c r="A1" s="27" t="s">
        <v>20</v>
      </c>
      <c r="B1" s="10" t="s">
        <v>21</v>
      </c>
      <c r="C1" s="10" t="s">
        <v>22</v>
      </c>
      <c r="D1" s="11" t="s">
        <v>23</v>
      </c>
      <c r="E1" s="27" t="s">
        <v>4</v>
      </c>
      <c r="F1" s="4" t="s">
        <v>76</v>
      </c>
      <c r="G1" s="9" t="s">
        <v>75</v>
      </c>
      <c r="H1" s="10" t="s">
        <v>60</v>
      </c>
      <c r="I1" s="10" t="s">
        <v>58</v>
      </c>
      <c r="J1" s="113" t="s">
        <v>59</v>
      </c>
      <c r="K1" s="4" t="s">
        <v>61</v>
      </c>
      <c r="L1" s="9" t="s">
        <v>62</v>
      </c>
      <c r="M1" s="10" t="s">
        <v>63</v>
      </c>
      <c r="N1" s="10" t="s">
        <v>64</v>
      </c>
      <c r="O1" s="6" t="s">
        <v>65</v>
      </c>
    </row>
    <row r="2" spans="1:20" ht="15.75" thickBot="1" x14ac:dyDescent="0.3">
      <c r="A2" s="25">
        <v>-2.6841256259695365</v>
      </c>
      <c r="B2" s="8">
        <v>0.31939724658510082</v>
      </c>
      <c r="C2" s="8">
        <v>2.7914827589413993E-2</v>
      </c>
      <c r="D2" s="13">
        <v>2.2624370713160147E-3</v>
      </c>
      <c r="E2" s="25" t="s">
        <v>5</v>
      </c>
      <c r="F2" s="19" t="str">
        <f>IF(H2&gt;MAX(I2:J2),$E$2,IF(I2&gt;J2,$E$52,$E$102))</f>
        <v>setosa</v>
      </c>
      <c r="G2" s="12" cm="1">
        <f t="array" ref="G2">R$7*EstymacjaGaussowska($A2,$A$2:$A$51,R$11)*EstymacjaGaussowska($B2,$B$2:$B$51,R$12)+S$7*EstymacjaGaussowska($A2,$C$52:$C$101,S$11)*EstymacjaGaussowska($B2,$D$52:$D$101,S$12)+T$7*EstymacjaGaussowska($A2,$C$102:$C$151,T$11)*EstymacjaGaussowska($B2,$D$102:$D$151,T$12)</f>
        <v>0.45685112105137021</v>
      </c>
      <c r="H2" s="8" cm="1">
        <f t="array" ref="H2">R$7*EstymacjaGaussowska($A2,$A$2:$A$51,R$11)*EstymacjaGaussowska($B2,$B$2:$B$51,R$12)/$G2</f>
        <v>0.99999999548105101</v>
      </c>
      <c r="I2" s="8" cm="1">
        <f t="array" ref="I2">S$7*EstymacjaGaussowska($A2,$A$52:$A$101,S$11)*EstymacjaGaussowska($B2,$B$52:$B$101,S$12)/$G2</f>
        <v>5.7935292019470189E-11</v>
      </c>
      <c r="J2" s="114" cm="1">
        <f t="array" ref="J2">T$7*EstymacjaGaussowska($A2,$A$102:$A$151,T$11)*EstymacjaGaussowska($B2,$B$102:$B$151,T$12)/$G2</f>
        <v>1.1289933068855155E-21</v>
      </c>
      <c r="K2" s="19" t="str">
        <f>IF(M2&gt;MAX(N2:O2),$E$2,IF(N2&gt;O2,$E$52,$E$102))</f>
        <v>setosa</v>
      </c>
      <c r="L2" s="12" cm="1">
        <f t="array" ref="L2">R$7*EstymacjaGaussowska($C2,$C$2:$C$51,R$11)*EstymacjaGaussowska($D2,$D$2:$D$51,R$12)*EstymacjaGaussowska($A2,$A$2:$A$51,R$15)*EstymacjaGaussowska($B2,$B$2:$B$51,R$16)+S$7*EstymacjaGaussowska($C2,$C$52:$C$101,S$11)*EstymacjaGaussowska($D2,$D$52:$D$101,S$12)*EstymacjaGaussowska($A2,$A$52:$A$101,S$15)*EstymacjaGaussowska($B2,$B$52:$B$101,S$16)+T$7*EstymacjaGaussowska($C2,$C$102:$C$151,T$11)*EstymacjaGaussowska($D2,$D$102:$D$151,T$12)*EstymacjaGaussowska($A2,$A$102:$A$151,T$15)*EstymacjaGaussowska($B2,$B$102:$B$151,T$16)</f>
        <v>1.8781995811703844</v>
      </c>
      <c r="M2" s="8" cm="1">
        <f t="array" ref="M2">R$7*EstymacjaGaussowska($C2,$C$2:$C$51,R$11)*EstymacjaGaussowska($D2,$D$2:$D$51,R$12)*EstymacjaGaussowska($A2,$A$2:$A$51,R$15)*EstymacjaGaussowska($B2,$B$2:$B$51,R$16)/$L$2</f>
        <v>1</v>
      </c>
      <c r="N2" s="8" cm="1">
        <f t="array" ref="N2">S$7*EstymacjaGaussowska($C2,$C$52:$C$101,S$11)*EstymacjaGaussowska($D2,$D$52:$D$101,S$12)*EstymacjaGaussowska($A2,$A$52:$A$101,S$15)*EstymacjaGaussowska($B2,$B$52:$B$101,S$16)/$L$2</f>
        <v>1.2031949563560202E-45</v>
      </c>
      <c r="O2" s="34" cm="1">
        <f t="array" ref="O2">T$7*EstymacjaGaussowska($C2,$C$102:$C$151,T$11)*EstymacjaGaussowska($D2,$D$102:$D$151,T$12)*EstymacjaGaussowska($A2,$A$102:$A$151,T$15)*EstymacjaGaussowska($B2,$B$102:$B$151,T$16)/$L$2</f>
        <v>3.6765429331785888E-84</v>
      </c>
      <c r="Q2" s="117" t="s">
        <v>55</v>
      </c>
      <c r="R2" s="117"/>
      <c r="S2" s="117"/>
    </row>
    <row r="3" spans="1:20" ht="16.5" thickTop="1" thickBot="1" x14ac:dyDescent="0.3">
      <c r="A3" s="25">
        <v>-2.7141416872943256</v>
      </c>
      <c r="B3" s="8">
        <v>-0.17700122506478025</v>
      </c>
      <c r="C3" s="8">
        <v>0.21046427237824439</v>
      </c>
      <c r="D3" s="13">
        <v>9.9026550323586759E-2</v>
      </c>
      <c r="E3" s="25" t="s">
        <v>5</v>
      </c>
      <c r="F3" s="19" t="str">
        <f t="shared" ref="F3:F51" si="0">IF(H3&gt;MAX(I3:J3),$E$2,IF(I3&gt;J3,$E$52,$E$102))</f>
        <v>setosa</v>
      </c>
      <c r="G3" s="12" cm="1">
        <f t="array" ref="G3">R$7*EstymacjaGaussowska($A3,$A$2:$A$51,R$11)*EstymacjaGaussowska($B3,$B$2:$B$51,R$12)+S$7*EstymacjaGaussowska($A3,$C$52:$C$101,S$11)*EstymacjaGaussowska($B3,$D$52:$D$101,S$12)+T$7*EstymacjaGaussowska($A3,$C$102:$C$151,T$11)*EstymacjaGaussowska($B3,$D$102:$D$151,T$12)</f>
        <v>0.37627625406247173</v>
      </c>
      <c r="H3" s="8" cm="1">
        <f t="array" ref="H3">R$7*EstymacjaGaussowska($A3,$A$2:$A$51,R$11)*EstymacjaGaussowska($B3,$B$2:$B$51,R$12)/$G3</f>
        <v>0.99999999579743071</v>
      </c>
      <c r="I3" s="8" cm="1">
        <f t="array" ref="I3">S$7*EstymacjaGaussowska($A3,$A$52:$A$101,S$11)*EstymacjaGaussowska($B3,$B$52:$B$101,S$12)/$G3</f>
        <v>6.3679581519554899E-11</v>
      </c>
      <c r="J3" s="114" cm="1">
        <f t="array" ref="J3">T$7*EstymacjaGaussowska($A3,$A$102:$A$151,T$11)*EstymacjaGaussowska($B3,$B$102:$B$151,T$12)/$G3</f>
        <v>5.353729387927592E-22</v>
      </c>
      <c r="K3" s="19" t="str">
        <f t="shared" ref="K3:K51" si="1">IF(M3&gt;MAX(N3:O3),$E$2,IF(N3&gt;O3,$E$52,$E$102))</f>
        <v>setosa</v>
      </c>
      <c r="L3" s="12" cm="1">
        <f t="array" ref="L3">R$7*EstymacjaGaussowska($C3,$C$2:$C$51,R$11)*EstymacjaGaussowska($D3,$D$2:$D$51,R$12)*EstymacjaGaussowska($A3,$A$2:$A$51,R$15)*EstymacjaGaussowska($B3,$B$2:$B$51,R$16)+S$7*EstymacjaGaussowska($C3,$C$52:$C$101,S$11)*EstymacjaGaussowska($D3,$D$52:$D$101,S$12)*EstymacjaGaussowska($A3,$A$52:$A$101,S$15)*EstymacjaGaussowska($B3,$B$52:$B$101,S$16)+T$7*EstymacjaGaussowska($C3,$C$102:$C$151,T$11)*EstymacjaGaussowska($D3,$D$102:$D$151,T$12)*EstymacjaGaussowska($A3,$A$102:$A$151,T$15)*EstymacjaGaussowska($B3,$B$102:$B$151,T$16)</f>
        <v>1.0683688245364726</v>
      </c>
      <c r="M3" s="8" cm="1">
        <f t="array" ref="M3">R$7*EstymacjaGaussowska($C3,$C$2:$C$51,R$11)*EstymacjaGaussowska($D3,$D$2:$D$51,R$12)*EstymacjaGaussowska($A3,$A$2:$A$51,R$15)*EstymacjaGaussowska($B3,$B$2:$B$51,R$16)/$L$2</f>
        <v>0.56882603704486367</v>
      </c>
      <c r="N3" s="8" cm="1">
        <f t="array" ref="N3">S$7*EstymacjaGaussowska($C3,$C$52:$C$101,S$11)*EstymacjaGaussowska($D3,$D$52:$D$101,S$12)*EstymacjaGaussowska($A3,$A$52:$A$101,S$15)*EstymacjaGaussowska($B3,$B$52:$B$101,S$16)/$L$2</f>
        <v>4.4837741184134587E-47</v>
      </c>
      <c r="O3" s="34" cm="1">
        <f t="array" ref="O3">T$7*EstymacjaGaussowska($C3,$C$102:$C$151,T$11)*EstymacjaGaussowska($D3,$D$102:$D$151,T$12)*EstymacjaGaussowska($A3,$A$102:$A$151,T$15)*EstymacjaGaussowska($B3,$B$102:$B$151,T$16)/$L$2</f>
        <v>7.8334129198756699E-86</v>
      </c>
      <c r="Q3" s="118" t="s">
        <v>77</v>
      </c>
      <c r="R3" s="119"/>
      <c r="S3" s="112">
        <f>COUNTIF(F2:F51,E2)/150+COUNTIF(F52:F101,E52)/150+COUNTIF(F102:F151,E102)/150</f>
        <v>0.89999999999999991</v>
      </c>
    </row>
    <row r="4" spans="1:20" ht="16.5" thickTop="1" thickBot="1" x14ac:dyDescent="0.3">
      <c r="A4" s="25">
        <v>-2.8889905690592963</v>
      </c>
      <c r="B4" s="8">
        <v>-0.14494942608555769</v>
      </c>
      <c r="C4" s="8">
        <v>-1.7900256320889874E-2</v>
      </c>
      <c r="D4" s="13">
        <v>1.9968389709029033E-2</v>
      </c>
      <c r="E4" s="25" t="s">
        <v>5</v>
      </c>
      <c r="F4" s="19" t="str">
        <f t="shared" si="0"/>
        <v>setosa</v>
      </c>
      <c r="G4" s="12" cm="1">
        <f t="array" ref="G4">R$7*EstymacjaGaussowska($A4,$A$2:$A$51,R$11)*EstymacjaGaussowska($B4,$B$2:$B$51,R$12)+S$7*EstymacjaGaussowska($A4,$C$52:$C$101,S$11)*EstymacjaGaussowska($B4,$D$52:$D$101,S$12)+T$7*EstymacjaGaussowska($A4,$C$102:$C$151,T$11)*EstymacjaGaussowska($B4,$D$102:$D$151,T$12)</f>
        <v>0.19159110340038291</v>
      </c>
      <c r="H4" s="8" cm="1">
        <f t="array" ref="H4">R$7*EstymacjaGaussowska($A4,$A$2:$A$51,R$11)*EstymacjaGaussowska($B4,$B$2:$B$51,R$12)/$G4</f>
        <v>0.99999999959843366</v>
      </c>
      <c r="I4" s="8" cm="1">
        <f t="array" ref="I4">S$7*EstymacjaGaussowska($A4,$A$52:$A$101,S$11)*EstymacjaGaussowska($B4,$B$52:$B$101,S$12)/$G4</f>
        <v>2.2584257202844631E-12</v>
      </c>
      <c r="J4" s="114" cm="1">
        <f t="array" ref="J4">T$7*EstymacjaGaussowska($A4,$A$102:$A$151,T$11)*EstymacjaGaussowska($B4,$B$102:$B$151,T$12)/$G4</f>
        <v>7.5856603420683519E-24</v>
      </c>
      <c r="K4" s="19" t="str">
        <f t="shared" si="1"/>
        <v>setosa</v>
      </c>
      <c r="L4" s="12" cm="1">
        <f t="array" ref="L4">R$7*EstymacjaGaussowska($C4,$C$2:$C$51,R$11)*EstymacjaGaussowska($D4,$D$2:$D$51,R$12)*EstymacjaGaussowska($A4,$A$2:$A$51,R$15)*EstymacjaGaussowska($B4,$B$2:$B$51,R$16)+S$7*EstymacjaGaussowska($C4,$C$52:$C$101,S$11)*EstymacjaGaussowska($D4,$D$52:$D$101,S$12)*EstymacjaGaussowska($A4,$A$52:$A$101,S$15)*EstymacjaGaussowska($B4,$B$52:$B$101,S$16)+T$7*EstymacjaGaussowska($C4,$C$102:$C$151,T$11)*EstymacjaGaussowska($D4,$D$102:$D$151,T$12)*EstymacjaGaussowska($A4,$A$102:$A$151,T$15)*EstymacjaGaussowska($B4,$B$102:$B$151,T$16)</f>
        <v>0.83061609634867706</v>
      </c>
      <c r="M4" s="8" cm="1">
        <f t="array" ref="M4">R$7*EstymacjaGaussowska($C4,$C$2:$C$51,R$11)*EstymacjaGaussowska($D4,$D$2:$D$51,R$12)*EstymacjaGaussowska($A4,$A$2:$A$51,R$15)*EstymacjaGaussowska($B4,$B$2:$B$51,R$16)/$L$2</f>
        <v>0.44224059289326728</v>
      </c>
      <c r="N4" s="8" cm="1">
        <f t="array" ref="N4">S$7*EstymacjaGaussowska($C4,$C$52:$C$101,S$11)*EstymacjaGaussowska($D4,$D$52:$D$101,S$12)*EstymacjaGaussowska($A4,$A$52:$A$101,S$15)*EstymacjaGaussowska($B4,$B$52:$B$101,S$16)/$L$2</f>
        <v>4.5396729971401383E-56</v>
      </c>
      <c r="O4" s="34" cm="1">
        <f t="array" ref="O4">T$7*EstymacjaGaussowska($C4,$C$102:$C$151,T$11)*EstymacjaGaussowska($D4,$D$102:$D$151,T$12)*EstymacjaGaussowska($A4,$A$102:$A$151,T$15)*EstymacjaGaussowska($B4,$B$102:$B$151,T$16)/$L$2</f>
        <v>5.9713283966737893E-95</v>
      </c>
      <c r="Q4" s="120" t="s">
        <v>78</v>
      </c>
      <c r="R4" s="121"/>
      <c r="S4" s="112">
        <f>COUNTIF(K2:K51,E2)/150+COUNTIF(K52:K101,E52)/150+COUNTIF(K102:K151,E102)/150</f>
        <v>0.94000000000000006</v>
      </c>
    </row>
    <row r="5" spans="1:20" ht="16.5" thickTop="1" thickBot="1" x14ac:dyDescent="0.3">
      <c r="A5" s="25">
        <v>-2.7453428556414097</v>
      </c>
      <c r="B5" s="8">
        <v>-0.31829897925191653</v>
      </c>
      <c r="C5" s="8">
        <v>-3.1559373605680729E-2</v>
      </c>
      <c r="D5" s="13">
        <v>-7.5575816613682401E-2</v>
      </c>
      <c r="E5" s="25" t="s">
        <v>5</v>
      </c>
      <c r="F5" s="19" t="str">
        <f t="shared" si="0"/>
        <v>setosa</v>
      </c>
      <c r="G5" s="12" cm="1">
        <f t="array" ref="G5">R$7*EstymacjaGaussowska($A5,$A$2:$A$51,R$11)*EstymacjaGaussowska($B5,$B$2:$B$51,R$12)+S$7*EstymacjaGaussowska($A5,$C$52:$C$101,S$11)*EstymacjaGaussowska($B5,$D$52:$D$101,S$12)+T$7*EstymacjaGaussowska($A5,$C$102:$C$151,T$11)*EstymacjaGaussowska($B5,$D$102:$D$151,T$12)</f>
        <v>0.2741845739326022</v>
      </c>
      <c r="H5" s="8" cm="1">
        <f t="array" ref="H5">R$7*EstymacjaGaussowska($A5,$A$2:$A$51,R$11)*EstymacjaGaussowska($B5,$B$2:$B$51,R$12)/$G5</f>
        <v>0.99999999775032999</v>
      </c>
      <c r="I5" s="8" cm="1">
        <f t="array" ref="I5">S$7*EstymacjaGaussowska($A5,$A$52:$A$101,S$11)*EstymacjaGaussowska($B5,$B$52:$B$101,S$12)/$G5</f>
        <v>4.8335387897702249E-11</v>
      </c>
      <c r="J5" s="114" cm="1">
        <f t="array" ref="J5">T$7*EstymacjaGaussowska($A5,$A$102:$A$151,T$11)*EstymacjaGaussowska($B5,$B$102:$B$151,T$12)/$G5</f>
        <v>2.5909686082319869E-22</v>
      </c>
      <c r="K5" s="19" t="str">
        <f t="shared" si="1"/>
        <v>setosa</v>
      </c>
      <c r="L5" s="12" cm="1">
        <f t="array" ref="L5">R$7*EstymacjaGaussowska($C5,$C$2:$C$51,R$11)*EstymacjaGaussowska($D5,$D$2:$D$51,R$12)*EstymacjaGaussowska($A5,$A$2:$A$51,R$15)*EstymacjaGaussowska($B5,$B$2:$B$51,R$16)+S$7*EstymacjaGaussowska($C5,$C$52:$C$101,S$11)*EstymacjaGaussowska($D5,$D$52:$D$101,S$12)*EstymacjaGaussowska($A5,$A$52:$A$101,S$15)*EstymacjaGaussowska($B5,$B$52:$B$101,S$16)+T$7*EstymacjaGaussowska($C5,$C$102:$C$151,T$11)*EstymacjaGaussowska($D5,$D$102:$D$151,T$12)*EstymacjaGaussowska($A5,$A$102:$A$151,T$15)*EstymacjaGaussowska($B5,$B$102:$B$151,T$16)</f>
        <v>0.69028948568462745</v>
      </c>
      <c r="M5" s="8" cm="1">
        <f t="array" ref="M5">R$7*EstymacjaGaussowska($C5,$C$2:$C$51,R$11)*EstymacjaGaussowska($D5,$D$2:$D$51,R$12)*EstymacjaGaussowska($A5,$A$2:$A$51,R$15)*EstymacjaGaussowska($B5,$B$2:$B$51,R$16)/$L$2</f>
        <v>0.36752722799271381</v>
      </c>
      <c r="N5" s="8" cm="1">
        <f t="array" ref="N5">S$7*EstymacjaGaussowska($C5,$C$52:$C$101,S$11)*EstymacjaGaussowska($D5,$D$52:$D$101,S$12)*EstymacjaGaussowska($A5,$A$52:$A$101,S$15)*EstymacjaGaussowska($B5,$B$52:$B$101,S$16)/$L$2</f>
        <v>2.1158542379179928E-48</v>
      </c>
      <c r="O5" s="34" cm="1">
        <f t="array" ref="O5">T$7*EstymacjaGaussowska($C5,$C$102:$C$151,T$11)*EstymacjaGaussowska($D5,$D$102:$D$151,T$12)*EstymacjaGaussowska($A5,$A$102:$A$151,T$15)*EstymacjaGaussowska($B5,$B$102:$B$151,T$16)/$L$2</f>
        <v>1.3765943827904331E-87</v>
      </c>
    </row>
    <row r="6" spans="1:20" ht="15.75" thickBot="1" x14ac:dyDescent="0.3">
      <c r="A6" s="25">
        <v>-2.7287165365545301</v>
      </c>
      <c r="B6" s="8">
        <v>0.32675451293491953</v>
      </c>
      <c r="C6" s="8">
        <v>-9.0079240551200979E-2</v>
      </c>
      <c r="D6" s="13">
        <v>-6.1258592585694438E-2</v>
      </c>
      <c r="E6" s="25" t="s">
        <v>5</v>
      </c>
      <c r="F6" s="19" t="str">
        <f t="shared" si="0"/>
        <v>setosa</v>
      </c>
      <c r="G6" s="12" cm="1">
        <f t="array" ref="G6">R$7*EstymacjaGaussowska($A6,$A$2:$A$51,R$11)*EstymacjaGaussowska($B6,$B$2:$B$51,R$12)+S$7*EstymacjaGaussowska($A6,$C$52:$C$101,S$11)*EstymacjaGaussowska($B6,$D$52:$D$101,S$12)+T$7*EstymacjaGaussowska($A6,$C$102:$C$151,T$11)*EstymacjaGaussowska($B6,$D$102:$D$151,T$12)</f>
        <v>0.41151580107373198</v>
      </c>
      <c r="H6" s="8" cm="1">
        <f t="array" ref="H6">R$7*EstymacjaGaussowska($A6,$A$2:$A$51,R$11)*EstymacjaGaussowska($B6,$B$2:$B$51,R$12)/$G6</f>
        <v>0.99999999768964765</v>
      </c>
      <c r="I6" s="8" cm="1">
        <f t="array" ref="I6">S$7*EstymacjaGaussowska($A6,$A$52:$A$101,S$11)*EstymacjaGaussowska($B6,$B$52:$B$101,S$12)/$G6</f>
        <v>2.4254693808975878E-11</v>
      </c>
      <c r="J6" s="114" cm="1">
        <f t="array" ref="J6">T$7*EstymacjaGaussowska($A6,$A$102:$A$151,T$11)*EstymacjaGaussowska($B6,$B$102:$B$151,T$12)/$G6</f>
        <v>3.6415483641146155E-22</v>
      </c>
      <c r="K6" s="19" t="str">
        <f t="shared" si="1"/>
        <v>setosa</v>
      </c>
      <c r="L6" s="12" cm="1">
        <f t="array" ref="L6">R$7*EstymacjaGaussowska($C6,$C$2:$C$51,R$11)*EstymacjaGaussowska($D6,$D$2:$D$51,R$12)*EstymacjaGaussowska($A6,$A$2:$A$51,R$15)*EstymacjaGaussowska($B6,$B$2:$B$51,R$16)+S$7*EstymacjaGaussowska($C6,$C$52:$C$101,S$11)*EstymacjaGaussowska($D6,$D$52:$D$101,S$12)*EstymacjaGaussowska($A6,$A$52:$A$101,S$15)*EstymacjaGaussowska($B6,$B$52:$B$101,S$16)+T$7*EstymacjaGaussowska($C6,$C$102:$C$151,T$11)*EstymacjaGaussowska($D6,$D$102:$D$151,T$12)*EstymacjaGaussowska($A6,$A$102:$A$151,T$15)*EstymacjaGaussowska($B6,$B$102:$B$151,T$16)</f>
        <v>1.5774508266200813</v>
      </c>
      <c r="M6" s="8" cm="1">
        <f t="array" ref="M6">R$7*EstymacjaGaussowska($C6,$C$2:$C$51,R$11)*EstymacjaGaussowska($D6,$D$2:$D$51,R$12)*EstymacjaGaussowska($A6,$A$2:$A$51,R$15)*EstymacjaGaussowska($B6,$B$2:$B$51,R$16)/$L$2</f>
        <v>0.83987391033124714</v>
      </c>
      <c r="N6" s="8" cm="1">
        <f t="array" ref="N6">S$7*EstymacjaGaussowska($C6,$C$52:$C$101,S$11)*EstymacjaGaussowska($D6,$D$52:$D$101,S$12)*EstymacjaGaussowska($A6,$A$52:$A$101,S$15)*EstymacjaGaussowska($B6,$B$52:$B$101,S$16)/$L$2</f>
        <v>6.5455187724694559E-48</v>
      </c>
      <c r="O6" s="34" cm="1">
        <f t="array" ref="O6">T$7*EstymacjaGaussowska($C6,$C$102:$C$151,T$11)*EstymacjaGaussowska($D6,$D$102:$D$151,T$12)*EstymacjaGaussowska($A6,$A$102:$A$151,T$15)*EstymacjaGaussowska($B6,$B$102:$B$151,T$16)/$L$2</f>
        <v>1.9502823540016106E-86</v>
      </c>
      <c r="Q6" s="86"/>
      <c r="R6" s="93" t="s">
        <v>5</v>
      </c>
      <c r="S6" s="94" t="s">
        <v>6</v>
      </c>
      <c r="T6" s="95" t="s">
        <v>7</v>
      </c>
    </row>
    <row r="7" spans="1:20" x14ac:dyDescent="0.25">
      <c r="A7" s="25">
        <v>-2.2808596328444928</v>
      </c>
      <c r="B7" s="8">
        <v>0.74133044906291468</v>
      </c>
      <c r="C7" s="8">
        <v>-0.16867765820910452</v>
      </c>
      <c r="D7" s="13">
        <v>-2.4200857569524725E-2</v>
      </c>
      <c r="E7" s="25" t="s">
        <v>5</v>
      </c>
      <c r="F7" s="19" t="str">
        <f t="shared" si="0"/>
        <v>setosa</v>
      </c>
      <c r="G7" s="12" cm="1">
        <f t="array" ref="G7">R$7*EstymacjaGaussowska($A7,$A$2:$A$51,R$11)*EstymacjaGaussowska($B7,$B$2:$B$51,R$12)+S$7*EstymacjaGaussowska($A7,$C$52:$C$101,S$11)*EstymacjaGaussowska($B7,$D$52:$D$101,S$12)+T$7*EstymacjaGaussowska($A7,$C$102:$C$151,T$11)*EstymacjaGaussowska($B7,$D$102:$D$151,T$12)</f>
        <v>7.2104117402608137E-2</v>
      </c>
      <c r="H7" s="8" cm="1">
        <f t="array" ref="H7">R$7*EstymacjaGaussowska($A7,$A$2:$A$51,R$11)*EstymacjaGaussowska($B7,$B$2:$B$51,R$12)/$G7</f>
        <v>0.99999877415430027</v>
      </c>
      <c r="I7" s="8" cm="1">
        <f t="array" ref="I7">S$7*EstymacjaGaussowska($A7,$A$52:$A$101,S$11)*EstymacjaGaussowska($B7,$B$52:$B$101,S$12)/$G7</f>
        <v>1.8300791504074456E-7</v>
      </c>
      <c r="J7" s="114" cm="1">
        <f t="array" ref="J7">T$7*EstymacjaGaussowska($A7,$A$102:$A$151,T$11)*EstymacjaGaussowska($B7,$B$102:$B$151,T$12)/$G7</f>
        <v>7.5238511050327768E-17</v>
      </c>
      <c r="K7" s="19" t="str">
        <f t="shared" si="1"/>
        <v>setosa</v>
      </c>
      <c r="L7" s="12" cm="1">
        <f t="array" ref="L7">R$7*EstymacjaGaussowska($C7,$C$2:$C$51,R$11)*EstymacjaGaussowska($D7,$D$2:$D$51,R$12)*EstymacjaGaussowska($A7,$A$2:$A$51,R$15)*EstymacjaGaussowska($B7,$B$2:$B$51,R$16)+S$7*EstymacjaGaussowska($C7,$C$52:$C$101,S$11)*EstymacjaGaussowska($D7,$D$52:$D$101,S$12)*EstymacjaGaussowska($A7,$A$52:$A$101,S$15)*EstymacjaGaussowska($B7,$B$52:$B$101,S$16)+T$7*EstymacjaGaussowska($C7,$C$102:$C$151,T$11)*EstymacjaGaussowska($D7,$D$102:$D$151,T$12)*EstymacjaGaussowska($A7,$A$102:$A$151,T$15)*EstymacjaGaussowska($B7,$B$102:$B$151,T$16)</f>
        <v>0.15614198664143655</v>
      </c>
      <c r="M7" s="8" cm="1">
        <f t="array" ref="M7">R$7*EstymacjaGaussowska($C7,$C$2:$C$51,R$11)*EstymacjaGaussowska($D7,$D$2:$D$51,R$12)*EstymacjaGaussowska($A7,$A$2:$A$51,R$15)*EstymacjaGaussowska($B7,$B$2:$B$51,R$16)/$L$2</f>
        <v>8.31338629860294E-2</v>
      </c>
      <c r="N7" s="8" cm="1">
        <f t="array" ref="N7">S$7*EstymacjaGaussowska($C7,$C$52:$C$101,S$11)*EstymacjaGaussowska($D7,$D$52:$D$101,S$12)*EstymacjaGaussowska($A7,$A$52:$A$101,S$15)*EstymacjaGaussowska($B7,$B$52:$B$101,S$16)/$L$2</f>
        <v>2.4098366071715426E-29</v>
      </c>
      <c r="O7" s="34" cm="1">
        <f t="array" ref="O7">T$7*EstymacjaGaussowska($C7,$C$102:$C$151,T$11)*EstymacjaGaussowska($D7,$D$102:$D$151,T$12)*EstymacjaGaussowska($A7,$A$102:$A$151,T$15)*EstymacjaGaussowska($B7,$B$102:$B$151,T$16)/$L$2</f>
        <v>1.0353547989568359E-65</v>
      </c>
      <c r="Q7" s="87" t="s">
        <v>66</v>
      </c>
      <c r="R7" s="96">
        <f>1/3</f>
        <v>0.33333333333333331</v>
      </c>
      <c r="S7" s="97">
        <f>1/3</f>
        <v>0.33333333333333331</v>
      </c>
      <c r="T7" s="102">
        <f>1-R7-S7</f>
        <v>0.33333333333333343</v>
      </c>
    </row>
    <row r="8" spans="1:20" ht="15.75" thickBot="1" x14ac:dyDescent="0.3">
      <c r="A8" s="25">
        <v>-2.8205377507406091</v>
      </c>
      <c r="B8" s="8">
        <v>-8.9461384528569346E-2</v>
      </c>
      <c r="C8" s="8">
        <v>-0.25789215825561762</v>
      </c>
      <c r="D8" s="13">
        <v>-4.8143106487653742E-2</v>
      </c>
      <c r="E8" s="25" t="s">
        <v>5</v>
      </c>
      <c r="F8" s="19" t="str">
        <f t="shared" si="0"/>
        <v>setosa</v>
      </c>
      <c r="G8" s="12" cm="1">
        <f t="array" ref="G8">R$7*EstymacjaGaussowska($A8,$A$2:$A$51,R$11)*EstymacjaGaussowska($B8,$B$2:$B$51,R$12)+S$7*EstymacjaGaussowska($A8,$C$52:$C$101,S$11)*EstymacjaGaussowska($B8,$D$52:$D$101,S$12)+T$7*EstymacjaGaussowska($A8,$C$102:$C$151,T$11)*EstymacjaGaussowska($B8,$D$102:$D$151,T$12)</f>
        <v>0.28022800774320078</v>
      </c>
      <c r="H8" s="8" cm="1">
        <f t="array" ref="H8">R$7*EstymacjaGaussowska($A8,$A$2:$A$51,R$11)*EstymacjaGaussowska($B8,$B$2:$B$51,R$12)/$G8</f>
        <v>0.99999999896716296</v>
      </c>
      <c r="I8" s="8" cm="1">
        <f t="array" ref="I8">S$7*EstymacjaGaussowska($A8,$A$52:$A$101,S$11)*EstymacjaGaussowska($B8,$B$52:$B$101,S$12)/$G8</f>
        <v>7.1388809357738854E-12</v>
      </c>
      <c r="J8" s="114" cm="1">
        <f t="array" ref="J8">T$7*EstymacjaGaussowska($A8,$A$102:$A$151,T$11)*EstymacjaGaussowska($B8,$B$102:$B$151,T$12)/$G8</f>
        <v>3.9046102786812879E-23</v>
      </c>
      <c r="K8" s="19" t="str">
        <f t="shared" si="1"/>
        <v>setosa</v>
      </c>
      <c r="L8" s="12" cm="1">
        <f t="array" ref="L8">R$7*EstymacjaGaussowska($C8,$C$2:$C$51,R$11)*EstymacjaGaussowska($D8,$D$2:$D$51,R$12)*EstymacjaGaussowska($A8,$A$2:$A$51,R$15)*EstymacjaGaussowska($B8,$B$2:$B$51,R$16)+S$7*EstymacjaGaussowska($C8,$C$52:$C$101,S$11)*EstymacjaGaussowska($D8,$D$52:$D$101,S$12)*EstymacjaGaussowska($A8,$A$52:$A$101,S$15)*EstymacjaGaussowska($B8,$B$52:$B$101,S$16)+T$7*EstymacjaGaussowska($C8,$C$102:$C$151,T$11)*EstymacjaGaussowska($D8,$D$102:$D$151,T$12)*EstymacjaGaussowska($A8,$A$102:$A$151,T$15)*EstymacjaGaussowska($B8,$B$102:$B$151,T$16)</f>
        <v>0.49897987230557134</v>
      </c>
      <c r="M8" s="8" cm="1">
        <f t="array" ref="M8">R$7*EstymacjaGaussowska($C8,$C$2:$C$51,R$11)*EstymacjaGaussowska($D8,$D$2:$D$51,R$12)*EstymacjaGaussowska($A8,$A$2:$A$51,R$15)*EstymacjaGaussowska($B8,$B$2:$B$51,R$16)/$L$2</f>
        <v>0.26566924905533001</v>
      </c>
      <c r="N8" s="8" cm="1">
        <f t="array" ref="N8">S$7*EstymacjaGaussowska($C8,$C$52:$C$101,S$11)*EstymacjaGaussowska($D8,$D$52:$D$101,S$12)*EstymacjaGaussowska($A8,$A$52:$A$101,S$15)*EstymacjaGaussowska($B8,$B$52:$B$101,S$16)/$L$2</f>
        <v>1.2293465432763214E-52</v>
      </c>
      <c r="O8" s="34" cm="1">
        <f t="array" ref="O8">T$7*EstymacjaGaussowska($C8,$C$102:$C$151,T$11)*EstymacjaGaussowska($D8,$D$102:$D$151,T$12)*EstymacjaGaussowska($A8,$A$102:$A$151,T$15)*EstymacjaGaussowska($B8,$B$102:$B$151,T$16)/$L$2</f>
        <v>2.2976463133877133E-91</v>
      </c>
      <c r="Q8" s="88" t="s">
        <v>14</v>
      </c>
      <c r="R8" s="109">
        <f>COUNTIF($E:$E,R6)</f>
        <v>50</v>
      </c>
      <c r="S8" s="110">
        <f>COUNTIF($E:$E,S6)</f>
        <v>50</v>
      </c>
      <c r="T8" s="111">
        <f>COUNTIF($E:$E,T6)</f>
        <v>50</v>
      </c>
    </row>
    <row r="9" spans="1:20" x14ac:dyDescent="0.25">
      <c r="A9" s="25">
        <v>-2.6261449731466326</v>
      </c>
      <c r="B9" s="8">
        <v>0.16338495969832836</v>
      </c>
      <c r="C9" s="8">
        <v>2.1879317886719818E-2</v>
      </c>
      <c r="D9" s="13">
        <v>-4.5297870551931574E-2</v>
      </c>
      <c r="E9" s="25" t="s">
        <v>5</v>
      </c>
      <c r="F9" s="19" t="str">
        <f t="shared" si="0"/>
        <v>setosa</v>
      </c>
      <c r="G9" s="12" cm="1">
        <f t="array" ref="G9">R$7*EstymacjaGaussowska($A9,$A$2:$A$51,R$11)*EstymacjaGaussowska($B9,$B$2:$B$51,R$12)+S$7*EstymacjaGaussowska($A9,$C$52:$C$101,S$11)*EstymacjaGaussowska($B9,$D$52:$D$101,S$12)+T$7*EstymacjaGaussowska($A9,$C$102:$C$151,T$11)*EstymacjaGaussowska($B9,$D$102:$D$151,T$12)</f>
        <v>0.4906298135456309</v>
      </c>
      <c r="H9" s="8" cm="1">
        <f t="array" ref="H9">R$7*EstymacjaGaussowska($A9,$A$2:$A$51,R$11)*EstymacjaGaussowska($B9,$B$2:$B$51,R$12)/$G9</f>
        <v>0.99999998431725101</v>
      </c>
      <c r="I9" s="8" cm="1">
        <f t="array" ref="I9">S$7*EstymacjaGaussowska($A9,$A$52:$A$101,S$11)*EstymacjaGaussowska($B9,$B$52:$B$101,S$12)/$G9</f>
        <v>2.1506220054777672E-10</v>
      </c>
      <c r="J9" s="114" cm="1">
        <f t="array" ref="J9">T$7*EstymacjaGaussowska($A9,$A$102:$A$151,T$11)*EstymacjaGaussowska($B9,$B$102:$B$151,T$12)/$G9</f>
        <v>5.3966376087950995E-21</v>
      </c>
      <c r="K9" s="19" t="str">
        <f t="shared" si="1"/>
        <v>setosa</v>
      </c>
      <c r="L9" s="12" cm="1">
        <f t="array" ref="L9">R$7*EstymacjaGaussowska($C9,$C$2:$C$51,R$11)*EstymacjaGaussowska($D9,$D$2:$D$51,R$12)*EstymacjaGaussowska($A9,$A$2:$A$51,R$15)*EstymacjaGaussowska($B9,$B$2:$B$51,R$16)+S$7*EstymacjaGaussowska($C9,$C$52:$C$101,S$11)*EstymacjaGaussowska($D9,$D$52:$D$101,S$12)*EstymacjaGaussowska($A9,$A$52:$A$101,S$15)*EstymacjaGaussowska($B9,$B$52:$B$101,S$16)+T$7*EstymacjaGaussowska($C9,$C$102:$C$151,T$11)*EstymacjaGaussowska($D9,$D$102:$D$151,T$12)*EstymacjaGaussowska($A9,$A$102:$A$151,T$15)*EstymacjaGaussowska($B9,$B$102:$B$151,T$16)</f>
        <v>1.6793964591305588</v>
      </c>
      <c r="M9" s="8" cm="1">
        <f t="array" ref="M9">R$7*EstymacjaGaussowska($C9,$C$2:$C$51,R$11)*EstymacjaGaussowska($D9,$D$2:$D$51,R$12)*EstymacjaGaussowska($A9,$A$2:$A$51,R$15)*EstymacjaGaussowska($B9,$B$2:$B$51,R$16)/$L$2</f>
        <v>0.89415229135769314</v>
      </c>
      <c r="N9" s="8" cm="1">
        <f t="array" ref="N9">S$7*EstymacjaGaussowska($C9,$C$52:$C$101,S$11)*EstymacjaGaussowska($D9,$D$52:$D$101,S$12)*EstymacjaGaussowska($A9,$A$52:$A$101,S$15)*EstymacjaGaussowska($B9,$B$52:$B$101,S$16)/$L$2</f>
        <v>5.1865393414137424E-43</v>
      </c>
      <c r="O9" s="34" cm="1">
        <f t="array" ref="O9">T$7*EstymacjaGaussowska($C9,$C$102:$C$151,T$11)*EstymacjaGaussowska($D9,$D$102:$D$151,T$12)*EstymacjaGaussowska($A9,$A$102:$A$151,T$15)*EstymacjaGaussowska($B9,$B$102:$B$151,T$16)/$L$2</f>
        <v>2.5971419342025565E-81</v>
      </c>
      <c r="Q9" s="105" t="s">
        <v>67</v>
      </c>
      <c r="R9" s="106">
        <f>_xlfn.STDEV.S($A$2:$A$51)</f>
        <v>0.22140899642483505</v>
      </c>
      <c r="S9" s="92">
        <f>_xlfn.STDEV.S($A$52:$A$101)</f>
        <v>0.59621386134745935</v>
      </c>
      <c r="T9" s="107">
        <f>_xlfn.STDEV.S($A$102:$A$151)</f>
        <v>0.7058981385276929</v>
      </c>
    </row>
    <row r="10" spans="1:20" x14ac:dyDescent="0.25">
      <c r="A10" s="25">
        <v>-2.8863827317805528</v>
      </c>
      <c r="B10" s="8">
        <v>-0.57831175418670411</v>
      </c>
      <c r="C10" s="8">
        <v>-2.0759570264779814E-2</v>
      </c>
      <c r="D10" s="13">
        <v>-2.6744735761787597E-2</v>
      </c>
      <c r="E10" s="25" t="s">
        <v>5</v>
      </c>
      <c r="F10" s="19" t="str">
        <f t="shared" si="0"/>
        <v>setosa</v>
      </c>
      <c r="G10" s="12" cm="1">
        <f t="array" ref="G10">R$7*EstymacjaGaussowska($A10,$A$2:$A$51,R$11)*EstymacjaGaussowska($B10,$B$2:$B$51,R$12)+S$7*EstymacjaGaussowska($A10,$C$52:$C$101,S$11)*EstymacjaGaussowska($B10,$D$52:$D$101,S$12)+T$7*EstymacjaGaussowska($A10,$C$102:$C$151,T$11)*EstymacjaGaussowska($B10,$D$102:$D$151,T$12)</f>
        <v>6.77949293006153E-2</v>
      </c>
      <c r="H10" s="8" cm="1">
        <f t="array" ref="H10">R$7*EstymacjaGaussowska($A10,$A$2:$A$51,R$11)*EstymacjaGaussowska($B10,$B$2:$B$51,R$12)/$G10</f>
        <v>0.99999999979588938</v>
      </c>
      <c r="I10" s="8" cm="1">
        <f t="array" ref="I10">S$7*EstymacjaGaussowska($A10,$A$52:$A$101,S$11)*EstymacjaGaussowska($B10,$B$52:$B$101,S$12)/$G10</f>
        <v>6.3177854357524845E-12</v>
      </c>
      <c r="J10" s="114" cm="1">
        <f t="array" ref="J10">T$7*EstymacjaGaussowska($A10,$A$102:$A$151,T$11)*EstymacjaGaussowska($B10,$B$102:$B$151,T$12)/$G10</f>
        <v>1.1760433192038812E-23</v>
      </c>
      <c r="K10" s="19" t="str">
        <f t="shared" si="1"/>
        <v>setosa</v>
      </c>
      <c r="L10" s="12" cm="1">
        <f t="array" ref="L10">R$7*EstymacjaGaussowska($C10,$C$2:$C$51,R$11)*EstymacjaGaussowska($D10,$D$2:$D$51,R$12)*EstymacjaGaussowska($A10,$A$2:$A$51,R$15)*EstymacjaGaussowska($B10,$B$2:$B$51,R$16)+S$7*EstymacjaGaussowska($C10,$C$52:$C$101,S$11)*EstymacjaGaussowska($D10,$D$52:$D$101,S$12)*EstymacjaGaussowska($A10,$A$52:$A$101,S$15)*EstymacjaGaussowska($B10,$B$52:$B$101,S$16)+T$7*EstymacjaGaussowska($C10,$C$102:$C$151,T$11)*EstymacjaGaussowska($D10,$D$102:$D$151,T$12)*EstymacjaGaussowska($A10,$A$102:$A$151,T$15)*EstymacjaGaussowska($B10,$B$102:$B$151,T$16)</f>
        <v>0.20086645211931842</v>
      </c>
      <c r="M10" s="8" cm="1">
        <f t="array" ref="M10">R$7*EstymacjaGaussowska($C10,$C$2:$C$51,R$11)*EstymacjaGaussowska($D10,$D$2:$D$51,R$12)*EstymacjaGaussowska($A10,$A$2:$A$51,R$15)*EstymacjaGaussowska($B10,$B$2:$B$51,R$16)/$L$2</f>
        <v>0.10694627670726567</v>
      </c>
      <c r="N10" s="8" cm="1">
        <f t="array" ref="N10">S$7*EstymacjaGaussowska($C10,$C$52:$C$101,S$11)*EstymacjaGaussowska($D10,$D$52:$D$101,S$12)*EstymacjaGaussowska($A10,$A$52:$A$101,S$15)*EstymacjaGaussowska($B10,$B$52:$B$101,S$16)/$L$2</f>
        <v>5.0534341955058926E-56</v>
      </c>
      <c r="O10" s="34" cm="1">
        <f t="array" ref="O10">T$7*EstymacjaGaussowska($C10,$C$102:$C$151,T$11)*EstymacjaGaussowska($D10,$D$102:$D$151,T$12)*EstymacjaGaussowska($A10,$A$102:$A$151,T$15)*EstymacjaGaussowska($B10,$B$102:$B$151,T$16)/$L$2</f>
        <v>3.9471245544341484E-95</v>
      </c>
      <c r="Q10" s="91" t="s">
        <v>68</v>
      </c>
      <c r="R10" s="100">
        <f>_xlfn.STDEV.S($B$2:$B$51)</f>
        <v>0.46658043588187204</v>
      </c>
      <c r="S10" s="101">
        <f>_xlfn.STDEV.S($B$52:$B$101)</f>
        <v>0.43031642603263853</v>
      </c>
      <c r="T10" s="104">
        <f>_xlfn.STDEV.S($B$102:$B$151)</f>
        <v>0.48300360196211733</v>
      </c>
    </row>
    <row r="11" spans="1:20" x14ac:dyDescent="0.25">
      <c r="A11" s="25">
        <v>-2.6727557978209537</v>
      </c>
      <c r="B11" s="8">
        <v>-0.11377424587411719</v>
      </c>
      <c r="C11" s="8">
        <v>0.19763272498814671</v>
      </c>
      <c r="D11" s="13">
        <v>-5.6295401268894207E-2</v>
      </c>
      <c r="E11" s="25" t="s">
        <v>5</v>
      </c>
      <c r="F11" s="19" t="str">
        <f t="shared" si="0"/>
        <v>setosa</v>
      </c>
      <c r="G11" s="12" cm="1">
        <f t="array" ref="G11">R$7*EstymacjaGaussowska($A11,$A$2:$A$51,R$11)*EstymacjaGaussowska($B11,$B$2:$B$51,R$12)+S$7*EstymacjaGaussowska($A11,$C$52:$C$101,S$11)*EstymacjaGaussowska($B11,$D$52:$D$101,S$12)+T$7*EstymacjaGaussowska($A11,$C$102:$C$151,T$11)*EstymacjaGaussowska($B11,$D$102:$D$151,T$12)</f>
        <v>0.43227997931682216</v>
      </c>
      <c r="H11" s="8" cm="1">
        <f t="array" ref="H11">R$7*EstymacjaGaussowska($A11,$A$2:$A$51,R$11)*EstymacjaGaussowska($B11,$B$2:$B$51,R$12)/$G11</f>
        <v>0.99999999178212418</v>
      </c>
      <c r="I11" s="8" cm="1">
        <f t="array" ref="I11">S$7*EstymacjaGaussowska($A11,$A$52:$A$101,S$11)*EstymacjaGaussowska($B11,$B$52:$B$101,S$12)/$G11</f>
        <v>1.2515215791277915E-10</v>
      </c>
      <c r="J11" s="114" cm="1">
        <f t="array" ref="J11">T$7*EstymacjaGaussowska($A11,$A$102:$A$151,T$11)*EstymacjaGaussowska($B11,$B$102:$B$151,T$12)/$G11</f>
        <v>1.5364822444043676E-21</v>
      </c>
      <c r="K11" s="19" t="str">
        <f t="shared" si="1"/>
        <v>setosa</v>
      </c>
      <c r="L11" s="12" cm="1">
        <f t="array" ref="L11">R$7*EstymacjaGaussowska($C11,$C$2:$C$51,R$11)*EstymacjaGaussowska($D11,$D$2:$D$51,R$12)*EstymacjaGaussowska($A11,$A$2:$A$51,R$15)*EstymacjaGaussowska($B11,$B$2:$B$51,R$16)+S$7*EstymacjaGaussowska($C11,$C$52:$C$101,S$11)*EstymacjaGaussowska($D11,$D$52:$D$101,S$12)*EstymacjaGaussowska($A11,$A$52:$A$101,S$15)*EstymacjaGaussowska($B11,$B$52:$B$101,S$16)+T$7*EstymacjaGaussowska($C11,$C$102:$C$151,T$11)*EstymacjaGaussowska($D11,$D$102:$D$151,T$12)*EstymacjaGaussowska($A11,$A$102:$A$151,T$15)*EstymacjaGaussowska($B11,$B$102:$B$151,T$16)</f>
        <v>1.1468784482860375</v>
      </c>
      <c r="M11" s="8" cm="1">
        <f t="array" ref="M11">R$7*EstymacjaGaussowska($C11,$C$2:$C$51,R$11)*EstymacjaGaussowska($D11,$D$2:$D$51,R$12)*EstymacjaGaussowska($A11,$A$2:$A$51,R$15)*EstymacjaGaussowska($B11,$B$2:$B$51,R$16)/$L$2</f>
        <v>0.6106265062477384</v>
      </c>
      <c r="N11" s="8" cm="1">
        <f t="array" ref="N11">S$7*EstymacjaGaussowska($C11,$C$52:$C$101,S$11)*EstymacjaGaussowska($D11,$D$52:$D$101,S$12)*EstymacjaGaussowska($A11,$A$52:$A$101,S$15)*EstymacjaGaussowska($B11,$B$52:$B$101,S$16)/$L$2</f>
        <v>5.1629492901874388E-45</v>
      </c>
      <c r="O11" s="34" cm="1">
        <f t="array" ref="O11">T$7*EstymacjaGaussowska($C11,$C$102:$C$151,T$11)*EstymacjaGaussowska($D11,$D$102:$D$151,T$12)*EstymacjaGaussowska($A11,$A$102:$A$151,T$15)*EstymacjaGaussowska($B11,$B$102:$B$151,T$16)/$L$2</f>
        <v>8.9878741748938972E-84</v>
      </c>
      <c r="Q11" s="91" t="s">
        <v>69</v>
      </c>
      <c r="R11" s="98">
        <f t="shared" ref="R11:T12" si="2">1.06*R9/R$8^(1/5)</f>
        <v>0.10732653976367058</v>
      </c>
      <c r="S11" s="99">
        <f t="shared" si="2"/>
        <v>0.28901070747268914</v>
      </c>
      <c r="T11" s="103">
        <f t="shared" si="2"/>
        <v>0.34217943198849821</v>
      </c>
    </row>
    <row r="12" spans="1:20" ht="15.75" thickBot="1" x14ac:dyDescent="0.3">
      <c r="A12" s="25">
        <v>-2.5069470906518556</v>
      </c>
      <c r="B12" s="8">
        <v>0.64506889864857364</v>
      </c>
      <c r="C12" s="8">
        <v>7.531800937912031E-2</v>
      </c>
      <c r="D12" s="13">
        <v>-1.5019924490180969E-2</v>
      </c>
      <c r="E12" s="25" t="s">
        <v>5</v>
      </c>
      <c r="F12" s="19" t="str">
        <f t="shared" si="0"/>
        <v>setosa</v>
      </c>
      <c r="G12" s="12" cm="1">
        <f t="array" ref="G12">R$7*EstymacjaGaussowska($A12,$A$2:$A$51,R$11)*EstymacjaGaussowska($B12,$B$2:$B$51,R$12)+S$7*EstymacjaGaussowska($A12,$C$52:$C$101,S$11)*EstymacjaGaussowska($B12,$D$52:$D$101,S$12)+T$7*EstymacjaGaussowska($A12,$C$102:$C$151,T$11)*EstymacjaGaussowska($B12,$D$102:$D$151,T$12)</f>
        <v>0.21918211914744509</v>
      </c>
      <c r="H12" s="8" cm="1">
        <f t="array" ref="H12">R$7*EstymacjaGaussowska($A12,$A$2:$A$51,R$11)*EstymacjaGaussowska($B12,$B$2:$B$51,R$12)/$G12</f>
        <v>0.99999996806423963</v>
      </c>
      <c r="I12" s="8" cm="1">
        <f t="array" ref="I12">S$7*EstymacjaGaussowska($A12,$A$52:$A$101,S$11)*EstymacjaGaussowska($B12,$B$52:$B$101,S$12)/$G12</f>
        <v>1.6848878810206809E-9</v>
      </c>
      <c r="J12" s="114" cm="1">
        <f t="array" ref="J12">T$7*EstymacjaGaussowska($A12,$A$102:$A$151,T$11)*EstymacjaGaussowska($B12,$B$102:$B$151,T$12)/$G12</f>
        <v>1.2804849660892371E-19</v>
      </c>
      <c r="K12" s="19" t="str">
        <f t="shared" si="1"/>
        <v>setosa</v>
      </c>
      <c r="L12" s="12" cm="1">
        <f t="array" ref="L12">R$7*EstymacjaGaussowska($C12,$C$2:$C$51,R$11)*EstymacjaGaussowska($D12,$D$2:$D$51,R$12)*EstymacjaGaussowska($A12,$A$2:$A$51,R$15)*EstymacjaGaussowska($B12,$B$2:$B$51,R$16)+S$7*EstymacjaGaussowska($C12,$C$52:$C$101,S$11)*EstymacjaGaussowska($D12,$D$52:$D$101,S$12)*EstymacjaGaussowska($A12,$A$52:$A$101,S$15)*EstymacjaGaussowska($B12,$B$52:$B$101,S$16)+T$7*EstymacjaGaussowska($C12,$C$102:$C$151,T$11)*EstymacjaGaussowska($D12,$D$102:$D$151,T$12)*EstymacjaGaussowska($A12,$A$102:$A$151,T$15)*EstymacjaGaussowska($B12,$B$102:$B$151,T$16)</f>
        <v>0.4369381681550652</v>
      </c>
      <c r="M12" s="8" cm="1">
        <f t="array" ref="M12">R$7*EstymacjaGaussowska($C12,$C$2:$C$51,R$11)*EstymacjaGaussowska($D12,$D$2:$D$51,R$12)*EstymacjaGaussowska($A12,$A$2:$A$51,R$15)*EstymacjaGaussowska($B12,$B$2:$B$51,R$16)/$L$2</f>
        <v>0.23263670833255687</v>
      </c>
      <c r="N12" s="8" cm="1">
        <f t="array" ref="N12">S$7*EstymacjaGaussowska($C12,$C$52:$C$101,S$11)*EstymacjaGaussowska($D12,$D$52:$D$101,S$12)*EstymacjaGaussowska($A12,$A$52:$A$101,S$15)*EstymacjaGaussowska($B12,$B$52:$B$101,S$16)/$L$2</f>
        <v>3.1324468667968323E-38</v>
      </c>
      <c r="O12" s="34" cm="1">
        <f t="array" ref="O12">T$7*EstymacjaGaussowska($C12,$C$102:$C$151,T$11)*EstymacjaGaussowska($D12,$D$102:$D$151,T$12)*EstymacjaGaussowska($A12,$A$102:$A$151,T$15)*EstymacjaGaussowska($B12,$B$102:$B$151,T$16)/$L$2</f>
        <v>4.9692873473425857E-76</v>
      </c>
      <c r="Q12" s="88" t="s">
        <v>70</v>
      </c>
      <c r="R12" s="89">
        <f t="shared" si="2"/>
        <v>0.22617176588678808</v>
      </c>
      <c r="S12" s="90">
        <f t="shared" si="2"/>
        <v>0.20859302808515948</v>
      </c>
      <c r="T12" s="108">
        <f t="shared" si="2"/>
        <v>0.23413278651295402</v>
      </c>
    </row>
    <row r="13" spans="1:20" x14ac:dyDescent="0.25">
      <c r="A13" s="25">
        <v>-2.6127552309087232</v>
      </c>
      <c r="B13" s="8">
        <v>1.4729939161373967E-2</v>
      </c>
      <c r="C13" s="8">
        <v>-0.10215025995658966</v>
      </c>
      <c r="D13" s="13">
        <v>-0.15637920783219006</v>
      </c>
      <c r="E13" s="25" t="s">
        <v>5</v>
      </c>
      <c r="F13" s="19" t="str">
        <f t="shared" si="0"/>
        <v>setosa</v>
      </c>
      <c r="G13" s="12" cm="1">
        <f t="array" ref="G13">R$7*EstymacjaGaussowska($A13,$A$2:$A$51,R$11)*EstymacjaGaussowska($B13,$B$2:$B$51,R$12)+S$7*EstymacjaGaussowska($A13,$C$52:$C$101,S$11)*EstymacjaGaussowska($B13,$D$52:$D$101,S$12)+T$7*EstymacjaGaussowska($A13,$C$102:$C$151,T$11)*EstymacjaGaussowska($B13,$D$102:$D$151,T$12)</f>
        <v>0.46968705748819173</v>
      </c>
      <c r="H13" s="8" cm="1">
        <f t="array" ref="H13">R$7*EstymacjaGaussowska($A13,$A$2:$A$51,R$11)*EstymacjaGaussowska($B13,$B$2:$B$51,R$12)/$G13</f>
        <v>0.99999997758593218</v>
      </c>
      <c r="I13" s="8" cm="1">
        <f t="array" ref="I13">S$7*EstymacjaGaussowska($A13,$A$52:$A$101,S$11)*EstymacjaGaussowska($B13,$B$52:$B$101,S$12)/$G13</f>
        <v>3.4221450231359795E-10</v>
      </c>
      <c r="J13" s="114" cm="1">
        <f t="array" ref="J13">T$7*EstymacjaGaussowska($A13,$A$102:$A$151,T$11)*EstymacjaGaussowska($B13,$B$102:$B$151,T$12)/$G13</f>
        <v>7.7593112443127256E-21</v>
      </c>
      <c r="K13" s="19" t="str">
        <f t="shared" si="1"/>
        <v>setosa</v>
      </c>
      <c r="L13" s="12" cm="1">
        <f t="array" ref="L13">R$7*EstymacjaGaussowska($C13,$C$2:$C$51,R$11)*EstymacjaGaussowska($D13,$D$2:$D$51,R$12)*EstymacjaGaussowska($A13,$A$2:$A$51,R$15)*EstymacjaGaussowska($B13,$B$2:$B$51,R$16)+S$7*EstymacjaGaussowska($C13,$C$52:$C$101,S$11)*EstymacjaGaussowska($D13,$D$52:$D$101,S$12)*EstymacjaGaussowska($A13,$A$52:$A$101,S$15)*EstymacjaGaussowska($B13,$B$52:$B$101,S$16)+T$7*EstymacjaGaussowska($C13,$C$102:$C$151,T$11)*EstymacjaGaussowska($D13,$D$102:$D$151,T$12)*EstymacjaGaussowska($A13,$A$102:$A$151,T$15)*EstymacjaGaussowska($B13,$B$102:$B$151,T$16)</f>
        <v>0.83112641087336203</v>
      </c>
      <c r="M13" s="8" cm="1">
        <f t="array" ref="M13">R$7*EstymacjaGaussowska($C13,$C$2:$C$51,R$11)*EstymacjaGaussowska($D13,$D$2:$D$51,R$12)*EstymacjaGaussowska($A13,$A$2:$A$51,R$15)*EstymacjaGaussowska($B13,$B$2:$B$51,R$16)/$L$2</f>
        <v>0.44251229699212929</v>
      </c>
      <c r="N13" s="8" cm="1">
        <f t="array" ref="N13">S$7*EstymacjaGaussowska($C13,$C$52:$C$101,S$11)*EstymacjaGaussowska($D13,$D$52:$D$101,S$12)*EstymacjaGaussowska($A13,$A$52:$A$101,S$15)*EstymacjaGaussowska($B13,$B$52:$B$101,S$16)/$L$2</f>
        <v>1.4695017183528025E-42</v>
      </c>
      <c r="O13" s="34" cm="1">
        <f t="array" ref="O13">T$7*EstymacjaGaussowska($C13,$C$102:$C$151,T$11)*EstymacjaGaussowska($D13,$D$102:$D$151,T$12)*EstymacjaGaussowska($A13,$A$102:$A$151,T$15)*EstymacjaGaussowska($B13,$B$102:$B$151,T$16)/$L$2</f>
        <v>8.4044734575670435E-81</v>
      </c>
      <c r="Q13" s="105" t="s">
        <v>71</v>
      </c>
      <c r="R13" s="106">
        <f>_xlfn.STDEV.S($C$2:$C$51)</f>
        <v>0.16587216677281702</v>
      </c>
      <c r="S13" s="92">
        <f>_xlfn.STDEV.S($C$52:$C$101)</f>
        <v>0.26066524962299198</v>
      </c>
      <c r="T13" s="107">
        <f>_xlfn.STDEV.S($C$102:$C$151)</f>
        <v>0.34160024797898575</v>
      </c>
    </row>
    <row r="14" spans="1:20" x14ac:dyDescent="0.25">
      <c r="A14" s="25">
        <v>-2.786109266188018</v>
      </c>
      <c r="B14" s="8">
        <v>-0.2351120002017186</v>
      </c>
      <c r="C14" s="8">
        <v>0.20684443044964496</v>
      </c>
      <c r="D14" s="13">
        <v>-7.8879114932153271E-3</v>
      </c>
      <c r="E14" s="25" t="s">
        <v>5</v>
      </c>
      <c r="F14" s="19" t="str">
        <f t="shared" si="0"/>
        <v>setosa</v>
      </c>
      <c r="G14" s="12" cm="1">
        <f t="array" ref="G14">R$7*EstymacjaGaussowska($A14,$A$2:$A$51,R$11)*EstymacjaGaussowska($B14,$B$2:$B$51,R$12)+S$7*EstymacjaGaussowska($A14,$C$52:$C$101,S$11)*EstymacjaGaussowska($B14,$D$52:$D$101,S$12)+T$7*EstymacjaGaussowska($A14,$C$102:$C$151,T$11)*EstymacjaGaussowska($B14,$D$102:$D$151,T$12)</f>
        <v>0.27612554091964586</v>
      </c>
      <c r="H14" s="8" cm="1">
        <f t="array" ref="H14">R$7*EstymacjaGaussowska($A14,$A$2:$A$51,R$11)*EstymacjaGaussowska($B14,$B$2:$B$51,R$12)/$G14</f>
        <v>0.99999999856347577</v>
      </c>
      <c r="I14" s="8" cm="1">
        <f t="array" ref="I14">S$7*EstymacjaGaussowska($A14,$A$52:$A$101,S$11)*EstymacjaGaussowska($B14,$B$52:$B$101,S$12)/$G14</f>
        <v>1.8588287286361515E-11</v>
      </c>
      <c r="J14" s="114" cm="1">
        <f t="array" ref="J14">T$7*EstymacjaGaussowska($A14,$A$102:$A$151,T$11)*EstymacjaGaussowska($B14,$B$102:$B$151,T$12)/$G14</f>
        <v>9.1625401892814578E-23</v>
      </c>
      <c r="K14" s="19" t="str">
        <f t="shared" si="1"/>
        <v>setosa</v>
      </c>
      <c r="L14" s="12" cm="1">
        <f t="array" ref="L14">R$7*EstymacjaGaussowska($C14,$C$2:$C$51,R$11)*EstymacjaGaussowska($D14,$D$2:$D$51,R$12)*EstymacjaGaussowska($A14,$A$2:$A$51,R$15)*EstymacjaGaussowska($B14,$B$2:$B$51,R$16)+S$7*EstymacjaGaussowska($C14,$C$52:$C$101,S$11)*EstymacjaGaussowska($D14,$D$52:$D$101,S$12)*EstymacjaGaussowska($A14,$A$52:$A$101,S$15)*EstymacjaGaussowska($B14,$B$52:$B$101,S$16)+T$7*EstymacjaGaussowska($C14,$C$102:$C$151,T$11)*EstymacjaGaussowska($D14,$D$102:$D$151,T$12)*EstymacjaGaussowska($A14,$A$102:$A$151,T$15)*EstymacjaGaussowska($B14,$B$102:$B$151,T$16)</f>
        <v>0.74035087895799345</v>
      </c>
      <c r="M14" s="8" cm="1">
        <f t="array" ref="M14">R$7*EstymacjaGaussowska($C14,$C$2:$C$51,R$11)*EstymacjaGaussowska($D14,$D$2:$D$51,R$12)*EstymacjaGaussowska($A14,$A$2:$A$51,R$15)*EstymacjaGaussowska($B14,$B$2:$B$51,R$16)/$L$2</f>
        <v>0.39418115432474432</v>
      </c>
      <c r="N14" s="8" cm="1">
        <f t="array" ref="N14">S$7*EstymacjaGaussowska($C14,$C$52:$C$101,S$11)*EstymacjaGaussowska($D14,$D$52:$D$101,S$12)*EstymacjaGaussowska($A14,$A$52:$A$101,S$15)*EstymacjaGaussowska($B14,$B$52:$B$101,S$16)/$L$2</f>
        <v>1.4049454514763115E-50</v>
      </c>
      <c r="O14" s="34" cm="1">
        <f t="array" ref="O14">T$7*EstymacjaGaussowska($C14,$C$102:$C$151,T$11)*EstymacjaGaussowska($D14,$D$102:$D$151,T$12)*EstymacjaGaussowska($A14,$A$102:$A$151,T$15)*EstymacjaGaussowska($B14,$B$102:$B$151,T$16)/$L$2</f>
        <v>1.3870942146686771E-89</v>
      </c>
      <c r="Q14" s="91" t="s">
        <v>72</v>
      </c>
      <c r="R14" s="100">
        <f>_xlfn.STDEV.S($D$2:$D$51)</f>
        <v>0.12235709655419905</v>
      </c>
      <c r="S14" s="101">
        <f>_xlfn.STDEV.S($D$52:$D$101)</f>
        <v>0.1274163351323177</v>
      </c>
      <c r="T14" s="104">
        <f>_xlfn.STDEV.S($D$102:$D$151)</f>
        <v>0.20022975811359278</v>
      </c>
    </row>
    <row r="15" spans="1:20" x14ac:dyDescent="0.25">
      <c r="A15" s="25">
        <v>-3.2238037438656519</v>
      </c>
      <c r="B15" s="8">
        <v>-0.51139458700638263</v>
      </c>
      <c r="C15" s="8">
        <v>-6.1299672457098775E-2</v>
      </c>
      <c r="D15" s="13">
        <v>-2.1679811846812669E-2</v>
      </c>
      <c r="E15" s="25" t="s">
        <v>5</v>
      </c>
      <c r="F15" s="19" t="str">
        <f t="shared" si="0"/>
        <v>setosa</v>
      </c>
      <c r="G15" s="12" cm="1">
        <f t="array" ref="G15">R$7*EstymacjaGaussowska($A15,$A$2:$A$51,R$11)*EstymacjaGaussowska($B15,$B$2:$B$51,R$12)+S$7*EstymacjaGaussowska($A15,$C$52:$C$101,S$11)*EstymacjaGaussowska($B15,$D$52:$D$101,S$12)+T$7*EstymacjaGaussowska($A15,$C$102:$C$151,T$11)*EstymacjaGaussowska($B15,$D$102:$D$151,T$12)</f>
        <v>1.6616437089557852E-2</v>
      </c>
      <c r="H15" s="8" cm="1">
        <f t="array" ref="H15">R$7*EstymacjaGaussowska($A15,$A$2:$A$51,R$11)*EstymacjaGaussowska($B15,$B$2:$B$51,R$12)/$G15</f>
        <v>0.99999999999844114</v>
      </c>
      <c r="I15" s="8" cm="1">
        <f t="array" ref="I15">S$7*EstymacjaGaussowska($A15,$A$52:$A$101,S$11)*EstymacjaGaussowska($B15,$B$52:$B$101,S$12)/$G15</f>
        <v>4.7534321682736813E-15</v>
      </c>
      <c r="J15" s="114" cm="1">
        <f t="array" ref="J15">T$7*EstymacjaGaussowska($A15,$A$102:$A$151,T$11)*EstymacjaGaussowska($B15,$B$102:$B$151,T$12)/$G15</f>
        <v>1.8365528343365242E-27</v>
      </c>
      <c r="K15" s="19" t="str">
        <f t="shared" si="1"/>
        <v>setosa</v>
      </c>
      <c r="L15" s="12" cm="1">
        <f t="array" ref="L15">R$7*EstymacjaGaussowska($C15,$C$2:$C$51,R$11)*EstymacjaGaussowska($D15,$D$2:$D$51,R$12)*EstymacjaGaussowska($A15,$A$2:$A$51,R$15)*EstymacjaGaussowska($B15,$B$2:$B$51,R$16)+S$7*EstymacjaGaussowska($C15,$C$52:$C$101,S$11)*EstymacjaGaussowska($D15,$D$52:$D$101,S$12)*EstymacjaGaussowska($A15,$A$52:$A$101,S$15)*EstymacjaGaussowska($B15,$B$52:$B$101,S$16)+T$7*EstymacjaGaussowska($C15,$C$102:$C$151,T$11)*EstymacjaGaussowska($D15,$D$102:$D$151,T$12)*EstymacjaGaussowska($A15,$A$102:$A$151,T$15)*EstymacjaGaussowska($B15,$B$102:$B$151,T$16)</f>
        <v>6.4496090300534978E-2</v>
      </c>
      <c r="M15" s="8" cm="1">
        <f t="array" ref="M15">R$7*EstymacjaGaussowska($C15,$C$2:$C$51,R$11)*EstymacjaGaussowska($D15,$D$2:$D$51,R$12)*EstymacjaGaussowska($A15,$A$2:$A$51,R$15)*EstymacjaGaussowska($B15,$B$2:$B$51,R$16)/$L$2</f>
        <v>3.4339316730304444E-2</v>
      </c>
      <c r="N15" s="8" cm="1">
        <f t="array" ref="N15">S$7*EstymacjaGaussowska($C15,$C$52:$C$101,S$11)*EstymacjaGaussowska($D15,$D$52:$D$101,S$12)*EstymacjaGaussowska($A15,$A$52:$A$101,S$15)*EstymacjaGaussowska($B15,$B$52:$B$101,S$16)/$L$2</f>
        <v>1.0435618075770474E-75</v>
      </c>
      <c r="O15" s="34" cm="1">
        <f t="array" ref="O15">T$7*EstymacjaGaussowska($C15,$C$102:$C$151,T$11)*EstymacjaGaussowska($D15,$D$102:$D$151,T$12)*EstymacjaGaussowska($A15,$A$102:$A$151,T$15)*EstymacjaGaussowska($B15,$B$102:$B$151,T$16)/$L$2</f>
        <v>2.9300897908692861E-114</v>
      </c>
      <c r="Q15" s="91" t="s">
        <v>73</v>
      </c>
      <c r="R15" s="98">
        <f t="shared" ref="R15:T16" si="3">1.06*R13/R$8^(1/5)</f>
        <v>8.0405430629701694E-2</v>
      </c>
      <c r="S15" s="99">
        <f t="shared" si="3"/>
        <v>0.12635574764536134</v>
      </c>
      <c r="T15" s="103">
        <f t="shared" si="3"/>
        <v>0.1655884502888427</v>
      </c>
    </row>
    <row r="16" spans="1:20" ht="15.75" thickBot="1" x14ac:dyDescent="0.3">
      <c r="A16" s="25">
        <v>-2.6447503899420295</v>
      </c>
      <c r="B16" s="8">
        <v>1.1787646364375755</v>
      </c>
      <c r="C16" s="8">
        <v>0.15162752361780973</v>
      </c>
      <c r="D16" s="13">
        <v>0.15920971766995984</v>
      </c>
      <c r="E16" s="25" t="s">
        <v>5</v>
      </c>
      <c r="F16" s="19" t="str">
        <f t="shared" si="0"/>
        <v>setosa</v>
      </c>
      <c r="G16" s="12" cm="1">
        <f t="array" ref="G16">R$7*EstymacjaGaussowska($A16,$A$2:$A$51,R$11)*EstymacjaGaussowska($B16,$B$2:$B$51,R$12)+S$7*EstymacjaGaussowska($A16,$C$52:$C$101,S$11)*EstymacjaGaussowska($B16,$D$52:$D$101,S$12)+T$7*EstymacjaGaussowska($A16,$C$102:$C$151,T$11)*EstymacjaGaussowska($B16,$D$102:$D$151,T$12)</f>
        <v>8.8332313118217681E-2</v>
      </c>
      <c r="H16" s="8" cm="1">
        <f t="array" ref="H16">R$7*EstymacjaGaussowska($A16,$A$2:$A$51,R$11)*EstymacjaGaussowska($B16,$B$2:$B$51,R$12)/$G16</f>
        <v>0.99999999995073841</v>
      </c>
      <c r="I16" s="8" cm="1">
        <f t="array" ref="I16">S$7*EstymacjaGaussowska($A16,$A$52:$A$101,S$11)*EstymacjaGaussowska($B16,$B$52:$B$101,S$12)/$G16</f>
        <v>4.1200533608928219E-12</v>
      </c>
      <c r="J16" s="114" cm="1">
        <f t="array" ref="J16">T$7*EstymacjaGaussowska($A16,$A$102:$A$151,T$11)*EstymacjaGaussowska($B16,$B$102:$B$151,T$12)/$G16</f>
        <v>1.6629897832158291E-21</v>
      </c>
      <c r="K16" s="19" t="str">
        <f t="shared" si="1"/>
        <v>setosa</v>
      </c>
      <c r="L16" s="12" cm="1">
        <f t="array" ref="L16">R$7*EstymacjaGaussowska($C16,$C$2:$C$51,R$11)*EstymacjaGaussowska($D16,$D$2:$D$51,R$12)*EstymacjaGaussowska($A16,$A$2:$A$51,R$15)*EstymacjaGaussowska($B16,$B$2:$B$51,R$16)+S$7*EstymacjaGaussowska($C16,$C$52:$C$101,S$11)*EstymacjaGaussowska($D16,$D$52:$D$101,S$12)*EstymacjaGaussowska($A16,$A$52:$A$101,S$15)*EstymacjaGaussowska($B16,$B$52:$B$101,S$16)+T$7*EstymacjaGaussowska($C16,$C$102:$C$151,T$11)*EstymacjaGaussowska($D16,$D$102:$D$151,T$12)*EstymacjaGaussowska($A16,$A$102:$A$151,T$15)*EstymacjaGaussowska($B16,$B$102:$B$151,T$16)</f>
        <v>0.24236013617941418</v>
      </c>
      <c r="M16" s="8" cm="1">
        <f t="array" ref="M16">R$7*EstymacjaGaussowska($C16,$C$2:$C$51,R$11)*EstymacjaGaussowska($D16,$D$2:$D$51,R$12)*EstymacjaGaussowska($A16,$A$2:$A$51,R$15)*EstymacjaGaussowska($B16,$B$2:$B$51,R$16)/$L$2</f>
        <v>0.12903854234084616</v>
      </c>
      <c r="N16" s="8" cm="1">
        <f t="array" ref="N16">S$7*EstymacjaGaussowska($C16,$C$52:$C$101,S$11)*EstymacjaGaussowska($D16,$D$52:$D$101,S$12)*EstymacjaGaussowska($A16,$A$52:$A$101,S$15)*EstymacjaGaussowska($B16,$B$52:$B$101,S$16)/$L$2</f>
        <v>2.0224920213998458E-58</v>
      </c>
      <c r="O16" s="34" cm="1">
        <f t="array" ref="O16">T$7*EstymacjaGaussowska($C16,$C$102:$C$151,T$11)*EstymacjaGaussowska($D16,$D$102:$D$151,T$12)*EstymacjaGaussowska($A16,$A$102:$A$151,T$15)*EstymacjaGaussowska($B16,$B$102:$B$151,T$16)/$L$2</f>
        <v>2.7234424547433025E-83</v>
      </c>
      <c r="Q16" s="88" t="s">
        <v>74</v>
      </c>
      <c r="R16" s="100">
        <f t="shared" si="3"/>
        <v>5.9311789496998571E-2</v>
      </c>
      <c r="S16" s="101">
        <f t="shared" si="3"/>
        <v>6.1764221779318611E-2</v>
      </c>
      <c r="T16" s="104">
        <f t="shared" si="3"/>
        <v>9.7060044727424494E-2</v>
      </c>
    </row>
    <row r="17" spans="1:15" x14ac:dyDescent="0.25">
      <c r="A17" s="25">
        <v>-2.3860390335311337</v>
      </c>
      <c r="B17" s="8">
        <v>1.3380623304006525</v>
      </c>
      <c r="C17" s="8">
        <v>-0.2777769027031356</v>
      </c>
      <c r="D17" s="13">
        <v>6.5515458675288185E-3</v>
      </c>
      <c r="E17" s="25" t="s">
        <v>5</v>
      </c>
      <c r="F17" s="19" t="str">
        <f t="shared" si="0"/>
        <v>setosa</v>
      </c>
      <c r="G17" s="12" cm="1">
        <f t="array" ref="G17">R$7*EstymacjaGaussowska($A17,$A$2:$A$51,R$11)*EstymacjaGaussowska($B17,$B$2:$B$51,R$12)+S$7*EstymacjaGaussowska($A17,$C$52:$C$101,S$11)*EstymacjaGaussowska($B17,$D$52:$D$101,S$12)+T$7*EstymacjaGaussowska($A17,$C$102:$C$151,T$11)*EstymacjaGaussowska($B17,$D$102:$D$151,T$12)</f>
        <v>2.5662526689645918E-2</v>
      </c>
      <c r="H17" s="8" cm="1">
        <f t="array" ref="H17">R$7*EstymacjaGaussowska($A17,$A$2:$A$51,R$11)*EstymacjaGaussowska($B17,$B$2:$B$51,R$12)/$G17</f>
        <v>0.99999999914604421</v>
      </c>
      <c r="I17" s="8" cm="1">
        <f t="array" ref="I17">S$7*EstymacjaGaussowska($A17,$A$52:$A$101,S$11)*EstymacjaGaussowska($B17,$B$52:$B$101,S$12)/$G17</f>
        <v>2.4121442679400451E-10</v>
      </c>
      <c r="J17" s="114" cm="1">
        <f t="array" ref="J17">T$7*EstymacjaGaussowska($A17,$A$102:$A$151,T$11)*EstymacjaGaussowska($B17,$B$102:$B$151,T$12)/$G17</f>
        <v>4.0688799441481947E-18</v>
      </c>
      <c r="K17" s="19" t="str">
        <f t="shared" si="1"/>
        <v>setosa</v>
      </c>
      <c r="L17" s="12" cm="1">
        <f t="array" ref="L17">R$7*EstymacjaGaussowska($C17,$C$2:$C$51,R$11)*EstymacjaGaussowska($D17,$D$2:$D$51,R$12)*EstymacjaGaussowska($A17,$A$2:$A$51,R$15)*EstymacjaGaussowska($B17,$B$2:$B$51,R$16)+S$7*EstymacjaGaussowska($C17,$C$52:$C$101,S$11)*EstymacjaGaussowska($D17,$D$52:$D$101,S$12)*EstymacjaGaussowska($A17,$A$52:$A$101,S$15)*EstymacjaGaussowska($B17,$B$52:$B$101,S$16)+T$7*EstymacjaGaussowska($C17,$C$102:$C$151,T$11)*EstymacjaGaussowska($D17,$D$102:$D$151,T$12)*EstymacjaGaussowska($A17,$A$102:$A$151,T$15)*EstymacjaGaussowska($B17,$B$102:$B$151,T$16)</f>
        <v>5.2485915958439391E-2</v>
      </c>
      <c r="M17" s="8" cm="1">
        <f t="array" ref="M17">R$7*EstymacjaGaussowska($C17,$C$2:$C$51,R$11)*EstymacjaGaussowska($D17,$D$2:$D$51,R$12)*EstymacjaGaussowska($A17,$A$2:$A$51,R$15)*EstymacjaGaussowska($B17,$B$2:$B$51,R$16)/$L$2</f>
        <v>2.7944802290783832E-2</v>
      </c>
      <c r="N17" s="8" cm="1">
        <f t="array" ref="N17">S$7*EstymacjaGaussowska($C17,$C$52:$C$101,S$11)*EstymacjaGaussowska($D17,$D$52:$D$101,S$12)*EstymacjaGaussowska($A17,$A$52:$A$101,S$15)*EstymacjaGaussowska($B17,$B$52:$B$101,S$16)/$L$2</f>
        <v>1.2732112352040589E-57</v>
      </c>
      <c r="O17" s="34" cm="1">
        <f t="array" ref="O17">T$7*EstymacjaGaussowska($C17,$C$102:$C$151,T$11)*EstymacjaGaussowska($D17,$D$102:$D$151,T$12)*EstymacjaGaussowska($A17,$A$102:$A$151,T$15)*EstymacjaGaussowska($B17,$B$102:$B$151,T$16)/$L$2</f>
        <v>9.7748538849368306E-71</v>
      </c>
    </row>
    <row r="18" spans="1:15" x14ac:dyDescent="0.25">
      <c r="A18" s="25">
        <v>-2.6235278752244269</v>
      </c>
      <c r="B18" s="8">
        <v>0.81067951418125794</v>
      </c>
      <c r="C18" s="8">
        <v>-0.13818322788071902</v>
      </c>
      <c r="D18" s="13">
        <v>0.1677347372283291</v>
      </c>
      <c r="E18" s="25" t="s">
        <v>5</v>
      </c>
      <c r="F18" s="19" t="str">
        <f t="shared" si="0"/>
        <v>setosa</v>
      </c>
      <c r="G18" s="12" cm="1">
        <f t="array" ref="G18">R$7*EstymacjaGaussowska($A18,$A$2:$A$51,R$11)*EstymacjaGaussowska($B18,$B$2:$B$51,R$12)+S$7*EstymacjaGaussowska($A18,$C$52:$C$101,S$11)*EstymacjaGaussowska($B18,$D$52:$D$101,S$12)+T$7*EstymacjaGaussowska($A18,$C$102:$C$151,T$11)*EstymacjaGaussowska($B18,$D$102:$D$151,T$12)</f>
        <v>0.20313589554128225</v>
      </c>
      <c r="H18" s="8" cm="1">
        <f t="array" ref="H18">R$7*EstymacjaGaussowska($A18,$A$2:$A$51,R$11)*EstymacjaGaussowska($B18,$B$2:$B$51,R$12)/$G18</f>
        <v>0.99999999840102127</v>
      </c>
      <c r="I18" s="8" cm="1">
        <f t="array" ref="I18">S$7*EstymacjaGaussowska($A18,$A$52:$A$101,S$11)*EstymacjaGaussowska($B18,$B$52:$B$101,S$12)/$G18</f>
        <v>7.2995707722970476E-11</v>
      </c>
      <c r="J18" s="114" cm="1">
        <f t="array" ref="J18">T$7*EstymacjaGaussowska($A18,$A$102:$A$151,T$11)*EstymacjaGaussowska($B18,$B$102:$B$151,T$12)/$G18</f>
        <v>3.3356640532407473E-21</v>
      </c>
      <c r="K18" s="19" t="str">
        <f t="shared" si="1"/>
        <v>setosa</v>
      </c>
      <c r="L18" s="12" cm="1">
        <f t="array" ref="L18">R$7*EstymacjaGaussowska($C18,$C$2:$C$51,R$11)*EstymacjaGaussowska($D18,$D$2:$D$51,R$12)*EstymacjaGaussowska($A18,$A$2:$A$51,R$15)*EstymacjaGaussowska($B18,$B$2:$B$51,R$16)+S$7*EstymacjaGaussowska($C18,$C$52:$C$101,S$11)*EstymacjaGaussowska($D18,$D$52:$D$101,S$12)*EstymacjaGaussowska($A18,$A$52:$A$101,S$15)*EstymacjaGaussowska($B18,$B$52:$B$101,S$16)+T$7*EstymacjaGaussowska($C18,$C$102:$C$151,T$11)*EstymacjaGaussowska($D18,$D$102:$D$151,T$12)*EstymacjaGaussowska($A18,$A$102:$A$151,T$15)*EstymacjaGaussowska($B18,$B$102:$B$151,T$16)</f>
        <v>0.63132179320725712</v>
      </c>
      <c r="M18" s="8" cm="1">
        <f t="array" ref="M18">R$7*EstymacjaGaussowska($C18,$C$2:$C$51,R$11)*EstymacjaGaussowska($D18,$D$2:$D$51,R$12)*EstymacjaGaussowska($A18,$A$2:$A$51,R$15)*EstymacjaGaussowska($B18,$B$2:$B$51,R$16)/$L$2</f>
        <v>0.33613136726069026</v>
      </c>
      <c r="N18" s="8" cm="1">
        <f t="array" ref="N18">S$7*EstymacjaGaussowska($C18,$C$52:$C$101,S$11)*EstymacjaGaussowska($D18,$D$52:$D$101,S$12)*EstymacjaGaussowska($A18,$A$52:$A$101,S$15)*EstymacjaGaussowska($B18,$B$52:$B$101,S$16)/$L$2</f>
        <v>1.4280471207013032E-44</v>
      </c>
      <c r="O18" s="34" cm="1">
        <f t="array" ref="O18">T$7*EstymacjaGaussowska($C18,$C$102:$C$151,T$11)*EstymacjaGaussowska($D18,$D$102:$D$151,T$12)*EstymacjaGaussowska($A18,$A$102:$A$151,T$15)*EstymacjaGaussowska($B18,$B$102:$B$151,T$16)/$L$2</f>
        <v>4.7745948620711583E-82</v>
      </c>
    </row>
    <row r="19" spans="1:15" x14ac:dyDescent="0.25">
      <c r="A19" s="25">
        <v>-2.6482967062543814</v>
      </c>
      <c r="B19" s="8">
        <v>0.31184914459335461</v>
      </c>
      <c r="C19" s="8">
        <v>-2.6668315612593529E-2</v>
      </c>
      <c r="D19" s="13">
        <v>7.7628179597720615E-2</v>
      </c>
      <c r="E19" s="25" t="s">
        <v>5</v>
      </c>
      <c r="F19" s="19" t="str">
        <f t="shared" si="0"/>
        <v>setosa</v>
      </c>
      <c r="G19" s="12" cm="1">
        <f t="array" ref="G19">R$7*EstymacjaGaussowska($A19,$A$2:$A$51,R$11)*EstymacjaGaussowska($B19,$B$2:$B$51,R$12)+S$7*EstymacjaGaussowska($A19,$C$52:$C$101,S$11)*EstymacjaGaussowska($B19,$D$52:$D$101,S$12)+T$7*EstymacjaGaussowska($A19,$C$102:$C$151,T$11)*EstymacjaGaussowska($B19,$D$102:$D$151,T$12)</f>
        <v>0.475664209112243</v>
      </c>
      <c r="H19" s="8" cm="1">
        <f t="array" ref="H19">R$7*EstymacjaGaussowska($A19,$A$2:$A$51,R$11)*EstymacjaGaussowska($B19,$B$2:$B$51,R$12)/$G19</f>
        <v>0.99999999196714517</v>
      </c>
      <c r="I19" s="8" cm="1">
        <f t="array" ref="I19">S$7*EstymacjaGaussowska($A19,$A$52:$A$101,S$11)*EstymacjaGaussowska($B19,$B$52:$B$101,S$12)/$G19</f>
        <v>1.2000817911846746E-10</v>
      </c>
      <c r="J19" s="114" cm="1">
        <f t="array" ref="J19">T$7*EstymacjaGaussowska($A19,$A$102:$A$151,T$11)*EstymacjaGaussowska($B19,$B$102:$B$151,T$12)/$G19</f>
        <v>2.8947867447605924E-21</v>
      </c>
      <c r="K19" s="19" t="str">
        <f t="shared" si="1"/>
        <v>setosa</v>
      </c>
      <c r="L19" s="12" cm="1">
        <f t="array" ref="L19">R$7*EstymacjaGaussowska($C19,$C$2:$C$51,R$11)*EstymacjaGaussowska($D19,$D$2:$D$51,R$12)*EstymacjaGaussowska($A19,$A$2:$A$51,R$15)*EstymacjaGaussowska($B19,$B$2:$B$51,R$16)+S$7*EstymacjaGaussowska($C19,$C$52:$C$101,S$11)*EstymacjaGaussowska($D19,$D$52:$D$101,S$12)*EstymacjaGaussowska($A19,$A$52:$A$101,S$15)*EstymacjaGaussowska($B19,$B$52:$B$101,S$16)+T$7*EstymacjaGaussowska($C19,$C$102:$C$151,T$11)*EstymacjaGaussowska($D19,$D$102:$D$151,T$12)*EstymacjaGaussowska($A19,$A$102:$A$151,T$15)*EstymacjaGaussowska($B19,$B$102:$B$151,T$16)</f>
        <v>1.9871730173126416</v>
      </c>
      <c r="M19" s="8" cm="1">
        <f t="array" ref="M19">R$7*EstymacjaGaussowska($C19,$C$2:$C$51,R$11)*EstymacjaGaussowska($D19,$D$2:$D$51,R$12)*EstymacjaGaussowska($A19,$A$2:$A$51,R$15)*EstymacjaGaussowska($B19,$B$2:$B$51,R$16)/$L$2</f>
        <v>1.0580201578334669</v>
      </c>
      <c r="N19" s="8" cm="1">
        <f t="array" ref="N19">S$7*EstymacjaGaussowska($C19,$C$52:$C$101,S$11)*EstymacjaGaussowska($D19,$D$52:$D$101,S$12)*EstymacjaGaussowska($A19,$A$52:$A$101,S$15)*EstymacjaGaussowska($B19,$B$52:$B$101,S$16)/$L$2</f>
        <v>5.7447286848153446E-44</v>
      </c>
      <c r="O19" s="34" cm="1">
        <f t="array" ref="O19">T$7*EstymacjaGaussowska($C19,$C$102:$C$151,T$11)*EstymacjaGaussowska($D19,$D$102:$D$151,T$12)*EstymacjaGaussowska($A19,$A$102:$A$151,T$15)*EstymacjaGaussowska($B19,$B$102:$B$151,T$16)/$L$2</f>
        <v>2.4217023821255649E-82</v>
      </c>
    </row>
    <row r="20" spans="1:15" x14ac:dyDescent="0.25">
      <c r="A20" s="25">
        <v>-2.1998203236175802</v>
      </c>
      <c r="B20" s="8">
        <v>0.87283903896221082</v>
      </c>
      <c r="C20" s="8">
        <v>0.12030552339473122</v>
      </c>
      <c r="D20" s="13">
        <v>2.7051868141876323E-2</v>
      </c>
      <c r="E20" s="25" t="s">
        <v>5</v>
      </c>
      <c r="F20" s="19" t="str">
        <f t="shared" si="0"/>
        <v>setosa</v>
      </c>
      <c r="G20" s="12" cm="1">
        <f t="array" ref="G20">R$7*EstymacjaGaussowska($A20,$A$2:$A$51,R$11)*EstymacjaGaussowska($B20,$B$2:$B$51,R$12)+S$7*EstymacjaGaussowska($A20,$C$52:$C$101,S$11)*EstymacjaGaussowska($B20,$D$52:$D$101,S$12)+T$7*EstymacjaGaussowska($A20,$C$102:$C$151,T$11)*EstymacjaGaussowska($B20,$D$102:$D$151,T$12)</f>
        <v>3.4204924702594945E-2</v>
      </c>
      <c r="H20" s="8" cm="1">
        <f t="array" ref="H20">R$7*EstymacjaGaussowska($A20,$A$2:$A$51,R$11)*EstymacjaGaussowska($B20,$B$2:$B$51,R$12)/$G20</f>
        <v>0.99999754363188986</v>
      </c>
      <c r="I20" s="8" cm="1">
        <f t="array" ref="I20">S$7*EstymacjaGaussowska($A20,$A$52:$A$101,S$11)*EstymacjaGaussowska($B20,$B$52:$B$101,S$12)/$G20</f>
        <v>6.3214538242285942E-7</v>
      </c>
      <c r="J20" s="114" cm="1">
        <f t="array" ref="J20">T$7*EstymacjaGaussowska($A20,$A$102:$A$151,T$11)*EstymacjaGaussowska($B20,$B$102:$B$151,T$12)/$G20</f>
        <v>6.2379075404169551E-16</v>
      </c>
      <c r="K20" s="19" t="str">
        <f t="shared" si="1"/>
        <v>setosa</v>
      </c>
      <c r="L20" s="12" cm="1">
        <f t="array" ref="L20">R$7*EstymacjaGaussowska($C20,$C$2:$C$51,R$11)*EstymacjaGaussowska($D20,$D$2:$D$51,R$12)*EstymacjaGaussowska($A20,$A$2:$A$51,R$15)*EstymacjaGaussowska($B20,$B$2:$B$51,R$16)+S$7*EstymacjaGaussowska($C20,$C$52:$C$101,S$11)*EstymacjaGaussowska($D20,$D$52:$D$101,S$12)*EstymacjaGaussowska($A20,$A$52:$A$101,S$15)*EstymacjaGaussowska($B20,$B$52:$B$101,S$16)+T$7*EstymacjaGaussowska($C20,$C$102:$C$151,T$11)*EstymacjaGaussowska($D20,$D$102:$D$151,T$12)*EstymacjaGaussowska($A20,$A$102:$A$151,T$15)*EstymacjaGaussowska($B20,$B$102:$B$151,T$16)</f>
        <v>9.0901547503252023E-2</v>
      </c>
      <c r="M20" s="8" cm="1">
        <f t="array" ref="M20">R$7*EstymacjaGaussowska($C20,$C$2:$C$51,R$11)*EstymacjaGaussowska($D20,$D$2:$D$51,R$12)*EstymacjaGaussowska($A20,$A$2:$A$51,R$15)*EstymacjaGaussowska($B20,$B$2:$B$51,R$16)/$L$2</f>
        <v>4.8398236489120866E-2</v>
      </c>
      <c r="N20" s="8" cm="1">
        <f t="array" ref="N20">S$7*EstymacjaGaussowska($C20,$C$52:$C$101,S$11)*EstymacjaGaussowska($D20,$D$52:$D$101,S$12)*EstymacjaGaussowska($A20,$A$52:$A$101,S$15)*EstymacjaGaussowska($B20,$B$52:$B$101,S$16)/$L$2</f>
        <v>4.1959984959193634E-28</v>
      </c>
      <c r="O20" s="34" cm="1">
        <f t="array" ref="O20">T$7*EstymacjaGaussowska($C20,$C$102:$C$151,T$11)*EstymacjaGaussowska($D20,$D$102:$D$151,T$12)*EstymacjaGaussowska($A20,$A$102:$A$151,T$15)*EstymacjaGaussowska($B20,$B$102:$B$151,T$16)/$L$2</f>
        <v>1.2567374055347364E-62</v>
      </c>
    </row>
    <row r="21" spans="1:15" x14ac:dyDescent="0.25">
      <c r="A21" s="25">
        <v>-2.5879863998787682</v>
      </c>
      <c r="B21" s="8">
        <v>0.51356030874927661</v>
      </c>
      <c r="C21" s="8">
        <v>-0.2136651722247157</v>
      </c>
      <c r="D21" s="13">
        <v>-6.6272650201582017E-2</v>
      </c>
      <c r="E21" s="25" t="s">
        <v>5</v>
      </c>
      <c r="F21" s="19" t="str">
        <f t="shared" si="0"/>
        <v>setosa</v>
      </c>
      <c r="G21" s="12" cm="1">
        <f t="array" ref="G21">R$7*EstymacjaGaussowska($A21,$A$2:$A$51,R$11)*EstymacjaGaussowska($B21,$B$2:$B$51,R$12)+S$7*EstymacjaGaussowska($A21,$C$52:$C$101,S$11)*EstymacjaGaussowska($B21,$D$52:$D$101,S$12)+T$7*EstymacjaGaussowska($A21,$C$102:$C$151,T$11)*EstymacjaGaussowska($B21,$D$102:$D$151,T$12)</f>
        <v>0.36485892609836856</v>
      </c>
      <c r="H21" s="8" cm="1">
        <f t="array" ref="H21">R$7*EstymacjaGaussowska($A21,$A$2:$A$51,R$11)*EstymacjaGaussowska($B21,$B$2:$B$51,R$12)/$G21</f>
        <v>0.99999998810207291</v>
      </c>
      <c r="I21" s="8" cm="1">
        <f t="array" ref="I21">S$7*EstymacjaGaussowska($A21,$A$52:$A$101,S$11)*EstymacjaGaussowska($B21,$B$52:$B$101,S$12)/$G21</f>
        <v>3.4141866631332577E-10</v>
      </c>
      <c r="J21" s="114" cm="1">
        <f t="array" ref="J21">T$7*EstymacjaGaussowska($A21,$A$102:$A$151,T$11)*EstymacjaGaussowska($B21,$B$102:$B$151,T$12)/$G21</f>
        <v>1.3657185966222649E-20</v>
      </c>
      <c r="K21" s="19" t="str">
        <f t="shared" si="1"/>
        <v>setosa</v>
      </c>
      <c r="L21" s="12" cm="1">
        <f t="array" ref="L21">R$7*EstymacjaGaussowska($C21,$C$2:$C$51,R$11)*EstymacjaGaussowska($D21,$D$2:$D$51,R$12)*EstymacjaGaussowska($A21,$A$2:$A$51,R$15)*EstymacjaGaussowska($B21,$B$2:$B$51,R$16)+S$7*EstymacjaGaussowska($C21,$C$52:$C$101,S$11)*EstymacjaGaussowska($D21,$D$52:$D$101,S$12)*EstymacjaGaussowska($A21,$A$52:$A$101,S$15)*EstymacjaGaussowska($B21,$B$52:$B$101,S$16)+T$7*EstymacjaGaussowska($C21,$C$102:$C$151,T$11)*EstymacjaGaussowska($D21,$D$102:$D$151,T$12)*EstymacjaGaussowska($A21,$A$102:$A$151,T$15)*EstymacjaGaussowska($B21,$B$102:$B$151,T$16)</f>
        <v>0.76494156016703874</v>
      </c>
      <c r="M21" s="8" cm="1">
        <f t="array" ref="M21">R$7*EstymacjaGaussowska($C21,$C$2:$C$51,R$11)*EstymacjaGaussowska($D21,$D$2:$D$51,R$12)*EstymacjaGaussowska($A21,$A$2:$A$51,R$15)*EstymacjaGaussowska($B21,$B$2:$B$51,R$16)/$L$2</f>
        <v>0.40727384237322201</v>
      </c>
      <c r="N21" s="8" cm="1">
        <f t="array" ref="N21">S$7*EstymacjaGaussowska($C21,$C$52:$C$101,S$11)*EstymacjaGaussowska($D21,$D$52:$D$101,S$12)*EstymacjaGaussowska($A21,$A$52:$A$101,S$15)*EstymacjaGaussowska($B21,$B$52:$B$101,S$16)/$L$2</f>
        <v>1.1240963758697639E-41</v>
      </c>
      <c r="O21" s="34" cm="1">
        <f t="array" ref="O21">T$7*EstymacjaGaussowska($C21,$C$102:$C$151,T$11)*EstymacjaGaussowska($D21,$D$102:$D$151,T$12)*EstymacjaGaussowska($A21,$A$102:$A$151,T$15)*EstymacjaGaussowska($B21,$B$102:$B$151,T$16)/$L$2</f>
        <v>1.228311510540135E-79</v>
      </c>
    </row>
    <row r="22" spans="1:15" x14ac:dyDescent="0.25">
      <c r="A22" s="25">
        <v>-2.3102562152425183</v>
      </c>
      <c r="B22" s="8">
        <v>0.39134593565389397</v>
      </c>
      <c r="C22" s="8">
        <v>0.23944404324495361</v>
      </c>
      <c r="D22" s="13">
        <v>-1.5070790789268318E-2</v>
      </c>
      <c r="E22" s="25" t="s">
        <v>5</v>
      </c>
      <c r="F22" s="19" t="str">
        <f t="shared" si="0"/>
        <v>setosa</v>
      </c>
      <c r="G22" s="12" cm="1">
        <f t="array" ref="G22">R$7*EstymacjaGaussowska($A22,$A$2:$A$51,R$11)*EstymacjaGaussowska($B22,$B$2:$B$51,R$12)+S$7*EstymacjaGaussowska($A22,$C$52:$C$101,S$11)*EstymacjaGaussowska($B22,$D$52:$D$101,S$12)+T$7*EstymacjaGaussowska($A22,$C$102:$C$151,T$11)*EstymacjaGaussowska($B22,$D$102:$D$151,T$12)</f>
        <v>0.150562109596583</v>
      </c>
      <c r="H22" s="8" cm="1">
        <f t="array" ref="H22">R$7*EstymacjaGaussowska($A22,$A$2:$A$51,R$11)*EstymacjaGaussowska($B22,$B$2:$B$51,R$12)/$G22</f>
        <v>0.99999698809613002</v>
      </c>
      <c r="I22" s="8" cm="1">
        <f t="array" ref="I22">S$7*EstymacjaGaussowska($A22,$A$52:$A$101,S$11)*EstymacjaGaussowska($B22,$B$52:$B$101,S$12)/$G22</f>
        <v>2.0034731891509125E-7</v>
      </c>
      <c r="J22" s="114" cm="1">
        <f t="array" ref="J22">T$7*EstymacjaGaussowska($A22,$A$102:$A$151,T$11)*EstymacjaGaussowska($B22,$B$102:$B$151,T$12)/$G22</f>
        <v>4.8298333905001074E-17</v>
      </c>
      <c r="K22" s="19" t="str">
        <f t="shared" si="1"/>
        <v>setosa</v>
      </c>
      <c r="L22" s="12" cm="1">
        <f t="array" ref="L22">R$7*EstymacjaGaussowska($C22,$C$2:$C$51,R$11)*EstymacjaGaussowska($D22,$D$2:$D$51,R$12)*EstymacjaGaussowska($A22,$A$2:$A$51,R$15)*EstymacjaGaussowska($B22,$B$2:$B$51,R$16)+S$7*EstymacjaGaussowska($C22,$C$52:$C$101,S$11)*EstymacjaGaussowska($D22,$D$52:$D$101,S$12)*EstymacjaGaussowska($A22,$A$52:$A$101,S$15)*EstymacjaGaussowska($B22,$B$52:$B$101,S$16)+T$7*EstymacjaGaussowska($C22,$C$102:$C$151,T$11)*EstymacjaGaussowska($D22,$D$102:$D$151,T$12)*EstymacjaGaussowska($A22,$A$102:$A$151,T$15)*EstymacjaGaussowska($B22,$B$102:$B$151,T$16)</f>
        <v>0.30424577754473431</v>
      </c>
      <c r="M22" s="8" cm="1">
        <f t="array" ref="M22">R$7*EstymacjaGaussowska($C22,$C$2:$C$51,R$11)*EstymacjaGaussowska($D22,$D$2:$D$51,R$12)*EstymacjaGaussowska($A22,$A$2:$A$51,R$15)*EstymacjaGaussowska($B22,$B$2:$B$51,R$16)/$L$2</f>
        <v>0.16198799136945077</v>
      </c>
      <c r="N22" s="8" cm="1">
        <f t="array" ref="N22">S$7*EstymacjaGaussowska($C22,$C$52:$C$101,S$11)*EstymacjaGaussowska($D22,$D$52:$D$101,S$12)*EstymacjaGaussowska($A22,$A$52:$A$101,S$15)*EstymacjaGaussowska($B22,$B$52:$B$101,S$16)/$L$2</f>
        <v>1.1753998495137922E-29</v>
      </c>
      <c r="O22" s="34" cm="1">
        <f t="array" ref="O22">T$7*EstymacjaGaussowska($C22,$C$102:$C$151,T$11)*EstymacjaGaussowska($D22,$D$102:$D$151,T$12)*EstymacjaGaussowska($A22,$A$102:$A$151,T$15)*EstymacjaGaussowska($B22,$B$102:$B$151,T$16)/$L$2</f>
        <v>1.9836378539336884E-66</v>
      </c>
    </row>
    <row r="23" spans="1:15" x14ac:dyDescent="0.25">
      <c r="A23" s="25">
        <v>-2.5437052287571569</v>
      </c>
      <c r="B23" s="8">
        <v>0.43299606327902795</v>
      </c>
      <c r="C23" s="8">
        <v>-0.20845723241671466</v>
      </c>
      <c r="D23" s="13">
        <v>4.1065402691435438E-2</v>
      </c>
      <c r="E23" s="25" t="s">
        <v>5</v>
      </c>
      <c r="F23" s="19" t="str">
        <f t="shared" si="0"/>
        <v>setosa</v>
      </c>
      <c r="G23" s="12" cm="1">
        <f t="array" ref="G23">R$7*EstymacjaGaussowska($A23,$A$2:$A$51,R$11)*EstymacjaGaussowska($B23,$B$2:$B$51,R$12)+S$7*EstymacjaGaussowska($A23,$C$52:$C$101,S$11)*EstymacjaGaussowska($B23,$D$52:$D$101,S$12)+T$7*EstymacjaGaussowska($A23,$C$102:$C$151,T$11)*EstymacjaGaussowska($B23,$D$102:$D$151,T$12)</f>
        <v>0.36328985609487219</v>
      </c>
      <c r="H23" s="8" cm="1">
        <f t="array" ref="H23">R$7*EstymacjaGaussowska($A23,$A$2:$A$51,R$11)*EstymacjaGaussowska($B23,$B$2:$B$51,R$12)/$G23</f>
        <v>0.9999999646866774</v>
      </c>
      <c r="I23" s="8" cm="1">
        <f t="array" ref="I23">S$7*EstymacjaGaussowska($A23,$A$52:$A$101,S$11)*EstymacjaGaussowska($B23,$B$52:$B$101,S$12)/$G23</f>
        <v>1.0452093701985769E-9</v>
      </c>
      <c r="J23" s="114" cm="1">
        <f t="array" ref="J23">T$7*EstymacjaGaussowska($A23,$A$102:$A$151,T$11)*EstymacjaGaussowska($B23,$B$102:$B$151,T$12)/$G23</f>
        <v>5.2374201953329171E-20</v>
      </c>
      <c r="K23" s="19" t="str">
        <f t="shared" si="1"/>
        <v>setosa</v>
      </c>
      <c r="L23" s="12" cm="1">
        <f t="array" ref="L23">R$7*EstymacjaGaussowska($C23,$C$2:$C$51,R$11)*EstymacjaGaussowska($D23,$D$2:$D$51,R$12)*EstymacjaGaussowska($A23,$A$2:$A$51,R$15)*EstymacjaGaussowska($B23,$B$2:$B$51,R$16)+S$7*EstymacjaGaussowska($C23,$C$52:$C$101,S$11)*EstymacjaGaussowska($D23,$D$52:$D$101,S$12)*EstymacjaGaussowska($A23,$A$52:$A$101,S$15)*EstymacjaGaussowska($B23,$B$52:$B$101,S$16)+T$7*EstymacjaGaussowska($C23,$C$102:$C$151,T$11)*EstymacjaGaussowska($D23,$D$102:$D$151,T$12)*EstymacjaGaussowska($A23,$A$102:$A$151,T$15)*EstymacjaGaussowska($B23,$B$102:$B$151,T$16)</f>
        <v>0.92732037375554899</v>
      </c>
      <c r="M23" s="8" cm="1">
        <f t="array" ref="M23">R$7*EstymacjaGaussowska($C23,$C$2:$C$51,R$11)*EstymacjaGaussowska($D23,$D$2:$D$51,R$12)*EstymacjaGaussowska($A23,$A$2:$A$51,R$15)*EstymacjaGaussowska($B23,$B$2:$B$51,R$16)/$L$2</f>
        <v>0.49372834657842751</v>
      </c>
      <c r="N23" s="8" cm="1">
        <f t="array" ref="N23">S$7*EstymacjaGaussowska($C23,$C$52:$C$101,S$11)*EstymacjaGaussowska($D23,$D$52:$D$101,S$12)*EstymacjaGaussowska($A23,$A$52:$A$101,S$15)*EstymacjaGaussowska($B23,$B$52:$B$101,S$16)/$L$2</f>
        <v>1.5667093023511911E-39</v>
      </c>
      <c r="O23" s="34" cm="1">
        <f t="array" ref="O23">T$7*EstymacjaGaussowska($C23,$C$102:$C$151,T$11)*EstymacjaGaussowska($D23,$D$102:$D$151,T$12)*EstymacjaGaussowska($A23,$A$102:$A$151,T$15)*EstymacjaGaussowska($B23,$B$102:$B$151,T$16)/$L$2</f>
        <v>2.8468557433250886E-77</v>
      </c>
    </row>
    <row r="24" spans="1:15" x14ac:dyDescent="0.25">
      <c r="A24" s="25">
        <v>-3.2159394156486112</v>
      </c>
      <c r="B24" s="8">
        <v>0.1334680695385255</v>
      </c>
      <c r="C24" s="8">
        <v>-0.29239675074524207</v>
      </c>
      <c r="D24" s="13">
        <v>4.4821250505689969E-3</v>
      </c>
      <c r="E24" s="25" t="s">
        <v>5</v>
      </c>
      <c r="F24" s="19" t="str">
        <f t="shared" si="0"/>
        <v>setosa</v>
      </c>
      <c r="G24" s="12" cm="1">
        <f t="array" ref="G24">R$7*EstymacjaGaussowska($A24,$A$2:$A$51,R$11)*EstymacjaGaussowska($B24,$B$2:$B$51,R$12)+S$7*EstymacjaGaussowska($A24,$C$52:$C$101,S$11)*EstymacjaGaussowska($B24,$D$52:$D$101,S$12)+T$7*EstymacjaGaussowska($A24,$C$102:$C$151,T$11)*EstymacjaGaussowska($B24,$D$102:$D$151,T$12)</f>
        <v>4.329238435890638E-2</v>
      </c>
      <c r="H24" s="8" cm="1">
        <f t="array" ref="H24">R$7*EstymacjaGaussowska($A24,$A$2:$A$51,R$11)*EstymacjaGaussowska($B24,$B$2:$B$51,R$12)/$G24</f>
        <v>0.99999999999693734</v>
      </c>
      <c r="I24" s="8" cm="1">
        <f t="array" ref="I24">S$7*EstymacjaGaussowska($A24,$A$52:$A$101,S$11)*EstymacjaGaussowska($B24,$B$52:$B$101,S$12)/$G24</f>
        <v>1.6090668534644471E-15</v>
      </c>
      <c r="J24" s="114" cm="1">
        <f t="array" ref="J24">T$7*EstymacjaGaussowska($A24,$A$102:$A$151,T$11)*EstymacjaGaussowska($B24,$B$102:$B$151,T$12)/$G24</f>
        <v>1.7990100837104396E-27</v>
      </c>
      <c r="K24" s="19" t="str">
        <f t="shared" si="1"/>
        <v>setosa</v>
      </c>
      <c r="L24" s="12" cm="1">
        <f t="array" ref="L24">R$7*EstymacjaGaussowska($C24,$C$2:$C$51,R$11)*EstymacjaGaussowska($D24,$D$2:$D$51,R$12)*EstymacjaGaussowska($A24,$A$2:$A$51,R$15)*EstymacjaGaussowska($B24,$B$2:$B$51,R$16)+S$7*EstymacjaGaussowska($C24,$C$52:$C$101,S$11)*EstymacjaGaussowska($D24,$D$52:$D$101,S$12)*EstymacjaGaussowska($A24,$A$52:$A$101,S$15)*EstymacjaGaussowska($B24,$B$52:$B$101,S$16)+T$7*EstymacjaGaussowska($C24,$C$102:$C$151,T$11)*EstymacjaGaussowska($D24,$D$102:$D$151,T$12)*EstymacjaGaussowska($A24,$A$102:$A$151,T$15)*EstymacjaGaussowska($B24,$B$102:$B$151,T$16)</f>
        <v>7.8812049510995866E-2</v>
      </c>
      <c r="M24" s="8" cm="1">
        <f t="array" ref="M24">R$7*EstymacjaGaussowska($C24,$C$2:$C$51,R$11)*EstymacjaGaussowska($D24,$D$2:$D$51,R$12)*EstymacjaGaussowska($A24,$A$2:$A$51,R$15)*EstymacjaGaussowska($B24,$B$2:$B$51,R$16)/$L$2</f>
        <v>4.1961488172564065E-2</v>
      </c>
      <c r="N24" s="8" cm="1">
        <f t="array" ref="N24">S$7*EstymacjaGaussowska($C24,$C$52:$C$101,S$11)*EstymacjaGaussowska($D24,$D$52:$D$101,S$12)*EstymacjaGaussowska($A24,$A$52:$A$101,S$15)*EstymacjaGaussowska($B24,$B$52:$B$101,S$16)/$L$2</f>
        <v>1.1922629884259386E-75</v>
      </c>
      <c r="O24" s="34" cm="1">
        <f t="array" ref="O24">T$7*EstymacjaGaussowska($C24,$C$102:$C$151,T$11)*EstymacjaGaussowska($D24,$D$102:$D$151,T$12)*EstymacjaGaussowska($A24,$A$102:$A$151,T$15)*EstymacjaGaussowska($B24,$B$102:$B$151,T$16)/$L$2</f>
        <v>1.7832705716960364E-113</v>
      </c>
    </row>
    <row r="25" spans="1:15" x14ac:dyDescent="0.25">
      <c r="A25" s="25">
        <v>-2.3027331822262069</v>
      </c>
      <c r="B25" s="8">
        <v>9.8708854814099412E-2</v>
      </c>
      <c r="C25" s="8">
        <v>-3.9123258742880418E-2</v>
      </c>
      <c r="D25" s="13">
        <v>0.14835258928536565</v>
      </c>
      <c r="E25" s="25" t="s">
        <v>5</v>
      </c>
      <c r="F25" s="19" t="str">
        <f t="shared" si="0"/>
        <v>setosa</v>
      </c>
      <c r="G25" s="12" cm="1">
        <f t="array" ref="G25">R$7*EstymacjaGaussowska($A25,$A$2:$A$51,R$11)*EstymacjaGaussowska($B25,$B$2:$B$51,R$12)+S$7*EstymacjaGaussowska($A25,$C$52:$C$101,S$11)*EstymacjaGaussowska($B25,$D$52:$D$101,S$12)+T$7*EstymacjaGaussowska($A25,$C$102:$C$151,T$11)*EstymacjaGaussowska($B25,$D$102:$D$151,T$12)</f>
        <v>0.15913871621693401</v>
      </c>
      <c r="H25" s="8" cm="1">
        <f t="array" ref="H25">R$7*EstymacjaGaussowska($A25,$A$2:$A$51,R$11)*EstymacjaGaussowska($B25,$B$2:$B$51,R$12)/$G25</f>
        <v>0.99999369516607728</v>
      </c>
      <c r="I25" s="8" cm="1">
        <f t="array" ref="I25">S$7*EstymacjaGaussowska($A25,$A$52:$A$101,S$11)*EstymacjaGaussowska($B25,$B$52:$B$101,S$12)/$G25</f>
        <v>3.0448715105736121E-7</v>
      </c>
      <c r="J25" s="114" cm="1">
        <f t="array" ref="J25">T$7*EstymacjaGaussowska($A25,$A$102:$A$151,T$11)*EstymacjaGaussowska($B25,$B$102:$B$151,T$12)/$G25</f>
        <v>6.2925823459886634E-17</v>
      </c>
      <c r="K25" s="19" t="str">
        <f t="shared" si="1"/>
        <v>setosa</v>
      </c>
      <c r="L25" s="12" cm="1">
        <f t="array" ref="L25">R$7*EstymacjaGaussowska($C25,$C$2:$C$51,R$11)*EstymacjaGaussowska($D25,$D$2:$D$51,R$12)*EstymacjaGaussowska($A25,$A$2:$A$51,R$15)*EstymacjaGaussowska($B25,$B$2:$B$51,R$16)+S$7*EstymacjaGaussowska($C25,$C$52:$C$101,S$11)*EstymacjaGaussowska($D25,$D$52:$D$101,S$12)*EstymacjaGaussowska($A25,$A$52:$A$101,S$15)*EstymacjaGaussowska($B25,$B$52:$B$101,S$16)+T$7*EstymacjaGaussowska($C25,$C$102:$C$151,T$11)*EstymacjaGaussowska($D25,$D$102:$D$151,T$12)*EstymacjaGaussowska($A25,$A$102:$A$151,T$15)*EstymacjaGaussowska($B25,$B$102:$B$151,T$16)</f>
        <v>0.42169974938387106</v>
      </c>
      <c r="M25" s="8" cm="1">
        <f t="array" ref="M25">R$7*EstymacjaGaussowska($C25,$C$2:$C$51,R$11)*EstymacjaGaussowska($D25,$D$2:$D$51,R$12)*EstymacjaGaussowska($A25,$A$2:$A$51,R$15)*EstymacjaGaussowska($B25,$B$2:$B$51,R$16)/$L$2</f>
        <v>0.22452339656102593</v>
      </c>
      <c r="N25" s="8" cm="1">
        <f t="array" ref="N25">S$7*EstymacjaGaussowska($C25,$C$52:$C$101,S$11)*EstymacjaGaussowska($D25,$D$52:$D$101,S$12)*EstymacjaGaussowska($A25,$A$52:$A$101,S$15)*EstymacjaGaussowska($B25,$B$52:$B$101,S$16)/$L$2</f>
        <v>1.440543286797887E-29</v>
      </c>
      <c r="O25" s="34" cm="1">
        <f t="array" ref="O25">T$7*EstymacjaGaussowska($C25,$C$102:$C$151,T$11)*EstymacjaGaussowska($D25,$D$102:$D$151,T$12)*EstymacjaGaussowska($A25,$A$102:$A$151,T$15)*EstymacjaGaussowska($B25,$B$102:$B$151,T$16)/$L$2</f>
        <v>4.5334150844891907E-66</v>
      </c>
    </row>
    <row r="26" spans="1:15" x14ac:dyDescent="0.25">
      <c r="A26" s="25">
        <v>-2.3557540491237727</v>
      </c>
      <c r="B26" s="8">
        <v>-3.7281859677383317E-2</v>
      </c>
      <c r="C26" s="8">
        <v>-0.12502108270287871</v>
      </c>
      <c r="D26" s="13">
        <v>-0.30033090393058015</v>
      </c>
      <c r="E26" s="25" t="s">
        <v>5</v>
      </c>
      <c r="F26" s="19" t="str">
        <f t="shared" si="0"/>
        <v>setosa</v>
      </c>
      <c r="G26" s="12" cm="1">
        <f t="array" ref="G26">R$7*EstymacjaGaussowska($A26,$A$2:$A$51,R$11)*EstymacjaGaussowska($B26,$B$2:$B$51,R$12)+S$7*EstymacjaGaussowska($A26,$C$52:$C$101,S$11)*EstymacjaGaussowska($B26,$D$52:$D$101,S$12)+T$7*EstymacjaGaussowska($A26,$C$102:$C$151,T$11)*EstymacjaGaussowska($B26,$D$102:$D$151,T$12)</f>
        <v>0.18213047436566879</v>
      </c>
      <c r="H26" s="8" cm="1">
        <f t="array" ref="H26">R$7*EstymacjaGaussowska($A26,$A$2:$A$51,R$11)*EstymacjaGaussowska($B26,$B$2:$B$51,R$12)/$G26</f>
        <v>0.99999732900770155</v>
      </c>
      <c r="I26" s="8" cm="1">
        <f t="array" ref="I26">S$7*EstymacjaGaussowska($A26,$A$52:$A$101,S$11)*EstymacjaGaussowska($B26,$B$52:$B$101,S$12)/$G26</f>
        <v>1.2456604846044117E-7</v>
      </c>
      <c r="J26" s="114" cm="1">
        <f t="array" ref="J26">T$7*EstymacjaGaussowska($A26,$A$102:$A$151,T$11)*EstymacjaGaussowska($B26,$B$102:$B$151,T$12)/$G26</f>
        <v>1.4261665044232117E-17</v>
      </c>
      <c r="K26" s="19" t="str">
        <f t="shared" si="1"/>
        <v>setosa</v>
      </c>
      <c r="L26" s="12" cm="1">
        <f t="array" ref="L26">R$7*EstymacjaGaussowska($C26,$C$2:$C$51,R$11)*EstymacjaGaussowska($D26,$D$2:$D$51,R$12)*EstymacjaGaussowska($A26,$A$2:$A$51,R$15)*EstymacjaGaussowska($B26,$B$2:$B$51,R$16)+S$7*EstymacjaGaussowska($C26,$C$52:$C$101,S$11)*EstymacjaGaussowska($D26,$D$52:$D$101,S$12)*EstymacjaGaussowska($A26,$A$52:$A$101,S$15)*EstymacjaGaussowska($B26,$B$52:$B$101,S$16)+T$7*EstymacjaGaussowska($C26,$C$102:$C$151,T$11)*EstymacjaGaussowska($D26,$D$102:$D$151,T$12)*EstymacjaGaussowska($A26,$A$102:$A$151,T$15)*EstymacjaGaussowska($B26,$B$102:$B$151,T$16)</f>
        <v>0.17518973050669059</v>
      </c>
      <c r="M26" s="8" cm="1">
        <f t="array" ref="M26">R$7*EstymacjaGaussowska($C26,$C$2:$C$51,R$11)*EstymacjaGaussowska($D26,$D$2:$D$51,R$12)*EstymacjaGaussowska($A26,$A$2:$A$51,R$15)*EstymacjaGaussowska($B26,$B$2:$B$51,R$16)/$L$2</f>
        <v>9.3275353835145985E-2</v>
      </c>
      <c r="N26" s="8" cm="1">
        <f t="array" ref="N26">S$7*EstymacjaGaussowska($C26,$C$52:$C$101,S$11)*EstymacjaGaussowska($D26,$D$52:$D$101,S$12)*EstymacjaGaussowska($A26,$A$52:$A$101,S$15)*EstymacjaGaussowska($B26,$B$52:$B$101,S$16)/$L$2</f>
        <v>1.2679409087591624E-31</v>
      </c>
      <c r="O26" s="34" cm="1">
        <f t="array" ref="O26">T$7*EstymacjaGaussowska($C26,$C$102:$C$151,T$11)*EstymacjaGaussowska($D26,$D$102:$D$151,T$12)*EstymacjaGaussowska($A26,$A$102:$A$151,T$15)*EstymacjaGaussowska($B26,$B$102:$B$151,T$16)/$L$2</f>
        <v>9.6732926351954704E-69</v>
      </c>
    </row>
    <row r="27" spans="1:15" x14ac:dyDescent="0.25">
      <c r="A27" s="25">
        <v>-2.5066689069258219</v>
      </c>
      <c r="B27" s="8">
        <v>-0.14601688049526793</v>
      </c>
      <c r="C27" s="8">
        <v>0.25342004234465787</v>
      </c>
      <c r="D27" s="13">
        <v>3.4607472215057333E-2</v>
      </c>
      <c r="E27" s="25" t="s">
        <v>5</v>
      </c>
      <c r="F27" s="19" t="str">
        <f t="shared" si="0"/>
        <v>setosa</v>
      </c>
      <c r="G27" s="12" cm="1">
        <f t="array" ref="G27">R$7*EstymacjaGaussowska($A27,$A$2:$A$51,R$11)*EstymacjaGaussowska($B27,$B$2:$B$51,R$12)+S$7*EstymacjaGaussowska($A27,$C$52:$C$101,S$11)*EstymacjaGaussowska($B27,$D$52:$D$101,S$12)+T$7*EstymacjaGaussowska($A27,$C$102:$C$151,T$11)*EstymacjaGaussowska($B27,$D$102:$D$151,T$12)</f>
        <v>0.31528835407438088</v>
      </c>
      <c r="H27" s="8" cm="1">
        <f t="array" ref="H27">R$7*EstymacjaGaussowska($A27,$A$2:$A$51,R$11)*EstymacjaGaussowska($B27,$B$2:$B$51,R$12)/$G27</f>
        <v>0.9999998507939839</v>
      </c>
      <c r="I27" s="8" cm="1">
        <f t="array" ref="I27">S$7*EstymacjaGaussowska($A27,$A$52:$A$101,S$11)*EstymacjaGaussowska($B27,$B$52:$B$101,S$12)/$G27</f>
        <v>5.1547855813401934E-9</v>
      </c>
      <c r="J27" s="114" cm="1">
        <f t="array" ref="J27">T$7*EstymacjaGaussowska($A27,$A$102:$A$151,T$11)*EstymacjaGaussowska($B27,$B$102:$B$151,T$12)/$G27</f>
        <v>1.6911481492378442E-19</v>
      </c>
      <c r="K27" s="19" t="str">
        <f t="shared" si="1"/>
        <v>setosa</v>
      </c>
      <c r="L27" s="12" cm="1">
        <f t="array" ref="L27">R$7*EstymacjaGaussowska($C27,$C$2:$C$51,R$11)*EstymacjaGaussowska($D27,$D$2:$D$51,R$12)*EstymacjaGaussowska($A27,$A$2:$A$51,R$15)*EstymacjaGaussowska($B27,$B$2:$B$51,R$16)+S$7*EstymacjaGaussowska($C27,$C$52:$C$101,S$11)*EstymacjaGaussowska($D27,$D$52:$D$101,S$12)*EstymacjaGaussowska($A27,$A$52:$A$101,S$15)*EstymacjaGaussowska($B27,$B$52:$B$101,S$16)+T$7*EstymacjaGaussowska($C27,$C$102:$C$151,T$11)*EstymacjaGaussowska($D27,$D$102:$D$151,T$12)*EstymacjaGaussowska($A27,$A$102:$A$151,T$15)*EstymacjaGaussowska($B27,$B$102:$B$151,T$16)</f>
        <v>0.65669122656316592</v>
      </c>
      <c r="M27" s="8" cm="1">
        <f t="array" ref="M27">R$7*EstymacjaGaussowska($C27,$C$2:$C$51,R$11)*EstymacjaGaussowska($D27,$D$2:$D$51,R$12)*EstymacjaGaussowska($A27,$A$2:$A$51,R$15)*EstymacjaGaussowska($B27,$B$2:$B$51,R$16)/$L$2</f>
        <v>0.3496386822501335</v>
      </c>
      <c r="N27" s="8" cm="1">
        <f t="array" ref="N27">S$7*EstymacjaGaussowska($C27,$C$52:$C$101,S$11)*EstymacjaGaussowska($D27,$D$52:$D$101,S$12)*EstymacjaGaussowska($A27,$A$52:$A$101,S$15)*EstymacjaGaussowska($B27,$B$52:$B$101,S$16)/$L$2</f>
        <v>1.9895824401460338E-37</v>
      </c>
      <c r="O27" s="34" cm="1">
        <f t="array" ref="O27">T$7*EstymacjaGaussowska($C27,$C$102:$C$151,T$11)*EstymacjaGaussowska($D27,$D$102:$D$151,T$12)*EstymacjaGaussowska($A27,$A$102:$A$151,T$15)*EstymacjaGaussowska($B27,$B$102:$B$151,T$16)/$L$2</f>
        <v>1.4280044033168693E-75</v>
      </c>
    </row>
    <row r="28" spans="1:15" x14ac:dyDescent="0.25">
      <c r="A28" s="25">
        <v>-2.4688200731213397</v>
      </c>
      <c r="B28" s="8">
        <v>0.13095148943525006</v>
      </c>
      <c r="C28" s="8">
        <v>-9.4910576099391575E-2</v>
      </c>
      <c r="D28" s="13">
        <v>5.7449715801414114E-2</v>
      </c>
      <c r="E28" s="25" t="s">
        <v>5</v>
      </c>
      <c r="F28" s="19" t="str">
        <f t="shared" si="0"/>
        <v>setosa</v>
      </c>
      <c r="G28" s="12" cm="1">
        <f t="array" ref="G28">R$7*EstymacjaGaussowska($A28,$A$2:$A$51,R$11)*EstymacjaGaussowska($B28,$B$2:$B$51,R$12)+S$7*EstymacjaGaussowska($A28,$C$52:$C$101,S$11)*EstymacjaGaussowska($B28,$D$52:$D$101,S$12)+T$7*EstymacjaGaussowska($A28,$C$102:$C$151,T$11)*EstymacjaGaussowska($B28,$D$102:$D$151,T$12)</f>
        <v>0.3041928254152666</v>
      </c>
      <c r="H28" s="8" cm="1">
        <f t="array" ref="H28">R$7*EstymacjaGaussowska($A28,$A$2:$A$51,R$11)*EstymacjaGaussowska($B28,$B$2:$B$51,R$12)/$G28</f>
        <v>0.99999969651495002</v>
      </c>
      <c r="I28" s="8" cm="1">
        <f t="array" ref="I28">S$7*EstymacjaGaussowska($A28,$A$52:$A$101,S$11)*EstymacjaGaussowska($B28,$B$52:$B$101,S$12)/$G28</f>
        <v>7.9749744549181442E-9</v>
      </c>
      <c r="J28" s="114" cm="1">
        <f t="array" ref="J28">T$7*EstymacjaGaussowska($A28,$A$102:$A$151,T$11)*EstymacjaGaussowska($B28,$B$102:$B$151,T$12)/$G28</f>
        <v>5.3624038822355943E-19</v>
      </c>
      <c r="K28" s="19" t="str">
        <f t="shared" si="1"/>
        <v>setosa</v>
      </c>
      <c r="L28" s="12" cm="1">
        <f t="array" ref="L28">R$7*EstymacjaGaussowska($C28,$C$2:$C$51,R$11)*EstymacjaGaussowska($D28,$D$2:$D$51,R$12)*EstymacjaGaussowska($A28,$A$2:$A$51,R$15)*EstymacjaGaussowska($B28,$B$2:$B$51,R$16)+S$7*EstymacjaGaussowska($C28,$C$52:$C$101,S$11)*EstymacjaGaussowska($D28,$D$52:$D$101,S$12)*EstymacjaGaussowska($A28,$A$52:$A$101,S$15)*EstymacjaGaussowska($B28,$B$52:$B$101,S$16)+T$7*EstymacjaGaussowska($C28,$C$102:$C$151,T$11)*EstymacjaGaussowska($D28,$D$102:$D$151,T$12)*EstymacjaGaussowska($A28,$A$102:$A$151,T$15)*EstymacjaGaussowska($B28,$B$102:$B$151,T$16)</f>
        <v>0.84935145813811008</v>
      </c>
      <c r="M28" s="8" cm="1">
        <f t="array" ref="M28">R$7*EstymacjaGaussowska($C28,$C$2:$C$51,R$11)*EstymacjaGaussowska($D28,$D$2:$D$51,R$12)*EstymacjaGaussowska($A28,$A$2:$A$51,R$15)*EstymacjaGaussowska($B28,$B$2:$B$51,R$16)/$L$2</f>
        <v>0.45221576378418943</v>
      </c>
      <c r="N28" s="8" cm="1">
        <f t="array" ref="N28">S$7*EstymacjaGaussowska($C28,$C$52:$C$101,S$11)*EstymacjaGaussowska($D28,$D$52:$D$101,S$12)*EstymacjaGaussowska($A28,$A$52:$A$101,S$15)*EstymacjaGaussowska($B28,$B$52:$B$101,S$16)/$L$2</f>
        <v>3.7500624489779277E-36</v>
      </c>
      <c r="O28" s="34" cm="1">
        <f t="array" ref="O28">T$7*EstymacjaGaussowska($C28,$C$102:$C$151,T$11)*EstymacjaGaussowska($D28,$D$102:$D$151,T$12)*EstymacjaGaussowska($A28,$A$102:$A$151,T$15)*EstymacjaGaussowska($B28,$B$102:$B$151,T$16)/$L$2</f>
        <v>1.1815273367277954E-73</v>
      </c>
    </row>
    <row r="29" spans="1:15" x14ac:dyDescent="0.25">
      <c r="A29" s="25">
        <v>-2.5623199061960156</v>
      </c>
      <c r="B29" s="8">
        <v>0.36771885743419974</v>
      </c>
      <c r="C29" s="8">
        <v>7.8494205137924433E-2</v>
      </c>
      <c r="D29" s="13">
        <v>-1.4172742337749678E-2</v>
      </c>
      <c r="E29" s="25" t="s">
        <v>5</v>
      </c>
      <c r="F29" s="19" t="str">
        <f t="shared" si="0"/>
        <v>setosa</v>
      </c>
      <c r="G29" s="12" cm="1">
        <f t="array" ref="G29">R$7*EstymacjaGaussowska($A29,$A$2:$A$51,R$11)*EstymacjaGaussowska($B29,$B$2:$B$51,R$12)+S$7*EstymacjaGaussowska($A29,$C$52:$C$101,S$11)*EstymacjaGaussowska($B29,$D$52:$D$101,S$12)+T$7*EstymacjaGaussowska($A29,$C$102:$C$151,T$11)*EstymacjaGaussowska($B29,$D$102:$D$151,T$12)</f>
        <v>0.41148159002434676</v>
      </c>
      <c r="H29" s="8" cm="1">
        <f t="array" ref="H29">R$7*EstymacjaGaussowska($A29,$A$2:$A$51,R$11)*EstymacjaGaussowska($B29,$B$2:$B$51,R$12)/$G29</f>
        <v>0.99999996959105075</v>
      </c>
      <c r="I29" s="8" cm="1">
        <f t="array" ref="I29">S$7*EstymacjaGaussowska($A29,$A$52:$A$101,S$11)*EstymacjaGaussowska($B29,$B$52:$B$101,S$12)/$G29</f>
        <v>7.3424466883103607E-10</v>
      </c>
      <c r="J29" s="114" cm="1">
        <f t="array" ref="J29">T$7*EstymacjaGaussowska($A29,$A$102:$A$151,T$11)*EstymacjaGaussowska($B29,$B$102:$B$151,T$12)/$G29</f>
        <v>3.1341957567183547E-20</v>
      </c>
      <c r="K29" s="19" t="str">
        <f t="shared" si="1"/>
        <v>setosa</v>
      </c>
      <c r="L29" s="12" cm="1">
        <f t="array" ref="L29">R$7*EstymacjaGaussowska($C29,$C$2:$C$51,R$11)*EstymacjaGaussowska($D29,$D$2:$D$51,R$12)*EstymacjaGaussowska($A29,$A$2:$A$51,R$15)*EstymacjaGaussowska($B29,$B$2:$B$51,R$16)+S$7*EstymacjaGaussowska($C29,$C$52:$C$101,S$11)*EstymacjaGaussowska($D29,$D$52:$D$101,S$12)*EstymacjaGaussowska($A29,$A$52:$A$101,S$15)*EstymacjaGaussowska($B29,$B$52:$B$101,S$16)+T$7*EstymacjaGaussowska($C29,$C$102:$C$151,T$11)*EstymacjaGaussowska($D29,$D$102:$D$151,T$12)*EstymacjaGaussowska($A29,$A$102:$A$151,T$15)*EstymacjaGaussowska($B29,$B$102:$B$151,T$16)</f>
        <v>1.5530837668459716</v>
      </c>
      <c r="M29" s="8" cm="1">
        <f t="array" ref="M29">R$7*EstymacjaGaussowska($C29,$C$2:$C$51,R$11)*EstymacjaGaussowska($D29,$D$2:$D$51,R$12)*EstymacjaGaussowska($A29,$A$2:$A$51,R$15)*EstymacjaGaussowska($B29,$B$2:$B$51,R$16)/$L$2</f>
        <v>0.82690028387621106</v>
      </c>
      <c r="N29" s="8" cm="1">
        <f t="array" ref="N29">S$7*EstymacjaGaussowska($C29,$C$52:$C$101,S$11)*EstymacjaGaussowska($D29,$D$52:$D$101,S$12)*EstymacjaGaussowska($A29,$A$52:$A$101,S$15)*EstymacjaGaussowska($B29,$B$52:$B$101,S$16)/$L$2</f>
        <v>4.4407492893921862E-40</v>
      </c>
      <c r="O29" s="34" cm="1">
        <f t="array" ref="O29">T$7*EstymacjaGaussowska($C29,$C$102:$C$151,T$11)*EstymacjaGaussowska($D29,$D$102:$D$151,T$12)*EstymacjaGaussowska($A29,$A$102:$A$151,T$15)*EstymacjaGaussowska($B29,$B$102:$B$151,T$16)/$L$2</f>
        <v>3.9058301817734491E-78</v>
      </c>
    </row>
    <row r="30" spans="1:15" x14ac:dyDescent="0.25">
      <c r="A30" s="25">
        <v>-2.6395347153845425</v>
      </c>
      <c r="B30" s="8">
        <v>0.31203998023528279</v>
      </c>
      <c r="C30" s="8">
        <v>0.14590889573002952</v>
      </c>
      <c r="D30" s="13">
        <v>6.57834667283268E-2</v>
      </c>
      <c r="E30" s="25" t="s">
        <v>5</v>
      </c>
      <c r="F30" s="19" t="str">
        <f t="shared" si="0"/>
        <v>setosa</v>
      </c>
      <c r="G30" s="12" cm="1">
        <f t="array" ref="G30">R$7*EstymacjaGaussowska($A30,$A$2:$A$51,R$11)*EstymacjaGaussowska($B30,$B$2:$B$51,R$12)+S$7*EstymacjaGaussowska($A30,$C$52:$C$101,S$11)*EstymacjaGaussowska($B30,$D$52:$D$101,S$12)+T$7*EstymacjaGaussowska($A30,$C$102:$C$151,T$11)*EstymacjaGaussowska($B30,$D$102:$D$151,T$12)</f>
        <v>0.47652380245206777</v>
      </c>
      <c r="H30" s="8" cm="1">
        <f t="array" ref="H30">R$7*EstymacjaGaussowska($A30,$A$2:$A$51,R$11)*EstymacjaGaussowska($B30,$B$2:$B$51,R$12)/$G30</f>
        <v>0.99999999075341572</v>
      </c>
      <c r="I30" s="8" cm="1">
        <f t="array" ref="I30">S$7*EstymacjaGaussowska($A30,$A$52:$A$101,S$11)*EstymacjaGaussowska($B30,$B$52:$B$101,S$12)/$G30</f>
        <v>1.4381145466746431E-10</v>
      </c>
      <c r="J30" s="114" cm="1">
        <f t="array" ref="J30">T$7*EstymacjaGaussowska($A30,$A$102:$A$151,T$11)*EstymacjaGaussowska($B30,$B$102:$B$151,T$12)/$G30</f>
        <v>3.6612453504860108E-21</v>
      </c>
      <c r="K30" s="19" t="str">
        <f t="shared" si="1"/>
        <v>setosa</v>
      </c>
      <c r="L30" s="12" cm="1">
        <f t="array" ref="L30">R$7*EstymacjaGaussowska($C30,$C$2:$C$51,R$11)*EstymacjaGaussowska($D30,$D$2:$D$51,R$12)*EstymacjaGaussowska($A30,$A$2:$A$51,R$15)*EstymacjaGaussowska($B30,$B$2:$B$51,R$16)+S$7*EstymacjaGaussowska($C30,$C$52:$C$101,S$11)*EstymacjaGaussowska($D30,$D$52:$D$101,S$12)*EstymacjaGaussowska($A30,$A$52:$A$101,S$15)*EstymacjaGaussowska($B30,$B$52:$B$101,S$16)+T$7*EstymacjaGaussowska($C30,$C$102:$C$151,T$11)*EstymacjaGaussowska($D30,$D$102:$D$151,T$12)*EstymacjaGaussowska($A30,$A$102:$A$151,T$15)*EstymacjaGaussowska($B30,$B$102:$B$151,T$16)</f>
        <v>1.5904300068803403</v>
      </c>
      <c r="M30" s="8" cm="1">
        <f t="array" ref="M30">R$7*EstymacjaGaussowska($C30,$C$2:$C$51,R$11)*EstymacjaGaussowska($D30,$D$2:$D$51,R$12)*EstymacjaGaussowska($A30,$A$2:$A$51,R$15)*EstymacjaGaussowska($B30,$B$2:$B$51,R$16)/$L$2</f>
        <v>0.8467843475341833</v>
      </c>
      <c r="N30" s="8" cm="1">
        <f t="array" ref="N30">S$7*EstymacjaGaussowska($C30,$C$52:$C$101,S$11)*EstymacjaGaussowska($D30,$D$52:$D$101,S$12)*EstymacjaGaussowska($A30,$A$52:$A$101,S$15)*EstymacjaGaussowska($B30,$B$52:$B$101,S$16)/$L$2</f>
        <v>1.6619209576349695E-43</v>
      </c>
      <c r="O30" s="34" cm="1">
        <f t="array" ref="O30">T$7*EstymacjaGaussowska($C30,$C$102:$C$151,T$11)*EstymacjaGaussowska($D30,$D$102:$D$151,T$12)*EstymacjaGaussowska($A30,$A$102:$A$151,T$15)*EstymacjaGaussowska($B30,$B$102:$B$151,T$16)/$L$2</f>
        <v>5.8544669803799136E-82</v>
      </c>
    </row>
    <row r="31" spans="1:15" x14ac:dyDescent="0.25">
      <c r="A31" s="25">
        <v>-2.6319893872743458</v>
      </c>
      <c r="B31" s="8">
        <v>-0.19696122492431509</v>
      </c>
      <c r="C31" s="8">
        <v>-4.0771079067179028E-2</v>
      </c>
      <c r="D31" s="13">
        <v>-0.12398330638936139</v>
      </c>
      <c r="E31" s="25" t="s">
        <v>5</v>
      </c>
      <c r="F31" s="19" t="str">
        <f t="shared" si="0"/>
        <v>setosa</v>
      </c>
      <c r="G31" s="12" cm="1">
        <f t="array" ref="G31">R$7*EstymacjaGaussowska($A31,$A$2:$A$51,R$11)*EstymacjaGaussowska($B31,$B$2:$B$51,R$12)+S$7*EstymacjaGaussowska($A31,$C$52:$C$101,S$11)*EstymacjaGaussowska($B31,$D$52:$D$101,S$12)+T$7*EstymacjaGaussowska($A31,$C$102:$C$151,T$11)*EstymacjaGaussowska($B31,$D$102:$D$151,T$12)</f>
        <v>0.40556172264990836</v>
      </c>
      <c r="H31" s="8" cm="1">
        <f t="array" ref="H31">R$7*EstymacjaGaussowska($A31,$A$2:$A$51,R$11)*EstymacjaGaussowska($B31,$B$2:$B$51,R$12)/$G31</f>
        <v>0.99999998545405866</v>
      </c>
      <c r="I31" s="8" cm="1">
        <f t="array" ref="I31">S$7*EstymacjaGaussowska($A31,$A$52:$A$101,S$11)*EstymacjaGaussowska($B31,$B$52:$B$101,S$12)/$G31</f>
        <v>3.4491821574913358E-10</v>
      </c>
      <c r="J31" s="114" cm="1">
        <f t="array" ref="J31">T$7*EstymacjaGaussowska($A31,$A$102:$A$151,T$11)*EstymacjaGaussowska($B31,$B$102:$B$151,T$12)/$G31</f>
        <v>4.5760859485613411E-21</v>
      </c>
      <c r="K31" s="19" t="str">
        <f t="shared" si="1"/>
        <v>setosa</v>
      </c>
      <c r="L31" s="12" cm="1">
        <f t="array" ref="L31">R$7*EstymacjaGaussowska($C31,$C$2:$C$51,R$11)*EstymacjaGaussowska($D31,$D$2:$D$51,R$12)*EstymacjaGaussowska($A31,$A$2:$A$51,R$15)*EstymacjaGaussowska($B31,$B$2:$B$51,R$16)+S$7*EstymacjaGaussowska($C31,$C$52:$C$101,S$11)*EstymacjaGaussowska($D31,$D$52:$D$101,S$12)*EstymacjaGaussowska($A31,$A$52:$A$101,S$15)*EstymacjaGaussowska($B31,$B$52:$B$101,S$16)+T$7*EstymacjaGaussowska($C31,$C$102:$C$151,T$11)*EstymacjaGaussowska($D31,$D$102:$D$151,T$12)*EstymacjaGaussowska($A31,$A$102:$A$151,T$15)*EstymacjaGaussowska($B31,$B$102:$B$151,T$16)</f>
        <v>1.9501907502793305</v>
      </c>
      <c r="M31" s="8" cm="1">
        <f t="array" ref="M31">R$7*EstymacjaGaussowska($C31,$C$2:$C$51,R$11)*EstymacjaGaussowska($D31,$D$2:$D$51,R$12)*EstymacjaGaussowska($A31,$A$2:$A$51,R$15)*EstymacjaGaussowska($B31,$B$2:$B$51,R$16)/$L$2</f>
        <v>1.0383298824207412</v>
      </c>
      <c r="N31" s="8" cm="1">
        <f t="array" ref="N31">S$7*EstymacjaGaussowska($C31,$C$52:$C$101,S$11)*EstymacjaGaussowska($D31,$D$52:$D$101,S$12)*EstymacjaGaussowska($A31,$A$52:$A$101,S$15)*EstymacjaGaussowska($B31,$B$52:$B$101,S$16)/$L$2</f>
        <v>3.7609952288265717E-43</v>
      </c>
      <c r="O31" s="34" cm="1">
        <f t="array" ref="O31">T$7*EstymacjaGaussowska($C31,$C$102:$C$151,T$11)*EstymacjaGaussowska($D31,$D$102:$D$151,T$12)*EstymacjaGaussowska($A31,$A$102:$A$151,T$15)*EstymacjaGaussowska($B31,$B$102:$B$151,T$16)/$L$2</f>
        <v>1.2624485169429677E-81</v>
      </c>
    </row>
    <row r="32" spans="1:15" x14ac:dyDescent="0.25">
      <c r="A32" s="25">
        <v>-2.5873984766893523</v>
      </c>
      <c r="B32" s="8">
        <v>-0.20431849127413379</v>
      </c>
      <c r="C32" s="8">
        <v>7.7222989073436055E-2</v>
      </c>
      <c r="D32" s="13">
        <v>-6.0462276732350828E-2</v>
      </c>
      <c r="E32" s="25" t="s">
        <v>5</v>
      </c>
      <c r="F32" s="19" t="str">
        <f t="shared" si="0"/>
        <v>setosa</v>
      </c>
      <c r="G32" s="12" cm="1">
        <f t="array" ref="G32">R$7*EstymacjaGaussowska($A32,$A$2:$A$51,R$11)*EstymacjaGaussowska($B32,$B$2:$B$51,R$12)+S$7*EstymacjaGaussowska($A32,$C$52:$C$101,S$11)*EstymacjaGaussowska($B32,$D$52:$D$101,S$12)+T$7*EstymacjaGaussowska($A32,$C$102:$C$151,T$11)*EstymacjaGaussowska($B32,$D$102:$D$151,T$12)</f>
        <v>0.38286287364416538</v>
      </c>
      <c r="H32" s="8" cm="1">
        <f t="array" ref="H32">R$7*EstymacjaGaussowska($A32,$A$2:$A$51,R$11)*EstymacjaGaussowska($B32,$B$2:$B$51,R$12)/$G32</f>
        <v>0.99999996903939858</v>
      </c>
      <c r="I32" s="8" cm="1">
        <f t="array" ref="I32">S$7*EstymacjaGaussowska($A32,$A$52:$A$101,S$11)*EstymacjaGaussowska($B32,$B$52:$B$101,S$12)/$G32</f>
        <v>9.171056632791936E-10</v>
      </c>
      <c r="J32" s="114" cm="1">
        <f t="array" ref="J32">T$7*EstymacjaGaussowska($A32,$A$102:$A$151,T$11)*EstymacjaGaussowska($B32,$B$102:$B$151,T$12)/$G32</f>
        <v>1.5844980439839872E-20</v>
      </c>
      <c r="K32" s="19" t="str">
        <f t="shared" si="1"/>
        <v>setosa</v>
      </c>
      <c r="L32" s="12" cm="1">
        <f t="array" ref="L32">R$7*EstymacjaGaussowska($C32,$C$2:$C$51,R$11)*EstymacjaGaussowska($D32,$D$2:$D$51,R$12)*EstymacjaGaussowska($A32,$A$2:$A$51,R$15)*EstymacjaGaussowska($B32,$B$2:$B$51,R$16)+S$7*EstymacjaGaussowska($C32,$C$52:$C$101,S$11)*EstymacjaGaussowska($D32,$D$52:$D$101,S$12)*EstymacjaGaussowska($A32,$A$52:$A$101,S$15)*EstymacjaGaussowska($B32,$B$52:$B$101,S$16)+T$7*EstymacjaGaussowska($C32,$C$102:$C$151,T$11)*EstymacjaGaussowska($D32,$D$102:$D$151,T$12)*EstymacjaGaussowska($A32,$A$102:$A$151,T$15)*EstymacjaGaussowska($B32,$B$102:$B$151,T$16)</f>
        <v>1.7846564377987322</v>
      </c>
      <c r="M32" s="8" cm="1">
        <f t="array" ref="M32">R$7*EstymacjaGaussowska($C32,$C$2:$C$51,R$11)*EstymacjaGaussowska($D32,$D$2:$D$51,R$12)*EstymacjaGaussowska($A32,$A$2:$A$51,R$15)*EstymacjaGaussowska($B32,$B$2:$B$51,R$16)/$L$2</f>
        <v>0.95019531241011057</v>
      </c>
      <c r="N32" s="8" cm="1">
        <f t="array" ref="N32">S$7*EstymacjaGaussowska($C32,$C$52:$C$101,S$11)*EstymacjaGaussowska($D32,$D$52:$D$101,S$12)*EstymacjaGaussowska($A32,$A$52:$A$101,S$15)*EstymacjaGaussowska($B32,$B$52:$B$101,S$16)/$L$2</f>
        <v>5.273847872930978E-41</v>
      </c>
      <c r="O32" s="34" cm="1">
        <f t="array" ref="O32">T$7*EstymacjaGaussowska($C32,$C$102:$C$151,T$11)*EstymacjaGaussowska($D32,$D$102:$D$151,T$12)*EstymacjaGaussowska($A32,$A$102:$A$151,T$15)*EstymacjaGaussowska($B32,$B$102:$B$151,T$16)/$L$2</f>
        <v>2.0541614787645589E-79</v>
      </c>
    </row>
    <row r="33" spans="1:15" x14ac:dyDescent="0.25">
      <c r="A33" s="25">
        <v>-2.4099324970021754</v>
      </c>
      <c r="B33" s="8">
        <v>0.41092426422957307</v>
      </c>
      <c r="C33" s="8">
        <v>0.14552497200513131</v>
      </c>
      <c r="D33" s="13">
        <v>0.23162849166246757</v>
      </c>
      <c r="E33" s="25" t="s">
        <v>5</v>
      </c>
      <c r="F33" s="19" t="str">
        <f t="shared" si="0"/>
        <v>setosa</v>
      </c>
      <c r="G33" s="12" cm="1">
        <f t="array" ref="G33">R$7*EstymacjaGaussowska($A33,$A$2:$A$51,R$11)*EstymacjaGaussowska($B33,$B$2:$B$51,R$12)+S$7*EstymacjaGaussowska($A33,$C$52:$C$101,S$11)*EstymacjaGaussowska($B33,$D$52:$D$101,S$12)+T$7*EstymacjaGaussowska($A33,$C$102:$C$151,T$11)*EstymacjaGaussowska($B33,$D$102:$D$151,T$12)</f>
        <v>0.21083354243021349</v>
      </c>
      <c r="H33" s="8" cm="1">
        <f t="array" ref="H33">R$7*EstymacjaGaussowska($A33,$A$2:$A$51,R$11)*EstymacjaGaussowska($B33,$B$2:$B$51,R$12)/$G33</f>
        <v>0.99999950652104119</v>
      </c>
      <c r="I33" s="8" cm="1">
        <f t="array" ref="I33">S$7*EstymacjaGaussowska($A33,$A$52:$A$101,S$11)*EstymacjaGaussowska($B33,$B$52:$B$101,S$12)/$G33</f>
        <v>2.3841257961224639E-8</v>
      </c>
      <c r="J33" s="114" cm="1">
        <f t="array" ref="J33">T$7*EstymacjaGaussowska($A33,$A$102:$A$151,T$11)*EstymacjaGaussowska($B33,$B$102:$B$151,T$12)/$G33</f>
        <v>2.8799466983282929E-18</v>
      </c>
      <c r="K33" s="19" t="str">
        <f t="shared" si="1"/>
        <v>setosa</v>
      </c>
      <c r="L33" s="12" cm="1">
        <f t="array" ref="L33">R$7*EstymacjaGaussowska($C33,$C$2:$C$51,R$11)*EstymacjaGaussowska($D33,$D$2:$D$51,R$12)*EstymacjaGaussowska($A33,$A$2:$A$51,R$15)*EstymacjaGaussowska($B33,$B$2:$B$51,R$16)+S$7*EstymacjaGaussowska($C33,$C$52:$C$101,S$11)*EstymacjaGaussowska($D33,$D$52:$D$101,S$12)*EstymacjaGaussowska($A33,$A$52:$A$101,S$15)*EstymacjaGaussowska($B33,$B$52:$B$101,S$16)+T$7*EstymacjaGaussowska($C33,$C$102:$C$151,T$11)*EstymacjaGaussowska($D33,$D$102:$D$151,T$12)*EstymacjaGaussowska($A33,$A$102:$A$151,T$15)*EstymacjaGaussowska($B33,$B$102:$B$151,T$16)</f>
        <v>0.35209854685133729</v>
      </c>
      <c r="M33" s="8" cm="1">
        <f t="array" ref="M33">R$7*EstymacjaGaussowska($C33,$C$2:$C$51,R$11)*EstymacjaGaussowska($D33,$D$2:$D$51,R$12)*EstymacjaGaussowska($A33,$A$2:$A$51,R$15)*EstymacjaGaussowska($B33,$B$2:$B$51,R$16)/$L$2</f>
        <v>0.18746599157046454</v>
      </c>
      <c r="N33" s="8" cm="1">
        <f t="array" ref="N33">S$7*EstymacjaGaussowska($C33,$C$52:$C$101,S$11)*EstymacjaGaussowska($D33,$D$52:$D$101,S$12)*EstymacjaGaussowska($A33,$A$52:$A$101,S$15)*EstymacjaGaussowska($B33,$B$52:$B$101,S$16)/$L$2</f>
        <v>7.599287084788852E-34</v>
      </c>
      <c r="O33" s="34" cm="1">
        <f t="array" ref="O33">T$7*EstymacjaGaussowska($C33,$C$102:$C$151,T$11)*EstymacjaGaussowska($D33,$D$102:$D$151,T$12)*EstymacjaGaussowska($A33,$A$102:$A$151,T$15)*EstymacjaGaussowska($B33,$B$102:$B$151,T$16)/$L$2</f>
        <v>4.7901173832918957E-71</v>
      </c>
    </row>
    <row r="34" spans="1:15" x14ac:dyDescent="0.25">
      <c r="A34" s="25">
        <v>-2.648862334349912</v>
      </c>
      <c r="B34" s="8">
        <v>0.81336382029696142</v>
      </c>
      <c r="C34" s="8">
        <v>-0.22566914972011953</v>
      </c>
      <c r="D34" s="13">
        <v>-0.28137234706383274</v>
      </c>
      <c r="E34" s="25" t="s">
        <v>5</v>
      </c>
      <c r="F34" s="19" t="str">
        <f t="shared" si="0"/>
        <v>setosa</v>
      </c>
      <c r="G34" s="12" cm="1">
        <f t="array" ref="G34">R$7*EstymacjaGaussowska($A34,$A$2:$A$51,R$11)*EstymacjaGaussowska($B34,$B$2:$B$51,R$12)+S$7*EstymacjaGaussowska($A34,$C$52:$C$101,S$11)*EstymacjaGaussowska($B34,$D$52:$D$101,S$12)+T$7*EstymacjaGaussowska($A34,$C$102:$C$151,T$11)*EstymacjaGaussowska($B34,$D$102:$D$151,T$12)</f>
        <v>0.2022003675240765</v>
      </c>
      <c r="H34" s="8" cm="1">
        <f t="array" ref="H34">R$7*EstymacjaGaussowska($A34,$A$2:$A$51,R$11)*EstymacjaGaussowska($B34,$B$2:$B$51,R$12)/$G34</f>
        <v>0.99999999896004343</v>
      </c>
      <c r="I34" s="8" cm="1">
        <f t="array" ref="I34">S$7*EstymacjaGaussowska($A34,$A$52:$A$101,S$11)*EstymacjaGaussowska($B34,$B$52:$B$101,S$12)/$G34</f>
        <v>4.2580180405216334E-11</v>
      </c>
      <c r="J34" s="114" cm="1">
        <f t="array" ref="J34">T$7*EstymacjaGaussowska($A34,$A$102:$A$151,T$11)*EstymacjaGaussowska($B34,$B$102:$B$151,T$12)/$G34</f>
        <v>1.6734883498822017E-21</v>
      </c>
      <c r="K34" s="19" t="str">
        <f t="shared" si="1"/>
        <v>setosa</v>
      </c>
      <c r="L34" s="12" cm="1">
        <f t="array" ref="L34">R$7*EstymacjaGaussowska($C34,$C$2:$C$51,R$11)*EstymacjaGaussowska($D34,$D$2:$D$51,R$12)*EstymacjaGaussowska($A34,$A$2:$A$51,R$15)*EstymacjaGaussowska($B34,$B$2:$B$51,R$16)+S$7*EstymacjaGaussowska($C34,$C$52:$C$101,S$11)*EstymacjaGaussowska($D34,$D$52:$D$101,S$12)*EstymacjaGaussowska($A34,$A$52:$A$101,S$15)*EstymacjaGaussowska($B34,$B$52:$B$101,S$16)+T$7*EstymacjaGaussowska($C34,$C$102:$C$151,T$11)*EstymacjaGaussowska($D34,$D$102:$D$151,T$12)*EstymacjaGaussowska($A34,$A$102:$A$151,T$15)*EstymacjaGaussowska($B34,$B$102:$B$151,T$16)</f>
        <v>0.31668479772801644</v>
      </c>
      <c r="M34" s="8" cm="1">
        <f t="array" ref="M34">R$7*EstymacjaGaussowska($C34,$C$2:$C$51,R$11)*EstymacjaGaussowska($D34,$D$2:$D$51,R$12)*EstymacjaGaussowska($A34,$A$2:$A$51,R$15)*EstymacjaGaussowska($B34,$B$2:$B$51,R$16)/$L$2</f>
        <v>0.16861083396189289</v>
      </c>
      <c r="N34" s="8" cm="1">
        <f t="array" ref="N34">S$7*EstymacjaGaussowska($C34,$C$52:$C$101,S$11)*EstymacjaGaussowska($D34,$D$52:$D$101,S$12)*EstymacjaGaussowska($A34,$A$52:$A$101,S$15)*EstymacjaGaussowska($B34,$B$52:$B$101,S$16)/$L$2</f>
        <v>5.3401324710817414E-46</v>
      </c>
      <c r="O34" s="34" cm="1">
        <f t="array" ref="O34">T$7*EstymacjaGaussowska($C34,$C$102:$C$151,T$11)*EstymacjaGaussowska($D34,$D$102:$D$151,T$12)*EstymacjaGaussowska($A34,$A$102:$A$151,T$15)*EstymacjaGaussowska($B34,$B$102:$B$151,T$16)/$L$2</f>
        <v>1.6682566026818778E-83</v>
      </c>
    </row>
    <row r="35" spans="1:15" x14ac:dyDescent="0.25">
      <c r="A35" s="25">
        <v>-2.5987367491005875</v>
      </c>
      <c r="B35" s="8">
        <v>1.0931457594493568</v>
      </c>
      <c r="C35" s="8">
        <v>-0.15781081295821997</v>
      </c>
      <c r="D35" s="13">
        <v>-9.5348858333385689E-2</v>
      </c>
      <c r="E35" s="25" t="s">
        <v>5</v>
      </c>
      <c r="F35" s="19" t="str">
        <f t="shared" si="0"/>
        <v>setosa</v>
      </c>
      <c r="G35" s="12" cm="1">
        <f t="array" ref="G35">R$7*EstymacjaGaussowska($A35,$A$2:$A$51,R$11)*EstymacjaGaussowska($B35,$B$2:$B$51,R$12)+S$7*EstymacjaGaussowska($A35,$C$52:$C$101,S$11)*EstymacjaGaussowska($B35,$D$52:$D$101,S$12)+T$7*EstymacjaGaussowska($A35,$C$102:$C$151,T$11)*EstymacjaGaussowska($B35,$D$102:$D$151,T$12)</f>
        <v>0.10317698109329955</v>
      </c>
      <c r="H35" s="8" cm="1">
        <f t="array" ref="H35">R$7*EstymacjaGaussowska($A35,$A$2:$A$51,R$11)*EstymacjaGaussowska($B35,$B$2:$B$51,R$12)/$G35</f>
        <v>0.99999999973619458</v>
      </c>
      <c r="I35" s="8" cm="1">
        <f t="array" ref="I35">S$7*EstymacjaGaussowska($A35,$A$52:$A$101,S$11)*EstymacjaGaussowska($B35,$B$52:$B$101,S$12)/$G35</f>
        <v>2.3834427865646511E-11</v>
      </c>
      <c r="J35" s="114" cm="1">
        <f t="array" ref="J35">T$7*EstymacjaGaussowska($A35,$A$102:$A$151,T$11)*EstymacjaGaussowska($B35,$B$102:$B$151,T$12)/$G35</f>
        <v>5.3044492337357585E-21</v>
      </c>
      <c r="K35" s="19" t="str">
        <f t="shared" si="1"/>
        <v>setosa</v>
      </c>
      <c r="L35" s="12" cm="1">
        <f t="array" ref="L35">R$7*EstymacjaGaussowska($C35,$C$2:$C$51,R$11)*EstymacjaGaussowska($D35,$D$2:$D$51,R$12)*EstymacjaGaussowska($A35,$A$2:$A$51,R$15)*EstymacjaGaussowska($B35,$B$2:$B$51,R$16)+S$7*EstymacjaGaussowska($C35,$C$52:$C$101,S$11)*EstymacjaGaussowska($D35,$D$52:$D$101,S$12)*EstymacjaGaussowska($A35,$A$52:$A$101,S$15)*EstymacjaGaussowska($B35,$B$52:$B$101,S$16)+T$7*EstymacjaGaussowska($C35,$C$102:$C$151,T$11)*EstymacjaGaussowska($D35,$D$102:$D$151,T$12)*EstymacjaGaussowska($A35,$A$102:$A$151,T$15)*EstymacjaGaussowska($B35,$B$102:$B$151,T$16)</f>
        <v>0.2946551683886981</v>
      </c>
      <c r="M35" s="8" cm="1">
        <f t="array" ref="M35">R$7*EstymacjaGaussowska($C35,$C$2:$C$51,R$11)*EstymacjaGaussowska($D35,$D$2:$D$51,R$12)*EstymacjaGaussowska($A35,$A$2:$A$51,R$15)*EstymacjaGaussowska($B35,$B$2:$B$51,R$16)/$L$2</f>
        <v>0.15688171339335844</v>
      </c>
      <c r="N35" s="8" cm="1">
        <f t="array" ref="N35">S$7*EstymacjaGaussowska($C35,$C$52:$C$101,S$11)*EstymacjaGaussowska($D35,$D$52:$D$101,S$12)*EstymacjaGaussowska($A35,$A$52:$A$101,S$15)*EstymacjaGaussowska($B35,$B$52:$B$101,S$16)/$L$2</f>
        <v>6.5320988635627209E-52</v>
      </c>
      <c r="O35" s="34" cm="1">
        <f t="array" ref="O35">T$7*EstymacjaGaussowska($C35,$C$102:$C$151,T$11)*EstymacjaGaussowska($D35,$D$102:$D$151,T$12)*EstymacjaGaussowska($A35,$A$102:$A$151,T$15)*EstymacjaGaussowska($B35,$B$102:$B$151,T$16)/$L$2</f>
        <v>4.0238893670158792E-81</v>
      </c>
    </row>
    <row r="36" spans="1:15" x14ac:dyDescent="0.25">
      <c r="A36" s="25">
        <v>-2.6369268781057986</v>
      </c>
      <c r="B36" s="8">
        <v>-0.12132234786586341</v>
      </c>
      <c r="C36" s="8">
        <v>0.1430495817861393</v>
      </c>
      <c r="D36" s="13">
        <v>1.9070341257510282E-2</v>
      </c>
      <c r="E36" s="25" t="s">
        <v>5</v>
      </c>
      <c r="F36" s="19" t="str">
        <f t="shared" si="0"/>
        <v>setosa</v>
      </c>
      <c r="G36" s="12" cm="1">
        <f t="array" ref="G36">R$7*EstymacjaGaussowska($A36,$A$2:$A$51,R$11)*EstymacjaGaussowska($B36,$B$2:$B$51,R$12)+S$7*EstymacjaGaussowska($A36,$C$52:$C$101,S$11)*EstymacjaGaussowska($B36,$D$52:$D$101,S$12)+T$7*EstymacjaGaussowska($A36,$C$102:$C$151,T$11)*EstymacjaGaussowska($B36,$D$102:$D$151,T$12)</f>
        <v>0.43909769336422527</v>
      </c>
      <c r="H36" s="8" cm="1">
        <f t="array" ref="H36">R$7*EstymacjaGaussowska($A36,$A$2:$A$51,R$11)*EstymacjaGaussowska($B36,$B$2:$B$51,R$12)/$G36</f>
        <v>0.99999998559670045</v>
      </c>
      <c r="I36" s="8" cm="1">
        <f t="array" ref="I36">S$7*EstymacjaGaussowska($A36,$A$52:$A$101,S$11)*EstymacjaGaussowska($B36,$B$52:$B$101,S$12)/$G36</f>
        <v>2.6410936284074504E-10</v>
      </c>
      <c r="J36" s="114" cm="1">
        <f t="array" ref="J36">T$7*EstymacjaGaussowska($A36,$A$102:$A$151,T$11)*EstymacjaGaussowska($B36,$B$102:$B$151,T$12)/$G36</f>
        <v>3.9733663694214367E-21</v>
      </c>
      <c r="K36" s="19" t="str">
        <f t="shared" si="1"/>
        <v>setosa</v>
      </c>
      <c r="L36" s="12" cm="1">
        <f t="array" ref="L36">R$7*EstymacjaGaussowska($C36,$C$2:$C$51,R$11)*EstymacjaGaussowska($D36,$D$2:$D$51,R$12)*EstymacjaGaussowska($A36,$A$2:$A$51,R$15)*EstymacjaGaussowska($B36,$B$2:$B$51,R$16)+S$7*EstymacjaGaussowska($C36,$C$52:$C$101,S$11)*EstymacjaGaussowska($D36,$D$52:$D$101,S$12)*EstymacjaGaussowska($A36,$A$52:$A$101,S$15)*EstymacjaGaussowska($B36,$B$52:$B$101,S$16)+T$7*EstymacjaGaussowska($C36,$C$102:$C$151,T$11)*EstymacjaGaussowska($D36,$D$102:$D$151,T$12)*EstymacjaGaussowska($A36,$A$102:$A$151,T$15)*EstymacjaGaussowska($B36,$B$102:$B$151,T$16)</f>
        <v>1.5488598205522723</v>
      </c>
      <c r="M36" s="8" cm="1">
        <f t="array" ref="M36">R$7*EstymacjaGaussowska($C36,$C$2:$C$51,R$11)*EstymacjaGaussowska($D36,$D$2:$D$51,R$12)*EstymacjaGaussowska($A36,$A$2:$A$51,R$15)*EstymacjaGaussowska($B36,$B$2:$B$51,R$16)/$L$2</f>
        <v>0.82465135019735936</v>
      </c>
      <c r="N36" s="8" cm="1">
        <f t="array" ref="N36">S$7*EstymacjaGaussowska($C36,$C$52:$C$101,S$11)*EstymacjaGaussowska($D36,$D$52:$D$101,S$12)*EstymacjaGaussowska($A36,$A$52:$A$101,S$15)*EstymacjaGaussowska($B36,$B$52:$B$101,S$16)/$L$2</f>
        <v>2.6541027322219455E-43</v>
      </c>
      <c r="O36" s="34" cm="1">
        <f t="array" ref="O36">T$7*EstymacjaGaussowska($C36,$C$102:$C$151,T$11)*EstymacjaGaussowska($D36,$D$102:$D$151,T$12)*EstymacjaGaussowska($A36,$A$102:$A$151,T$15)*EstymacjaGaussowska($B36,$B$102:$B$151,T$16)/$L$2</f>
        <v>6.4414721252925938E-82</v>
      </c>
    </row>
    <row r="37" spans="1:15" x14ac:dyDescent="0.25">
      <c r="A37" s="25">
        <v>-2.8662416521186693</v>
      </c>
      <c r="B37" s="8">
        <v>6.9364471580080606E-2</v>
      </c>
      <c r="C37" s="8">
        <v>0.16433230665302601</v>
      </c>
      <c r="D37" s="13">
        <v>0.16259844627968478</v>
      </c>
      <c r="E37" s="25" t="s">
        <v>5</v>
      </c>
      <c r="F37" s="19" t="str">
        <f t="shared" si="0"/>
        <v>setosa</v>
      </c>
      <c r="G37" s="12" cm="1">
        <f t="array" ref="G37">R$7*EstymacjaGaussowska($A37,$A$2:$A$51,R$11)*EstymacjaGaussowska($B37,$B$2:$B$51,R$12)+S$7*EstymacjaGaussowska($A37,$C$52:$C$101,S$11)*EstymacjaGaussowska($B37,$D$52:$D$101,S$12)+T$7*EstymacjaGaussowska($A37,$C$102:$C$151,T$11)*EstymacjaGaussowska($B37,$D$102:$D$151,T$12)</f>
        <v>0.24322285477860534</v>
      </c>
      <c r="H37" s="8" cm="1">
        <f t="array" ref="H37">R$7*EstymacjaGaussowska($A37,$A$2:$A$51,R$11)*EstymacjaGaussowska($B37,$B$2:$B$51,R$12)/$G37</f>
        <v>0.99999999944213924</v>
      </c>
      <c r="I37" s="8" cm="1">
        <f t="array" ref="I37">S$7*EstymacjaGaussowska($A37,$A$52:$A$101,S$11)*EstymacjaGaussowska($B37,$B$52:$B$101,S$12)/$G37</f>
        <v>2.345399838823989E-12</v>
      </c>
      <c r="J37" s="114" cm="1">
        <f t="array" ref="J37">T$7*EstymacjaGaussowska($A37,$A$102:$A$151,T$11)*EstymacjaGaussowska($B37,$B$102:$B$151,T$12)/$G37</f>
        <v>1.3165881388150858E-23</v>
      </c>
      <c r="K37" s="19" t="str">
        <f t="shared" si="1"/>
        <v>setosa</v>
      </c>
      <c r="L37" s="12" cm="1">
        <f t="array" ref="L37">R$7*EstymacjaGaussowska($C37,$C$2:$C$51,R$11)*EstymacjaGaussowska($D37,$D$2:$D$51,R$12)*EstymacjaGaussowska($A37,$A$2:$A$51,R$15)*EstymacjaGaussowska($B37,$B$2:$B$51,R$16)+S$7*EstymacjaGaussowska($C37,$C$52:$C$101,S$11)*EstymacjaGaussowska($D37,$D$52:$D$101,S$12)*EstymacjaGaussowska($A37,$A$52:$A$101,S$15)*EstymacjaGaussowska($B37,$B$52:$B$101,S$16)+T$7*EstymacjaGaussowska($C37,$C$102:$C$151,T$11)*EstymacjaGaussowska($D37,$D$102:$D$151,T$12)*EstymacjaGaussowska($A37,$A$102:$A$151,T$15)*EstymacjaGaussowska($B37,$B$102:$B$151,T$16)</f>
        <v>0.38450733038315948</v>
      </c>
      <c r="M37" s="8" cm="1">
        <f t="array" ref="M37">R$7*EstymacjaGaussowska($C37,$C$2:$C$51,R$11)*EstymacjaGaussowska($D37,$D$2:$D$51,R$12)*EstymacjaGaussowska($A37,$A$2:$A$51,R$15)*EstymacjaGaussowska($B37,$B$2:$B$51,R$16)/$L$2</f>
        <v>0.2047212310331562</v>
      </c>
      <c r="N37" s="8" cm="1">
        <f t="array" ref="N37">S$7*EstymacjaGaussowska($C37,$C$52:$C$101,S$11)*EstymacjaGaussowska($D37,$D$52:$D$101,S$12)*EstymacjaGaussowska($A37,$A$52:$A$101,S$15)*EstymacjaGaussowska($B37,$B$52:$B$101,S$16)/$L$2</f>
        <v>2.9169725798570694E-55</v>
      </c>
      <c r="O37" s="34" cm="1">
        <f t="array" ref="O37">T$7*EstymacjaGaussowska($C37,$C$102:$C$151,T$11)*EstymacjaGaussowska($D37,$D$102:$D$151,T$12)*EstymacjaGaussowska($A37,$A$102:$A$151,T$15)*EstymacjaGaussowska($B37,$B$102:$B$151,T$16)/$L$2</f>
        <v>6.8237431494942587E-94</v>
      </c>
    </row>
    <row r="38" spans="1:15" x14ac:dyDescent="0.25">
      <c r="A38" s="25">
        <v>-2.6252380498503722</v>
      </c>
      <c r="B38" s="8">
        <v>0.59937002137942386</v>
      </c>
      <c r="C38" s="8">
        <v>0.26835037569393672</v>
      </c>
      <c r="D38" s="13">
        <v>0.17644121293236981</v>
      </c>
      <c r="E38" s="25" t="s">
        <v>5</v>
      </c>
      <c r="F38" s="19" t="str">
        <f t="shared" si="0"/>
        <v>setosa</v>
      </c>
      <c r="G38" s="12" cm="1">
        <f t="array" ref="G38">R$7*EstymacjaGaussowska($A38,$A$2:$A$51,R$11)*EstymacjaGaussowska($B38,$B$2:$B$51,R$12)+S$7*EstymacjaGaussowska($A38,$C$52:$C$101,S$11)*EstymacjaGaussowska($B38,$D$52:$D$101,S$12)+T$7*EstymacjaGaussowska($A38,$C$102:$C$151,T$11)*EstymacjaGaussowska($B38,$D$102:$D$151,T$12)</f>
        <v>0.32657381370899347</v>
      </c>
      <c r="H38" s="8" cm="1">
        <f t="array" ref="H38">R$7*EstymacjaGaussowska($A38,$A$2:$A$51,R$11)*EstymacjaGaussowska($B38,$B$2:$B$51,R$12)/$G38</f>
        <v>0.99999999551194141</v>
      </c>
      <c r="I38" s="8" cm="1">
        <f t="array" ref="I38">S$7*EstymacjaGaussowska($A38,$A$52:$A$101,S$11)*EstymacjaGaussowska($B38,$B$52:$B$101,S$12)/$G38</f>
        <v>1.2980354203828117E-10</v>
      </c>
      <c r="J38" s="114" cm="1">
        <f t="array" ref="J38">T$7*EstymacjaGaussowska($A38,$A$102:$A$151,T$11)*EstymacjaGaussowska($B38,$B$102:$B$151,T$12)/$G38</f>
        <v>4.4244281957661177E-21</v>
      </c>
      <c r="K38" s="19" t="str">
        <f t="shared" si="1"/>
        <v>setosa</v>
      </c>
      <c r="L38" s="12" cm="1">
        <f t="array" ref="L38">R$7*EstymacjaGaussowska($C38,$C$2:$C$51,R$11)*EstymacjaGaussowska($D38,$D$2:$D$51,R$12)*EstymacjaGaussowska($A38,$A$2:$A$51,R$15)*EstymacjaGaussowska($B38,$B$2:$B$51,R$16)+S$7*EstymacjaGaussowska($C38,$C$52:$C$101,S$11)*EstymacjaGaussowska($D38,$D$52:$D$101,S$12)*EstymacjaGaussowska($A38,$A$52:$A$101,S$15)*EstymacjaGaussowska($B38,$B$52:$B$101,S$16)+T$7*EstymacjaGaussowska($C38,$C$102:$C$151,T$11)*EstymacjaGaussowska($D38,$D$102:$D$151,T$12)*EstymacjaGaussowska($A38,$A$102:$A$151,T$15)*EstymacjaGaussowska($B38,$B$102:$B$151,T$16)</f>
        <v>0.33152123428113295</v>
      </c>
      <c r="M38" s="8" cm="1">
        <f t="array" ref="M38">R$7*EstymacjaGaussowska($C38,$C$2:$C$51,R$11)*EstymacjaGaussowska($D38,$D$2:$D$51,R$12)*EstymacjaGaussowska($A38,$A$2:$A$51,R$15)*EstymacjaGaussowska($B38,$B$2:$B$51,R$16)/$L$2</f>
        <v>0.17651012043914324</v>
      </c>
      <c r="N38" s="8" cm="1">
        <f t="array" ref="N38">S$7*EstymacjaGaussowska($C38,$C$52:$C$101,S$11)*EstymacjaGaussowska($D38,$D$52:$D$101,S$12)*EstymacjaGaussowska($A38,$A$52:$A$101,S$15)*EstymacjaGaussowska($B38,$B$52:$B$101,S$16)/$L$2</f>
        <v>8.8105939846281771E-44</v>
      </c>
      <c r="O38" s="34" cm="1">
        <f t="array" ref="O38">T$7*EstymacjaGaussowska($C38,$C$102:$C$151,T$11)*EstymacjaGaussowska($D38,$D$102:$D$151,T$12)*EstymacjaGaussowska($A38,$A$102:$A$151,T$15)*EstymacjaGaussowska($B38,$B$102:$B$151,T$16)/$L$2</f>
        <v>7.3250579956514765E-82</v>
      </c>
    </row>
    <row r="39" spans="1:15" x14ac:dyDescent="0.25">
      <c r="A39" s="25">
        <v>-2.800684115448222</v>
      </c>
      <c r="B39" s="8">
        <v>0.26864373779798179</v>
      </c>
      <c r="C39" s="8">
        <v>-9.3699082479799856E-2</v>
      </c>
      <c r="D39" s="13">
        <v>-0.1681730544024963</v>
      </c>
      <c r="E39" s="25" t="s">
        <v>5</v>
      </c>
      <c r="F39" s="19" t="str">
        <f t="shared" si="0"/>
        <v>setosa</v>
      </c>
      <c r="G39" s="12" cm="1">
        <f t="array" ref="G39">R$7*EstymacjaGaussowska($A39,$A$2:$A$51,R$11)*EstymacjaGaussowska($B39,$B$2:$B$51,R$12)+S$7*EstymacjaGaussowska($A39,$C$52:$C$101,S$11)*EstymacjaGaussowska($B39,$D$52:$D$101,S$12)+T$7*EstymacjaGaussowska($A39,$C$102:$C$151,T$11)*EstymacjaGaussowska($B39,$D$102:$D$151,T$12)</f>
        <v>0.3288005272870716</v>
      </c>
      <c r="H39" s="8" cm="1">
        <f t="array" ref="H39">R$7*EstymacjaGaussowska($A39,$A$2:$A$51,R$11)*EstymacjaGaussowska($B39,$B$2:$B$51,R$12)/$G39</f>
        <v>0.99999999901521297</v>
      </c>
      <c r="I39" s="8" cm="1">
        <f t="array" ref="I39">S$7*EstymacjaGaussowska($A39,$A$52:$A$101,S$11)*EstymacjaGaussowska($B39,$B$52:$B$101,S$12)/$G39</f>
        <v>6.5740298953064927E-12</v>
      </c>
      <c r="J39" s="114" cm="1">
        <f t="array" ref="J39">T$7*EstymacjaGaussowska($A39,$A$102:$A$151,T$11)*EstymacjaGaussowska($B39,$B$102:$B$151,T$12)/$G39</f>
        <v>6.3157788278575233E-23</v>
      </c>
      <c r="K39" s="19" t="str">
        <f t="shared" si="1"/>
        <v>setosa</v>
      </c>
      <c r="L39" s="12" cm="1">
        <f t="array" ref="L39">R$7*EstymacjaGaussowska($C39,$C$2:$C$51,R$11)*EstymacjaGaussowska($D39,$D$2:$D$51,R$12)*EstymacjaGaussowska($A39,$A$2:$A$51,R$15)*EstymacjaGaussowska($B39,$B$2:$B$51,R$16)+S$7*EstymacjaGaussowska($C39,$C$52:$C$101,S$11)*EstymacjaGaussowska($D39,$D$52:$D$101,S$12)*EstymacjaGaussowska($A39,$A$52:$A$101,S$15)*EstymacjaGaussowska($B39,$B$52:$B$101,S$16)+T$7*EstymacjaGaussowska($C39,$C$102:$C$151,T$11)*EstymacjaGaussowska($D39,$D$102:$D$151,T$12)*EstymacjaGaussowska($A39,$A$102:$A$151,T$15)*EstymacjaGaussowska($B39,$B$102:$B$151,T$16)</f>
        <v>0.88354261527155842</v>
      </c>
      <c r="M39" s="8" cm="1">
        <f t="array" ref="M39">R$7*EstymacjaGaussowska($C39,$C$2:$C$51,R$11)*EstymacjaGaussowska($D39,$D$2:$D$51,R$12)*EstymacjaGaussowska($A39,$A$2:$A$51,R$15)*EstymacjaGaussowska($B39,$B$2:$B$51,R$16)/$L$2</f>
        <v>0.47041998312074279</v>
      </c>
      <c r="N39" s="8" cm="1">
        <f t="array" ref="N39">S$7*EstymacjaGaussowska($C39,$C$52:$C$101,S$11)*EstymacjaGaussowska($D39,$D$52:$D$101,S$12)*EstymacjaGaussowska($A39,$A$52:$A$101,S$15)*EstymacjaGaussowska($B39,$B$52:$B$101,S$16)/$L$2</f>
        <v>1.5453697027248769E-51</v>
      </c>
      <c r="O39" s="34" cm="1">
        <f t="array" ref="O39">T$7*EstymacjaGaussowska($C39,$C$102:$C$151,T$11)*EstymacjaGaussowska($D39,$D$102:$D$151,T$12)*EstymacjaGaussowska($A39,$A$102:$A$151,T$15)*EstymacjaGaussowska($B39,$B$102:$B$151,T$16)/$L$2</f>
        <v>2.941358043436676E-90</v>
      </c>
    </row>
    <row r="40" spans="1:15" x14ac:dyDescent="0.25">
      <c r="A40" s="25">
        <v>-2.9805020437819931</v>
      </c>
      <c r="B40" s="8">
        <v>-0.48795834442861574</v>
      </c>
      <c r="C40" s="8">
        <v>-7.2927045692692039E-2</v>
      </c>
      <c r="D40" s="13">
        <v>-1.0733147428937051E-2</v>
      </c>
      <c r="E40" s="25" t="s">
        <v>5</v>
      </c>
      <c r="F40" s="19" t="str">
        <f t="shared" si="0"/>
        <v>setosa</v>
      </c>
      <c r="G40" s="12" cm="1">
        <f t="array" ref="G40">R$7*EstymacjaGaussowska($A40,$A$2:$A$51,R$11)*EstymacjaGaussowska($B40,$B$2:$B$51,R$12)+S$7*EstymacjaGaussowska($A40,$C$52:$C$101,S$11)*EstymacjaGaussowska($B40,$D$52:$D$101,S$12)+T$7*EstymacjaGaussowska($A40,$C$102:$C$151,T$11)*EstymacjaGaussowska($B40,$D$102:$D$151,T$12)</f>
        <v>5.1341597022803998E-2</v>
      </c>
      <c r="H40" s="8" cm="1">
        <f t="array" ref="H40">R$7*EstymacjaGaussowska($A40,$A$2:$A$51,R$11)*EstymacjaGaussowska($B40,$B$2:$B$51,R$12)/$G40</f>
        <v>0.99999999992198885</v>
      </c>
      <c r="I40" s="8" cm="1">
        <f t="array" ref="I40">S$7*EstymacjaGaussowska($A40,$A$52:$A$101,S$11)*EstymacjaGaussowska($B40,$B$52:$B$101,S$12)/$G40</f>
        <v>9.5485855512287353E-13</v>
      </c>
      <c r="J40" s="114" cm="1">
        <f t="array" ref="J40">T$7*EstymacjaGaussowska($A40,$A$102:$A$151,T$11)*EstymacjaGaussowska($B40,$B$102:$B$151,T$12)/$G40</f>
        <v>1.1575134534723769E-24</v>
      </c>
      <c r="K40" s="19" t="str">
        <f t="shared" si="1"/>
        <v>setosa</v>
      </c>
      <c r="L40" s="12" cm="1">
        <f t="array" ref="L40">R$7*EstymacjaGaussowska($C40,$C$2:$C$51,R$11)*EstymacjaGaussowska($D40,$D$2:$D$51,R$12)*EstymacjaGaussowska($A40,$A$2:$A$51,R$15)*EstymacjaGaussowska($B40,$B$2:$B$51,R$16)+S$7*EstymacjaGaussowska($C40,$C$52:$C$101,S$11)*EstymacjaGaussowska($D40,$D$52:$D$101,S$12)*EstymacjaGaussowska($A40,$A$52:$A$101,S$15)*EstymacjaGaussowska($B40,$B$52:$B$101,S$16)+T$7*EstymacjaGaussowska($C40,$C$102:$C$151,T$11)*EstymacjaGaussowska($D40,$D$102:$D$151,T$12)*EstymacjaGaussowska($A40,$A$102:$A$151,T$15)*EstymacjaGaussowska($B40,$B$102:$B$151,T$16)</f>
        <v>0.12454211523976877</v>
      </c>
      <c r="M40" s="8" cm="1">
        <f t="array" ref="M40">R$7*EstymacjaGaussowska($C40,$C$2:$C$51,R$11)*EstymacjaGaussowska($D40,$D$2:$D$51,R$12)*EstymacjaGaussowska($A40,$A$2:$A$51,R$15)*EstymacjaGaussowska($B40,$B$2:$B$51,R$16)/$L$2</f>
        <v>6.6309308386791027E-2</v>
      </c>
      <c r="N40" s="8" cm="1">
        <f t="array" ref="N40">S$7*EstymacjaGaussowska($C40,$C$52:$C$101,S$11)*EstymacjaGaussowska($D40,$D$52:$D$101,S$12)*EstymacjaGaussowska($A40,$A$52:$A$101,S$15)*EstymacjaGaussowska($B40,$B$52:$B$101,S$16)/$L$2</f>
        <v>3.7019723655598358E-61</v>
      </c>
      <c r="O40" s="34" cm="1">
        <f t="array" ref="O40">T$7*EstymacjaGaussowska($C40,$C$102:$C$151,T$11)*EstymacjaGaussowska($D40,$D$102:$D$151,T$12)*EstymacjaGaussowska($A40,$A$102:$A$151,T$15)*EstymacjaGaussowska($B40,$B$102:$B$151,T$16)/$L$2</f>
        <v>2.5475098158636927E-100</v>
      </c>
    </row>
    <row r="41" spans="1:15" x14ac:dyDescent="0.25">
      <c r="A41" s="25">
        <v>-2.5900063139680958</v>
      </c>
      <c r="B41" s="8">
        <v>0.22904383682701238</v>
      </c>
      <c r="C41" s="8">
        <v>8.0082303017326273E-2</v>
      </c>
      <c r="D41" s="13">
        <v>-1.3749151261534198E-2</v>
      </c>
      <c r="E41" s="25" t="s">
        <v>5</v>
      </c>
      <c r="F41" s="19" t="str">
        <f t="shared" si="0"/>
        <v>setosa</v>
      </c>
      <c r="G41" s="12" cm="1">
        <f t="array" ref="G41">R$7*EstymacjaGaussowska($A41,$A$2:$A$51,R$11)*EstymacjaGaussowska($B41,$B$2:$B$51,R$12)+S$7*EstymacjaGaussowska($A41,$C$52:$C$101,S$11)*EstymacjaGaussowska($B41,$D$52:$D$101,S$12)+T$7*EstymacjaGaussowska($A41,$C$102:$C$151,T$11)*EstymacjaGaussowska($B41,$D$102:$D$151,T$12)</f>
        <v>0.46932064191978001</v>
      </c>
      <c r="H41" s="8" cm="1">
        <f t="array" ref="H41">R$7*EstymacjaGaussowska($A41,$A$2:$A$51,R$11)*EstymacjaGaussowska($B41,$B$2:$B$51,R$12)/$G41</f>
        <v>0.99999997404917362</v>
      </c>
      <c r="I41" s="8" cm="1">
        <f t="array" ref="I41">S$7*EstymacjaGaussowska($A41,$A$52:$A$101,S$11)*EstymacjaGaussowska($B41,$B$52:$B$101,S$12)/$G41</f>
        <v>4.4450096910888013E-10</v>
      </c>
      <c r="J41" s="114" cm="1">
        <f t="array" ref="J41">T$7*EstymacjaGaussowska($A41,$A$102:$A$151,T$11)*EstymacjaGaussowska($B41,$B$102:$B$151,T$12)/$G41</f>
        <v>1.4683072824538173E-20</v>
      </c>
      <c r="K41" s="19" t="str">
        <f t="shared" si="1"/>
        <v>setosa</v>
      </c>
      <c r="L41" s="12" cm="1">
        <f t="array" ref="L41">R$7*EstymacjaGaussowska($C41,$C$2:$C$51,R$11)*EstymacjaGaussowska($D41,$D$2:$D$51,R$12)*EstymacjaGaussowska($A41,$A$2:$A$51,R$15)*EstymacjaGaussowska($B41,$B$2:$B$51,R$16)+S$7*EstymacjaGaussowska($C41,$C$52:$C$101,S$11)*EstymacjaGaussowska($D41,$D$52:$D$101,S$12)*EstymacjaGaussowska($A41,$A$52:$A$101,S$15)*EstymacjaGaussowska($B41,$B$52:$B$101,S$16)+T$7*EstymacjaGaussowska($C41,$C$102:$C$151,T$11)*EstymacjaGaussowska($D41,$D$102:$D$151,T$12)*EstymacjaGaussowska($A41,$A$102:$A$151,T$15)*EstymacjaGaussowska($B41,$B$102:$B$151,T$16)</f>
        <v>1.467021654837124</v>
      </c>
      <c r="M41" s="8" cm="1">
        <f t="array" ref="M41">R$7*EstymacjaGaussowska($C41,$C$2:$C$51,R$11)*EstymacjaGaussowska($D41,$D$2:$D$51,R$12)*EstymacjaGaussowska($A41,$A$2:$A$51,R$15)*EstymacjaGaussowska($B41,$B$2:$B$51,R$16)/$L$2</f>
        <v>0.7810786827686127</v>
      </c>
      <c r="N41" s="8" cm="1">
        <f t="array" ref="N41">S$7*EstymacjaGaussowska($C41,$C$52:$C$101,S$11)*EstymacjaGaussowska($D41,$D$52:$D$101,S$12)*EstymacjaGaussowska($A41,$A$52:$A$101,S$15)*EstymacjaGaussowska($B41,$B$52:$B$101,S$16)/$L$2</f>
        <v>3.6997973411633107E-41</v>
      </c>
      <c r="O41" s="34" cm="1">
        <f t="array" ref="O41">T$7*EstymacjaGaussowska($C41,$C$102:$C$151,T$11)*EstymacjaGaussowska($D41,$D$102:$D$151,T$12)*EstymacjaGaussowska($A41,$A$102:$A$151,T$15)*EstymacjaGaussowska($B41,$B$102:$B$151,T$16)/$L$2</f>
        <v>1.7000141800074304E-79</v>
      </c>
    </row>
    <row r="42" spans="1:15" x14ac:dyDescent="0.25">
      <c r="A42" s="25">
        <v>-2.7701024260279015</v>
      </c>
      <c r="B42" s="8">
        <v>0.26352753374425641</v>
      </c>
      <c r="C42" s="8">
        <v>-7.7247693161103581E-2</v>
      </c>
      <c r="D42" s="13">
        <v>9.4063359006786862E-2</v>
      </c>
      <c r="E42" s="25" t="s">
        <v>5</v>
      </c>
      <c r="F42" s="19" t="str">
        <f t="shared" si="0"/>
        <v>setosa</v>
      </c>
      <c r="G42" s="12" cm="1">
        <f t="array" ref="G42">R$7*EstymacjaGaussowska($A42,$A$2:$A$51,R$11)*EstymacjaGaussowska($B42,$B$2:$B$51,R$12)+S$7*EstymacjaGaussowska($A42,$C$52:$C$101,S$11)*EstymacjaGaussowska($B42,$D$52:$D$101,S$12)+T$7*EstymacjaGaussowska($A42,$C$102:$C$151,T$11)*EstymacjaGaussowska($B42,$D$102:$D$151,T$12)</f>
        <v>0.37048984976051047</v>
      </c>
      <c r="H42" s="8" cm="1">
        <f t="array" ref="H42">R$7*EstymacjaGaussowska($A42,$A$2:$A$51,R$11)*EstymacjaGaussowska($B42,$B$2:$B$51,R$12)/$G42</f>
        <v>0.99999999848655596</v>
      </c>
      <c r="I42" s="8" cm="1">
        <f t="array" ref="I42">S$7*EstymacjaGaussowska($A42,$A$52:$A$101,S$11)*EstymacjaGaussowska($B42,$B$52:$B$101,S$12)/$G42</f>
        <v>1.169769044105321E-11</v>
      </c>
      <c r="J42" s="114" cm="1">
        <f t="array" ref="J42">T$7*EstymacjaGaussowska($A42,$A$102:$A$151,T$11)*EstymacjaGaussowska($B42,$B$102:$B$151,T$12)/$G42</f>
        <v>1.3330559223449178E-22</v>
      </c>
      <c r="K42" s="19" t="str">
        <f t="shared" si="1"/>
        <v>setosa</v>
      </c>
      <c r="L42" s="12" cm="1">
        <f t="array" ref="L42">R$7*EstymacjaGaussowska($C42,$C$2:$C$51,R$11)*EstymacjaGaussowska($D42,$D$2:$D$51,R$12)*EstymacjaGaussowska($A42,$A$2:$A$51,R$15)*EstymacjaGaussowska($B42,$B$2:$B$51,R$16)+S$7*EstymacjaGaussowska($C42,$C$52:$C$101,S$11)*EstymacjaGaussowska($D42,$D$52:$D$101,S$12)*EstymacjaGaussowska($A42,$A$52:$A$101,S$15)*EstymacjaGaussowska($B42,$B$52:$B$101,S$16)+T$7*EstymacjaGaussowska($C42,$C$102:$C$151,T$11)*EstymacjaGaussowska($D42,$D$102:$D$151,T$12)*EstymacjaGaussowska($A42,$A$102:$A$151,T$15)*EstymacjaGaussowska($B42,$B$102:$B$151,T$16)</f>
        <v>1.159571676275269</v>
      </c>
      <c r="M42" s="8" cm="1">
        <f t="array" ref="M42">R$7*EstymacjaGaussowska($C42,$C$2:$C$51,R$11)*EstymacjaGaussowska($D42,$D$2:$D$51,R$12)*EstymacjaGaussowska($A42,$A$2:$A$51,R$15)*EstymacjaGaussowska($B42,$B$2:$B$51,R$16)/$L$2</f>
        <v>0.61738469537549978</v>
      </c>
      <c r="N42" s="8" cm="1">
        <f t="array" ref="N42">S$7*EstymacjaGaussowska($C42,$C$52:$C$101,S$11)*EstymacjaGaussowska($D42,$D$52:$D$101,S$12)*EstymacjaGaussowska($A42,$A$52:$A$101,S$15)*EstymacjaGaussowska($B42,$B$52:$B$101,S$16)/$L$2</f>
        <v>6.299817185923012E-50</v>
      </c>
      <c r="O42" s="34" cm="1">
        <f t="array" ref="O42">T$7*EstymacjaGaussowska($C42,$C$102:$C$151,T$11)*EstymacjaGaussowska($D42,$D$102:$D$151,T$12)*EstymacjaGaussowska($A42,$A$102:$A$151,T$15)*EstymacjaGaussowska($B42,$B$102:$B$151,T$16)/$L$2</f>
        <v>1.3996716871255261E-88</v>
      </c>
    </row>
    <row r="43" spans="1:15" x14ac:dyDescent="0.25">
      <c r="A43" s="25">
        <v>-2.8493687050431031</v>
      </c>
      <c r="B43" s="8">
        <v>-0.94096057364119623</v>
      </c>
      <c r="C43" s="8">
        <v>0.34923037730596701</v>
      </c>
      <c r="D43" s="13">
        <v>0.31998748695415669</v>
      </c>
      <c r="E43" s="25" t="s">
        <v>5</v>
      </c>
      <c r="F43" s="19" t="str">
        <f t="shared" si="0"/>
        <v>setosa</v>
      </c>
      <c r="G43" s="12" cm="1">
        <f t="array" ref="G43">R$7*EstymacjaGaussowska($A43,$A$2:$A$51,R$11)*EstymacjaGaussowska($B43,$B$2:$B$51,R$12)+S$7*EstymacjaGaussowska($A43,$C$52:$C$101,S$11)*EstymacjaGaussowska($B43,$D$52:$D$101,S$12)+T$7*EstymacjaGaussowska($A43,$C$102:$C$151,T$11)*EstymacjaGaussowska($B43,$D$102:$D$151,T$12)</f>
        <v>2.0309826463177898E-2</v>
      </c>
      <c r="H43" s="8" cm="1">
        <f t="array" ref="H43">R$7*EstymacjaGaussowska($A43,$A$2:$A$51,R$11)*EstymacjaGaussowska($B43,$B$2:$B$51,R$12)/$G43</f>
        <v>0.99999999992869704</v>
      </c>
      <c r="I43" s="8" cm="1">
        <f t="array" ref="I43">S$7*EstymacjaGaussowska($A43,$A$52:$A$101,S$11)*EstymacjaGaussowska($B43,$B$52:$B$101,S$12)/$G43</f>
        <v>1.9824656366177227E-11</v>
      </c>
      <c r="J43" s="114" cm="1">
        <f t="array" ref="J43">T$7*EstymacjaGaussowska($A43,$A$102:$A$151,T$11)*EstymacjaGaussowska($B43,$B$102:$B$151,T$12)/$G43</f>
        <v>3.968051539022465E-23</v>
      </c>
      <c r="K43" s="19" t="str">
        <f t="shared" si="1"/>
        <v>setosa</v>
      </c>
      <c r="L43" s="12" cm="1">
        <f t="array" ref="L43">R$7*EstymacjaGaussowska($C43,$C$2:$C$51,R$11)*EstymacjaGaussowska($D43,$D$2:$D$51,R$12)*EstymacjaGaussowska($A43,$A$2:$A$51,R$15)*EstymacjaGaussowska($B43,$B$2:$B$51,R$16)+S$7*EstymacjaGaussowska($C43,$C$52:$C$101,S$11)*EstymacjaGaussowska($D43,$D$52:$D$101,S$12)*EstymacjaGaussowska($A43,$A$52:$A$101,S$15)*EstymacjaGaussowska($B43,$B$52:$B$101,S$16)+T$7*EstymacjaGaussowska($C43,$C$102:$C$151,T$11)*EstymacjaGaussowska($D43,$D$102:$D$151,T$12)*EstymacjaGaussowska($A43,$A$102:$A$151,T$15)*EstymacjaGaussowska($B43,$B$102:$B$151,T$16)</f>
        <v>1.3478791033317153E-2</v>
      </c>
      <c r="M43" s="8" cm="1">
        <f t="array" ref="M43">R$7*EstymacjaGaussowska($C43,$C$2:$C$51,R$11)*EstymacjaGaussowska($D43,$D$2:$D$51,R$12)*EstymacjaGaussowska($A43,$A$2:$A$51,R$15)*EstymacjaGaussowska($B43,$B$2:$B$51,R$16)/$L$2</f>
        <v>7.1764423591863203E-3</v>
      </c>
      <c r="N43" s="8" cm="1">
        <f t="array" ref="N43">S$7*EstymacjaGaussowska($C43,$C$52:$C$101,S$11)*EstymacjaGaussowska($D43,$D$52:$D$101,S$12)*EstymacjaGaussowska($A43,$A$52:$A$101,S$15)*EstymacjaGaussowska($B43,$B$52:$B$101,S$16)/$L$2</f>
        <v>4.6395707112763636E-55</v>
      </c>
      <c r="O43" s="34" cm="1">
        <f t="array" ref="O43">T$7*EstymacjaGaussowska($C43,$C$102:$C$151,T$11)*EstymacjaGaussowska($D43,$D$102:$D$151,T$12)*EstymacjaGaussowska($A43,$A$102:$A$151,T$15)*EstymacjaGaussowska($B43,$B$102:$B$151,T$16)/$L$2</f>
        <v>1.4651752975550945E-94</v>
      </c>
    </row>
    <row r="44" spans="1:15" x14ac:dyDescent="0.25">
      <c r="A44" s="25">
        <v>-2.9974065465949069</v>
      </c>
      <c r="B44" s="8">
        <v>-0.34192605747161031</v>
      </c>
      <c r="C44" s="8">
        <v>-0.1925092117127094</v>
      </c>
      <c r="D44" s="13">
        <v>-7.4677768162163316E-2</v>
      </c>
      <c r="E44" s="25" t="s">
        <v>5</v>
      </c>
      <c r="F44" s="19" t="str">
        <f t="shared" si="0"/>
        <v>setosa</v>
      </c>
      <c r="G44" s="12" cm="1">
        <f t="array" ref="G44">R$7*EstymacjaGaussowska($A44,$A$2:$A$51,R$11)*EstymacjaGaussowska($B44,$B$2:$B$51,R$12)+S$7*EstymacjaGaussowska($A44,$C$52:$C$101,S$11)*EstymacjaGaussowska($B44,$D$52:$D$101,S$12)+T$7*EstymacjaGaussowska($A44,$C$102:$C$151,T$11)*EstymacjaGaussowska($B44,$D$102:$D$151,T$12)</f>
        <v>6.859511501486637E-2</v>
      </c>
      <c r="H44" s="8" cm="1">
        <f t="array" ref="H44">R$7*EstymacjaGaussowska($A44,$A$2:$A$51,R$11)*EstymacjaGaussowska($B44,$B$2:$B$51,R$12)/$G44</f>
        <v>0.99999999991715327</v>
      </c>
      <c r="I44" s="8" cm="1">
        <f t="array" ref="I44">S$7*EstymacjaGaussowska($A44,$A$52:$A$101,S$11)*EstymacjaGaussowska($B44,$B$52:$B$101,S$12)/$G44</f>
        <v>5.0759757624993785E-13</v>
      </c>
      <c r="J44" s="114" cm="1">
        <f t="array" ref="J44">T$7*EstymacjaGaussowska($A44,$A$102:$A$151,T$11)*EstymacjaGaussowska($B44,$B$102:$B$151,T$12)/$G44</f>
        <v>6.725279594902576E-25</v>
      </c>
      <c r="K44" s="19" t="str">
        <f t="shared" si="1"/>
        <v>setosa</v>
      </c>
      <c r="L44" s="12" cm="1">
        <f t="array" ref="L44">R$7*EstymacjaGaussowska($C44,$C$2:$C$51,R$11)*EstymacjaGaussowska($D44,$D$2:$D$51,R$12)*EstymacjaGaussowska($A44,$A$2:$A$51,R$15)*EstymacjaGaussowska($B44,$B$2:$B$51,R$16)+S$7*EstymacjaGaussowska($C44,$C$52:$C$101,S$11)*EstymacjaGaussowska($D44,$D$52:$D$101,S$12)*EstymacjaGaussowska($A44,$A$52:$A$101,S$15)*EstymacjaGaussowska($B44,$B$52:$B$101,S$16)+T$7*EstymacjaGaussowska($C44,$C$102:$C$151,T$11)*EstymacjaGaussowska($D44,$D$102:$D$151,T$12)*EstymacjaGaussowska($A44,$A$102:$A$151,T$15)*EstymacjaGaussowska($B44,$B$102:$B$151,T$16)</f>
        <v>9.7617750222121019E-2</v>
      </c>
      <c r="M44" s="8" cm="1">
        <f t="array" ref="M44">R$7*EstymacjaGaussowska($C44,$C$2:$C$51,R$11)*EstymacjaGaussowska($D44,$D$2:$D$51,R$12)*EstymacjaGaussowska($A44,$A$2:$A$51,R$15)*EstymacjaGaussowska($B44,$B$2:$B$51,R$16)/$L$2</f>
        <v>5.197410924843851E-2</v>
      </c>
      <c r="N44" s="8" cm="1">
        <f t="array" ref="N44">S$7*EstymacjaGaussowska($C44,$C$52:$C$101,S$11)*EstymacjaGaussowska($D44,$D$52:$D$101,S$12)*EstymacjaGaussowska($A44,$A$52:$A$101,S$15)*EstymacjaGaussowska($B44,$B$52:$B$101,S$16)/$L$2</f>
        <v>5.7256883756715687E-62</v>
      </c>
      <c r="O44" s="34" cm="1">
        <f t="array" ref="O44">T$7*EstymacjaGaussowska($C44,$C$102:$C$151,T$11)*EstymacjaGaussowska($D44,$D$102:$D$151,T$12)*EstymacjaGaussowska($A44,$A$102:$A$151,T$15)*EstymacjaGaussowska($B44,$B$102:$B$151,T$16)/$L$2</f>
        <v>3.4002582974591761E-101</v>
      </c>
    </row>
    <row r="45" spans="1:15" x14ac:dyDescent="0.25">
      <c r="A45" s="25">
        <v>-2.4056144850974861</v>
      </c>
      <c r="B45" s="8">
        <v>0.18887142893026029</v>
      </c>
      <c r="C45" s="8">
        <v>-0.26386794551341525</v>
      </c>
      <c r="D45" s="13">
        <v>0.17620889048760996</v>
      </c>
      <c r="E45" s="25" t="s">
        <v>5</v>
      </c>
      <c r="F45" s="19" t="str">
        <f t="shared" si="0"/>
        <v>setosa</v>
      </c>
      <c r="G45" s="12" cm="1">
        <f t="array" ref="G45">R$7*EstymacjaGaussowska($A45,$A$2:$A$51,R$11)*EstymacjaGaussowska($B45,$B$2:$B$51,R$12)+S$7*EstymacjaGaussowska($A45,$C$52:$C$101,S$11)*EstymacjaGaussowska($B45,$D$52:$D$101,S$12)+T$7*EstymacjaGaussowska($A45,$C$102:$C$151,T$11)*EstymacjaGaussowska($B45,$D$102:$D$151,T$12)</f>
        <v>0.23180515678568478</v>
      </c>
      <c r="H45" s="8" cm="1">
        <f t="array" ref="H45">R$7*EstymacjaGaussowska($A45,$A$2:$A$51,R$11)*EstymacjaGaussowska($B45,$B$2:$B$51,R$12)/$G45</f>
        <v>0.99999907699811608</v>
      </c>
      <c r="I45" s="8" cm="1">
        <f t="array" ref="I45">S$7*EstymacjaGaussowska($A45,$A$52:$A$101,S$11)*EstymacjaGaussowska($B45,$B$52:$B$101,S$12)/$G45</f>
        <v>3.1983895167193041E-8</v>
      </c>
      <c r="J45" s="114" cm="1">
        <f t="array" ref="J45">T$7*EstymacjaGaussowska($A45,$A$102:$A$151,T$11)*EstymacjaGaussowska($B45,$B$102:$B$151,T$12)/$G45</f>
        <v>3.4799797438567236E-18</v>
      </c>
      <c r="K45" s="19" t="str">
        <f t="shared" si="1"/>
        <v>setosa</v>
      </c>
      <c r="L45" s="12" cm="1">
        <f t="array" ref="L45">R$7*EstymacjaGaussowska($C45,$C$2:$C$51,R$11)*EstymacjaGaussowska($D45,$D$2:$D$51,R$12)*EstymacjaGaussowska($A45,$A$2:$A$51,R$15)*EstymacjaGaussowska($B45,$B$2:$B$51,R$16)+S$7*EstymacjaGaussowska($C45,$C$52:$C$101,S$11)*EstymacjaGaussowska($D45,$D$52:$D$101,S$12)*EstymacjaGaussowska($A45,$A$52:$A$101,S$15)*EstymacjaGaussowska($B45,$B$52:$B$101,S$16)+T$7*EstymacjaGaussowska($C45,$C$102:$C$151,T$11)*EstymacjaGaussowska($D45,$D$102:$D$151,T$12)*EstymacjaGaussowska($A45,$A$102:$A$151,T$15)*EstymacjaGaussowska($B45,$B$102:$B$151,T$16)</f>
        <v>0.28078382269695856</v>
      </c>
      <c r="M45" s="8" cm="1">
        <f t="array" ref="M45">R$7*EstymacjaGaussowska($C45,$C$2:$C$51,R$11)*EstymacjaGaussowska($D45,$D$2:$D$51,R$12)*EstymacjaGaussowska($A45,$A$2:$A$51,R$15)*EstymacjaGaussowska($B45,$B$2:$B$51,R$16)/$L$2</f>
        <v>0.14949626520627293</v>
      </c>
      <c r="N45" s="8" cm="1">
        <f t="array" ref="N45">S$7*EstymacjaGaussowska($C45,$C$52:$C$101,S$11)*EstymacjaGaussowska($D45,$D$52:$D$101,S$12)*EstymacjaGaussowska($A45,$A$52:$A$101,S$15)*EstymacjaGaussowska($B45,$B$52:$B$101,S$16)/$L$2</f>
        <v>1.2668740753902684E-33</v>
      </c>
      <c r="O45" s="34" cm="1">
        <f t="array" ref="O45">T$7*EstymacjaGaussowska($C45,$C$102:$C$151,T$11)*EstymacjaGaussowska($D45,$D$102:$D$151,T$12)*EstymacjaGaussowska($A45,$A$102:$A$151,T$15)*EstymacjaGaussowska($B45,$B$102:$B$151,T$16)/$L$2</f>
        <v>1.0172381953323991E-70</v>
      </c>
    </row>
    <row r="46" spans="1:15" x14ac:dyDescent="0.25">
      <c r="A46" s="25">
        <v>-2.2094892377836799</v>
      </c>
      <c r="B46" s="8">
        <v>0.43666314163918729</v>
      </c>
      <c r="C46" s="8">
        <v>-0.29874274575510862</v>
      </c>
      <c r="D46" s="13">
        <v>-0.18284250247303102</v>
      </c>
      <c r="E46" s="25" t="s">
        <v>5</v>
      </c>
      <c r="F46" s="19" t="str">
        <f t="shared" si="0"/>
        <v>setosa</v>
      </c>
      <c r="G46" s="12" cm="1">
        <f t="array" ref="G46">R$7*EstymacjaGaussowska($A46,$A$2:$A$51,R$11)*EstymacjaGaussowska($B46,$B$2:$B$51,R$12)+S$7*EstymacjaGaussowska($A46,$C$52:$C$101,S$11)*EstymacjaGaussowska($B46,$D$52:$D$101,S$12)+T$7*EstymacjaGaussowska($A46,$C$102:$C$151,T$11)*EstymacjaGaussowska($B46,$D$102:$D$151,T$12)</f>
        <v>8.8714788274055434E-2</v>
      </c>
      <c r="H46" s="8" cm="1">
        <f t="array" ref="H46">R$7*EstymacjaGaussowska($A46,$A$2:$A$51,R$11)*EstymacjaGaussowska($B46,$B$2:$B$51,R$12)/$G46</f>
        <v>0.99998411347441141</v>
      </c>
      <c r="I46" s="8" cm="1">
        <f t="array" ref="I46">S$7*EstymacjaGaussowska($A46,$A$52:$A$101,S$11)*EstymacjaGaussowska($B46,$B$52:$B$101,S$12)/$G46</f>
        <v>1.5989196826128824E-6</v>
      </c>
      <c r="J46" s="114" cm="1">
        <f t="array" ref="J46">T$7*EstymacjaGaussowska($A46,$A$102:$A$151,T$11)*EstymacjaGaussowska($B46,$B$102:$B$151,T$12)/$G46</f>
        <v>8.3333092730462845E-16</v>
      </c>
      <c r="K46" s="19" t="str">
        <f t="shared" si="1"/>
        <v>setosa</v>
      </c>
      <c r="L46" s="12" cm="1">
        <f t="array" ref="L46">R$7*EstymacjaGaussowska($C46,$C$2:$C$51,R$11)*EstymacjaGaussowska($D46,$D$2:$D$51,R$12)*EstymacjaGaussowska($A46,$A$2:$A$51,R$15)*EstymacjaGaussowska($B46,$B$2:$B$51,R$16)+S$7*EstymacjaGaussowska($C46,$C$52:$C$101,S$11)*EstymacjaGaussowska($D46,$D$52:$D$101,S$12)*EstymacjaGaussowska($A46,$A$52:$A$101,S$15)*EstymacjaGaussowska($B46,$B$52:$B$101,S$16)+T$7*EstymacjaGaussowska($C46,$C$102:$C$151,T$11)*EstymacjaGaussowska($D46,$D$102:$D$151,T$12)*EstymacjaGaussowska($A46,$A$102:$A$151,T$15)*EstymacjaGaussowska($B46,$B$102:$B$151,T$16)</f>
        <v>0.10264672276282748</v>
      </c>
      <c r="M46" s="8" cm="1">
        <f t="array" ref="M46">R$7*EstymacjaGaussowska($C46,$C$2:$C$51,R$11)*EstymacjaGaussowska($D46,$D$2:$D$51,R$12)*EstymacjaGaussowska($A46,$A$2:$A$51,R$15)*EstymacjaGaussowska($B46,$B$2:$B$51,R$16)/$L$2</f>
        <v>5.4651658850261284E-2</v>
      </c>
      <c r="N46" s="8" cm="1">
        <f t="array" ref="N46">S$7*EstymacjaGaussowska($C46,$C$52:$C$101,S$11)*EstymacjaGaussowska($D46,$D$52:$D$101,S$12)*EstymacjaGaussowska($A46,$A$52:$A$101,S$15)*EstymacjaGaussowska($B46,$B$52:$B$101,S$16)/$L$2</f>
        <v>2.3793615796852903E-26</v>
      </c>
      <c r="O46" s="34" cm="1">
        <f t="array" ref="O46">T$7*EstymacjaGaussowska($C46,$C$102:$C$151,T$11)*EstymacjaGaussowska($D46,$D$102:$D$151,T$12)*EstymacjaGaussowska($A46,$A$102:$A$151,T$15)*EstymacjaGaussowska($B46,$B$102:$B$151,T$16)/$L$2</f>
        <v>4.630147701594853E-62</v>
      </c>
    </row>
    <row r="47" spans="1:15" x14ac:dyDescent="0.25">
      <c r="A47" s="25">
        <v>-2.7144514267577078</v>
      </c>
      <c r="B47" s="8">
        <v>-0.25020820418521106</v>
      </c>
      <c r="C47" s="8">
        <v>9.7678144045630022E-2</v>
      </c>
      <c r="D47" s="13">
        <v>0.14284357355959376</v>
      </c>
      <c r="E47" s="25" t="s">
        <v>5</v>
      </c>
      <c r="F47" s="19" t="str">
        <f t="shared" si="0"/>
        <v>setosa</v>
      </c>
      <c r="G47" s="12" cm="1">
        <f t="array" ref="G47">R$7*EstymacjaGaussowska($A47,$A$2:$A$51,R$11)*EstymacjaGaussowska($B47,$B$2:$B$51,R$12)+S$7*EstymacjaGaussowska($A47,$C$52:$C$101,S$11)*EstymacjaGaussowska($B47,$D$52:$D$101,S$12)+T$7*EstymacjaGaussowska($A47,$C$102:$C$151,T$11)*EstymacjaGaussowska($B47,$D$102:$D$151,T$12)</f>
        <v>0.34000574783169668</v>
      </c>
      <c r="H47" s="8" cm="1">
        <f t="array" ref="H47">R$7*EstymacjaGaussowska($A47,$A$2:$A$51,R$11)*EstymacjaGaussowska($B47,$B$2:$B$51,R$12)/$G47</f>
        <v>0.99999999616001667</v>
      </c>
      <c r="I47" s="8" cm="1">
        <f t="array" ref="I47">S$7*EstymacjaGaussowska($A47,$A$52:$A$101,S$11)*EstymacjaGaussowska($B47,$B$52:$B$101,S$12)/$G47</f>
        <v>7.4569427286333822E-11</v>
      </c>
      <c r="J47" s="114" cm="1">
        <f t="array" ref="J47">T$7*EstymacjaGaussowska($A47,$A$102:$A$151,T$11)*EstymacjaGaussowska($B47,$B$102:$B$151,T$12)/$G47</f>
        <v>5.4089655500260789E-22</v>
      </c>
      <c r="K47" s="19" t="str">
        <f t="shared" si="1"/>
        <v>setosa</v>
      </c>
      <c r="L47" s="12" cm="1">
        <f t="array" ref="L47">R$7*EstymacjaGaussowska($C47,$C$2:$C$51,R$11)*EstymacjaGaussowska($D47,$D$2:$D$51,R$12)*EstymacjaGaussowska($A47,$A$2:$A$51,R$15)*EstymacjaGaussowska($B47,$B$2:$B$51,R$16)+S$7*EstymacjaGaussowska($C47,$C$52:$C$101,S$11)*EstymacjaGaussowska($D47,$D$52:$D$101,S$12)*EstymacjaGaussowska($A47,$A$52:$A$101,S$15)*EstymacjaGaussowska($B47,$B$52:$B$101,S$16)+T$7*EstymacjaGaussowska($C47,$C$102:$C$151,T$11)*EstymacjaGaussowska($D47,$D$102:$D$151,T$12)*EstymacjaGaussowska($A47,$A$102:$A$151,T$15)*EstymacjaGaussowska($B47,$B$102:$B$151,T$16)</f>
        <v>1.0761706728456824</v>
      </c>
      <c r="M47" s="8" cm="1">
        <f t="array" ref="M47">R$7*EstymacjaGaussowska($C47,$C$2:$C$51,R$11)*EstymacjaGaussowska($D47,$D$2:$D$51,R$12)*EstymacjaGaussowska($A47,$A$2:$A$51,R$15)*EstymacjaGaussowska($B47,$B$2:$B$51,R$16)/$L$2</f>
        <v>0.57297993441946971</v>
      </c>
      <c r="N47" s="8" cm="1">
        <f t="array" ref="N47">S$7*EstymacjaGaussowska($C47,$C$52:$C$101,S$11)*EstymacjaGaussowska($D47,$D$52:$D$101,S$12)*EstymacjaGaussowska($A47,$A$52:$A$101,S$15)*EstymacjaGaussowska($B47,$B$52:$B$101,S$16)/$L$2</f>
        <v>4.8048725959985786E-47</v>
      </c>
      <c r="O47" s="34" cm="1">
        <f t="array" ref="O47">T$7*EstymacjaGaussowska($C47,$C$102:$C$151,T$11)*EstymacjaGaussowska($D47,$D$102:$D$151,T$12)*EstymacjaGaussowska($A47,$A$102:$A$151,T$15)*EstymacjaGaussowska($B47,$B$102:$B$151,T$16)/$L$2</f>
        <v>7.1819595206781905E-86</v>
      </c>
    </row>
    <row r="48" spans="1:15" x14ac:dyDescent="0.25">
      <c r="A48" s="25">
        <v>-2.5381482589989401</v>
      </c>
      <c r="B48" s="8">
        <v>0.503771144461437</v>
      </c>
      <c r="C48" s="8">
        <v>-0.16670563660480453</v>
      </c>
      <c r="D48" s="13">
        <v>-0.18962229142745002</v>
      </c>
      <c r="E48" s="25" t="s">
        <v>5</v>
      </c>
      <c r="F48" s="19" t="str">
        <f t="shared" si="0"/>
        <v>setosa</v>
      </c>
      <c r="G48" s="12" cm="1">
        <f t="array" ref="G48">R$7*EstymacjaGaussowska($A48,$A$2:$A$51,R$11)*EstymacjaGaussowska($B48,$B$2:$B$51,R$12)+S$7*EstymacjaGaussowska($A48,$C$52:$C$101,S$11)*EstymacjaGaussowska($B48,$D$52:$D$101,S$12)+T$7*EstymacjaGaussowska($A48,$C$102:$C$151,T$11)*EstymacjaGaussowska($B48,$D$102:$D$151,T$12)</f>
        <v>0.3229026524039873</v>
      </c>
      <c r="H48" s="8" cm="1">
        <f t="array" ref="H48">R$7*EstymacjaGaussowska($A48,$A$2:$A$51,R$11)*EstymacjaGaussowska($B48,$B$2:$B$51,R$12)/$G48</f>
        <v>0.9999999691300232</v>
      </c>
      <c r="I48" s="8" cm="1">
        <f t="array" ref="I48">S$7*EstymacjaGaussowska($A48,$A$52:$A$101,S$11)*EstymacjaGaussowska($B48,$B$52:$B$101,S$12)/$G48</f>
        <v>1.075156863358736E-9</v>
      </c>
      <c r="J48" s="114" cm="1">
        <f t="array" ref="J48">T$7*EstymacjaGaussowska($A48,$A$102:$A$151,T$11)*EstymacjaGaussowska($B48,$B$102:$B$151,T$12)/$G48</f>
        <v>5.8740267185255851E-20</v>
      </c>
      <c r="K48" s="19" t="str">
        <f t="shared" si="1"/>
        <v>setosa</v>
      </c>
      <c r="L48" s="12" cm="1">
        <f t="array" ref="L48">R$7*EstymacjaGaussowska($C48,$C$2:$C$51,R$11)*EstymacjaGaussowska($D48,$D$2:$D$51,R$12)*EstymacjaGaussowska($A48,$A$2:$A$51,R$15)*EstymacjaGaussowska($B48,$B$2:$B$51,R$16)+S$7*EstymacjaGaussowska($C48,$C$52:$C$101,S$11)*EstymacjaGaussowska($D48,$D$52:$D$101,S$12)*EstymacjaGaussowska($A48,$A$52:$A$101,S$15)*EstymacjaGaussowska($B48,$B$52:$B$101,S$16)+T$7*EstymacjaGaussowska($C48,$C$102:$C$151,T$11)*EstymacjaGaussowska($D48,$D$102:$D$151,T$12)*EstymacjaGaussowska($A48,$A$102:$A$151,T$15)*EstymacjaGaussowska($B48,$B$102:$B$151,T$16)</f>
        <v>0.58925096461703552</v>
      </c>
      <c r="M48" s="8" cm="1">
        <f t="array" ref="M48">R$7*EstymacjaGaussowska($C48,$C$2:$C$51,R$11)*EstymacjaGaussowska($D48,$D$2:$D$51,R$12)*EstymacjaGaussowska($A48,$A$2:$A$51,R$15)*EstymacjaGaussowska($B48,$B$2:$B$51,R$16)/$L$2</f>
        <v>0.31373181557726082</v>
      </c>
      <c r="N48" s="8" cm="1">
        <f t="array" ref="N48">S$7*EstymacjaGaussowska($C48,$C$52:$C$101,S$11)*EstymacjaGaussowska($D48,$D$52:$D$101,S$12)*EstymacjaGaussowska($A48,$A$52:$A$101,S$15)*EstymacjaGaussowska($B48,$B$52:$B$101,S$16)/$L$2</f>
        <v>1.8900540484595918E-39</v>
      </c>
      <c r="O48" s="34" cm="1">
        <f t="array" ref="O48">T$7*EstymacjaGaussowska($C48,$C$102:$C$151,T$11)*EstymacjaGaussowska($D48,$D$102:$D$151,T$12)*EstymacjaGaussowska($A48,$A$102:$A$151,T$15)*EstymacjaGaussowska($B48,$B$102:$B$151,T$16)/$L$2</f>
        <v>2.9111874489500812E-77</v>
      </c>
    </row>
    <row r="49" spans="1:15" x14ac:dyDescent="0.25">
      <c r="A49" s="25">
        <v>-2.8394621676428504</v>
      </c>
      <c r="B49" s="8">
        <v>-0.22794556949382808</v>
      </c>
      <c r="C49" s="8">
        <v>-8.3726849033593065E-2</v>
      </c>
      <c r="D49" s="13">
        <v>-5.9564228280832188E-2</v>
      </c>
      <c r="E49" s="25" t="s">
        <v>5</v>
      </c>
      <c r="F49" s="19" t="str">
        <f t="shared" si="0"/>
        <v>setosa</v>
      </c>
      <c r="G49" s="12" cm="1">
        <f t="array" ref="G49">R$7*EstymacjaGaussowska($A49,$A$2:$A$51,R$11)*EstymacjaGaussowska($B49,$B$2:$B$51,R$12)+S$7*EstymacjaGaussowska($A49,$C$52:$C$101,S$11)*EstymacjaGaussowska($B49,$D$52:$D$101,S$12)+T$7*EstymacjaGaussowska($A49,$C$102:$C$151,T$11)*EstymacjaGaussowska($B49,$D$102:$D$151,T$12)</f>
        <v>0.22254872192035693</v>
      </c>
      <c r="H49" s="8" cm="1">
        <f t="array" ref="H49">R$7*EstymacjaGaussowska($A49,$A$2:$A$51,R$11)*EstymacjaGaussowska($B49,$B$2:$B$51,R$12)/$G49</f>
        <v>0.9999999992949733</v>
      </c>
      <c r="I49" s="8" cm="1">
        <f t="array" ref="I49">S$7*EstymacjaGaussowska($A49,$A$52:$A$101,S$11)*EstymacjaGaussowska($B49,$B$52:$B$101,S$12)/$G49</f>
        <v>6.7652888504049823E-12</v>
      </c>
      <c r="J49" s="114" cm="1">
        <f t="array" ref="J49">T$7*EstymacjaGaussowska($A49,$A$102:$A$151,T$11)*EstymacjaGaussowska($B49,$B$102:$B$151,T$12)/$G49</f>
        <v>2.5096703539477372E-23</v>
      </c>
      <c r="K49" s="19" t="str">
        <f t="shared" si="1"/>
        <v>setosa</v>
      </c>
      <c r="L49" s="12" cm="1">
        <f t="array" ref="L49">R$7*EstymacjaGaussowska($C49,$C$2:$C$51,R$11)*EstymacjaGaussowska($D49,$D$2:$D$51,R$12)*EstymacjaGaussowska($A49,$A$2:$A$51,R$15)*EstymacjaGaussowska($B49,$B$2:$B$51,R$16)+S$7*EstymacjaGaussowska($C49,$C$52:$C$101,S$11)*EstymacjaGaussowska($D49,$D$52:$D$101,S$12)*EstymacjaGaussowska($A49,$A$52:$A$101,S$15)*EstymacjaGaussowska($B49,$B$52:$B$101,S$16)+T$7*EstymacjaGaussowska($C49,$C$102:$C$151,T$11)*EstymacjaGaussowska($D49,$D$102:$D$151,T$12)*EstymacjaGaussowska($A49,$A$102:$A$151,T$15)*EstymacjaGaussowska($B49,$B$102:$B$151,T$16)</f>
        <v>0.94303443854225988</v>
      </c>
      <c r="M49" s="8" cm="1">
        <f t="array" ref="M49">R$7*EstymacjaGaussowska($C49,$C$2:$C$51,R$11)*EstymacjaGaussowska($D49,$D$2:$D$51,R$12)*EstymacjaGaussowska($A49,$A$2:$A$51,R$15)*EstymacjaGaussowska($B49,$B$2:$B$51,R$16)/$L$2</f>
        <v>0.50209490407543156</v>
      </c>
      <c r="N49" s="8" cm="1">
        <f t="array" ref="N49">S$7*EstymacjaGaussowska($C49,$C$52:$C$101,S$11)*EstymacjaGaussowska($D49,$D$52:$D$101,S$12)*EstymacjaGaussowska($A49,$A$52:$A$101,S$15)*EstymacjaGaussowska($B49,$B$52:$B$101,S$16)/$L$2</f>
        <v>1.9837179341473001E-53</v>
      </c>
      <c r="O49" s="34" cm="1">
        <f t="array" ref="O49">T$7*EstymacjaGaussowska($C49,$C$102:$C$151,T$11)*EstymacjaGaussowska($D49,$D$102:$D$151,T$12)*EstymacjaGaussowska($A49,$A$102:$A$151,T$15)*EstymacjaGaussowska($B49,$B$102:$B$151,T$16)/$L$2</f>
        <v>2.6126620455448386E-92</v>
      </c>
    </row>
    <row r="50" spans="1:15" x14ac:dyDescent="0.25">
      <c r="A50" s="25">
        <v>-2.5430857498303929</v>
      </c>
      <c r="B50" s="8">
        <v>0.57941002151988907</v>
      </c>
      <c r="C50" s="8">
        <v>1.7115024248513411E-2</v>
      </c>
      <c r="D50" s="13">
        <v>-4.6568643780578567E-2</v>
      </c>
      <c r="E50" s="25" t="s">
        <v>5</v>
      </c>
      <c r="F50" s="19" t="str">
        <f t="shared" si="0"/>
        <v>setosa</v>
      </c>
      <c r="G50" s="12" cm="1">
        <f t="array" ref="G50">R$7*EstymacjaGaussowska($A50,$A$2:$A$51,R$11)*EstymacjaGaussowska($B50,$B$2:$B$51,R$12)+S$7*EstymacjaGaussowska($A50,$C$52:$C$101,S$11)*EstymacjaGaussowska($B50,$D$52:$D$101,S$12)+T$7*EstymacjaGaussowska($A50,$C$102:$C$151,T$11)*EstymacjaGaussowska($B50,$D$102:$D$151,T$12)</f>
        <v>0.28779899670032694</v>
      </c>
      <c r="H50" s="8" cm="1">
        <f t="array" ref="H50">R$7*EstymacjaGaussowska($A50,$A$2:$A$51,R$11)*EstymacjaGaussowska($B50,$B$2:$B$51,R$12)/$G50</f>
        <v>0.99999997890294412</v>
      </c>
      <c r="I50" s="8" cm="1">
        <f t="array" ref="I50">S$7*EstymacjaGaussowska($A50,$A$52:$A$101,S$11)*EstymacjaGaussowska($B50,$B$52:$B$101,S$12)/$G50</f>
        <v>8.3756868088026187E-10</v>
      </c>
      <c r="J50" s="114" cm="1">
        <f t="array" ref="J50">T$7*EstymacjaGaussowska($A50,$A$102:$A$151,T$11)*EstymacjaGaussowska($B50,$B$102:$B$151,T$12)/$G50</f>
        <v>4.7187862042142898E-20</v>
      </c>
      <c r="K50" s="19" t="str">
        <f t="shared" si="1"/>
        <v>setosa</v>
      </c>
      <c r="L50" s="12" cm="1">
        <f t="array" ref="L50">R$7*EstymacjaGaussowska($C50,$C$2:$C$51,R$11)*EstymacjaGaussowska($D50,$D$2:$D$51,R$12)*EstymacjaGaussowska($A50,$A$2:$A$51,R$15)*EstymacjaGaussowska($B50,$B$2:$B$51,R$16)+S$7*EstymacjaGaussowska($C50,$C$52:$C$101,S$11)*EstymacjaGaussowska($D50,$D$52:$D$101,S$12)*EstymacjaGaussowska($A50,$A$52:$A$101,S$15)*EstymacjaGaussowska($B50,$B$52:$B$101,S$16)+T$7*EstymacjaGaussowska($C50,$C$102:$C$151,T$11)*EstymacjaGaussowska($D50,$D$102:$D$151,T$12)*EstymacjaGaussowska($A50,$A$102:$A$151,T$15)*EstymacjaGaussowska($B50,$B$102:$B$151,T$16)</f>
        <v>0.75527629252481887</v>
      </c>
      <c r="M50" s="8" cm="1">
        <f t="array" ref="M50">R$7*EstymacjaGaussowska($C50,$C$2:$C$51,R$11)*EstymacjaGaussowska($D50,$D$2:$D$51,R$12)*EstymacjaGaussowska($A50,$A$2:$A$51,R$15)*EstymacjaGaussowska($B50,$B$2:$B$51,R$16)/$L$2</f>
        <v>0.40212781436900052</v>
      </c>
      <c r="N50" s="8" cm="1">
        <f t="array" ref="N50">S$7*EstymacjaGaussowska($C50,$C$52:$C$101,S$11)*EstymacjaGaussowska($D50,$D$52:$D$101,S$12)*EstymacjaGaussowska($A50,$A$52:$A$101,S$15)*EstymacjaGaussowska($B50,$B$52:$B$101,S$16)/$L$2</f>
        <v>7.8620294407120861E-40</v>
      </c>
      <c r="O50" s="34" cm="1">
        <f t="array" ref="O50">T$7*EstymacjaGaussowska($C50,$C$102:$C$151,T$11)*EstymacjaGaussowska($D50,$D$102:$D$151,T$12)*EstymacjaGaussowska($A50,$A$102:$A$151,T$15)*EstymacjaGaussowska($B50,$B$102:$B$151,T$16)/$L$2</f>
        <v>1.2841077515037283E-77</v>
      </c>
    </row>
    <row r="51" spans="1:15" x14ac:dyDescent="0.25">
      <c r="A51" s="25">
        <v>-2.7033597823351596</v>
      </c>
      <c r="B51" s="8">
        <v>0.10770608249941147</v>
      </c>
      <c r="C51" s="8">
        <v>8.929400847882496E-2</v>
      </c>
      <c r="D51" s="13">
        <v>3.4658338514144904E-2</v>
      </c>
      <c r="E51" s="25" t="s">
        <v>5</v>
      </c>
      <c r="F51" s="19" t="str">
        <f t="shared" si="0"/>
        <v>setosa</v>
      </c>
      <c r="G51" s="12" cm="1">
        <f t="array" ref="G51">R$7*EstymacjaGaussowska($A51,$A$2:$A$51,R$11)*EstymacjaGaussowska($B51,$B$2:$B$51,R$12)+S$7*EstymacjaGaussowska($A51,$C$52:$C$101,S$11)*EstymacjaGaussowska($B51,$D$52:$D$101,S$12)+T$7*EstymacjaGaussowska($A51,$C$102:$C$151,T$11)*EstymacjaGaussowska($B51,$D$102:$D$151,T$12)</f>
        <v>0.45333687443128495</v>
      </c>
      <c r="H51" s="8" cm="1">
        <f t="array" ref="H51">R$7*EstymacjaGaussowska($A51,$A$2:$A$51,R$11)*EstymacjaGaussowska($B51,$B$2:$B$51,R$12)/$G51</f>
        <v>0.99999999493818137</v>
      </c>
      <c r="I51" s="8" cm="1">
        <f t="array" ref="I51">S$7*EstymacjaGaussowska($A51,$A$52:$A$101,S$11)*EstymacjaGaussowska($B51,$B$52:$B$101,S$12)/$G51</f>
        <v>4.7775805195741058E-11</v>
      </c>
      <c r="J51" s="114" cm="1">
        <f t="array" ref="J51">T$7*EstymacjaGaussowska($A51,$A$102:$A$151,T$11)*EstymacjaGaussowska($B51,$B$102:$B$151,T$12)/$G51</f>
        <v>7.0966015089043075E-22</v>
      </c>
      <c r="K51" s="19" t="str">
        <f t="shared" si="1"/>
        <v>setosa</v>
      </c>
      <c r="L51" s="12" cm="1">
        <f t="array" ref="L51">R$7*EstymacjaGaussowska($C51,$C$2:$C$51,R$11)*EstymacjaGaussowska($D51,$D$2:$D$51,R$12)*EstymacjaGaussowska($A51,$A$2:$A$51,R$15)*EstymacjaGaussowska($B51,$B$2:$B$51,R$16)+S$7*EstymacjaGaussowska($C51,$C$52:$C$101,S$11)*EstymacjaGaussowska($D51,$D$52:$D$101,S$12)*EstymacjaGaussowska($A51,$A$52:$A$101,S$15)*EstymacjaGaussowska($B51,$B$52:$B$101,S$16)+T$7*EstymacjaGaussowska($C51,$C$102:$C$151,T$11)*EstymacjaGaussowska($D51,$D$102:$D$151,T$12)*EstymacjaGaussowska($A51,$A$102:$A$151,T$15)*EstymacjaGaussowska($B51,$B$102:$B$151,T$16)</f>
        <v>1.3197751203304424</v>
      </c>
      <c r="M51" s="8" cm="1">
        <f t="array" ref="M51">R$7*EstymacjaGaussowska($C51,$C$2:$C$51,R$11)*EstymacjaGaussowska($D51,$D$2:$D$51,R$12)*EstymacjaGaussowska($A51,$A$2:$A$51,R$15)*EstymacjaGaussowska($B51,$B$2:$B$51,R$16)/$L$2</f>
        <v>0.70268097893411063</v>
      </c>
      <c r="N51" s="8" cm="1">
        <f t="array" ref="N51">S$7*EstymacjaGaussowska($C51,$C$52:$C$101,S$11)*EstymacjaGaussowska($D51,$D$52:$D$101,S$12)*EstymacjaGaussowska($A51,$A$52:$A$101,S$15)*EstymacjaGaussowska($B51,$B$52:$B$101,S$16)/$L$2</f>
        <v>7.980025295328442E-47</v>
      </c>
      <c r="O51" s="34" cm="1">
        <f t="array" ref="O51">T$7*EstymacjaGaussowska($C51,$C$102:$C$151,T$11)*EstymacjaGaussowska($D51,$D$102:$D$151,T$12)*EstymacjaGaussowska($A51,$A$102:$A$151,T$15)*EstymacjaGaussowska($B51,$B$102:$B$151,T$16)/$L$2</f>
        <v>2.9536013809972997E-85</v>
      </c>
    </row>
    <row r="52" spans="1:15" x14ac:dyDescent="0.25">
      <c r="A52" s="25">
        <v>1.2848256888583505</v>
      </c>
      <c r="B52" s="8">
        <v>0.68516047046730866</v>
      </c>
      <c r="C52" s="8">
        <v>0.40656802546769427</v>
      </c>
      <c r="D52" s="13">
        <v>1.8525287923269934E-2</v>
      </c>
      <c r="E52" s="25" t="s">
        <v>6</v>
      </c>
      <c r="F52" s="19" t="str">
        <f>IF(H52&gt;MAX(I52:J52),$E$2,IF(I52&gt;J52,$E$52,$E$102))</f>
        <v>virginica</v>
      </c>
      <c r="G52" s="12" cm="1">
        <f t="array" ref="G52">R$7*EstymacjaGaussowska($A52,$A$2:$A$51,R$11)*EstymacjaGaussowska($B52,$B$2:$B$51,R$12)+S$7*EstymacjaGaussowska($A52,$C$52:$C$101,S$11)*EstymacjaGaussowska($B52,$D$52:$D$101,S$12)+T$7*EstymacjaGaussowska($A52,$C$102:$C$151,T$11)*EstymacjaGaussowska($B52,$D$102:$D$151,T$12)</f>
        <v>5.326517488142415E-4</v>
      </c>
      <c r="H52" s="8" cm="1">
        <f t="array" ref="H52">R$7*EstymacjaGaussowska($A52,$A$2:$A$51,R$11)*EstymacjaGaussowska($B52,$B$2:$B$51,R$12)/$G52</f>
        <v>2.6379325558459782E-228</v>
      </c>
      <c r="I52" s="8" cm="1">
        <f t="array" ref="I52">S$7*EstymacjaGaussowska($A52,$A$52:$A$101,S$11)*EstymacjaGaussowska($B52,$B$52:$B$101,S$12)/$G52</f>
        <v>34.939980928915965</v>
      </c>
      <c r="J52" s="114" cm="1">
        <f t="array" ref="J52">T$7*EstymacjaGaussowska($A52,$A$102:$A$151,T$11)*EstymacjaGaussowska($B52,$B$102:$B$151,T$12)/$G52</f>
        <v>70.117484897752732</v>
      </c>
      <c r="K52" s="19" t="str">
        <f>IF(M52&gt;MAX(N52:O52),$E$2,IF(N52&gt;O52,$E$52,$E$102))</f>
        <v>versicolor</v>
      </c>
      <c r="L52" s="12" cm="1">
        <f t="array" ref="L52">R$7*EstymacjaGaussowska($C52,$C$2:$C$51,R$11)*EstymacjaGaussowska($D52,$D$2:$D$51,R$12)*EstymacjaGaussowska($A52,$A$2:$A$51,R$15)*EstymacjaGaussowska($B52,$B$2:$B$51,R$16)+S$7*EstymacjaGaussowska($C52,$C$52:$C$101,S$11)*EstymacjaGaussowska($D52,$D$52:$D$101,S$12)*EstymacjaGaussowska($A52,$A$52:$A$101,S$15)*EstymacjaGaussowska($B52,$B$52:$B$101,S$16)+T$7*EstymacjaGaussowska($C52,$C$102:$C$151,T$11)*EstymacjaGaussowska($D52,$D$102:$D$151,T$12)*EstymacjaGaussowska($A52,$A$102:$A$151,T$15)*EstymacjaGaussowska($B52,$B$102:$B$151,T$16)</f>
        <v>4.3831172844458442E-2</v>
      </c>
      <c r="M52" s="8" cm="1">
        <f t="array" ref="M52">R$7*EstymacjaGaussowska($C52,$C$2:$C$51,R$11)*EstymacjaGaussowska($D52,$D$2:$D$51,R$12)*EstymacjaGaussowska($A52,$A$2:$A$51,R$15)*EstymacjaGaussowska($B52,$B$2:$B$51,R$16)/$L$2</f>
        <v>0</v>
      </c>
      <c r="N52" s="8" cm="1">
        <f t="array" ref="N52">S$7*EstymacjaGaussowska($C52,$C$52:$C$101,S$11)*EstymacjaGaussowska($D52,$D$52:$D$101,S$12)*EstymacjaGaussowska($A52,$A$52:$A$101,S$15)*EstymacjaGaussowska($B52,$B$52:$B$101,S$16)/$L$2</f>
        <v>1.218647870951199E-2</v>
      </c>
      <c r="O52" s="34" cm="1">
        <f t="array" ref="O52">T$7*EstymacjaGaussowska($C52,$C$102:$C$151,T$11)*EstymacjaGaussowska($D52,$D$102:$D$151,T$12)*EstymacjaGaussowska($A52,$A$102:$A$151,T$15)*EstymacjaGaussowska($B52,$B$102:$B$151,T$16)/$L$2</f>
        <v>1.1150323877327803E-2</v>
      </c>
    </row>
    <row r="53" spans="1:15" x14ac:dyDescent="0.25">
      <c r="A53" s="25">
        <v>0.93248853231231754</v>
      </c>
      <c r="B53" s="8">
        <v>0.31833363826262873</v>
      </c>
      <c r="C53" s="8">
        <v>1.801418664624041E-2</v>
      </c>
      <c r="D53" s="13">
        <v>5.6651210621655457E-4</v>
      </c>
      <c r="E53" s="25" t="s">
        <v>6</v>
      </c>
      <c r="F53" s="19" t="str">
        <f t="shared" ref="F53:F101" si="4">IF(H53&gt;MAX(I53:J53),$E$2,IF(I53&gt;J53,$E$52,$E$102))</f>
        <v>versicolor</v>
      </c>
      <c r="G53" s="12" cm="1">
        <f t="array" ref="G53">R$7*EstymacjaGaussowska($A53,$A$2:$A$51,R$11)*EstymacjaGaussowska($B53,$B$2:$B$51,R$12)+S$7*EstymacjaGaussowska($A53,$C$52:$C$101,S$11)*EstymacjaGaussowska($B53,$D$52:$D$101,S$12)+T$7*EstymacjaGaussowska($A53,$C$102:$C$151,T$11)*EstymacjaGaussowska($B53,$D$102:$D$151,T$12)</f>
        <v>4.6314823103607926E-2</v>
      </c>
      <c r="H53" s="8" cm="1">
        <f t="array" ref="H53">R$7*EstymacjaGaussowska($A53,$A$2:$A$51,R$11)*EstymacjaGaussowska($B53,$B$2:$B$51,R$12)/$G53</f>
        <v>4.7788630580746057E-186</v>
      </c>
      <c r="I53" s="8" cm="1">
        <f t="array" ref="I53">S$7*EstymacjaGaussowska($A53,$A$52:$A$101,S$11)*EstymacjaGaussowska($B53,$B$52:$B$101,S$12)/$G53</f>
        <v>1.8383232306090249</v>
      </c>
      <c r="J53" s="114" cm="1">
        <f t="array" ref="J53">T$7*EstymacjaGaussowska($A53,$A$102:$A$151,T$11)*EstymacjaGaussowska($B53,$B$102:$B$151,T$12)/$G53</f>
        <v>0.87082303829548857</v>
      </c>
      <c r="K53" s="19" t="str">
        <f t="shared" ref="K53:K101" si="5">IF(M53&gt;MAX(N53:O53),$E$2,IF(N53&gt;O53,$E$52,$E$102))</f>
        <v>versicolor</v>
      </c>
      <c r="L53" s="12" cm="1">
        <f t="array" ref="L53">R$7*EstymacjaGaussowska($C53,$C$2:$C$51,R$11)*EstymacjaGaussowska($D53,$D$2:$D$51,R$12)*EstymacjaGaussowska($A53,$A$2:$A$51,R$15)*EstymacjaGaussowska($B53,$B$2:$B$51,R$16)+S$7*EstymacjaGaussowska($C53,$C$52:$C$101,S$11)*EstymacjaGaussowska($D53,$D$52:$D$101,S$12)*EstymacjaGaussowska($A53,$A$52:$A$101,S$15)*EstymacjaGaussowska($B53,$B$52:$B$101,S$16)+T$7*EstymacjaGaussowska($C53,$C$102:$C$151,T$11)*EstymacjaGaussowska($D53,$D$102:$D$151,T$12)*EstymacjaGaussowska($A53,$A$102:$A$151,T$15)*EstymacjaGaussowska($B53,$B$102:$B$151,T$16)</f>
        <v>0.26078186410484777</v>
      </c>
      <c r="M53" s="8" cm="1">
        <f t="array" ref="M53">R$7*EstymacjaGaussowska($C53,$C$2:$C$51,R$11)*EstymacjaGaussowska($D53,$D$2:$D$51,R$12)*EstymacjaGaussowska($A53,$A$2:$A$51,R$15)*EstymacjaGaussowska($B53,$B$2:$B$51,R$16)/$L$2</f>
        <v>0</v>
      </c>
      <c r="N53" s="8" cm="1">
        <f t="array" ref="N53">S$7*EstymacjaGaussowska($C53,$C$52:$C$101,S$11)*EstymacjaGaussowska($D53,$D$52:$D$101,S$12)*EstymacjaGaussowska($A53,$A$52:$A$101,S$15)*EstymacjaGaussowska($B53,$B$52:$B$101,S$16)/$L$2</f>
        <v>0.12911242138871579</v>
      </c>
      <c r="O53" s="34" cm="1">
        <f t="array" ref="O53">T$7*EstymacjaGaussowska($C53,$C$102:$C$151,T$11)*EstymacjaGaussowska($D53,$D$102:$D$151,T$12)*EstymacjaGaussowska($A53,$A$102:$A$151,T$15)*EstymacjaGaussowska($B53,$B$102:$B$151,T$16)/$L$2</f>
        <v>9.7343054018118203E-3</v>
      </c>
    </row>
    <row r="54" spans="1:15" x14ac:dyDescent="0.25">
      <c r="A54" s="25">
        <v>1.4643023219913931</v>
      </c>
      <c r="B54" s="8">
        <v>0.50426281530920403</v>
      </c>
      <c r="C54" s="8">
        <v>0.33832576498089634</v>
      </c>
      <c r="D54" s="13">
        <v>-1.6531758730365664E-3</v>
      </c>
      <c r="E54" s="25" t="s">
        <v>6</v>
      </c>
      <c r="F54" s="19" t="str">
        <f t="shared" si="4"/>
        <v>virginica</v>
      </c>
      <c r="G54" s="12" cm="1">
        <f t="array" ref="G54">R$7*EstymacjaGaussowska($A54,$A$2:$A$51,R$11)*EstymacjaGaussowska($B54,$B$2:$B$51,R$12)+S$7*EstymacjaGaussowska($A54,$C$52:$C$101,S$11)*EstymacjaGaussowska($B54,$D$52:$D$101,S$12)+T$7*EstymacjaGaussowska($A54,$C$102:$C$151,T$11)*EstymacjaGaussowska($B54,$D$102:$D$151,T$12)</f>
        <v>4.3131007260059168E-4</v>
      </c>
      <c r="H54" s="8" cm="1">
        <f t="array" ref="H54">R$7*EstymacjaGaussowska($A54,$A$2:$A$51,R$11)*EstymacjaGaussowska($B54,$B$2:$B$51,R$12)/$G54</f>
        <v>2.990552414362061E-252</v>
      </c>
      <c r="I54" s="8" cm="1">
        <f t="array" ref="I54">S$7*EstymacjaGaussowska($A54,$A$52:$A$101,S$11)*EstymacjaGaussowska($B54,$B$52:$B$101,S$12)/$G54</f>
        <v>60.402875721721465</v>
      </c>
      <c r="J54" s="114" cm="1">
        <f t="array" ref="J54">T$7*EstymacjaGaussowska($A54,$A$102:$A$151,T$11)*EstymacjaGaussowska($B54,$B$102:$B$151,T$12)/$G54</f>
        <v>184.82049654175398</v>
      </c>
      <c r="K54" s="19" t="str">
        <f t="shared" si="5"/>
        <v>virginica</v>
      </c>
      <c r="L54" s="12" cm="1">
        <f t="array" ref="L54">R$7*EstymacjaGaussowska($C54,$C$2:$C$51,R$11)*EstymacjaGaussowska($D54,$D$2:$D$51,R$12)*EstymacjaGaussowska($A54,$A$2:$A$51,R$15)*EstymacjaGaussowska($B54,$B$2:$B$51,R$16)+S$7*EstymacjaGaussowska($C54,$C$52:$C$101,S$11)*EstymacjaGaussowska($D54,$D$52:$D$101,S$12)*EstymacjaGaussowska($A54,$A$52:$A$101,S$15)*EstymacjaGaussowska($B54,$B$52:$B$101,S$16)+T$7*EstymacjaGaussowska($C54,$C$102:$C$151,T$11)*EstymacjaGaussowska($D54,$D$102:$D$151,T$12)*EstymacjaGaussowska($A54,$A$102:$A$151,T$15)*EstymacjaGaussowska($B54,$B$102:$B$151,T$16)</f>
        <v>9.8964058795048257E-2</v>
      </c>
      <c r="M54" s="8" cm="1">
        <f t="array" ref="M54">R$7*EstymacjaGaussowska($C54,$C$2:$C$51,R$11)*EstymacjaGaussowska($D54,$D$2:$D$51,R$12)*EstymacjaGaussowska($A54,$A$2:$A$51,R$15)*EstymacjaGaussowska($B54,$B$2:$B$51,R$16)/$L$2</f>
        <v>0</v>
      </c>
      <c r="N54" s="8" cm="1">
        <f t="array" ref="N54">S$7*EstymacjaGaussowska($C54,$C$52:$C$101,S$11)*EstymacjaGaussowska($D54,$D$52:$D$101,S$12)*EstymacjaGaussowska($A54,$A$52:$A$101,S$15)*EstymacjaGaussowska($B54,$B$52:$B$101,S$16)/$L$2</f>
        <v>1.9062741449685353E-2</v>
      </c>
      <c r="O54" s="34" cm="1">
        <f t="array" ref="O54">T$7*EstymacjaGaussowska($C54,$C$102:$C$151,T$11)*EstymacjaGaussowska($D54,$D$102:$D$151,T$12)*EstymacjaGaussowska($A54,$A$102:$A$151,T$15)*EstymacjaGaussowska($B54,$B$102:$B$151,T$16)/$L$2</f>
        <v>3.3628175845365704E-2</v>
      </c>
    </row>
    <row r="55" spans="1:15" x14ac:dyDescent="0.25">
      <c r="A55" s="25">
        <v>0.18331771995837018</v>
      </c>
      <c r="B55" s="8">
        <v>-0.82795901182063225</v>
      </c>
      <c r="C55" s="8">
        <v>0.17959139187535564</v>
      </c>
      <c r="D55" s="13">
        <v>9.3566840236665019E-2</v>
      </c>
      <c r="E55" s="25" t="s">
        <v>6</v>
      </c>
      <c r="F55" s="19" t="str">
        <f t="shared" si="4"/>
        <v>versicolor</v>
      </c>
      <c r="G55" s="12" cm="1">
        <f t="array" ref="G55">R$7*EstymacjaGaussowska($A55,$A$2:$A$51,R$11)*EstymacjaGaussowska($B55,$B$2:$B$51,R$12)+S$7*EstymacjaGaussowska($A55,$C$52:$C$101,S$11)*EstymacjaGaussowska($B55,$D$52:$D$101,S$12)+T$7*EstymacjaGaussowska($A55,$C$102:$C$151,T$11)*EstymacjaGaussowska($B55,$D$102:$D$151,T$12)</f>
        <v>8.9840105515086883E-3</v>
      </c>
      <c r="H55" s="8" cm="1">
        <f t="array" ref="H55">R$7*EstymacjaGaussowska($A55,$A$2:$A$51,R$11)*EstymacjaGaussowska($B55,$B$2:$B$51,R$12)/$G55</f>
        <v>2.3954811752579773E-108</v>
      </c>
      <c r="I55" s="8" cm="1">
        <f t="array" ref="I55">S$7*EstymacjaGaussowska($A55,$A$52:$A$101,S$11)*EstymacjaGaussowska($B55,$B$52:$B$101,S$12)/$G55</f>
        <v>7.2549698373481073</v>
      </c>
      <c r="J55" s="114" cm="1">
        <f t="array" ref="J55">T$7*EstymacjaGaussowska($A55,$A$102:$A$151,T$11)*EstymacjaGaussowska($B55,$B$102:$B$151,T$12)/$G55</f>
        <v>0.10523503408887985</v>
      </c>
      <c r="K55" s="19" t="str">
        <f t="shared" si="5"/>
        <v>versicolor</v>
      </c>
      <c r="L55" s="12" cm="1">
        <f t="array" ref="L55">R$7*EstymacjaGaussowska($C55,$C$2:$C$51,R$11)*EstymacjaGaussowska($D55,$D$2:$D$51,R$12)*EstymacjaGaussowska($A55,$A$2:$A$51,R$15)*EstymacjaGaussowska($B55,$B$2:$B$51,R$16)+S$7*EstymacjaGaussowska($C55,$C$52:$C$101,S$11)*EstymacjaGaussowska($D55,$D$52:$D$101,S$12)*EstymacjaGaussowska($A55,$A$52:$A$101,S$15)*EstymacjaGaussowska($B55,$B$52:$B$101,S$16)+T$7*EstymacjaGaussowska($C55,$C$102:$C$151,T$11)*EstymacjaGaussowska($D55,$D$102:$D$151,T$12)*EstymacjaGaussowska($A55,$A$102:$A$151,T$15)*EstymacjaGaussowska($B55,$B$102:$B$151,T$16)</f>
        <v>8.4074698507870457E-2</v>
      </c>
      <c r="M55" s="8" cm="1">
        <f t="array" ref="M55">R$7*EstymacjaGaussowska($C55,$C$2:$C$51,R$11)*EstymacjaGaussowska($D55,$D$2:$D$51,R$12)*EstymacjaGaussowska($A55,$A$2:$A$51,R$15)*EstymacjaGaussowska($B55,$B$2:$B$51,R$16)/$L$2</f>
        <v>1.3249910900081681E-194</v>
      </c>
      <c r="N55" s="8" cm="1">
        <f t="array" ref="N55">S$7*EstymacjaGaussowska($C55,$C$52:$C$101,S$11)*EstymacjaGaussowska($D55,$D$52:$D$101,S$12)*EstymacjaGaussowska($A55,$A$52:$A$101,S$15)*EstymacjaGaussowska($B55,$B$52:$B$101,S$16)/$L$2</f>
        <v>4.4627738796694523E-2</v>
      </c>
      <c r="O55" s="34" cm="1">
        <f t="array" ref="O55">T$7*EstymacjaGaussowska($C55,$C$102:$C$151,T$11)*EstymacjaGaussowska($D55,$D$102:$D$151,T$12)*EstymacjaGaussowska($A55,$A$102:$A$151,T$15)*EstymacjaGaussowska($B55,$B$102:$B$151,T$16)/$L$2</f>
        <v>1.3571411360801532E-4</v>
      </c>
    </row>
    <row r="56" spans="1:15" x14ac:dyDescent="0.25">
      <c r="A56" s="25">
        <v>1.0881032577116649</v>
      </c>
      <c r="B56" s="8">
        <v>7.4590675197716241E-2</v>
      </c>
      <c r="C56" s="8">
        <v>0.30775789623478506</v>
      </c>
      <c r="D56" s="13">
        <v>0.11202057416360325</v>
      </c>
      <c r="E56" s="25" t="s">
        <v>6</v>
      </c>
      <c r="F56" s="19" t="str">
        <f t="shared" si="4"/>
        <v>versicolor</v>
      </c>
      <c r="G56" s="12" cm="1">
        <f t="array" ref="G56">R$7*EstymacjaGaussowska($A56,$A$2:$A$51,R$11)*EstymacjaGaussowska($B56,$B$2:$B$51,R$12)+S$7*EstymacjaGaussowska($A56,$C$52:$C$101,S$11)*EstymacjaGaussowska($B56,$D$52:$D$101,S$12)+T$7*EstymacjaGaussowska($A56,$C$102:$C$151,T$11)*EstymacjaGaussowska($B56,$D$102:$D$151,T$12)</f>
        <v>3.7303645846920128E-2</v>
      </c>
      <c r="H56" s="8" cm="1">
        <f t="array" ref="H56">R$7*EstymacjaGaussowska($A56,$A$2:$A$51,R$11)*EstymacjaGaussowska($B56,$B$2:$B$51,R$12)/$G56</f>
        <v>8.8041390798538874E-205</v>
      </c>
      <c r="I56" s="8" cm="1">
        <f t="array" ref="I56">S$7*EstymacjaGaussowska($A56,$A$52:$A$101,S$11)*EstymacjaGaussowska($B56,$B$52:$B$101,S$12)/$G56</f>
        <v>2.6326668286453665</v>
      </c>
      <c r="J56" s="114" cm="1">
        <f t="array" ref="J56">T$7*EstymacjaGaussowska($A56,$A$102:$A$151,T$11)*EstymacjaGaussowska($B56,$B$102:$B$151,T$12)/$G56</f>
        <v>1.7247896315237414</v>
      </c>
      <c r="K56" s="19" t="str">
        <f t="shared" si="5"/>
        <v>versicolor</v>
      </c>
      <c r="L56" s="12" cm="1">
        <f t="array" ref="L56">R$7*EstymacjaGaussowska($C56,$C$2:$C$51,R$11)*EstymacjaGaussowska($D56,$D$2:$D$51,R$12)*EstymacjaGaussowska($A56,$A$2:$A$51,R$15)*EstymacjaGaussowska($B56,$B$2:$B$51,R$16)+S$7*EstymacjaGaussowska($C56,$C$52:$C$101,S$11)*EstymacjaGaussowska($D56,$D$52:$D$101,S$12)*EstymacjaGaussowska($A56,$A$52:$A$101,S$15)*EstymacjaGaussowska($B56,$B$52:$B$101,S$16)+T$7*EstymacjaGaussowska($C56,$C$102:$C$151,T$11)*EstymacjaGaussowska($D56,$D$102:$D$151,T$12)*EstymacjaGaussowska($A56,$A$102:$A$151,T$15)*EstymacjaGaussowska($B56,$B$102:$B$151,T$16)</f>
        <v>0.12192611692484454</v>
      </c>
      <c r="M56" s="8" cm="1">
        <f t="array" ref="M56">R$7*EstymacjaGaussowska($C56,$C$2:$C$51,R$11)*EstymacjaGaussowska($D56,$D$2:$D$51,R$12)*EstymacjaGaussowska($A56,$A$2:$A$51,R$15)*EstymacjaGaussowska($B56,$B$2:$B$51,R$16)/$L$2</f>
        <v>0</v>
      </c>
      <c r="N56" s="8" cm="1">
        <f t="array" ref="N56">S$7*EstymacjaGaussowska($C56,$C$52:$C$101,S$11)*EstymacjaGaussowska($D56,$D$52:$D$101,S$12)*EstymacjaGaussowska($A56,$A$52:$A$101,S$15)*EstymacjaGaussowska($B56,$B$52:$B$101,S$16)/$L$2</f>
        <v>4.5584221165451924E-2</v>
      </c>
      <c r="O56" s="34" cm="1">
        <f t="array" ref="O56">T$7*EstymacjaGaussowska($C56,$C$102:$C$151,T$11)*EstymacjaGaussowska($D56,$D$102:$D$151,T$12)*EstymacjaGaussowska($A56,$A$102:$A$151,T$15)*EstymacjaGaussowska($B56,$B$102:$B$151,T$16)/$L$2</f>
        <v>1.933226489236483E-2</v>
      </c>
    </row>
    <row r="57" spans="1:15" x14ac:dyDescent="0.25">
      <c r="A57" s="25">
        <v>0.641669084258077</v>
      </c>
      <c r="B57" s="8">
        <v>-0.41824687156867935</v>
      </c>
      <c r="C57" s="8">
        <v>-4.1076090823956031E-2</v>
      </c>
      <c r="D57" s="13">
        <v>-0.24311676651292247</v>
      </c>
      <c r="E57" s="25" t="s">
        <v>6</v>
      </c>
      <c r="F57" s="19" t="str">
        <f t="shared" si="4"/>
        <v>versicolor</v>
      </c>
      <c r="G57" s="12" cm="1">
        <f t="array" ref="G57">R$7*EstymacjaGaussowska($A57,$A$2:$A$51,R$11)*EstymacjaGaussowska($B57,$B$2:$B$51,R$12)+S$7*EstymacjaGaussowska($A57,$C$52:$C$101,S$11)*EstymacjaGaussowska($B57,$D$52:$D$101,S$12)+T$7*EstymacjaGaussowska($A57,$C$102:$C$151,T$11)*EstymacjaGaussowska($B57,$D$102:$D$151,T$12)</f>
        <v>0.10297436363097362</v>
      </c>
      <c r="H57" s="8" cm="1">
        <f t="array" ref="H57">R$7*EstymacjaGaussowska($A57,$A$2:$A$51,R$11)*EstymacjaGaussowska($B57,$B$2:$B$51,R$12)/$G57</f>
        <v>6.6831832068593388E-154</v>
      </c>
      <c r="I57" s="8" cm="1">
        <f t="array" ref="I57">S$7*EstymacjaGaussowska($A57,$A$52:$A$101,S$11)*EstymacjaGaussowska($B57,$B$52:$B$101,S$12)/$G57</f>
        <v>1.5536063318778703</v>
      </c>
      <c r="J57" s="114" cm="1">
        <f t="array" ref="J57">T$7*EstymacjaGaussowska($A57,$A$102:$A$151,T$11)*EstymacjaGaussowska($B57,$B$102:$B$151,T$12)/$G57</f>
        <v>9.5282192262498053E-2</v>
      </c>
      <c r="K57" s="19" t="str">
        <f t="shared" si="5"/>
        <v>versicolor</v>
      </c>
      <c r="L57" s="12" cm="1">
        <f t="array" ref="L57">R$7*EstymacjaGaussowska($C57,$C$2:$C$51,R$11)*EstymacjaGaussowska($D57,$D$2:$D$51,R$12)*EstymacjaGaussowska($A57,$A$2:$A$51,R$15)*EstymacjaGaussowska($B57,$B$2:$B$51,R$16)+S$7*EstymacjaGaussowska($C57,$C$52:$C$101,S$11)*EstymacjaGaussowska($D57,$D$52:$D$101,S$12)*EstymacjaGaussowska($A57,$A$52:$A$101,S$15)*EstymacjaGaussowska($B57,$B$52:$B$101,S$16)+T$7*EstymacjaGaussowska($C57,$C$102:$C$151,T$11)*EstymacjaGaussowska($D57,$D$102:$D$151,T$12)*EstymacjaGaussowska($A57,$A$102:$A$151,T$15)*EstymacjaGaussowska($B57,$B$102:$B$151,T$16)</f>
        <v>0.17251208509671112</v>
      </c>
      <c r="M57" s="8" cm="1">
        <f t="array" ref="M57">R$7*EstymacjaGaussowska($C57,$C$2:$C$51,R$11)*EstymacjaGaussowska($D57,$D$2:$D$51,R$12)*EstymacjaGaussowska($A57,$A$2:$A$51,R$15)*EstymacjaGaussowska($B57,$B$2:$B$51,R$16)/$L$2</f>
        <v>4.3718252947550218E-274</v>
      </c>
      <c r="N57" s="8" cm="1">
        <f t="array" ref="N57">S$7*EstymacjaGaussowska($C57,$C$52:$C$101,S$11)*EstymacjaGaussowska($D57,$D$52:$D$101,S$12)*EstymacjaGaussowska($A57,$A$52:$A$101,S$15)*EstymacjaGaussowska($B57,$B$52:$B$101,S$16)/$L$2</f>
        <v>9.0333481609269281E-2</v>
      </c>
      <c r="O57" s="34" cm="1">
        <f t="array" ref="O57">T$7*EstymacjaGaussowska($C57,$C$102:$C$151,T$11)*EstymacjaGaussowska($D57,$D$102:$D$151,T$12)*EstymacjaGaussowska($A57,$A$102:$A$151,T$15)*EstymacjaGaussowska($B57,$B$102:$B$151,T$16)/$L$2</f>
        <v>1.5162274558406452E-3</v>
      </c>
    </row>
    <row r="58" spans="1:15" x14ac:dyDescent="0.25">
      <c r="A58" s="25">
        <v>1.0950606626324459</v>
      </c>
      <c r="B58" s="8">
        <v>0.28346827006152869</v>
      </c>
      <c r="C58" s="8">
        <v>-0.1698102398605752</v>
      </c>
      <c r="D58" s="13">
        <v>-8.3556572423316378E-2</v>
      </c>
      <c r="E58" s="25" t="s">
        <v>6</v>
      </c>
      <c r="F58" s="19" t="str">
        <f t="shared" si="4"/>
        <v>versicolor</v>
      </c>
      <c r="G58" s="12" cm="1">
        <f t="array" ref="G58">R$7*EstymacjaGaussowska($A58,$A$2:$A$51,R$11)*EstymacjaGaussowska($B58,$B$2:$B$51,R$12)+S$7*EstymacjaGaussowska($A58,$C$52:$C$101,S$11)*EstymacjaGaussowska($B58,$D$52:$D$101,S$12)+T$7*EstymacjaGaussowska($A58,$C$102:$C$151,T$11)*EstymacjaGaussowska($B58,$D$102:$D$151,T$12)</f>
        <v>2.1097077119013142E-2</v>
      </c>
      <c r="H58" s="8" cm="1">
        <f t="array" ref="H58">R$7*EstymacjaGaussowska($A58,$A$2:$A$51,R$11)*EstymacjaGaussowska($B58,$B$2:$B$51,R$12)/$G58</f>
        <v>2.1239438145506564E-205</v>
      </c>
      <c r="I58" s="8" cm="1">
        <f t="array" ref="I58">S$7*EstymacjaGaussowska($A58,$A$52:$A$101,S$11)*EstymacjaGaussowska($B58,$B$52:$B$101,S$12)/$G58</f>
        <v>3.8001965070784012</v>
      </c>
      <c r="J58" s="114" cm="1">
        <f t="array" ref="J58">T$7*EstymacjaGaussowska($A58,$A$102:$A$151,T$11)*EstymacjaGaussowska($B58,$B$102:$B$151,T$12)/$G58</f>
        <v>3.0399653965453508</v>
      </c>
      <c r="K58" s="19" t="str">
        <f t="shared" si="5"/>
        <v>versicolor</v>
      </c>
      <c r="L58" s="12" cm="1">
        <f t="array" ref="L58">R$7*EstymacjaGaussowska($C58,$C$2:$C$51,R$11)*EstymacjaGaussowska($D58,$D$2:$D$51,R$12)*EstymacjaGaussowska($A58,$A$2:$A$51,R$15)*EstymacjaGaussowska($B58,$B$2:$B$51,R$16)+S$7*EstymacjaGaussowska($C58,$C$52:$C$101,S$11)*EstymacjaGaussowska($D58,$D$52:$D$101,S$12)*EstymacjaGaussowska($A58,$A$52:$A$101,S$15)*EstymacjaGaussowska($B58,$B$52:$B$101,S$16)+T$7*EstymacjaGaussowska($C58,$C$102:$C$151,T$11)*EstymacjaGaussowska($D58,$D$102:$D$151,T$12)*EstymacjaGaussowska($A58,$A$102:$A$151,T$15)*EstymacjaGaussowska($B58,$B$102:$B$151,T$16)</f>
        <v>0.22944665379850482</v>
      </c>
      <c r="M58" s="8" cm="1">
        <f t="array" ref="M58">R$7*EstymacjaGaussowska($C58,$C$2:$C$51,R$11)*EstymacjaGaussowska($D58,$D$2:$D$51,R$12)*EstymacjaGaussowska($A58,$A$2:$A$51,R$15)*EstymacjaGaussowska($B58,$B$2:$B$51,R$16)/$L$2</f>
        <v>0</v>
      </c>
      <c r="N58" s="8" cm="1">
        <f t="array" ref="N58">S$7*EstymacjaGaussowska($C58,$C$52:$C$101,S$11)*EstymacjaGaussowska($D58,$D$52:$D$101,S$12)*EstymacjaGaussowska($A58,$A$52:$A$101,S$15)*EstymacjaGaussowska($B58,$B$52:$B$101,S$16)/$L$2</f>
        <v>8.4261679310096177E-2</v>
      </c>
      <c r="O58" s="34" cm="1">
        <f t="array" ref="O58">T$7*EstymacjaGaussowska($C58,$C$102:$C$151,T$11)*EstymacjaGaussowska($D58,$D$102:$D$151,T$12)*EstymacjaGaussowska($A58,$A$102:$A$151,T$15)*EstymacjaGaussowska($B58,$B$102:$B$151,T$16)/$L$2</f>
        <v>3.7901405006814944E-2</v>
      </c>
    </row>
    <row r="59" spans="1:15" x14ac:dyDescent="0.25">
      <c r="A59" s="25">
        <v>-0.74912266982965758</v>
      </c>
      <c r="B59" s="8">
        <v>-1.0048909611818957</v>
      </c>
      <c r="C59" s="8">
        <v>-1.2302919237594981E-2</v>
      </c>
      <c r="D59" s="13">
        <v>-1.7907722555302735E-2</v>
      </c>
      <c r="E59" s="25" t="s">
        <v>6</v>
      </c>
      <c r="F59" s="19" t="str">
        <f t="shared" si="4"/>
        <v>versicolor</v>
      </c>
      <c r="G59" s="12" cm="1">
        <f t="array" ref="G59">R$7*EstymacjaGaussowska($A59,$A$2:$A$51,R$11)*EstymacjaGaussowska($B59,$B$2:$B$51,R$12)+S$7*EstymacjaGaussowska($A59,$C$52:$C$101,S$11)*EstymacjaGaussowska($B59,$D$52:$D$101,S$12)+T$7*EstymacjaGaussowska($A59,$C$102:$C$151,T$11)*EstymacjaGaussowska($B59,$D$102:$D$151,T$12)</f>
        <v>6.2606207334062094E-4</v>
      </c>
      <c r="H59" s="8" cm="1">
        <f t="array" ref="H59">R$7*EstymacjaGaussowska($A59,$A$2:$A$51,R$11)*EstymacjaGaussowska($B59,$B$2:$B$51,R$12)/$G59</f>
        <v>5.1315134688048902E-40</v>
      </c>
      <c r="I59" s="8" cm="1">
        <f t="array" ref="I59">S$7*EstymacjaGaussowska($A59,$A$52:$A$101,S$11)*EstymacjaGaussowska($B59,$B$52:$B$101,S$12)/$G59</f>
        <v>14.077184016294581</v>
      </c>
      <c r="J59" s="114" cm="1">
        <f t="array" ref="J59">T$7*EstymacjaGaussowska($A59,$A$102:$A$151,T$11)*EstymacjaGaussowska($B59,$B$102:$B$151,T$12)/$G59</f>
        <v>1.2180094274427782E-3</v>
      </c>
      <c r="K59" s="19" t="str">
        <f t="shared" si="5"/>
        <v>versicolor</v>
      </c>
      <c r="L59" s="12" cm="1">
        <f t="array" ref="L59">R$7*EstymacjaGaussowska($C59,$C$2:$C$51,R$11)*EstymacjaGaussowska($D59,$D$2:$D$51,R$12)*EstymacjaGaussowska($A59,$A$2:$A$51,R$15)*EstymacjaGaussowska($B59,$B$2:$B$51,R$16)+S$7*EstymacjaGaussowska($C59,$C$52:$C$101,S$11)*EstymacjaGaussowska($D59,$D$52:$D$101,S$12)*EstymacjaGaussowska($A59,$A$52:$A$101,S$15)*EstymacjaGaussowska($B59,$B$52:$B$101,S$16)+T$7*EstymacjaGaussowska($C59,$C$102:$C$151,T$11)*EstymacjaGaussowska($D59,$D$102:$D$151,T$12)*EstymacjaGaussowska($A59,$A$102:$A$151,T$15)*EstymacjaGaussowska($B59,$B$102:$B$151,T$16)</f>
        <v>2.1806691677536523E-2</v>
      </c>
      <c r="M59" s="8" cm="1">
        <f t="array" ref="M59">R$7*EstymacjaGaussowska($C59,$C$2:$C$51,R$11)*EstymacjaGaussowska($D59,$D$2:$D$51,R$12)*EstymacjaGaussowska($A59,$A$2:$A$51,R$15)*EstymacjaGaussowska($B59,$B$2:$B$51,R$16)/$L$2</f>
        <v>8.7584628894533362E-74</v>
      </c>
      <c r="N59" s="8" cm="1">
        <f t="array" ref="N59">S$7*EstymacjaGaussowska($C59,$C$52:$C$101,S$11)*EstymacjaGaussowska($D59,$D$52:$D$101,S$12)*EstymacjaGaussowska($A59,$A$52:$A$101,S$15)*EstymacjaGaussowska($B59,$B$52:$B$101,S$16)/$L$2</f>
        <v>1.1610423032864168E-2</v>
      </c>
      <c r="O59" s="34" cm="1">
        <f t="array" ref="O59">T$7*EstymacjaGaussowska($C59,$C$102:$C$151,T$11)*EstymacjaGaussowska($D59,$D$102:$D$151,T$12)*EstymacjaGaussowska($A59,$A$102:$A$151,T$15)*EstymacjaGaussowska($B59,$B$102:$B$151,T$16)/$L$2</f>
        <v>3.0833949582553708E-17</v>
      </c>
    </row>
    <row r="60" spans="1:15" x14ac:dyDescent="0.25">
      <c r="A60" s="25">
        <v>1.0441318260534347</v>
      </c>
      <c r="B60" s="8">
        <v>0.22836189978839538</v>
      </c>
      <c r="C60" s="8">
        <v>0.41533608475939765</v>
      </c>
      <c r="D60" s="13">
        <v>-3.9134501965421523E-2</v>
      </c>
      <c r="E60" s="25" t="s">
        <v>6</v>
      </c>
      <c r="F60" s="19" t="str">
        <f t="shared" si="4"/>
        <v>versicolor</v>
      </c>
      <c r="G60" s="12" cm="1">
        <f t="array" ref="G60">R$7*EstymacjaGaussowska($A60,$A$2:$A$51,R$11)*EstymacjaGaussowska($B60,$B$2:$B$51,R$12)+S$7*EstymacjaGaussowska($A60,$C$52:$C$101,S$11)*EstymacjaGaussowska($B60,$D$52:$D$101,S$12)+T$7*EstymacjaGaussowska($A60,$C$102:$C$151,T$11)*EstymacjaGaussowska($B60,$D$102:$D$151,T$12)</f>
        <v>3.5136596417571865E-2</v>
      </c>
      <c r="H60" s="8" cm="1">
        <f t="array" ref="H60">R$7*EstymacjaGaussowska($A60,$A$2:$A$51,R$11)*EstymacjaGaussowska($B60,$B$2:$B$51,R$12)/$G60</f>
        <v>2.4610566968707572E-199</v>
      </c>
      <c r="I60" s="8" cm="1">
        <f t="array" ref="I60">S$7*EstymacjaGaussowska($A60,$A$52:$A$101,S$11)*EstymacjaGaussowska($B60,$B$52:$B$101,S$12)/$G60</f>
        <v>2.5293967601257039</v>
      </c>
      <c r="J60" s="114" cm="1">
        <f t="array" ref="J60">T$7*EstymacjaGaussowska($A60,$A$102:$A$151,T$11)*EstymacjaGaussowska($B60,$B$102:$B$151,T$12)/$G60</f>
        <v>1.6549893947157197</v>
      </c>
      <c r="K60" s="19" t="str">
        <f t="shared" si="5"/>
        <v>versicolor</v>
      </c>
      <c r="L60" s="12" cm="1">
        <f t="array" ref="L60">R$7*EstymacjaGaussowska($C60,$C$2:$C$51,R$11)*EstymacjaGaussowska($D60,$D$2:$D$51,R$12)*EstymacjaGaussowska($A60,$A$2:$A$51,R$15)*EstymacjaGaussowska($B60,$B$2:$B$51,R$16)+S$7*EstymacjaGaussowska($C60,$C$52:$C$101,S$11)*EstymacjaGaussowska($D60,$D$52:$D$101,S$12)*EstymacjaGaussowska($A60,$A$52:$A$101,S$15)*EstymacjaGaussowska($B60,$B$52:$B$101,S$16)+T$7*EstymacjaGaussowska($C60,$C$102:$C$151,T$11)*EstymacjaGaussowska($D60,$D$102:$D$151,T$12)*EstymacjaGaussowska($A60,$A$102:$A$151,T$15)*EstymacjaGaussowska($B60,$B$102:$B$151,T$16)</f>
        <v>0.21175893057494674</v>
      </c>
      <c r="M60" s="8" cm="1">
        <f t="array" ref="M60">R$7*EstymacjaGaussowska($C60,$C$2:$C$51,R$11)*EstymacjaGaussowska($D60,$D$2:$D$51,R$12)*EstymacjaGaussowska($A60,$A$2:$A$51,R$15)*EstymacjaGaussowska($B60,$B$2:$B$51,R$16)/$L$2</f>
        <v>0</v>
      </c>
      <c r="N60" s="8" cm="1">
        <f t="array" ref="N60">S$7*EstymacjaGaussowska($C60,$C$52:$C$101,S$11)*EstymacjaGaussowska($D60,$D$52:$D$101,S$12)*EstymacjaGaussowska($A60,$A$52:$A$101,S$15)*EstymacjaGaussowska($B60,$B$52:$B$101,S$16)/$L$2</f>
        <v>9.8001888694080108E-2</v>
      </c>
      <c r="O60" s="34" cm="1">
        <f t="array" ref="O60">T$7*EstymacjaGaussowska($C60,$C$102:$C$151,T$11)*EstymacjaGaussowska($D60,$D$102:$D$151,T$12)*EstymacjaGaussowska($A60,$A$102:$A$151,T$15)*EstymacjaGaussowska($B60,$B$102:$B$151,T$16)/$L$2</f>
        <v>1.4743813465533254E-2</v>
      </c>
    </row>
    <row r="61" spans="1:15" x14ac:dyDescent="0.25">
      <c r="A61" s="25">
        <v>-8.7454040828963547E-3</v>
      </c>
      <c r="B61" s="8">
        <v>-0.7230819050048346</v>
      </c>
      <c r="C61" s="8">
        <v>-0.28114143117640961</v>
      </c>
      <c r="D61" s="13">
        <v>-5.6189178751120672E-3</v>
      </c>
      <c r="E61" s="25" t="s">
        <v>6</v>
      </c>
      <c r="F61" s="19" t="str">
        <f t="shared" si="4"/>
        <v>versicolor</v>
      </c>
      <c r="G61" s="12" cm="1">
        <f t="array" ref="G61">R$7*EstymacjaGaussowska($A61,$A$2:$A$51,R$11)*EstymacjaGaussowska($B61,$B$2:$B$51,R$12)+S$7*EstymacjaGaussowska($A61,$C$52:$C$101,S$11)*EstymacjaGaussowska($B61,$D$52:$D$101,S$12)+T$7*EstymacjaGaussowska($A61,$C$102:$C$151,T$11)*EstymacjaGaussowska($B61,$D$102:$D$151,T$12)</f>
        <v>2.7213699391125699E-2</v>
      </c>
      <c r="H61" s="8" cm="1">
        <f t="array" ref="H61">R$7*EstymacjaGaussowska($A61,$A$2:$A$51,R$11)*EstymacjaGaussowska($B61,$B$2:$B$51,R$12)/$G61</f>
        <v>4.4388586262678646E-92</v>
      </c>
      <c r="I61" s="8" cm="1">
        <f t="array" ref="I61">S$7*EstymacjaGaussowska($A61,$A$52:$A$101,S$11)*EstymacjaGaussowska($B61,$B$52:$B$101,S$12)/$G61</f>
        <v>2.5078741378182463</v>
      </c>
      <c r="J61" s="114" cm="1">
        <f t="array" ref="J61">T$7*EstymacjaGaussowska($A61,$A$102:$A$151,T$11)*EstymacjaGaussowska($B61,$B$102:$B$151,T$12)/$G61</f>
        <v>2.2005901700269007E-2</v>
      </c>
      <c r="K61" s="19" t="str">
        <f t="shared" si="5"/>
        <v>versicolor</v>
      </c>
      <c r="L61" s="12" cm="1">
        <f t="array" ref="L61">R$7*EstymacjaGaussowska($C61,$C$2:$C$51,R$11)*EstymacjaGaussowska($D61,$D$2:$D$51,R$12)*EstymacjaGaussowska($A61,$A$2:$A$51,R$15)*EstymacjaGaussowska($B61,$B$2:$B$51,R$16)+S$7*EstymacjaGaussowska($C61,$C$52:$C$101,S$11)*EstymacjaGaussowska($D61,$D$52:$D$101,S$12)*EstymacjaGaussowska($A61,$A$52:$A$101,S$15)*EstymacjaGaussowska($B61,$B$52:$B$101,S$16)+T$7*EstymacjaGaussowska($C61,$C$102:$C$151,T$11)*EstymacjaGaussowska($D61,$D$102:$D$151,T$12)*EstymacjaGaussowska($A61,$A$102:$A$151,T$15)*EstymacjaGaussowska($B61,$B$102:$B$151,T$16)</f>
        <v>7.8664726635780474E-2</v>
      </c>
      <c r="M61" s="8" cm="1">
        <f t="array" ref="M61">R$7*EstymacjaGaussowska($C61,$C$2:$C$51,R$11)*EstymacjaGaussowska($D61,$D$2:$D$51,R$12)*EstymacjaGaussowska($A61,$A$2:$A$51,R$15)*EstymacjaGaussowska($B61,$B$2:$B$51,R$16)/$L$2</f>
        <v>1.091216545966484E-165</v>
      </c>
      <c r="N61" s="8" cm="1">
        <f t="array" ref="N61">S$7*EstymacjaGaussowska($C61,$C$52:$C$101,S$11)*EstymacjaGaussowska($D61,$D$52:$D$101,S$12)*EstymacjaGaussowska($A61,$A$52:$A$101,S$15)*EstymacjaGaussowska($B61,$B$52:$B$101,S$16)/$L$2</f>
        <v>4.1869747105785796E-2</v>
      </c>
      <c r="O61" s="34" cm="1">
        <f t="array" ref="O61">T$7*EstymacjaGaussowska($C61,$C$102:$C$151,T$11)*EstymacjaGaussowska($D61,$D$102:$D$151,T$12)*EstymacjaGaussowska($A61,$A$102:$A$151,T$15)*EstymacjaGaussowska($B61,$B$102:$B$151,T$16)/$L$2</f>
        <v>1.3302717258677007E-5</v>
      </c>
    </row>
    <row r="62" spans="1:15" x14ac:dyDescent="0.25">
      <c r="A62" s="25">
        <v>-0.50784088383532611</v>
      </c>
      <c r="B62" s="8">
        <v>-1.2659711905263937</v>
      </c>
      <c r="C62" s="8">
        <v>0.26981718276885303</v>
      </c>
      <c r="D62" s="13">
        <v>4.5562440802620147E-2</v>
      </c>
      <c r="E62" s="25" t="s">
        <v>6</v>
      </c>
      <c r="F62" s="19" t="str">
        <f t="shared" si="4"/>
        <v>versicolor</v>
      </c>
      <c r="G62" s="12" cm="1">
        <f t="array" ref="G62">R$7*EstymacjaGaussowska($A62,$A$2:$A$51,R$11)*EstymacjaGaussowska($B62,$B$2:$B$51,R$12)+S$7*EstymacjaGaussowska($A62,$C$52:$C$101,S$11)*EstymacjaGaussowska($B62,$D$52:$D$101,S$12)+T$7*EstymacjaGaussowska($A62,$C$102:$C$151,T$11)*EstymacjaGaussowska($B62,$D$102:$D$151,T$12)</f>
        <v>4.0263795894707924E-5</v>
      </c>
      <c r="H62" s="8" cm="1">
        <f t="array" ref="H62">R$7*EstymacjaGaussowska($A62,$A$2:$A$51,R$11)*EstymacjaGaussowska($B62,$B$2:$B$51,R$12)/$G62</f>
        <v>1.0835485210133759E-53</v>
      </c>
      <c r="I62" s="8" cm="1">
        <f t="array" ref="I62">S$7*EstymacjaGaussowska($A62,$A$52:$A$101,S$11)*EstymacjaGaussowska($B62,$B$52:$B$101,S$12)/$G62</f>
        <v>113.67269788704237</v>
      </c>
      <c r="J62" s="114" cm="1">
        <f t="array" ref="J62">T$7*EstymacjaGaussowska($A62,$A$102:$A$151,T$11)*EstymacjaGaussowska($B62,$B$102:$B$151,T$12)/$G62</f>
        <v>8.7418155480038354E-2</v>
      </c>
      <c r="K62" s="19" t="str">
        <f t="shared" si="5"/>
        <v>versicolor</v>
      </c>
      <c r="L62" s="12" cm="1">
        <f t="array" ref="L62">R$7*EstymacjaGaussowska($C62,$C$2:$C$51,R$11)*EstymacjaGaussowska($D62,$D$2:$D$51,R$12)*EstymacjaGaussowska($A62,$A$2:$A$51,R$15)*EstymacjaGaussowska($B62,$B$2:$B$51,R$16)+S$7*EstymacjaGaussowska($C62,$C$52:$C$101,S$11)*EstymacjaGaussowska($D62,$D$52:$D$101,S$12)*EstymacjaGaussowska($A62,$A$52:$A$101,S$15)*EstymacjaGaussowska($B62,$B$52:$B$101,S$16)+T$7*EstymacjaGaussowska($C62,$C$102:$C$151,T$11)*EstymacjaGaussowska($D62,$D$102:$D$151,T$12)*EstymacjaGaussowska($A62,$A$102:$A$151,T$15)*EstymacjaGaussowska($B62,$B$102:$B$151,T$16)</f>
        <v>7.6000544224822802E-3</v>
      </c>
      <c r="M62" s="8" cm="1">
        <f t="array" ref="M62">R$7*EstymacjaGaussowska($C62,$C$2:$C$51,R$11)*EstymacjaGaussowska($D62,$D$2:$D$51,R$12)*EstymacjaGaussowska($A62,$A$2:$A$51,R$15)*EstymacjaGaussowska($B62,$B$2:$B$51,R$16)/$L$2</f>
        <v>6.7617232356297339E-106</v>
      </c>
      <c r="N62" s="8" cm="1">
        <f t="array" ref="N62">S$7*EstymacjaGaussowska($C62,$C$52:$C$101,S$11)*EstymacjaGaussowska($D62,$D$52:$D$101,S$12)*EstymacjaGaussowska($A62,$A$52:$A$101,S$15)*EstymacjaGaussowska($B62,$B$52:$B$101,S$16)/$L$2</f>
        <v>4.0464573070557739E-3</v>
      </c>
      <c r="O62" s="34" cm="1">
        <f t="array" ref="O62">T$7*EstymacjaGaussowska($C62,$C$102:$C$151,T$11)*EstymacjaGaussowska($D62,$D$102:$D$151,T$12)*EstymacjaGaussowska($A62,$A$102:$A$151,T$15)*EstymacjaGaussowska($B62,$B$102:$B$151,T$16)/$L$2</f>
        <v>1.6751600110908192E-12</v>
      </c>
    </row>
    <row r="63" spans="1:15" x14ac:dyDescent="0.25">
      <c r="A63" s="25">
        <v>0.51169855744759685</v>
      </c>
      <c r="B63" s="8">
        <v>-0.10398123549904061</v>
      </c>
      <c r="C63" s="8">
        <v>-0.13054775024048598</v>
      </c>
      <c r="D63" s="13">
        <v>5.071923248584545E-2</v>
      </c>
      <c r="E63" s="25" t="s">
        <v>6</v>
      </c>
      <c r="F63" s="19" t="str">
        <f t="shared" si="4"/>
        <v>versicolor</v>
      </c>
      <c r="G63" s="12" cm="1">
        <f t="array" ref="G63">R$7*EstymacjaGaussowska($A63,$A$2:$A$51,R$11)*EstymacjaGaussowska($B63,$B$2:$B$51,R$12)+S$7*EstymacjaGaussowska($A63,$C$52:$C$101,S$11)*EstymacjaGaussowska($B63,$D$52:$D$101,S$12)+T$7*EstymacjaGaussowska($A63,$C$102:$C$151,T$11)*EstymacjaGaussowska($B63,$D$102:$D$151,T$12)</f>
        <v>0.47101594321793161</v>
      </c>
      <c r="H63" s="8" cm="1">
        <f t="array" ref="H63">R$7*EstymacjaGaussowska($A63,$A$2:$A$51,R$11)*EstymacjaGaussowska($B63,$B$2:$B$51,R$12)/$G63</f>
        <v>1.0276910794678109E-140</v>
      </c>
      <c r="I63" s="8" cm="1">
        <f t="array" ref="I63">S$7*EstymacjaGaussowska($A63,$A$52:$A$101,S$11)*EstymacjaGaussowska($B63,$B$52:$B$101,S$12)/$G63</f>
        <v>0.28578878868318186</v>
      </c>
      <c r="J63" s="114" cm="1">
        <f t="array" ref="J63">T$7*EstymacjaGaussowska($A63,$A$102:$A$151,T$11)*EstymacjaGaussowska($B63,$B$102:$B$151,T$12)/$G63</f>
        <v>2.0859253563605362E-2</v>
      </c>
      <c r="K63" s="19" t="str">
        <f t="shared" si="5"/>
        <v>versicolor</v>
      </c>
      <c r="L63" s="12" cm="1">
        <f t="array" ref="L63">R$7*EstymacjaGaussowska($C63,$C$2:$C$51,R$11)*EstymacjaGaussowska($D63,$D$2:$D$51,R$12)*EstymacjaGaussowska($A63,$A$2:$A$51,R$15)*EstymacjaGaussowska($B63,$B$2:$B$51,R$16)+S$7*EstymacjaGaussowska($C63,$C$52:$C$101,S$11)*EstymacjaGaussowska($D63,$D$52:$D$101,S$12)*EstymacjaGaussowska($A63,$A$52:$A$101,S$15)*EstymacjaGaussowska($B63,$B$52:$B$101,S$16)+T$7*EstymacjaGaussowska($C63,$C$102:$C$151,T$11)*EstymacjaGaussowska($D63,$D$102:$D$151,T$12)*EstymacjaGaussowska($A63,$A$102:$A$151,T$15)*EstymacjaGaussowska($B63,$B$102:$B$151,T$16)</f>
        <v>0.16555247582523908</v>
      </c>
      <c r="M63" s="8" cm="1">
        <f t="array" ref="M63">R$7*EstymacjaGaussowska($C63,$C$2:$C$51,R$11)*EstymacjaGaussowska($D63,$D$2:$D$51,R$12)*EstymacjaGaussowska($A63,$A$2:$A$51,R$15)*EstymacjaGaussowska($B63,$B$2:$B$51,R$16)/$L$2</f>
        <v>4.5672691918754477E-249</v>
      </c>
      <c r="N63" s="8" cm="1">
        <f t="array" ref="N63">S$7*EstymacjaGaussowska($C63,$C$52:$C$101,S$11)*EstymacjaGaussowska($D63,$D$52:$D$101,S$12)*EstymacjaGaussowska($A63,$A$52:$A$101,S$15)*EstymacjaGaussowska($B63,$B$52:$B$101,S$16)/$L$2</f>
        <v>8.1168675835155163E-2</v>
      </c>
      <c r="O63" s="34" cm="1">
        <f t="array" ref="O63">T$7*EstymacjaGaussowska($C63,$C$102:$C$151,T$11)*EstymacjaGaussowska($D63,$D$102:$D$151,T$12)*EstymacjaGaussowska($A63,$A$102:$A$151,T$15)*EstymacjaGaussowska($B63,$B$102:$B$151,T$16)/$L$2</f>
        <v>6.9755647902614527E-3</v>
      </c>
    </row>
    <row r="64" spans="1:15" x14ac:dyDescent="0.25">
      <c r="A64" s="25">
        <v>0.26497650811204604</v>
      </c>
      <c r="B64" s="8">
        <v>-0.55003646368047476</v>
      </c>
      <c r="C64" s="8">
        <v>0.69414683014441925</v>
      </c>
      <c r="D64" s="13">
        <v>5.7185519476051855E-2</v>
      </c>
      <c r="E64" s="25" t="s">
        <v>6</v>
      </c>
      <c r="F64" s="19" t="str">
        <f t="shared" si="4"/>
        <v>versicolor</v>
      </c>
      <c r="G64" s="12" cm="1">
        <f t="array" ref="G64">R$7*EstymacjaGaussowska($A64,$A$2:$A$51,R$11)*EstymacjaGaussowska($B64,$B$2:$B$51,R$12)+S$7*EstymacjaGaussowska($A64,$C$52:$C$101,S$11)*EstymacjaGaussowska($B64,$D$52:$D$101,S$12)+T$7*EstymacjaGaussowska($A64,$C$102:$C$151,T$11)*EstymacjaGaussowska($B64,$D$102:$D$151,T$12)</f>
        <v>9.9197175861712797E-2</v>
      </c>
      <c r="H64" s="8" cm="1">
        <f t="array" ref="H64">R$7*EstymacjaGaussowska($A64,$A$2:$A$51,R$11)*EstymacjaGaussowska($B64,$B$2:$B$51,R$12)/$G64</f>
        <v>2.2189195800122024E-116</v>
      </c>
      <c r="I64" s="8" cm="1">
        <f t="array" ref="I64">S$7*EstymacjaGaussowska($A64,$A$52:$A$101,S$11)*EstymacjaGaussowska($B64,$B$52:$B$101,S$12)/$G64</f>
        <v>1.2899092591768389</v>
      </c>
      <c r="J64" s="114" cm="1">
        <f t="array" ref="J64">T$7*EstymacjaGaussowska($A64,$A$102:$A$151,T$11)*EstymacjaGaussowska($B64,$B$102:$B$151,T$12)/$G64</f>
        <v>2.5535730811761814E-2</v>
      </c>
      <c r="K64" s="19" t="str">
        <f t="shared" si="5"/>
        <v>versicolor</v>
      </c>
      <c r="L64" s="12" cm="1">
        <f t="array" ref="L64">R$7*EstymacjaGaussowska($C64,$C$2:$C$51,R$11)*EstymacjaGaussowska($D64,$D$2:$D$51,R$12)*EstymacjaGaussowska($A64,$A$2:$A$51,R$15)*EstymacjaGaussowska($B64,$B$2:$B$51,R$16)+S$7*EstymacjaGaussowska($C64,$C$52:$C$101,S$11)*EstymacjaGaussowska($D64,$D$52:$D$101,S$12)*EstymacjaGaussowska($A64,$A$52:$A$101,S$15)*EstymacjaGaussowska($B64,$B$52:$B$101,S$16)+T$7*EstymacjaGaussowska($C64,$C$102:$C$151,T$11)*EstymacjaGaussowska($D64,$D$102:$D$151,T$12)*EstymacjaGaussowska($A64,$A$102:$A$151,T$15)*EstymacjaGaussowska($B64,$B$102:$B$151,T$16)</f>
        <v>7.9766177816119874E-2</v>
      </c>
      <c r="M64" s="8" cm="1">
        <f t="array" ref="M64">R$7*EstymacjaGaussowska($C64,$C$2:$C$51,R$11)*EstymacjaGaussowska($D64,$D$2:$D$51,R$12)*EstymacjaGaussowska($A64,$A$2:$A$51,R$15)*EstymacjaGaussowska($B64,$B$2:$B$51,R$16)/$L$2</f>
        <v>3.6280918613359289E-210</v>
      </c>
      <c r="N64" s="8" cm="1">
        <f t="array" ref="N64">S$7*EstymacjaGaussowska($C64,$C$52:$C$101,S$11)*EstymacjaGaussowska($D64,$D$52:$D$101,S$12)*EstymacjaGaussowska($A64,$A$52:$A$101,S$15)*EstymacjaGaussowska($B64,$B$52:$B$101,S$16)/$L$2</f>
        <v>4.2158658081672261E-2</v>
      </c>
      <c r="O64" s="34" cm="1">
        <f t="array" ref="O64">T$7*EstymacjaGaussowska($C64,$C$102:$C$151,T$11)*EstymacjaGaussowska($D64,$D$102:$D$151,T$12)*EstymacjaGaussowska($A64,$A$102:$A$151,T$15)*EstymacjaGaussowska($B64,$B$102:$B$151,T$16)/$L$2</f>
        <v>3.108316444484567E-4</v>
      </c>
    </row>
    <row r="65" spans="1:15" x14ac:dyDescent="0.25">
      <c r="A65" s="25">
        <v>0.98493451047088953</v>
      </c>
      <c r="B65" s="8">
        <v>-0.12481785412635786</v>
      </c>
      <c r="C65" s="8">
        <v>6.2114408322261047E-2</v>
      </c>
      <c r="D65" s="13">
        <v>-0.16949625459046827</v>
      </c>
      <c r="E65" s="25" t="s">
        <v>6</v>
      </c>
      <c r="F65" s="19" t="str">
        <f t="shared" si="4"/>
        <v>versicolor</v>
      </c>
      <c r="G65" s="12" cm="1">
        <f t="array" ref="G65">R$7*EstymacjaGaussowska($A65,$A$2:$A$51,R$11)*EstymacjaGaussowska($B65,$B$2:$B$51,R$12)+S$7*EstymacjaGaussowska($A65,$C$52:$C$101,S$11)*EstymacjaGaussowska($B65,$D$52:$D$101,S$12)+T$7*EstymacjaGaussowska($A65,$C$102:$C$151,T$11)*EstymacjaGaussowska($B65,$D$102:$D$151,T$12)</f>
        <v>6.5207103015741133E-2</v>
      </c>
      <c r="H65" s="8" cm="1">
        <f t="array" ref="H65">R$7*EstymacjaGaussowska($A65,$A$2:$A$51,R$11)*EstymacjaGaussowska($B65,$B$2:$B$51,R$12)/$G65</f>
        <v>1.7729574233609344E-192</v>
      </c>
      <c r="I65" s="8" cm="1">
        <f t="array" ref="I65">S$7*EstymacjaGaussowska($A65,$A$52:$A$101,S$11)*EstymacjaGaussowska($B65,$B$52:$B$101,S$12)/$G65</f>
        <v>2.0709796808737297</v>
      </c>
      <c r="J65" s="114" cm="1">
        <f t="array" ref="J65">T$7*EstymacjaGaussowska($A65,$A$102:$A$151,T$11)*EstymacjaGaussowska($B65,$B$102:$B$151,T$12)/$G65</f>
        <v>0.67404267657169925</v>
      </c>
      <c r="K65" s="19" t="str">
        <f t="shared" si="5"/>
        <v>versicolor</v>
      </c>
      <c r="L65" s="12" cm="1">
        <f t="array" ref="L65">R$7*EstymacjaGaussowska($C65,$C$2:$C$51,R$11)*EstymacjaGaussowska($D65,$D$2:$D$51,R$12)*EstymacjaGaussowska($A65,$A$2:$A$51,R$15)*EstymacjaGaussowska($B65,$B$2:$B$51,R$16)+S$7*EstymacjaGaussowska($C65,$C$52:$C$101,S$11)*EstymacjaGaussowska($D65,$D$52:$D$101,S$12)*EstymacjaGaussowska($A65,$A$52:$A$101,S$15)*EstymacjaGaussowska($B65,$B$52:$B$101,S$16)+T$7*EstymacjaGaussowska($C65,$C$102:$C$151,T$11)*EstymacjaGaussowska($D65,$D$102:$D$151,T$12)*EstymacjaGaussowska($A65,$A$102:$A$151,T$15)*EstymacjaGaussowska($B65,$B$102:$B$151,T$16)</f>
        <v>0.25415063167034774</v>
      </c>
      <c r="M65" s="8" cm="1">
        <f t="array" ref="M65">R$7*EstymacjaGaussowska($C65,$C$2:$C$51,R$11)*EstymacjaGaussowska($D65,$D$2:$D$51,R$12)*EstymacjaGaussowska($A65,$A$2:$A$51,R$15)*EstymacjaGaussowska($B65,$B$2:$B$51,R$16)/$L$2</f>
        <v>0</v>
      </c>
      <c r="N65" s="8" cm="1">
        <f t="array" ref="N65">S$7*EstymacjaGaussowska($C65,$C$52:$C$101,S$11)*EstymacjaGaussowska($D65,$D$52:$D$101,S$12)*EstymacjaGaussowska($A65,$A$52:$A$101,S$15)*EstymacjaGaussowska($B65,$B$52:$B$101,S$16)/$L$2</f>
        <v>0.12489860555293038</v>
      </c>
      <c r="O65" s="34" cm="1">
        <f t="array" ref="O65">T$7*EstymacjaGaussowska($C65,$C$102:$C$151,T$11)*EstymacjaGaussowska($D65,$D$102:$D$151,T$12)*EstymacjaGaussowska($A65,$A$102:$A$151,T$15)*EstymacjaGaussowska($B65,$B$102:$B$151,T$16)/$L$2</f>
        <v>1.0417488763295521E-2</v>
      </c>
    </row>
    <row r="66" spans="1:15" x14ac:dyDescent="0.25">
      <c r="A66" s="25">
        <v>-0.1739253716817683</v>
      </c>
      <c r="B66" s="8">
        <v>-0.25485420870258935</v>
      </c>
      <c r="C66" s="8">
        <v>-9.045769072570424E-2</v>
      </c>
      <c r="D66" s="13">
        <v>0.1252172921252373</v>
      </c>
      <c r="E66" s="25" t="s">
        <v>6</v>
      </c>
      <c r="F66" s="19" t="str">
        <f t="shared" si="4"/>
        <v>versicolor</v>
      </c>
      <c r="G66" s="12" cm="1">
        <f t="array" ref="G66">R$7*EstymacjaGaussowska($A66,$A$2:$A$51,R$11)*EstymacjaGaussowska($B66,$B$2:$B$51,R$12)+S$7*EstymacjaGaussowska($A66,$C$52:$C$101,S$11)*EstymacjaGaussowska($B66,$D$52:$D$101,S$12)+T$7*EstymacjaGaussowska($A66,$C$102:$C$151,T$11)*EstymacjaGaussowska($B66,$D$102:$D$151,T$12)</f>
        <v>0.48891716547116182</v>
      </c>
      <c r="H66" s="8" cm="1">
        <f t="array" ref="H66">R$7*EstymacjaGaussowska($A66,$A$2:$A$51,R$11)*EstymacjaGaussowska($B66,$B$2:$B$51,R$12)/$G66</f>
        <v>1.5119579663899156E-79</v>
      </c>
      <c r="I66" s="8" cm="1">
        <f t="array" ref="I66">S$7*EstymacjaGaussowska($A66,$A$52:$A$101,S$11)*EstymacjaGaussowska($B66,$B$52:$B$101,S$12)/$G66</f>
        <v>0.16562365354639011</v>
      </c>
      <c r="J66" s="114" cm="1">
        <f t="array" ref="J66">T$7*EstymacjaGaussowska($A66,$A$102:$A$151,T$11)*EstymacjaGaussowska($B66,$B$102:$B$151,T$12)/$G66</f>
        <v>1.2527142653981473E-3</v>
      </c>
      <c r="K66" s="19" t="str">
        <f t="shared" si="5"/>
        <v>versicolor</v>
      </c>
      <c r="L66" s="12" cm="1">
        <f t="array" ref="L66">R$7*EstymacjaGaussowska($C66,$C$2:$C$51,R$11)*EstymacjaGaussowska($D66,$D$2:$D$51,R$12)*EstymacjaGaussowska($A66,$A$2:$A$51,R$15)*EstymacjaGaussowska($B66,$B$2:$B$51,R$16)+S$7*EstymacjaGaussowska($C66,$C$52:$C$101,S$11)*EstymacjaGaussowska($D66,$D$52:$D$101,S$12)*EstymacjaGaussowska($A66,$A$52:$A$101,S$15)*EstymacjaGaussowska($B66,$B$52:$B$101,S$16)+T$7*EstymacjaGaussowska($C66,$C$102:$C$151,T$11)*EstymacjaGaussowska($D66,$D$102:$D$151,T$12)*EstymacjaGaussowska($A66,$A$102:$A$151,T$15)*EstymacjaGaussowska($B66,$B$102:$B$151,T$16)</f>
        <v>9.5566421327703127E-2</v>
      </c>
      <c r="M66" s="8" cm="1">
        <f t="array" ref="M66">R$7*EstymacjaGaussowska($C66,$C$2:$C$51,R$11)*EstymacjaGaussowska($D66,$D$2:$D$51,R$12)*EstymacjaGaussowska($A66,$A$2:$A$51,R$15)*EstymacjaGaussowska($B66,$B$2:$B$51,R$16)/$L$2</f>
        <v>5.2760851896573792E-140</v>
      </c>
      <c r="N66" s="8" cm="1">
        <f t="array" ref="N66">S$7*EstymacjaGaussowska($C66,$C$52:$C$101,S$11)*EstymacjaGaussowska($D66,$D$52:$D$101,S$12)*EstymacjaGaussowska($A66,$A$52:$A$101,S$15)*EstymacjaGaussowska($B66,$B$52:$B$101,S$16)/$L$2</f>
        <v>5.0880954215193459E-2</v>
      </c>
      <c r="O66" s="34" cm="1">
        <f t="array" ref="O66">T$7*EstymacjaGaussowska($C66,$C$102:$C$151,T$11)*EstymacjaGaussowska($D66,$D$102:$D$151,T$12)*EstymacjaGaussowska($A66,$A$102:$A$151,T$15)*EstymacjaGaussowska($B66,$B$102:$B$151,T$16)/$L$2</f>
        <v>9.7669661715349636E-7</v>
      </c>
    </row>
    <row r="67" spans="1:15" x14ac:dyDescent="0.25">
      <c r="A67" s="25">
        <v>0.92786078094424662</v>
      </c>
      <c r="B67" s="8">
        <v>0.46717949444151058</v>
      </c>
      <c r="C67" s="8">
        <v>0.31462097583217247</v>
      </c>
      <c r="D67" s="13">
        <v>9.9803136517080754E-2</v>
      </c>
      <c r="E67" s="25" t="s">
        <v>6</v>
      </c>
      <c r="F67" s="19" t="str">
        <f t="shared" si="4"/>
        <v>versicolor</v>
      </c>
      <c r="G67" s="12" cm="1">
        <f t="array" ref="G67">R$7*EstymacjaGaussowska($A67,$A$2:$A$51,R$11)*EstymacjaGaussowska($B67,$B$2:$B$51,R$12)+S$7*EstymacjaGaussowska($A67,$C$52:$C$101,S$11)*EstymacjaGaussowska($B67,$D$52:$D$101,S$12)+T$7*EstymacjaGaussowska($A67,$C$102:$C$151,T$11)*EstymacjaGaussowska($B67,$D$102:$D$151,T$12)</f>
        <v>2.141571741456955E-2</v>
      </c>
      <c r="H67" s="8" cm="1">
        <f t="array" ref="H67">R$7*EstymacjaGaussowska($A67,$A$2:$A$51,R$11)*EstymacjaGaussowska($B67,$B$2:$B$51,R$12)/$G67</f>
        <v>3.1417209755097715E-185</v>
      </c>
      <c r="I67" s="8" cm="1">
        <f t="array" ref="I67">S$7*EstymacjaGaussowska($A67,$A$52:$A$101,S$11)*EstymacjaGaussowska($B67,$B$52:$B$101,S$12)/$G67</f>
        <v>2.9170247928850812</v>
      </c>
      <c r="J67" s="114" cm="1">
        <f t="array" ref="J67">T$7*EstymacjaGaussowska($A67,$A$102:$A$151,T$11)*EstymacjaGaussowska($B67,$B$102:$B$151,T$12)/$G67</f>
        <v>1.491171113214832</v>
      </c>
      <c r="K67" s="19" t="str">
        <f t="shared" si="5"/>
        <v>versicolor</v>
      </c>
      <c r="L67" s="12" cm="1">
        <f t="array" ref="L67">R$7*EstymacjaGaussowska($C67,$C$2:$C$51,R$11)*EstymacjaGaussowska($D67,$D$2:$D$51,R$12)*EstymacjaGaussowska($A67,$A$2:$A$51,R$15)*EstymacjaGaussowska($B67,$B$2:$B$51,R$16)+S$7*EstymacjaGaussowska($C67,$C$52:$C$101,S$11)*EstymacjaGaussowska($D67,$D$52:$D$101,S$12)*EstymacjaGaussowska($A67,$A$52:$A$101,S$15)*EstymacjaGaussowska($B67,$B$52:$B$101,S$16)+T$7*EstymacjaGaussowska($C67,$C$102:$C$151,T$11)*EstymacjaGaussowska($D67,$D$102:$D$151,T$12)*EstymacjaGaussowska($A67,$A$102:$A$151,T$15)*EstymacjaGaussowska($B67,$B$102:$B$151,T$16)</f>
        <v>0.11656879735796463</v>
      </c>
      <c r="M67" s="8" cm="1">
        <f t="array" ref="M67">R$7*EstymacjaGaussowska($C67,$C$2:$C$51,R$11)*EstymacjaGaussowska($D67,$D$2:$D$51,R$12)*EstymacjaGaussowska($A67,$A$2:$A$51,R$15)*EstymacjaGaussowska($B67,$B$2:$B$51,R$16)/$L$2</f>
        <v>0</v>
      </c>
      <c r="N67" s="8" cm="1">
        <f t="array" ref="N67">S$7*EstymacjaGaussowska($C67,$C$52:$C$101,S$11)*EstymacjaGaussowska($D67,$D$52:$D$101,S$12)*EstymacjaGaussowska($A67,$A$52:$A$101,S$15)*EstymacjaGaussowska($B67,$B$52:$B$101,S$16)/$L$2</f>
        <v>5.7737301446067382E-2</v>
      </c>
      <c r="O67" s="34" cm="1">
        <f t="array" ref="O67">T$7*EstymacjaGaussowska($C67,$C$102:$C$151,T$11)*EstymacjaGaussowska($D67,$D$102:$D$151,T$12)*EstymacjaGaussowska($A67,$A$102:$A$151,T$15)*EstymacjaGaussowska($B67,$B$102:$B$151,T$16)/$L$2</f>
        <v>4.3268149165429015E-3</v>
      </c>
    </row>
    <row r="68" spans="1:15" x14ac:dyDescent="0.25">
      <c r="A68" s="25">
        <v>0.66028376169693637</v>
      </c>
      <c r="B68" s="8">
        <v>-0.35296966572385102</v>
      </c>
      <c r="C68" s="8">
        <v>-0.32802752837859517</v>
      </c>
      <c r="D68" s="13">
        <v>-0.18787862148373738</v>
      </c>
      <c r="E68" s="25" t="s">
        <v>6</v>
      </c>
      <c r="F68" s="19" t="str">
        <f t="shared" si="4"/>
        <v>versicolor</v>
      </c>
      <c r="G68" s="12" cm="1">
        <f t="array" ref="G68">R$7*EstymacjaGaussowska($A68,$A$2:$A$51,R$11)*EstymacjaGaussowska($B68,$B$2:$B$51,R$12)+S$7*EstymacjaGaussowska($A68,$C$52:$C$101,S$11)*EstymacjaGaussowska($B68,$D$52:$D$101,S$12)+T$7*EstymacjaGaussowska($A68,$C$102:$C$151,T$11)*EstymacjaGaussowska($B68,$D$102:$D$151,T$12)</f>
        <v>0.13644476832595795</v>
      </c>
      <c r="H68" s="8" cm="1">
        <f t="array" ref="H68">R$7*EstymacjaGaussowska($A68,$A$2:$A$51,R$11)*EstymacjaGaussowska($B68,$B$2:$B$51,R$12)/$G68</f>
        <v>5.9716101229777967E-156</v>
      </c>
      <c r="I68" s="8" cm="1">
        <f t="array" ref="I68">S$7*EstymacjaGaussowska($A68,$A$52:$A$101,S$11)*EstymacjaGaussowska($B68,$B$52:$B$101,S$12)/$G68</f>
        <v>1.2011310195564859</v>
      </c>
      <c r="J68" s="114" cm="1">
        <f t="array" ref="J68">T$7*EstymacjaGaussowska($A68,$A$102:$A$151,T$11)*EstymacjaGaussowska($B68,$B$102:$B$151,T$12)/$G68</f>
        <v>8.5242561967599759E-2</v>
      </c>
      <c r="K68" s="19" t="str">
        <f t="shared" si="5"/>
        <v>versicolor</v>
      </c>
      <c r="L68" s="12" cm="1">
        <f t="array" ref="L68">R$7*EstymacjaGaussowska($C68,$C$2:$C$51,R$11)*EstymacjaGaussowska($D68,$D$2:$D$51,R$12)*EstymacjaGaussowska($A68,$A$2:$A$51,R$15)*EstymacjaGaussowska($B68,$B$2:$B$51,R$16)+S$7*EstymacjaGaussowska($C68,$C$52:$C$101,S$11)*EstymacjaGaussowska($D68,$D$52:$D$101,S$12)*EstymacjaGaussowska($A68,$A$52:$A$101,S$15)*EstymacjaGaussowska($B68,$B$52:$B$101,S$16)+T$7*EstymacjaGaussowska($C68,$C$102:$C$151,T$11)*EstymacjaGaussowska($D68,$D$102:$D$151,T$12)*EstymacjaGaussowska($A68,$A$102:$A$151,T$15)*EstymacjaGaussowska($B68,$B$102:$B$151,T$16)</f>
        <v>0.14965157858882375</v>
      </c>
      <c r="M68" s="8" cm="1">
        <f t="array" ref="M68">R$7*EstymacjaGaussowska($C68,$C$2:$C$51,R$11)*EstymacjaGaussowska($D68,$D$2:$D$51,R$12)*EstymacjaGaussowska($A68,$A$2:$A$51,R$15)*EstymacjaGaussowska($B68,$B$2:$B$51,R$16)/$L$2</f>
        <v>8.0939526319115385E-278</v>
      </c>
      <c r="N68" s="8" cm="1">
        <f t="array" ref="N68">S$7*EstymacjaGaussowska($C68,$C$52:$C$101,S$11)*EstymacjaGaussowska($D68,$D$52:$D$101,S$12)*EstymacjaGaussowska($A68,$A$52:$A$101,S$15)*EstymacjaGaussowska($B68,$B$52:$B$101,S$16)/$L$2</f>
        <v>7.771935995056338E-2</v>
      </c>
      <c r="O68" s="34" cm="1">
        <f t="array" ref="O68">T$7*EstymacjaGaussowska($C68,$C$102:$C$151,T$11)*EstymacjaGaussowska($D68,$D$102:$D$151,T$12)*EstymacjaGaussowska($A68,$A$102:$A$151,T$15)*EstymacjaGaussowska($B68,$B$102:$B$151,T$16)/$L$2</f>
        <v>1.9588489517991755E-3</v>
      </c>
    </row>
    <row r="69" spans="1:15" x14ac:dyDescent="0.25">
      <c r="A69" s="25">
        <v>0.23610499331767115</v>
      </c>
      <c r="B69" s="8">
        <v>-0.33361076682491586</v>
      </c>
      <c r="C69" s="8">
        <v>0.27116183725106674</v>
      </c>
      <c r="D69" s="13">
        <v>-0.21375736963727196</v>
      </c>
      <c r="E69" s="25" t="s">
        <v>6</v>
      </c>
      <c r="F69" s="19" t="str">
        <f t="shared" si="4"/>
        <v>versicolor</v>
      </c>
      <c r="G69" s="12" cm="1">
        <f t="array" ref="G69">R$7*EstymacjaGaussowska($A69,$A$2:$A$51,R$11)*EstymacjaGaussowska($B69,$B$2:$B$51,R$12)+S$7*EstymacjaGaussowska($A69,$C$52:$C$101,S$11)*EstymacjaGaussowska($B69,$D$52:$D$101,S$12)+T$7*EstymacjaGaussowska($A69,$C$102:$C$151,T$11)*EstymacjaGaussowska($B69,$D$102:$D$151,T$12)</f>
        <v>0.37735869165731439</v>
      </c>
      <c r="H69" s="8" cm="1">
        <f t="array" ref="H69">R$7*EstymacjaGaussowska($A69,$A$2:$A$51,R$11)*EstymacjaGaussowska($B69,$B$2:$B$51,R$12)/$G69</f>
        <v>5.218119756259147E-114</v>
      </c>
      <c r="I69" s="8" cm="1">
        <f t="array" ref="I69">S$7*EstymacjaGaussowska($A69,$A$52:$A$101,S$11)*EstymacjaGaussowska($B69,$B$52:$B$101,S$12)/$G69</f>
        <v>0.38994927101074245</v>
      </c>
      <c r="J69" s="114" cm="1">
        <f t="array" ref="J69">T$7*EstymacjaGaussowska($A69,$A$102:$A$151,T$11)*EstymacjaGaussowska($B69,$B$102:$B$151,T$12)/$G69</f>
        <v>9.0481836378367569E-3</v>
      </c>
      <c r="K69" s="19" t="str">
        <f t="shared" si="5"/>
        <v>versicolor</v>
      </c>
      <c r="L69" s="12" cm="1">
        <f t="array" ref="L69">R$7*EstymacjaGaussowska($C69,$C$2:$C$51,R$11)*EstymacjaGaussowska($D69,$D$2:$D$51,R$12)*EstymacjaGaussowska($A69,$A$2:$A$51,R$15)*EstymacjaGaussowska($B69,$B$2:$B$51,R$16)+S$7*EstymacjaGaussowska($C69,$C$52:$C$101,S$11)*EstymacjaGaussowska($D69,$D$52:$D$101,S$12)*EstymacjaGaussowska($A69,$A$52:$A$101,S$15)*EstymacjaGaussowska($B69,$B$52:$B$101,S$16)+T$7*EstymacjaGaussowska($C69,$C$102:$C$151,T$11)*EstymacjaGaussowska($D69,$D$102:$D$151,T$12)*EstymacjaGaussowska($A69,$A$102:$A$151,T$15)*EstymacjaGaussowska($B69,$B$102:$B$151,T$16)</f>
        <v>0.33781666940036675</v>
      </c>
      <c r="M69" s="8" cm="1">
        <f t="array" ref="M69">R$7*EstymacjaGaussowska($C69,$C$2:$C$51,R$11)*EstymacjaGaussowska($D69,$D$2:$D$51,R$12)*EstymacjaGaussowska($A69,$A$2:$A$51,R$15)*EstymacjaGaussowska($B69,$B$2:$B$51,R$16)/$L$2</f>
        <v>3.2685317048021554E-202</v>
      </c>
      <c r="N69" s="8" cm="1">
        <f t="array" ref="N69">S$7*EstymacjaGaussowska($C69,$C$52:$C$101,S$11)*EstymacjaGaussowska($D69,$D$52:$D$101,S$12)*EstymacjaGaussowska($A69,$A$52:$A$101,S$15)*EstymacjaGaussowska($B69,$B$52:$B$101,S$16)/$L$2</f>
        <v>0.17934461484691785</v>
      </c>
      <c r="O69" s="34" cm="1">
        <f t="array" ref="O69">T$7*EstymacjaGaussowska($C69,$C$102:$C$151,T$11)*EstymacjaGaussowska($D69,$D$102:$D$151,T$12)*EstymacjaGaussowska($A69,$A$102:$A$151,T$15)*EstymacjaGaussowska($B69,$B$102:$B$151,T$16)/$L$2</f>
        <v>5.1735125460747452E-4</v>
      </c>
    </row>
    <row r="70" spans="1:15" x14ac:dyDescent="0.25">
      <c r="A70" s="25">
        <v>0.94473372801981259</v>
      </c>
      <c r="B70" s="8">
        <v>-0.54314555077976612</v>
      </c>
      <c r="C70" s="8">
        <v>0.49951904648511319</v>
      </c>
      <c r="D70" s="13">
        <v>0.25719217719155252</v>
      </c>
      <c r="E70" s="25" t="s">
        <v>6</v>
      </c>
      <c r="F70" s="19" t="str">
        <f t="shared" si="4"/>
        <v>versicolor</v>
      </c>
      <c r="G70" s="12" cm="1">
        <f t="array" ref="G70">R$7*EstymacjaGaussowska($A70,$A$2:$A$51,R$11)*EstymacjaGaussowska($B70,$B$2:$B$51,R$12)+S$7*EstymacjaGaussowska($A70,$C$52:$C$101,S$11)*EstymacjaGaussowska($B70,$D$52:$D$101,S$12)+T$7*EstymacjaGaussowska($A70,$C$102:$C$151,T$11)*EstymacjaGaussowska($B70,$D$102:$D$151,T$12)</f>
        <v>1.2441457862607017E-2</v>
      </c>
      <c r="H70" s="8" cm="1">
        <f t="array" ref="H70">R$7*EstymacjaGaussowska($A70,$A$2:$A$51,R$11)*EstymacjaGaussowska($B70,$B$2:$B$51,R$12)/$G70</f>
        <v>2.2770477529907936E-187</v>
      </c>
      <c r="I70" s="8" cm="1">
        <f t="array" ref="I70">S$7*EstymacjaGaussowska($A70,$A$52:$A$101,S$11)*EstymacjaGaussowska($B70,$B$52:$B$101,S$12)/$G70</f>
        <v>11.121269355080019</v>
      </c>
      <c r="J70" s="114" cm="1">
        <f t="array" ref="J70">T$7*EstymacjaGaussowska($A70,$A$102:$A$151,T$11)*EstymacjaGaussowska($B70,$B$102:$B$151,T$12)/$G70</f>
        <v>1.6890060701870078</v>
      </c>
      <c r="K70" s="19" t="str">
        <f t="shared" si="5"/>
        <v>versicolor</v>
      </c>
      <c r="L70" s="12" cm="1">
        <f t="array" ref="L70">R$7*EstymacjaGaussowska($C70,$C$2:$C$51,R$11)*EstymacjaGaussowska($D70,$D$2:$D$51,R$12)*EstymacjaGaussowska($A70,$A$2:$A$51,R$15)*EstymacjaGaussowska($B70,$B$2:$B$51,R$16)+S$7*EstymacjaGaussowska($C70,$C$52:$C$101,S$11)*EstymacjaGaussowska($D70,$D$52:$D$101,S$12)*EstymacjaGaussowska($A70,$A$52:$A$101,S$15)*EstymacjaGaussowska($B70,$B$52:$B$101,S$16)+T$7*EstymacjaGaussowska($C70,$C$102:$C$151,T$11)*EstymacjaGaussowska($D70,$D$102:$D$151,T$12)*EstymacjaGaussowska($A70,$A$102:$A$151,T$15)*EstymacjaGaussowska($B70,$B$102:$B$151,T$16)</f>
        <v>8.8369438506811684E-2</v>
      </c>
      <c r="M70" s="8" cm="1">
        <f t="array" ref="M70">R$7*EstymacjaGaussowska($C70,$C$2:$C$51,R$11)*EstymacjaGaussowska($D70,$D$2:$D$51,R$12)*EstymacjaGaussowska($A70,$A$2:$A$51,R$15)*EstymacjaGaussowska($B70,$B$2:$B$51,R$16)/$L$2</f>
        <v>0</v>
      </c>
      <c r="N70" s="8" cm="1">
        <f t="array" ref="N70">S$7*EstymacjaGaussowska($C70,$C$52:$C$101,S$11)*EstymacjaGaussowska($D70,$D$52:$D$101,S$12)*EstymacjaGaussowska($A70,$A$52:$A$101,S$15)*EstymacjaGaussowska($B70,$B$52:$B$101,S$16)/$L$2</f>
        <v>4.5357379924924175E-2</v>
      </c>
      <c r="O70" s="34" cm="1">
        <f t="array" ref="O70">T$7*EstymacjaGaussowska($C70,$C$102:$C$151,T$11)*EstymacjaGaussowska($D70,$D$102:$D$151,T$12)*EstymacjaGaussowska($A70,$A$102:$A$151,T$15)*EstymacjaGaussowska($B70,$B$102:$B$151,T$16)/$L$2</f>
        <v>1.6926989872141211E-3</v>
      </c>
    </row>
    <row r="71" spans="1:15" x14ac:dyDescent="0.25">
      <c r="A71" s="25">
        <v>4.5226976298699463E-2</v>
      </c>
      <c r="B71" s="8">
        <v>-0.58383437747186462</v>
      </c>
      <c r="C71" s="8">
        <v>0.23500210497205601</v>
      </c>
      <c r="D71" s="13">
        <v>-4.1576647559509461E-2</v>
      </c>
      <c r="E71" s="25" t="s">
        <v>6</v>
      </c>
      <c r="F71" s="19" t="str">
        <f t="shared" si="4"/>
        <v>versicolor</v>
      </c>
      <c r="G71" s="12" cm="1">
        <f t="array" ref="G71">R$7*EstymacjaGaussowska($A71,$A$2:$A$51,R$11)*EstymacjaGaussowska($B71,$B$2:$B$51,R$12)+S$7*EstymacjaGaussowska($A71,$C$52:$C$101,S$11)*EstymacjaGaussowska($B71,$D$52:$D$101,S$12)+T$7*EstymacjaGaussowska($A71,$C$102:$C$151,T$11)*EstymacjaGaussowska($B71,$D$102:$D$151,T$12)</f>
        <v>8.7645253509948701E-2</v>
      </c>
      <c r="H71" s="8" cm="1">
        <f t="array" ref="H71">R$7*EstymacjaGaussowska($A71,$A$2:$A$51,R$11)*EstymacjaGaussowska($B71,$B$2:$B$51,R$12)/$G71</f>
        <v>7.3315366653873467E-97</v>
      </c>
      <c r="I71" s="8" cm="1">
        <f t="array" ref="I71">S$7*EstymacjaGaussowska($A71,$A$52:$A$101,S$11)*EstymacjaGaussowska($B71,$B$52:$B$101,S$12)/$G71</f>
        <v>1.1186183130306455</v>
      </c>
      <c r="J71" s="114" cm="1">
        <f t="array" ref="J71">T$7*EstymacjaGaussowska($A71,$A$102:$A$151,T$11)*EstymacjaGaussowska($B71,$B$102:$B$151,T$12)/$G71</f>
        <v>1.2175770292108722E-2</v>
      </c>
      <c r="K71" s="19" t="str">
        <f t="shared" si="5"/>
        <v>versicolor</v>
      </c>
      <c r="L71" s="12" cm="1">
        <f t="array" ref="L71">R$7*EstymacjaGaussowska($C71,$C$2:$C$51,R$11)*EstymacjaGaussowska($D71,$D$2:$D$51,R$12)*EstymacjaGaussowska($A71,$A$2:$A$51,R$15)*EstymacjaGaussowska($B71,$B$2:$B$51,R$16)+S$7*EstymacjaGaussowska($C71,$C$52:$C$101,S$11)*EstymacjaGaussowska($D71,$D$52:$D$101,S$12)*EstymacjaGaussowska($A71,$A$52:$A$101,S$15)*EstymacjaGaussowska($B71,$B$52:$B$101,S$16)+T$7*EstymacjaGaussowska($C71,$C$102:$C$151,T$11)*EstymacjaGaussowska($D71,$D$102:$D$151,T$12)*EstymacjaGaussowska($A71,$A$102:$A$151,T$15)*EstymacjaGaussowska($B71,$B$102:$B$151,T$16)</f>
        <v>0.13276624805776976</v>
      </c>
      <c r="M71" s="8" cm="1">
        <f t="array" ref="M71">R$7*EstymacjaGaussowska($C71,$C$2:$C$51,R$11)*EstymacjaGaussowska($D71,$D$2:$D$51,R$12)*EstymacjaGaussowska($A71,$A$2:$A$51,R$15)*EstymacjaGaussowska($B71,$B$2:$B$51,R$16)/$L$2</f>
        <v>3.408251378207904E-172</v>
      </c>
      <c r="N71" s="8" cm="1">
        <f t="array" ref="N71">S$7*EstymacjaGaussowska($C71,$C$52:$C$101,S$11)*EstymacjaGaussowska($D71,$D$52:$D$101,S$12)*EstymacjaGaussowska($A71,$A$52:$A$101,S$15)*EstymacjaGaussowska($B71,$B$52:$B$101,S$16)/$L$2</f>
        <v>7.0643438311775414E-2</v>
      </c>
      <c r="O71" s="34" cm="1">
        <f t="array" ref="O71">T$7*EstymacjaGaussowska($C71,$C$102:$C$151,T$11)*EstymacjaGaussowska($D71,$D$102:$D$151,T$12)*EstymacjaGaussowska($A71,$A$102:$A$151,T$15)*EstymacjaGaussowska($B71,$B$102:$B$151,T$16)/$L$2</f>
        <v>4.4602186581841222E-5</v>
      </c>
    </row>
    <row r="72" spans="1:15" x14ac:dyDescent="0.25">
      <c r="A72" s="25">
        <v>1.116283177350049</v>
      </c>
      <c r="B72" s="8">
        <v>-8.4616852194788483E-2</v>
      </c>
      <c r="C72" s="8">
        <v>-0.459620991359104</v>
      </c>
      <c r="D72" s="13">
        <v>-7.5031552864947448E-2</v>
      </c>
      <c r="E72" s="25" t="s">
        <v>6</v>
      </c>
      <c r="F72" s="19" t="str">
        <f t="shared" si="4"/>
        <v>versicolor</v>
      </c>
      <c r="G72" s="12" cm="1">
        <f t="array" ref="G72">R$7*EstymacjaGaussowska($A72,$A$2:$A$51,R$11)*EstymacjaGaussowska($B72,$B$2:$B$51,R$12)+S$7*EstymacjaGaussowska($A72,$C$52:$C$101,S$11)*EstymacjaGaussowska($B72,$D$52:$D$101,S$12)+T$7*EstymacjaGaussowska($A72,$C$102:$C$151,T$11)*EstymacjaGaussowska($B72,$D$102:$D$151,T$12)</f>
        <v>3.0831952121140475E-2</v>
      </c>
      <c r="H72" s="8" cm="1">
        <f t="array" ref="H72">R$7*EstymacjaGaussowska($A72,$A$2:$A$51,R$11)*EstymacjaGaussowska($B72,$B$2:$B$51,R$12)/$G72</f>
        <v>3.0743955361104519E-208</v>
      </c>
      <c r="I72" s="8" cm="1">
        <f t="array" ref="I72">S$7*EstymacjaGaussowska($A72,$A$52:$A$101,S$11)*EstymacjaGaussowska($B72,$B$52:$B$101,S$12)/$G72</f>
        <v>3.7499008621015233</v>
      </c>
      <c r="J72" s="114" cm="1">
        <f t="array" ref="J72">T$7*EstymacjaGaussowska($A72,$A$102:$A$151,T$11)*EstymacjaGaussowska($B72,$B$102:$B$151,T$12)/$G72</f>
        <v>2.0482474531018746</v>
      </c>
      <c r="K72" s="19" t="str">
        <f t="shared" si="5"/>
        <v>versicolor</v>
      </c>
      <c r="L72" s="12" cm="1">
        <f t="array" ref="L72">R$7*EstymacjaGaussowska($C72,$C$2:$C$51,R$11)*EstymacjaGaussowska($D72,$D$2:$D$51,R$12)*EstymacjaGaussowska($A72,$A$2:$A$51,R$15)*EstymacjaGaussowska($B72,$B$2:$B$51,R$16)+S$7*EstymacjaGaussowska($C72,$C$52:$C$101,S$11)*EstymacjaGaussowska($D72,$D$52:$D$101,S$12)*EstymacjaGaussowska($A72,$A$52:$A$101,S$15)*EstymacjaGaussowska($B72,$B$52:$B$101,S$16)+T$7*EstymacjaGaussowska($C72,$C$102:$C$151,T$11)*EstymacjaGaussowska($D72,$D$102:$D$151,T$12)*EstymacjaGaussowska($A72,$A$102:$A$151,T$15)*EstymacjaGaussowska($B72,$B$102:$B$151,T$16)</f>
        <v>0.11560065365890232</v>
      </c>
      <c r="M72" s="8" cm="1">
        <f t="array" ref="M72">R$7*EstymacjaGaussowska($C72,$C$2:$C$51,R$11)*EstymacjaGaussowska($D72,$D$2:$D$51,R$12)*EstymacjaGaussowska($A72,$A$2:$A$51,R$15)*EstymacjaGaussowska($B72,$B$2:$B$51,R$16)/$L$2</f>
        <v>0</v>
      </c>
      <c r="N72" s="8" cm="1">
        <f t="array" ref="N72">S$7*EstymacjaGaussowska($C72,$C$52:$C$101,S$11)*EstymacjaGaussowska($D72,$D$52:$D$101,S$12)*EstymacjaGaussowska($A72,$A$52:$A$101,S$15)*EstymacjaGaussowska($B72,$B$52:$B$101,S$16)/$L$2</f>
        <v>3.5924849169415567E-2</v>
      </c>
      <c r="O72" s="34" cm="1">
        <f t="array" ref="O72">T$7*EstymacjaGaussowska($C72,$C$102:$C$151,T$11)*EstymacjaGaussowska($D72,$D$102:$D$151,T$12)*EstymacjaGaussowska($A72,$A$102:$A$151,T$15)*EstymacjaGaussowska($B72,$B$102:$B$151,T$16)/$L$2</f>
        <v>2.5623803496594901E-2</v>
      </c>
    </row>
    <row r="73" spans="1:15" x14ac:dyDescent="0.25">
      <c r="A73" s="25">
        <v>0.35788841799730675</v>
      </c>
      <c r="B73" s="8">
        <v>-6.892503165601388E-2</v>
      </c>
      <c r="C73" s="8">
        <v>0.22985388760895173</v>
      </c>
      <c r="D73" s="13">
        <v>0.12299760414598436</v>
      </c>
      <c r="E73" s="25" t="s">
        <v>6</v>
      </c>
      <c r="F73" s="19" t="str">
        <f t="shared" si="4"/>
        <v>versicolor</v>
      </c>
      <c r="G73" s="12" cm="1">
        <f t="array" ref="G73">R$7*EstymacjaGaussowska($A73,$A$2:$A$51,R$11)*EstymacjaGaussowska($B73,$B$2:$B$51,R$12)+S$7*EstymacjaGaussowska($A73,$C$52:$C$101,S$11)*EstymacjaGaussowska($B73,$D$52:$D$101,S$12)+T$7*EstymacjaGaussowska($A73,$C$102:$C$151,T$11)*EstymacjaGaussowska($B73,$D$102:$D$151,T$12)</f>
        <v>0.67663365639578277</v>
      </c>
      <c r="H73" s="8" cm="1">
        <f t="array" ref="H73">R$7*EstymacjaGaussowska($A73,$A$2:$A$51,R$11)*EstymacjaGaussowska($B73,$B$2:$B$51,R$12)/$G73</f>
        <v>1.4084987894602494E-125</v>
      </c>
      <c r="I73" s="8" cm="1">
        <f t="array" ref="I73">S$7*EstymacjaGaussowska($A73,$A$52:$A$101,S$11)*EstymacjaGaussowska($B73,$B$52:$B$101,S$12)/$G73</f>
        <v>0.18418962684892204</v>
      </c>
      <c r="J73" s="114" cm="1">
        <f t="array" ref="J73">T$7*EstymacjaGaussowska($A73,$A$102:$A$151,T$11)*EstymacjaGaussowska($B73,$B$102:$B$151,T$12)/$G73</f>
        <v>9.6563355268416036E-3</v>
      </c>
      <c r="K73" s="19" t="str">
        <f t="shared" si="5"/>
        <v>versicolor</v>
      </c>
      <c r="L73" s="12" cm="1">
        <f t="array" ref="L73">R$7*EstymacjaGaussowska($C73,$C$2:$C$51,R$11)*EstymacjaGaussowska($D73,$D$2:$D$51,R$12)*EstymacjaGaussowska($A73,$A$2:$A$51,R$15)*EstymacjaGaussowska($B73,$B$2:$B$51,R$16)+S$7*EstymacjaGaussowska($C73,$C$52:$C$101,S$11)*EstymacjaGaussowska($D73,$D$52:$D$101,S$12)*EstymacjaGaussowska($A73,$A$52:$A$101,S$15)*EstymacjaGaussowska($B73,$B$52:$B$101,S$16)+T$7*EstymacjaGaussowska($C73,$C$102:$C$151,T$11)*EstymacjaGaussowska($D73,$D$102:$D$151,T$12)*EstymacjaGaussowska($A73,$A$102:$A$151,T$15)*EstymacjaGaussowska($B73,$B$102:$B$151,T$16)</f>
        <v>0.20981430647851448</v>
      </c>
      <c r="M73" s="8" cm="1">
        <f t="array" ref="M73">R$7*EstymacjaGaussowska($C73,$C$2:$C$51,R$11)*EstymacjaGaussowska($D73,$D$2:$D$51,R$12)*EstymacjaGaussowska($A73,$A$2:$A$51,R$15)*EstymacjaGaussowska($B73,$B$2:$B$51,R$16)/$L$2</f>
        <v>3.2769525798656916E-222</v>
      </c>
      <c r="N73" s="8" cm="1">
        <f t="array" ref="N73">S$7*EstymacjaGaussowska($C73,$C$52:$C$101,S$11)*EstymacjaGaussowska($D73,$D$52:$D$101,S$12)*EstymacjaGaussowska($A73,$A$52:$A$101,S$15)*EstymacjaGaussowska($B73,$B$52:$B$101,S$16)/$L$2</f>
        <v>0.1088344531936031</v>
      </c>
      <c r="O73" s="34" cm="1">
        <f t="array" ref="O73">T$7*EstymacjaGaussowska($C73,$C$102:$C$151,T$11)*EstymacjaGaussowska($D73,$D$102:$D$151,T$12)*EstymacjaGaussowska($A73,$A$102:$A$151,T$15)*EstymacjaGaussowska($B73,$B$102:$B$151,T$16)/$L$2</f>
        <v>2.8758829080429336E-3</v>
      </c>
    </row>
    <row r="74" spans="1:15" x14ac:dyDescent="0.25">
      <c r="A74" s="25">
        <v>1.298183875358913</v>
      </c>
      <c r="B74" s="8">
        <v>-0.3277873083339175</v>
      </c>
      <c r="C74" s="8">
        <v>0.34785435225730837</v>
      </c>
      <c r="D74" s="13">
        <v>8.8837058425692006E-4</v>
      </c>
      <c r="E74" s="25" t="s">
        <v>6</v>
      </c>
      <c r="F74" s="19" t="str">
        <f t="shared" si="4"/>
        <v>versicolor</v>
      </c>
      <c r="G74" s="12" cm="1">
        <f t="array" ref="G74">R$7*EstymacjaGaussowska($A74,$A$2:$A$51,R$11)*EstymacjaGaussowska($B74,$B$2:$B$51,R$12)+S$7*EstymacjaGaussowska($A74,$C$52:$C$101,S$11)*EstymacjaGaussowska($B74,$D$52:$D$101,S$12)+T$7*EstymacjaGaussowska($A74,$C$102:$C$151,T$11)*EstymacjaGaussowska($B74,$D$102:$D$151,T$12)</f>
        <v>4.2066994033042706E-3</v>
      </c>
      <c r="H74" s="8" cm="1">
        <f t="array" ref="H74">R$7*EstymacjaGaussowska($A74,$A$2:$A$51,R$11)*EstymacjaGaussowska($B74,$B$2:$B$51,R$12)/$G74</f>
        <v>6.9091841306494438E-231</v>
      </c>
      <c r="I74" s="8" cm="1">
        <f t="array" ref="I74">S$7*EstymacjaGaussowska($A74,$A$52:$A$101,S$11)*EstymacjaGaussowska($B74,$B$52:$B$101,S$12)/$G74</f>
        <v>25.95521589927473</v>
      </c>
      <c r="J74" s="114" cm="1">
        <f t="array" ref="J74">T$7*EstymacjaGaussowska($A74,$A$102:$A$151,T$11)*EstymacjaGaussowska($B74,$B$102:$B$151,T$12)/$G74</f>
        <v>15.843605469234465</v>
      </c>
      <c r="K74" s="19" t="str">
        <f t="shared" si="5"/>
        <v>versicolor</v>
      </c>
      <c r="L74" s="12" cm="1">
        <f t="array" ref="L74">R$7*EstymacjaGaussowska($C74,$C$2:$C$51,R$11)*EstymacjaGaussowska($D74,$D$2:$D$51,R$12)*EstymacjaGaussowska($A74,$A$2:$A$51,R$15)*EstymacjaGaussowska($B74,$B$2:$B$51,R$16)+S$7*EstymacjaGaussowska($C74,$C$52:$C$101,S$11)*EstymacjaGaussowska($D74,$D$52:$D$101,S$12)*EstymacjaGaussowska($A74,$A$52:$A$101,S$15)*EstymacjaGaussowska($B74,$B$52:$B$101,S$16)+T$7*EstymacjaGaussowska($C74,$C$102:$C$151,T$11)*EstymacjaGaussowska($D74,$D$102:$D$151,T$12)*EstymacjaGaussowska($A74,$A$102:$A$151,T$15)*EstymacjaGaussowska($B74,$B$102:$B$151,T$16)</f>
        <v>0.29753911736227334</v>
      </c>
      <c r="M74" s="8" cm="1">
        <f t="array" ref="M74">R$7*EstymacjaGaussowska($C74,$C$2:$C$51,R$11)*EstymacjaGaussowska($D74,$D$2:$D$51,R$12)*EstymacjaGaussowska($A74,$A$2:$A$51,R$15)*EstymacjaGaussowska($B74,$B$2:$B$51,R$16)/$L$2</f>
        <v>0</v>
      </c>
      <c r="N74" s="8" cm="1">
        <f t="array" ref="N74">S$7*EstymacjaGaussowska($C74,$C$52:$C$101,S$11)*EstymacjaGaussowska($D74,$D$52:$D$101,S$12)*EstymacjaGaussowska($A74,$A$52:$A$101,S$15)*EstymacjaGaussowska($B74,$B$52:$B$101,S$16)/$L$2</f>
        <v>0.12939836007283845</v>
      </c>
      <c r="O74" s="34" cm="1">
        <f t="array" ref="O74">T$7*EstymacjaGaussowska($C74,$C$102:$C$151,T$11)*EstymacjaGaussowska($D74,$D$102:$D$151,T$12)*EstymacjaGaussowska($A74,$A$102:$A$151,T$15)*EstymacjaGaussowska($B74,$B$102:$B$151,T$16)/$L$2</f>
        <v>2.9018839220148439E-2</v>
      </c>
    </row>
    <row r="75" spans="1:15" x14ac:dyDescent="0.25">
      <c r="A75" s="25">
        <v>0.9217289224470363</v>
      </c>
      <c r="B75" s="8">
        <v>-0.18273779362136808</v>
      </c>
      <c r="C75" s="8">
        <v>0.23107177773628471</v>
      </c>
      <c r="D75" s="13">
        <v>-0.28825542927666414</v>
      </c>
      <c r="E75" s="25" t="s">
        <v>6</v>
      </c>
      <c r="F75" s="19" t="str">
        <f t="shared" si="4"/>
        <v>versicolor</v>
      </c>
      <c r="G75" s="12" cm="1">
        <f t="array" ref="G75">R$7*EstymacjaGaussowska($A75,$A$2:$A$51,R$11)*EstymacjaGaussowska($B75,$B$2:$B$51,R$12)+S$7*EstymacjaGaussowska($A75,$C$52:$C$101,S$11)*EstymacjaGaussowska($B75,$D$52:$D$101,S$12)+T$7*EstymacjaGaussowska($A75,$C$102:$C$151,T$11)*EstymacjaGaussowska($B75,$D$102:$D$151,T$12)</f>
        <v>8.1507253919009814E-2</v>
      </c>
      <c r="H75" s="8" cm="1">
        <f t="array" ref="H75">R$7*EstymacjaGaussowska($A75,$A$2:$A$51,R$11)*EstymacjaGaussowska($B75,$B$2:$B$51,R$12)/$G75</f>
        <v>4.3843290658884047E-185</v>
      </c>
      <c r="I75" s="8" cm="1">
        <f t="array" ref="I75">S$7*EstymacjaGaussowska($A75,$A$52:$A$101,S$11)*EstymacjaGaussowska($B75,$B$52:$B$101,S$12)/$G75</f>
        <v>1.8200732336243037</v>
      </c>
      <c r="J75" s="114" cm="1">
        <f t="array" ref="J75">T$7*EstymacjaGaussowska($A75,$A$102:$A$151,T$11)*EstymacjaGaussowska($B75,$B$102:$B$151,T$12)/$G75</f>
        <v>0.42412164789139695</v>
      </c>
      <c r="K75" s="19" t="str">
        <f t="shared" si="5"/>
        <v>versicolor</v>
      </c>
      <c r="L75" s="12" cm="1">
        <f t="array" ref="L75">R$7*EstymacjaGaussowska($C75,$C$2:$C$51,R$11)*EstymacjaGaussowska($D75,$D$2:$D$51,R$12)*EstymacjaGaussowska($A75,$A$2:$A$51,R$15)*EstymacjaGaussowska($B75,$B$2:$B$51,R$16)+S$7*EstymacjaGaussowska($C75,$C$52:$C$101,S$11)*EstymacjaGaussowska($D75,$D$52:$D$101,S$12)*EstymacjaGaussowska($A75,$A$52:$A$101,S$15)*EstymacjaGaussowska($B75,$B$52:$B$101,S$16)+T$7*EstymacjaGaussowska($C75,$C$102:$C$151,T$11)*EstymacjaGaussowska($D75,$D$102:$D$151,T$12)*EstymacjaGaussowska($A75,$A$102:$A$151,T$15)*EstymacjaGaussowska($B75,$B$102:$B$151,T$16)</f>
        <v>0.16839900393692833</v>
      </c>
      <c r="M75" s="8" cm="1">
        <f t="array" ref="M75">R$7*EstymacjaGaussowska($C75,$C$2:$C$51,R$11)*EstymacjaGaussowska($D75,$D$2:$D$51,R$12)*EstymacjaGaussowska($A75,$A$2:$A$51,R$15)*EstymacjaGaussowska($B75,$B$2:$B$51,R$16)/$L$2</f>
        <v>0</v>
      </c>
      <c r="N75" s="8" cm="1">
        <f t="array" ref="N75">S$7*EstymacjaGaussowska($C75,$C$52:$C$101,S$11)*EstymacjaGaussowska($D75,$D$52:$D$101,S$12)*EstymacjaGaussowska($A75,$A$52:$A$101,S$15)*EstymacjaGaussowska($B75,$B$52:$B$101,S$16)/$L$2</f>
        <v>8.595330470131432E-2</v>
      </c>
      <c r="O75" s="34" cm="1">
        <f t="array" ref="O75">T$7*EstymacjaGaussowska($C75,$C$102:$C$151,T$11)*EstymacjaGaussowska($D75,$D$102:$D$151,T$12)*EstymacjaGaussowska($A75,$A$102:$A$151,T$15)*EstymacjaGaussowska($B75,$B$102:$B$151,T$16)/$L$2</f>
        <v>3.7064980295498234E-3</v>
      </c>
    </row>
    <row r="76" spans="1:15" x14ac:dyDescent="0.25">
      <c r="A76" s="25">
        <v>0.71485332591141104</v>
      </c>
      <c r="B76" s="8">
        <v>0.14905594436978467</v>
      </c>
      <c r="C76" s="8">
        <v>0.32180093724447412</v>
      </c>
      <c r="D76" s="13">
        <v>4.171975555217379E-2</v>
      </c>
      <c r="E76" s="25" t="s">
        <v>6</v>
      </c>
      <c r="F76" s="19" t="str">
        <f t="shared" si="4"/>
        <v>versicolor</v>
      </c>
      <c r="G76" s="12" cm="1">
        <f t="array" ref="G76">R$7*EstymacjaGaussowska($A76,$A$2:$A$51,R$11)*EstymacjaGaussowska($B76,$B$2:$B$51,R$12)+S$7*EstymacjaGaussowska($A76,$C$52:$C$101,S$11)*EstymacjaGaussowska($B76,$D$52:$D$101,S$12)+T$7*EstymacjaGaussowska($A76,$C$102:$C$151,T$11)*EstymacjaGaussowska($B76,$D$102:$D$151,T$12)</f>
        <v>0.22028170995610588</v>
      </c>
      <c r="H76" s="8" cm="1">
        <f t="array" ref="H76">R$7*EstymacjaGaussowska($A76,$A$2:$A$51,R$11)*EstymacjaGaussowska($B76,$B$2:$B$51,R$12)/$G76</f>
        <v>6.7865797474252995E-162</v>
      </c>
      <c r="I76" s="8" cm="1">
        <f t="array" ref="I76">S$7*EstymacjaGaussowska($A76,$A$52:$A$101,S$11)*EstymacjaGaussowska($B76,$B$52:$B$101,S$12)/$G76</f>
        <v>0.47061891097260228</v>
      </c>
      <c r="J76" s="114" cm="1">
        <f t="array" ref="J76">T$7*EstymacjaGaussowska($A76,$A$102:$A$151,T$11)*EstymacjaGaussowska($B76,$B$102:$B$151,T$12)/$G76</f>
        <v>9.5106600959959417E-2</v>
      </c>
      <c r="K76" s="19" t="str">
        <f t="shared" si="5"/>
        <v>versicolor</v>
      </c>
      <c r="L76" s="12" cm="1">
        <f t="array" ref="L76">R$7*EstymacjaGaussowska($C76,$C$2:$C$51,R$11)*EstymacjaGaussowska($D76,$D$2:$D$51,R$12)*EstymacjaGaussowska($A76,$A$2:$A$51,R$15)*EstymacjaGaussowska($B76,$B$2:$B$51,R$16)+S$7*EstymacjaGaussowska($C76,$C$52:$C$101,S$11)*EstymacjaGaussowska($D76,$D$52:$D$101,S$12)*EstymacjaGaussowska($A76,$A$52:$A$101,S$15)*EstymacjaGaussowska($B76,$B$52:$B$101,S$16)+T$7*EstymacjaGaussowska($C76,$C$102:$C$151,T$11)*EstymacjaGaussowska($D76,$D$102:$D$151,T$12)*EstymacjaGaussowska($A76,$A$102:$A$151,T$15)*EstymacjaGaussowska($B76,$B$102:$B$151,T$16)</f>
        <v>0.12339318229381183</v>
      </c>
      <c r="M76" s="8" cm="1">
        <f t="array" ref="M76">R$7*EstymacjaGaussowska($C76,$C$2:$C$51,R$11)*EstymacjaGaussowska($D76,$D$2:$D$51,R$12)*EstymacjaGaussowska($A76,$A$2:$A$51,R$15)*EstymacjaGaussowska($B76,$B$2:$B$51,R$16)/$L$2</f>
        <v>5.8425139839225238E-288</v>
      </c>
      <c r="N76" s="8" cm="1">
        <f t="array" ref="N76">S$7*EstymacjaGaussowska($C76,$C$52:$C$101,S$11)*EstymacjaGaussowska($D76,$D$52:$D$101,S$12)*EstymacjaGaussowska($A76,$A$52:$A$101,S$15)*EstymacjaGaussowska($B76,$B$52:$B$101,S$16)/$L$2</f>
        <v>6.2827361066054133E-2</v>
      </c>
      <c r="O76" s="34" cm="1">
        <f t="array" ref="O76">T$7*EstymacjaGaussowska($C76,$C$102:$C$151,T$11)*EstymacjaGaussowska($D76,$D$102:$D$151,T$12)*EstymacjaGaussowska($A76,$A$102:$A$151,T$15)*EstymacjaGaussowska($B76,$B$102:$B$151,T$16)/$L$2</f>
        <v>2.8702269490174046E-3</v>
      </c>
    </row>
    <row r="77" spans="1:15" x14ac:dyDescent="0.25">
      <c r="A77" s="25">
        <v>0.90017437317216653</v>
      </c>
      <c r="B77" s="8">
        <v>0.3285044738343233</v>
      </c>
      <c r="C77" s="8">
        <v>0.31620907371157425</v>
      </c>
      <c r="D77" s="13">
        <v>0.10022672759329623</v>
      </c>
      <c r="E77" s="25" t="s">
        <v>6</v>
      </c>
      <c r="F77" s="19" t="str">
        <f t="shared" si="4"/>
        <v>versicolor</v>
      </c>
      <c r="G77" s="12" cm="1">
        <f t="array" ref="G77">R$7*EstymacjaGaussowska($A77,$A$2:$A$51,R$11)*EstymacjaGaussowska($B77,$B$2:$B$51,R$12)+S$7*EstymacjaGaussowska($A77,$C$52:$C$101,S$11)*EstymacjaGaussowska($B77,$D$52:$D$101,S$12)+T$7*EstymacjaGaussowska($A77,$C$102:$C$151,T$11)*EstymacjaGaussowska($B77,$D$102:$D$151,T$12)</f>
        <v>5.2081136576451428E-2</v>
      </c>
      <c r="H77" s="8" cm="1">
        <f t="array" ref="H77">R$7*EstymacjaGaussowska($A77,$A$2:$A$51,R$11)*EstymacjaGaussowska($B77,$B$2:$B$51,R$12)/$G77</f>
        <v>2.6484377053722862E-182</v>
      </c>
      <c r="I77" s="8" cm="1">
        <f t="array" ref="I77">S$7*EstymacjaGaussowska($A77,$A$52:$A$101,S$11)*EstymacjaGaussowska($B77,$B$52:$B$101,S$12)/$G77</f>
        <v>1.6268706777956534</v>
      </c>
      <c r="J77" s="114" cm="1">
        <f t="array" ref="J77">T$7*EstymacjaGaussowska($A77,$A$102:$A$151,T$11)*EstymacjaGaussowska($B77,$B$102:$B$151,T$12)/$G77</f>
        <v>0.69421510238297546</v>
      </c>
      <c r="K77" s="19" t="str">
        <f t="shared" si="5"/>
        <v>versicolor</v>
      </c>
      <c r="L77" s="12" cm="1">
        <f t="array" ref="L77">R$7*EstymacjaGaussowska($C77,$C$2:$C$51,R$11)*EstymacjaGaussowska($D77,$D$2:$D$51,R$12)*EstymacjaGaussowska($A77,$A$2:$A$51,R$15)*EstymacjaGaussowska($B77,$B$2:$B$51,R$16)+S$7*EstymacjaGaussowska($C77,$C$52:$C$101,S$11)*EstymacjaGaussowska($D77,$D$52:$D$101,S$12)*EstymacjaGaussowska($A77,$A$52:$A$101,S$15)*EstymacjaGaussowska($B77,$B$52:$B$101,S$16)+T$7*EstymacjaGaussowska($C77,$C$102:$C$151,T$11)*EstymacjaGaussowska($D77,$D$102:$D$151,T$12)*EstymacjaGaussowska($A77,$A$102:$A$151,T$15)*EstymacjaGaussowska($B77,$B$102:$B$151,T$16)</f>
        <v>0.20214989850547374</v>
      </c>
      <c r="M77" s="8" cm="1">
        <f t="array" ref="M77">R$7*EstymacjaGaussowska($C77,$C$2:$C$51,R$11)*EstymacjaGaussowska($D77,$D$2:$D$51,R$12)*EstymacjaGaussowska($A77,$A$2:$A$51,R$15)*EstymacjaGaussowska($B77,$B$2:$B$51,R$16)/$L$2</f>
        <v>0</v>
      </c>
      <c r="N77" s="8" cm="1">
        <f t="array" ref="N77">S$7*EstymacjaGaussowska($C77,$C$52:$C$101,S$11)*EstymacjaGaussowska($D77,$D$52:$D$101,S$12)*EstymacjaGaussowska($A77,$A$52:$A$101,S$15)*EstymacjaGaussowska($B77,$B$52:$B$101,S$16)/$L$2</f>
        <v>0.10275051148590252</v>
      </c>
      <c r="O77" s="34" cm="1">
        <f t="array" ref="O77">T$7*EstymacjaGaussowska($C77,$C$102:$C$151,T$11)*EstymacjaGaussowska($D77,$D$102:$D$151,T$12)*EstymacjaGaussowska($A77,$A$102:$A$151,T$15)*EstymacjaGaussowska($B77,$B$102:$B$151,T$16)/$L$2</f>
        <v>4.8791038819732064E-3</v>
      </c>
    </row>
    <row r="78" spans="1:15" x14ac:dyDescent="0.25">
      <c r="A78" s="25">
        <v>1.3320244367220875</v>
      </c>
      <c r="B78" s="8">
        <v>0.24444087601634359</v>
      </c>
      <c r="C78" s="8">
        <v>0.52170277966441947</v>
      </c>
      <c r="D78" s="13">
        <v>3.5333192109464201E-2</v>
      </c>
      <c r="E78" s="25" t="s">
        <v>6</v>
      </c>
      <c r="F78" s="19" t="str">
        <f t="shared" si="4"/>
        <v>virginica</v>
      </c>
      <c r="G78" s="12" cm="1">
        <f t="array" ref="G78">R$7*EstymacjaGaussowska($A78,$A$2:$A$51,R$11)*EstymacjaGaussowska($B78,$B$2:$B$51,R$12)+S$7*EstymacjaGaussowska($A78,$C$52:$C$101,S$11)*EstymacjaGaussowska($B78,$D$52:$D$101,S$12)+T$7*EstymacjaGaussowska($A78,$C$102:$C$151,T$11)*EstymacjaGaussowska($B78,$D$102:$D$151,T$12)</f>
        <v>4.4176465355954828E-3</v>
      </c>
      <c r="H78" s="8" cm="1">
        <f t="array" ref="H78">R$7*EstymacjaGaussowska($A78,$A$2:$A$51,R$11)*EstymacjaGaussowska($B78,$B$2:$B$51,R$12)/$G78</f>
        <v>3.2464798901826704E-235</v>
      </c>
      <c r="I78" s="8" cm="1">
        <f t="array" ref="I78">S$7*EstymacjaGaussowska($A78,$A$52:$A$101,S$11)*EstymacjaGaussowska($B78,$B$52:$B$101,S$12)/$G78</f>
        <v>13.386287142660048</v>
      </c>
      <c r="J78" s="114" cm="1">
        <f t="array" ref="J78">T$7*EstymacjaGaussowska($A78,$A$102:$A$151,T$11)*EstymacjaGaussowska($B78,$B$102:$B$151,T$12)/$G78</f>
        <v>22.433244583924807</v>
      </c>
      <c r="K78" s="19" t="str">
        <f t="shared" si="5"/>
        <v>versicolor</v>
      </c>
      <c r="L78" s="12" cm="1">
        <f t="array" ref="L78">R$7*EstymacjaGaussowska($C78,$C$2:$C$51,R$11)*EstymacjaGaussowska($D78,$D$2:$D$51,R$12)*EstymacjaGaussowska($A78,$A$2:$A$51,R$15)*EstymacjaGaussowska($B78,$B$2:$B$51,R$16)+S$7*EstymacjaGaussowska($C78,$C$52:$C$101,S$11)*EstymacjaGaussowska($D78,$D$52:$D$101,S$12)*EstymacjaGaussowska($A78,$A$52:$A$101,S$15)*EstymacjaGaussowska($B78,$B$52:$B$101,S$16)+T$7*EstymacjaGaussowska($C78,$C$102:$C$151,T$11)*EstymacjaGaussowska($D78,$D$102:$D$151,T$12)*EstymacjaGaussowska($A78,$A$102:$A$151,T$15)*EstymacjaGaussowska($B78,$B$102:$B$151,T$16)</f>
        <v>0.16891581381969684</v>
      </c>
      <c r="M78" s="8" cm="1">
        <f t="array" ref="M78">R$7*EstymacjaGaussowska($C78,$C$2:$C$51,R$11)*EstymacjaGaussowska($D78,$D$2:$D$51,R$12)*EstymacjaGaussowska($A78,$A$2:$A$51,R$15)*EstymacjaGaussowska($B78,$B$2:$B$51,R$16)/$L$2</f>
        <v>0</v>
      </c>
      <c r="N78" s="8" cm="1">
        <f t="array" ref="N78">S$7*EstymacjaGaussowska($C78,$C$52:$C$101,S$11)*EstymacjaGaussowska($D78,$D$52:$D$101,S$12)*EstymacjaGaussowska($A78,$A$52:$A$101,S$15)*EstymacjaGaussowska($B78,$B$52:$B$101,S$16)/$L$2</f>
        <v>4.838440018155301E-2</v>
      </c>
      <c r="O78" s="34" cm="1">
        <f t="array" ref="O78">T$7*EstymacjaGaussowska($C78,$C$102:$C$151,T$11)*EstymacjaGaussowska($D78,$D$102:$D$151,T$12)*EstymacjaGaussowska($A78,$A$102:$A$151,T$15)*EstymacjaGaussowska($B78,$B$102:$B$151,T$16)/$L$2</f>
        <v>4.1550564937775966E-2</v>
      </c>
    </row>
    <row r="79" spans="1:15" x14ac:dyDescent="0.25">
      <c r="A79" s="25">
        <v>1.5578021550660694</v>
      </c>
      <c r="B79" s="8">
        <v>0.2674954473102546</v>
      </c>
      <c r="C79" s="8">
        <v>0.1649209837435805</v>
      </c>
      <c r="D79" s="13">
        <v>6.9969282266127253E-2</v>
      </c>
      <c r="E79" s="25" t="s">
        <v>6</v>
      </c>
      <c r="F79" s="19" t="str">
        <f t="shared" si="4"/>
        <v>virginica</v>
      </c>
      <c r="G79" s="12" cm="1">
        <f t="array" ref="G79">R$7*EstymacjaGaussowska($A79,$A$2:$A$51,R$11)*EstymacjaGaussowska($B79,$B$2:$B$51,R$12)+S$7*EstymacjaGaussowska($A79,$C$52:$C$101,S$11)*EstymacjaGaussowska($B79,$D$52:$D$101,S$12)+T$7*EstymacjaGaussowska($A79,$C$102:$C$151,T$11)*EstymacjaGaussowska($B79,$D$102:$D$151,T$12)</f>
        <v>5.4458793909428651E-4</v>
      </c>
      <c r="H79" s="8" cm="1">
        <f t="array" ref="H79">R$7*EstymacjaGaussowska($A79,$A$2:$A$51,R$11)*EstymacjaGaussowska($B79,$B$2:$B$51,R$12)/$G79</f>
        <v>2.4474974162836348E-265</v>
      </c>
      <c r="I79" s="8" cm="1">
        <f t="array" ref="I79">S$7*EstymacjaGaussowska($A79,$A$52:$A$101,S$11)*EstymacjaGaussowska($B79,$B$52:$B$101,S$12)/$G79</f>
        <v>59.040349807167047</v>
      </c>
      <c r="J79" s="114" cm="1">
        <f t="array" ref="J79">T$7*EstymacjaGaussowska($A79,$A$102:$A$151,T$11)*EstymacjaGaussowska($B79,$B$102:$B$151,T$12)/$G79</f>
        <v>218.87757177051859</v>
      </c>
      <c r="K79" s="19" t="str">
        <f t="shared" si="5"/>
        <v>virginica</v>
      </c>
      <c r="L79" s="12" cm="1">
        <f t="array" ref="L79">R$7*EstymacjaGaussowska($C79,$C$2:$C$51,R$11)*EstymacjaGaussowska($D79,$D$2:$D$51,R$12)*EstymacjaGaussowska($A79,$A$2:$A$51,R$15)*EstymacjaGaussowska($B79,$B$2:$B$51,R$16)+S$7*EstymacjaGaussowska($C79,$C$52:$C$101,S$11)*EstymacjaGaussowska($D79,$D$52:$D$101,S$12)*EstymacjaGaussowska($A79,$A$52:$A$101,S$15)*EstymacjaGaussowska($B79,$B$52:$B$101,S$16)+T$7*EstymacjaGaussowska($C79,$C$102:$C$151,T$11)*EstymacjaGaussowska($D79,$D$102:$D$151,T$12)*EstymacjaGaussowska($A79,$A$102:$A$151,T$15)*EstymacjaGaussowska($B79,$B$102:$B$151,T$16)</f>
        <v>0.19346919151203151</v>
      </c>
      <c r="M79" s="8" cm="1">
        <f t="array" ref="M79">R$7*EstymacjaGaussowska($C79,$C$2:$C$51,R$11)*EstymacjaGaussowska($D79,$D$2:$D$51,R$12)*EstymacjaGaussowska($A79,$A$2:$A$51,R$15)*EstymacjaGaussowska($B79,$B$2:$B$51,R$16)/$L$2</f>
        <v>0</v>
      </c>
      <c r="N79" s="8" cm="1">
        <f t="array" ref="N79">S$7*EstymacjaGaussowska($C79,$C$52:$C$101,S$11)*EstymacjaGaussowska($D79,$D$52:$D$101,S$12)*EstymacjaGaussowska($A79,$A$52:$A$101,S$15)*EstymacjaGaussowska($B79,$B$52:$B$101,S$16)/$L$2</f>
        <v>3.411204592727262E-2</v>
      </c>
      <c r="O79" s="34" cm="1">
        <f t="array" ref="O79">T$7*EstymacjaGaussowska($C79,$C$102:$C$151,T$11)*EstymacjaGaussowska($D79,$D$102:$D$151,T$12)*EstymacjaGaussowska($A79,$A$102:$A$151,T$15)*EstymacjaGaussowska($B79,$B$102:$B$151,T$16)/$L$2</f>
        <v>6.8895745923832366E-2</v>
      </c>
    </row>
    <row r="80" spans="1:15" x14ac:dyDescent="0.25">
      <c r="A80" s="25">
        <v>0.81329064981754073</v>
      </c>
      <c r="B80" s="8">
        <v>-0.16335030068761652</v>
      </c>
      <c r="C80" s="8">
        <v>-3.5424504846160054E-2</v>
      </c>
      <c r="D80" s="13">
        <v>-2.9711433955534133E-2</v>
      </c>
      <c r="E80" s="25" t="s">
        <v>6</v>
      </c>
      <c r="F80" s="19" t="str">
        <f t="shared" si="4"/>
        <v>versicolor</v>
      </c>
      <c r="G80" s="12" cm="1">
        <f t="array" ref="G80">R$7*EstymacjaGaussowska($A80,$A$2:$A$51,R$11)*EstymacjaGaussowska($B80,$B$2:$B$51,R$12)+S$7*EstymacjaGaussowska($A80,$C$52:$C$101,S$11)*EstymacjaGaussowska($B80,$D$52:$D$101,S$12)+T$7*EstymacjaGaussowska($A80,$C$102:$C$151,T$11)*EstymacjaGaussowska($B80,$D$102:$D$151,T$12)</f>
        <v>0.14497126821928966</v>
      </c>
      <c r="H80" s="8" cm="1">
        <f t="array" ref="H80">R$7*EstymacjaGaussowska($A80,$A$2:$A$51,R$11)*EstymacjaGaussowska($B80,$B$2:$B$51,R$12)/$G80</f>
        <v>8.7995190535112007E-173</v>
      </c>
      <c r="I80" s="8" cm="1">
        <f t="array" ref="I80">S$7*EstymacjaGaussowska($A80,$A$52:$A$101,S$11)*EstymacjaGaussowska($B80,$B$52:$B$101,S$12)/$G80</f>
        <v>1.022574431225767</v>
      </c>
      <c r="J80" s="114" cm="1">
        <f t="array" ref="J80">T$7*EstymacjaGaussowska($A80,$A$102:$A$151,T$11)*EstymacjaGaussowska($B80,$B$102:$B$151,T$12)/$G80</f>
        <v>0.17122422658736322</v>
      </c>
      <c r="K80" s="19" t="str">
        <f t="shared" si="5"/>
        <v>versicolor</v>
      </c>
      <c r="L80" s="12" cm="1">
        <f t="array" ref="L80">R$7*EstymacjaGaussowska($C80,$C$2:$C$51,R$11)*EstymacjaGaussowska($D80,$D$2:$D$51,R$12)*EstymacjaGaussowska($A80,$A$2:$A$51,R$15)*EstymacjaGaussowska($B80,$B$2:$B$51,R$16)+S$7*EstymacjaGaussowska($C80,$C$52:$C$101,S$11)*EstymacjaGaussowska($D80,$D$52:$D$101,S$12)*EstymacjaGaussowska($A80,$A$52:$A$101,S$15)*EstymacjaGaussowska($B80,$B$52:$B$101,S$16)+T$7*EstymacjaGaussowska($C80,$C$102:$C$151,T$11)*EstymacjaGaussowska($D80,$D$102:$D$151,T$12)*EstymacjaGaussowska($A80,$A$102:$A$151,T$15)*EstymacjaGaussowska($B80,$B$102:$B$151,T$16)</f>
        <v>0.25438868027471451</v>
      </c>
      <c r="M80" s="8" cm="1">
        <f t="array" ref="M80">R$7*EstymacjaGaussowska($C80,$C$2:$C$51,R$11)*EstymacjaGaussowska($D80,$D$2:$D$51,R$12)*EstymacjaGaussowska($A80,$A$2:$A$51,R$15)*EstymacjaGaussowska($B80,$B$2:$B$51,R$16)/$L$2</f>
        <v>6.3698997308235043E-307</v>
      </c>
      <c r="N80" s="8" cm="1">
        <f t="array" ref="N80">S$7*EstymacjaGaussowska($C80,$C$52:$C$101,S$11)*EstymacjaGaussowska($D80,$D$52:$D$101,S$12)*EstymacjaGaussowska($A80,$A$52:$A$101,S$15)*EstymacjaGaussowska($B80,$B$52:$B$101,S$16)/$L$2</f>
        <v>0.13202630448332806</v>
      </c>
      <c r="O80" s="34" cm="1">
        <f t="array" ref="O80">T$7*EstymacjaGaussowska($C80,$C$102:$C$151,T$11)*EstymacjaGaussowska($D80,$D$102:$D$151,T$12)*EstymacjaGaussowska($A80,$A$102:$A$151,T$15)*EstymacjaGaussowska($B80,$B$102:$B$151,T$16)/$L$2</f>
        <v>3.4165328088591475E-3</v>
      </c>
    </row>
    <row r="81" spans="1:15" x14ac:dyDescent="0.25">
      <c r="A81" s="25">
        <v>-0.30558377802430942</v>
      </c>
      <c r="B81" s="8">
        <v>-0.36826218975458797</v>
      </c>
      <c r="C81" s="8">
        <v>0.31849158062304728</v>
      </c>
      <c r="D81" s="13">
        <v>7.4569613635724036E-2</v>
      </c>
      <c r="E81" s="25" t="s">
        <v>6</v>
      </c>
      <c r="F81" s="19" t="str">
        <f t="shared" si="4"/>
        <v>versicolor</v>
      </c>
      <c r="G81" s="12" cm="1">
        <f t="array" ref="G81">R$7*EstymacjaGaussowska($A81,$A$2:$A$51,R$11)*EstymacjaGaussowska($B81,$B$2:$B$51,R$12)+S$7*EstymacjaGaussowska($A81,$C$52:$C$101,S$11)*EstymacjaGaussowska($B81,$D$52:$D$101,S$12)+T$7*EstymacjaGaussowska($A81,$C$102:$C$151,T$11)*EstymacjaGaussowska($B81,$D$102:$D$151,T$12)</f>
        <v>0.25677815858281533</v>
      </c>
      <c r="H81" s="8" cm="1">
        <f t="array" ref="H81">R$7*EstymacjaGaussowska($A81,$A$2:$A$51,R$11)*EstymacjaGaussowska($B81,$B$2:$B$51,R$12)/$G81</f>
        <v>1.2419764676908747E-69</v>
      </c>
      <c r="I81" s="8" cm="1">
        <f t="array" ref="I81">S$7*EstymacjaGaussowska($A81,$A$52:$A$101,S$11)*EstymacjaGaussowska($B81,$B$52:$B$101,S$12)/$G81</f>
        <v>0.25036231612090498</v>
      </c>
      <c r="J81" s="114" cm="1">
        <f t="array" ref="J81">T$7*EstymacjaGaussowska($A81,$A$102:$A$151,T$11)*EstymacjaGaussowska($B81,$B$102:$B$151,T$12)/$G81</f>
        <v>8.5437997907047091E-4</v>
      </c>
      <c r="K81" s="19" t="str">
        <f t="shared" si="5"/>
        <v>versicolor</v>
      </c>
      <c r="L81" s="12" cm="1">
        <f t="array" ref="L81">R$7*EstymacjaGaussowska($C81,$C$2:$C$51,R$11)*EstymacjaGaussowska($D81,$D$2:$D$51,R$12)*EstymacjaGaussowska($A81,$A$2:$A$51,R$15)*EstymacjaGaussowska($B81,$B$2:$B$51,R$16)+S$7*EstymacjaGaussowska($C81,$C$52:$C$101,S$11)*EstymacjaGaussowska($D81,$D$52:$D$101,S$12)*EstymacjaGaussowska($A81,$A$52:$A$101,S$15)*EstymacjaGaussowska($B81,$B$52:$B$101,S$16)+T$7*EstymacjaGaussowska($C81,$C$102:$C$151,T$11)*EstymacjaGaussowska($D81,$D$102:$D$151,T$12)*EstymacjaGaussowska($A81,$A$102:$A$151,T$15)*EstymacjaGaussowska($B81,$B$102:$B$151,T$16)</f>
        <v>0.10418270390040381</v>
      </c>
      <c r="M81" s="8" cm="1">
        <f t="array" ref="M81">R$7*EstymacjaGaussowska($C81,$C$2:$C$51,R$11)*EstymacjaGaussowska($D81,$D$2:$D$51,R$12)*EstymacjaGaussowska($A81,$A$2:$A$51,R$15)*EstymacjaGaussowska($B81,$B$2:$B$51,R$16)/$L$2</f>
        <v>1.3379869621288164E-123</v>
      </c>
      <c r="N81" s="8" cm="1">
        <f t="array" ref="N81">S$7*EstymacjaGaussowska($C81,$C$52:$C$101,S$11)*EstymacjaGaussowska($D81,$D$52:$D$101,S$12)*EstymacjaGaussowska($A81,$A$52:$A$101,S$15)*EstymacjaGaussowska($B81,$B$52:$B$101,S$16)/$L$2</f>
        <v>5.5469444459564372E-2</v>
      </c>
      <c r="O81" s="34" cm="1">
        <f t="array" ref="O81">T$7*EstymacjaGaussowska($C81,$C$102:$C$151,T$11)*EstymacjaGaussowska($D81,$D$102:$D$151,T$12)*EstymacjaGaussowska($A81,$A$102:$A$151,T$15)*EstymacjaGaussowska($B81,$B$102:$B$151,T$16)/$L$2</f>
        <v>8.8109358958553401E-9</v>
      </c>
    </row>
    <row r="82" spans="1:15" x14ac:dyDescent="0.25">
      <c r="A82" s="25">
        <v>-6.8126492068363964E-2</v>
      </c>
      <c r="B82" s="8">
        <v>-0.70517213179946558</v>
      </c>
      <c r="C82" s="8">
        <v>0.24421381043355472</v>
      </c>
      <c r="D82" s="13">
        <v>6.8308422161697385E-3</v>
      </c>
      <c r="E82" s="25" t="s">
        <v>6</v>
      </c>
      <c r="F82" s="19" t="str">
        <f t="shared" si="4"/>
        <v>versicolor</v>
      </c>
      <c r="G82" s="12" cm="1">
        <f t="array" ref="G82">R$7*EstymacjaGaussowska($A82,$A$2:$A$51,R$11)*EstymacjaGaussowska($B82,$B$2:$B$51,R$12)+S$7*EstymacjaGaussowska($A82,$C$52:$C$101,S$11)*EstymacjaGaussowska($B82,$D$52:$D$101,S$12)+T$7*EstymacjaGaussowska($A82,$C$102:$C$151,T$11)*EstymacjaGaussowska($B82,$D$102:$D$151,T$12)</f>
        <v>3.174990682146149E-2</v>
      </c>
      <c r="H82" s="8" cm="1">
        <f t="array" ref="H82">R$7*EstymacjaGaussowska($A82,$A$2:$A$51,R$11)*EstymacjaGaussowska($B82,$B$2:$B$51,R$12)/$G82</f>
        <v>2.8433696503074313E-87</v>
      </c>
      <c r="I82" s="8" cm="1">
        <f t="array" ref="I82">S$7*EstymacjaGaussowska($A82,$A$52:$A$101,S$11)*EstymacjaGaussowska($B82,$B$52:$B$101,S$12)/$G82</f>
        <v>2.0316631848004327</v>
      </c>
      <c r="J82" s="114" cm="1">
        <f t="array" ref="J82">T$7*EstymacjaGaussowska($A82,$A$102:$A$151,T$11)*EstymacjaGaussowska($B82,$B$102:$B$151,T$12)/$G82</f>
        <v>1.4775475620674999E-2</v>
      </c>
      <c r="K82" s="19" t="str">
        <f t="shared" si="5"/>
        <v>versicolor</v>
      </c>
      <c r="L82" s="12" cm="1">
        <f t="array" ref="L82">R$7*EstymacjaGaussowska($C82,$C$2:$C$51,R$11)*EstymacjaGaussowska($D82,$D$2:$D$51,R$12)*EstymacjaGaussowska($A82,$A$2:$A$51,R$15)*EstymacjaGaussowska($B82,$B$2:$B$51,R$16)+S$7*EstymacjaGaussowska($C82,$C$52:$C$101,S$11)*EstymacjaGaussowska($D82,$D$52:$D$101,S$12)*EstymacjaGaussowska($A82,$A$52:$A$101,S$15)*EstymacjaGaussowska($B82,$B$52:$B$101,S$16)+T$7*EstymacjaGaussowska($C82,$C$102:$C$151,T$11)*EstymacjaGaussowska($D82,$D$102:$D$151,T$12)*EstymacjaGaussowska($A82,$A$102:$A$151,T$15)*EstymacjaGaussowska($B82,$B$102:$B$151,T$16)</f>
        <v>0.12298544804287675</v>
      </c>
      <c r="M82" s="8" cm="1">
        <f t="array" ref="M82">R$7*EstymacjaGaussowska($C82,$C$2:$C$51,R$11)*EstymacjaGaussowska($D82,$D$2:$D$51,R$12)*EstymacjaGaussowska($A82,$A$2:$A$51,R$15)*EstymacjaGaussowska($B82,$B$2:$B$51,R$16)/$L$2</f>
        <v>9.4151076809644464E-157</v>
      </c>
      <c r="N82" s="8" cm="1">
        <f t="array" ref="N82">S$7*EstymacjaGaussowska($C82,$C$52:$C$101,S$11)*EstymacjaGaussowska($D82,$D$52:$D$101,S$12)*EstymacjaGaussowska($A82,$A$52:$A$101,S$15)*EstymacjaGaussowska($B82,$B$52:$B$101,S$16)/$L$2</f>
        <v>6.5477147819086437E-2</v>
      </c>
      <c r="O82" s="34" cm="1">
        <f t="array" ref="O82">T$7*EstymacjaGaussowska($C82,$C$102:$C$151,T$11)*EstymacjaGaussowska($D82,$D$102:$D$151,T$12)*EstymacjaGaussowska($A82,$A$102:$A$151,T$15)*EstymacjaGaussowska($B82,$B$102:$B$151,T$16)/$L$2</f>
        <v>3.3523768721790812E-6</v>
      </c>
    </row>
    <row r="83" spans="1:15" x14ac:dyDescent="0.25">
      <c r="A83" s="25">
        <v>-0.18962247237850222</v>
      </c>
      <c r="B83" s="8">
        <v>-0.68028676352813366</v>
      </c>
      <c r="C83" s="8">
        <v>0.30642056121765859</v>
      </c>
      <c r="D83" s="13">
        <v>-2.0551001610771641E-2</v>
      </c>
      <c r="E83" s="25" t="s">
        <v>6</v>
      </c>
      <c r="F83" s="19" t="str">
        <f t="shared" si="4"/>
        <v>versicolor</v>
      </c>
      <c r="G83" s="12" cm="1">
        <f t="array" ref="G83">R$7*EstymacjaGaussowska($A83,$A$2:$A$51,R$11)*EstymacjaGaussowska($B83,$B$2:$B$51,R$12)+S$7*EstymacjaGaussowska($A83,$C$52:$C$101,S$11)*EstymacjaGaussowska($B83,$D$52:$D$101,S$12)+T$7*EstymacjaGaussowska($A83,$C$102:$C$151,T$11)*EstymacjaGaussowska($B83,$D$102:$D$151,T$12)</f>
        <v>3.6999819305667481E-2</v>
      </c>
      <c r="H83" s="8" cm="1">
        <f t="array" ref="H83">R$7*EstymacjaGaussowska($A83,$A$2:$A$51,R$11)*EstymacjaGaussowska($B83,$B$2:$B$51,R$12)/$G83</f>
        <v>8.4002156547662277E-78</v>
      </c>
      <c r="I83" s="8" cm="1">
        <f t="array" ref="I83">S$7*EstymacjaGaussowska($A83,$A$52:$A$101,S$11)*EstymacjaGaussowska($B83,$B$52:$B$101,S$12)/$G83</f>
        <v>1.4701857143907524</v>
      </c>
      <c r="J83" s="114" cm="1">
        <f t="array" ref="J83">T$7*EstymacjaGaussowska($A83,$A$102:$A$151,T$11)*EstymacjaGaussowska($B83,$B$102:$B$151,T$12)/$G83</f>
        <v>6.8166227784503515E-3</v>
      </c>
      <c r="K83" s="19" t="str">
        <f t="shared" si="5"/>
        <v>versicolor</v>
      </c>
      <c r="L83" s="12" cm="1">
        <f t="array" ref="L83">R$7*EstymacjaGaussowska($C83,$C$2:$C$51,R$11)*EstymacjaGaussowska($D83,$D$2:$D$51,R$12)*EstymacjaGaussowska($A83,$A$2:$A$51,R$15)*EstymacjaGaussowska($B83,$B$2:$B$51,R$16)+S$7*EstymacjaGaussowska($C83,$C$52:$C$101,S$11)*EstymacjaGaussowska($D83,$D$52:$D$101,S$12)*EstymacjaGaussowska($A83,$A$52:$A$101,S$15)*EstymacjaGaussowska($B83,$B$52:$B$101,S$16)+T$7*EstymacjaGaussowska($C83,$C$102:$C$151,T$11)*EstymacjaGaussowska($D83,$D$102:$D$151,T$12)*EstymacjaGaussowska($A83,$A$102:$A$151,T$15)*EstymacjaGaussowska($B83,$B$102:$B$151,T$16)</f>
        <v>9.3896199209289447E-2</v>
      </c>
      <c r="M83" s="8" cm="1">
        <f t="array" ref="M83">R$7*EstymacjaGaussowska($C83,$C$2:$C$51,R$11)*EstymacjaGaussowska($D83,$D$2:$D$51,R$12)*EstymacjaGaussowska($A83,$A$2:$A$51,R$15)*EstymacjaGaussowska($B83,$B$2:$B$51,R$16)/$L$2</f>
        <v>1.1248596328346658E-139</v>
      </c>
      <c r="N83" s="8" cm="1">
        <f t="array" ref="N83">S$7*EstymacjaGaussowska($C83,$C$52:$C$101,S$11)*EstymacjaGaussowska($D83,$D$52:$D$101,S$12)*EstymacjaGaussowska($A83,$A$52:$A$101,S$15)*EstymacjaGaussowska($B83,$B$52:$B$101,S$16)/$L$2</f>
        <v>4.9992476288778065E-2</v>
      </c>
      <c r="O83" s="34" cm="1">
        <f t="array" ref="O83">T$7*EstymacjaGaussowska($C83,$C$102:$C$151,T$11)*EstymacjaGaussowska($D83,$D$102:$D$151,T$12)*EstymacjaGaussowska($A83,$A$102:$A$151,T$15)*EstymacjaGaussowska($B83,$B$102:$B$151,T$16)/$L$2</f>
        <v>1.8697801853880484E-7</v>
      </c>
    </row>
    <row r="84" spans="1:15" x14ac:dyDescent="0.25">
      <c r="A84" s="25">
        <v>0.13642871155801445</v>
      </c>
      <c r="B84" s="8">
        <v>-0.31403243824923688</v>
      </c>
      <c r="C84" s="8">
        <v>0.17724276601124447</v>
      </c>
      <c r="D84" s="13">
        <v>3.2941912814463764E-2</v>
      </c>
      <c r="E84" s="25" t="s">
        <v>6</v>
      </c>
      <c r="F84" s="19" t="str">
        <f t="shared" si="4"/>
        <v>versicolor</v>
      </c>
      <c r="G84" s="12" cm="1">
        <f t="array" ref="G84">R$7*EstymacjaGaussowska($A84,$A$2:$A$51,R$11)*EstymacjaGaussowska($B84,$B$2:$B$51,R$12)+S$7*EstymacjaGaussowska($A84,$C$52:$C$101,S$11)*EstymacjaGaussowska($B84,$D$52:$D$101,S$12)+T$7*EstymacjaGaussowska($A84,$C$102:$C$151,T$11)*EstymacjaGaussowska($B84,$D$102:$D$151,T$12)</f>
        <v>0.43908634444487898</v>
      </c>
      <c r="H84" s="8" cm="1">
        <f t="array" ref="H84">R$7*EstymacjaGaussowska($A84,$A$2:$A$51,R$11)*EstymacjaGaussowska($B84,$B$2:$B$51,R$12)/$G84</f>
        <v>4.3801163046469565E-105</v>
      </c>
      <c r="I84" s="8" cm="1">
        <f t="array" ref="I84">S$7*EstymacjaGaussowska($A84,$A$52:$A$101,S$11)*EstymacjaGaussowska($B84,$B$52:$B$101,S$12)/$G84</f>
        <v>0.30703973707980498</v>
      </c>
      <c r="J84" s="114" cm="1">
        <f t="array" ref="J84">T$7*EstymacjaGaussowska($A84,$A$102:$A$151,T$11)*EstymacjaGaussowska($B84,$B$102:$B$151,T$12)/$G84</f>
        <v>5.6972700082913849E-3</v>
      </c>
      <c r="K84" s="19" t="str">
        <f t="shared" si="5"/>
        <v>versicolor</v>
      </c>
      <c r="L84" s="12" cm="1">
        <f t="array" ref="L84">R$7*EstymacjaGaussowska($C84,$C$2:$C$51,R$11)*EstymacjaGaussowska($D84,$D$2:$D$51,R$12)*EstymacjaGaussowska($A84,$A$2:$A$51,R$15)*EstymacjaGaussowska($B84,$B$2:$B$51,R$16)+S$7*EstymacjaGaussowska($C84,$C$52:$C$101,S$11)*EstymacjaGaussowska($D84,$D$52:$D$101,S$12)*EstymacjaGaussowska($A84,$A$52:$A$101,S$15)*EstymacjaGaussowska($B84,$B$52:$B$101,S$16)+T$7*EstymacjaGaussowska($C84,$C$102:$C$151,T$11)*EstymacjaGaussowska($D84,$D$102:$D$151,T$12)*EstymacjaGaussowska($A84,$A$102:$A$151,T$15)*EstymacjaGaussowska($B84,$B$102:$B$151,T$16)</f>
        <v>0.37039127720415516</v>
      </c>
      <c r="M84" s="8" cm="1">
        <f t="array" ref="M84">R$7*EstymacjaGaussowska($C84,$C$2:$C$51,R$11)*EstymacjaGaussowska($D84,$D$2:$D$51,R$12)*EstymacjaGaussowska($A84,$A$2:$A$51,R$15)*EstymacjaGaussowska($B84,$B$2:$B$51,R$16)/$L$2</f>
        <v>8.6611432349093824E-186</v>
      </c>
      <c r="N84" s="8" cm="1">
        <f t="array" ref="N84">S$7*EstymacjaGaussowska($C84,$C$52:$C$101,S$11)*EstymacjaGaussowska($D84,$D$52:$D$101,S$12)*EstymacjaGaussowska($A84,$A$52:$A$101,S$15)*EstymacjaGaussowska($B84,$B$52:$B$101,S$16)/$L$2</f>
        <v>0.19693398403128098</v>
      </c>
      <c r="O84" s="34" cm="1">
        <f t="array" ref="O84">T$7*EstymacjaGaussowska($C84,$C$102:$C$151,T$11)*EstymacjaGaussowska($D84,$D$102:$D$151,T$12)*EstymacjaGaussowska($A84,$A$102:$A$151,T$15)*EstymacjaGaussowska($B84,$B$102:$B$151,T$16)/$L$2</f>
        <v>2.7151048456215232E-4</v>
      </c>
    </row>
    <row r="85" spans="1:15" x14ac:dyDescent="0.25">
      <c r="A85" s="25">
        <v>1.3800264359155103</v>
      </c>
      <c r="B85" s="8">
        <v>-0.42095428731388251</v>
      </c>
      <c r="C85" s="8">
        <v>-1.6167127520728714E-2</v>
      </c>
      <c r="D85" s="13">
        <v>-0.17830446289268359</v>
      </c>
      <c r="E85" s="25" t="s">
        <v>6</v>
      </c>
      <c r="F85" s="19" t="str">
        <f t="shared" si="4"/>
        <v>versicolor</v>
      </c>
      <c r="G85" s="12" cm="1">
        <f t="array" ref="G85">R$7*EstymacjaGaussowska($A85,$A$2:$A$51,R$11)*EstymacjaGaussowska($B85,$B$2:$B$51,R$12)+S$7*EstymacjaGaussowska($A85,$C$52:$C$101,S$11)*EstymacjaGaussowska($B85,$D$52:$D$101,S$12)+T$7*EstymacjaGaussowska($A85,$C$102:$C$151,T$11)*EstymacjaGaussowska($B85,$D$102:$D$151,T$12)</f>
        <v>1.3695706705060453E-3</v>
      </c>
      <c r="H85" s="8" cm="1">
        <f t="array" ref="H85">R$7*EstymacjaGaussowska($A85,$A$2:$A$51,R$11)*EstymacjaGaussowska($B85,$B$2:$B$51,R$12)/$G85</f>
        <v>2.0056554467702228E-241</v>
      </c>
      <c r="I85" s="8" cm="1">
        <f t="array" ref="I85">S$7*EstymacjaGaussowska($A85,$A$52:$A$101,S$11)*EstymacjaGaussowska($B85,$B$52:$B$101,S$12)/$G85</f>
        <v>65.920993323948977</v>
      </c>
      <c r="J85" s="114" cm="1">
        <f t="array" ref="J85">T$7*EstymacjaGaussowska($A85,$A$102:$A$151,T$11)*EstymacjaGaussowska($B85,$B$102:$B$151,T$12)/$G85</f>
        <v>46.093798179724175</v>
      </c>
      <c r="K85" s="19" t="str">
        <f t="shared" si="5"/>
        <v>versicolor</v>
      </c>
      <c r="L85" s="12" cm="1">
        <f t="array" ref="L85">R$7*EstymacjaGaussowska($C85,$C$2:$C$51,R$11)*EstymacjaGaussowska($D85,$D$2:$D$51,R$12)*EstymacjaGaussowska($A85,$A$2:$A$51,R$15)*EstymacjaGaussowska($B85,$B$2:$B$51,R$16)+S$7*EstymacjaGaussowska($C85,$C$52:$C$101,S$11)*EstymacjaGaussowska($D85,$D$52:$D$101,S$12)*EstymacjaGaussowska($A85,$A$52:$A$101,S$15)*EstymacjaGaussowska($B85,$B$52:$B$101,S$16)+T$7*EstymacjaGaussowska($C85,$C$102:$C$151,T$11)*EstymacjaGaussowska($D85,$D$102:$D$151,T$12)*EstymacjaGaussowska($A85,$A$102:$A$151,T$15)*EstymacjaGaussowska($B85,$B$102:$B$151,T$16)</f>
        <v>0.19095402583064161</v>
      </c>
      <c r="M85" s="8" cm="1">
        <f t="array" ref="M85">R$7*EstymacjaGaussowska($C85,$C$2:$C$51,R$11)*EstymacjaGaussowska($D85,$D$2:$D$51,R$12)*EstymacjaGaussowska($A85,$A$2:$A$51,R$15)*EstymacjaGaussowska($B85,$B$2:$B$51,R$16)/$L$2</f>
        <v>0</v>
      </c>
      <c r="N85" s="8" cm="1">
        <f t="array" ref="N85">S$7*EstymacjaGaussowska($C85,$C$52:$C$101,S$11)*EstymacjaGaussowska($D85,$D$52:$D$101,S$12)*EstymacjaGaussowska($A85,$A$52:$A$101,S$15)*EstymacjaGaussowska($B85,$B$52:$B$101,S$16)/$L$2</f>
        <v>7.693107906986324E-2</v>
      </c>
      <c r="O85" s="34" cm="1">
        <f t="array" ref="O85">T$7*EstymacjaGaussowska($C85,$C$102:$C$151,T$11)*EstymacjaGaussowska($D85,$D$102:$D$151,T$12)*EstymacjaGaussowska($A85,$A$102:$A$151,T$15)*EstymacjaGaussowska($B85,$B$102:$B$151,T$16)/$L$2</f>
        <v>2.4737576245058197E-2</v>
      </c>
    </row>
    <row r="86" spans="1:15" x14ac:dyDescent="0.25">
      <c r="A86" s="25">
        <v>0.58800644333986296</v>
      </c>
      <c r="B86" s="8">
        <v>-0.4842874199812191</v>
      </c>
      <c r="C86" s="8">
        <v>-0.44443349863980786</v>
      </c>
      <c r="D86" s="13">
        <v>-0.25097606006453221</v>
      </c>
      <c r="E86" s="25" t="s">
        <v>6</v>
      </c>
      <c r="F86" s="19" t="str">
        <f t="shared" si="4"/>
        <v>versicolor</v>
      </c>
      <c r="G86" s="12" cm="1">
        <f t="array" ref="G86">R$7*EstymacjaGaussowska($A86,$A$2:$A$51,R$11)*EstymacjaGaussowska($B86,$B$2:$B$51,R$12)+S$7*EstymacjaGaussowska($A86,$C$52:$C$101,S$11)*EstymacjaGaussowska($B86,$D$52:$D$101,S$12)+T$7*EstymacjaGaussowska($A86,$C$102:$C$151,T$11)*EstymacjaGaussowska($B86,$D$102:$D$151,T$12)</f>
        <v>8.130080992635122E-2</v>
      </c>
      <c r="H86" s="8" cm="1">
        <f t="array" ref="H86">R$7*EstymacjaGaussowska($A86,$A$2:$A$51,R$11)*EstymacjaGaussowska($B86,$B$2:$B$51,R$12)/$G86</f>
        <v>3.428283119340981E-148</v>
      </c>
      <c r="I86" s="8" cm="1">
        <f t="array" ref="I86">S$7*EstymacjaGaussowska($A86,$A$52:$A$101,S$11)*EstymacjaGaussowska($B86,$B$52:$B$101,S$12)/$G86</f>
        <v>1.853710291575464</v>
      </c>
      <c r="J86" s="114" cm="1">
        <f t="array" ref="J86">T$7*EstymacjaGaussowska($A86,$A$102:$A$151,T$11)*EstymacjaGaussowska($B86,$B$102:$B$151,T$12)/$G86</f>
        <v>9.0178559339571585E-2</v>
      </c>
      <c r="K86" s="19" t="str">
        <f t="shared" si="5"/>
        <v>versicolor</v>
      </c>
      <c r="L86" s="12" cm="1">
        <f t="array" ref="L86">R$7*EstymacjaGaussowska($C86,$C$2:$C$51,R$11)*EstymacjaGaussowska($D86,$D$2:$D$51,R$12)*EstymacjaGaussowska($A86,$A$2:$A$51,R$15)*EstymacjaGaussowska($B86,$B$2:$B$51,R$16)+S$7*EstymacjaGaussowska($C86,$C$52:$C$101,S$11)*EstymacjaGaussowska($D86,$D$52:$D$101,S$12)*EstymacjaGaussowska($A86,$A$52:$A$101,S$15)*EstymacjaGaussowska($B86,$B$52:$B$101,S$16)+T$7*EstymacjaGaussowska($C86,$C$102:$C$151,T$11)*EstymacjaGaussowska($D86,$D$102:$D$151,T$12)*EstymacjaGaussowska($A86,$A$102:$A$151,T$15)*EstymacjaGaussowska($B86,$B$102:$B$151,T$16)</f>
        <v>4.6657134553809543E-2</v>
      </c>
      <c r="M86" s="8" cm="1">
        <f t="array" ref="M86">R$7*EstymacjaGaussowska($C86,$C$2:$C$51,R$11)*EstymacjaGaussowska($D86,$D$2:$D$51,R$12)*EstymacjaGaussowska($A86,$A$2:$A$51,R$15)*EstymacjaGaussowska($B86,$B$2:$B$51,R$16)/$L$2</f>
        <v>7.2368757849193808E-265</v>
      </c>
      <c r="N86" s="8" cm="1">
        <f t="array" ref="N86">S$7*EstymacjaGaussowska($C86,$C$52:$C$101,S$11)*EstymacjaGaussowska($D86,$D$52:$D$101,S$12)*EstymacjaGaussowska($A86,$A$52:$A$101,S$15)*EstymacjaGaussowska($B86,$B$52:$B$101,S$16)/$L$2</f>
        <v>2.3197263784728753E-2</v>
      </c>
      <c r="O86" s="34" cm="1">
        <f t="array" ref="O86">T$7*EstymacjaGaussowska($C86,$C$102:$C$151,T$11)*EstymacjaGaussowska($D86,$D$102:$D$151,T$12)*EstymacjaGaussowska($A86,$A$102:$A$151,T$15)*EstymacjaGaussowska($B86,$B$102:$B$151,T$16)/$L$2</f>
        <v>1.6441508453051534E-3</v>
      </c>
    </row>
    <row r="87" spans="1:15" x14ac:dyDescent="0.25">
      <c r="A87" s="25">
        <v>0.8068583125004114</v>
      </c>
      <c r="B87" s="8">
        <v>0.19418231471315028</v>
      </c>
      <c r="C87" s="8">
        <v>-0.38896306309821066</v>
      </c>
      <c r="D87" s="13">
        <v>-0.11420724326219506</v>
      </c>
      <c r="E87" s="25" t="s">
        <v>6</v>
      </c>
      <c r="F87" s="19" t="str">
        <f t="shared" si="4"/>
        <v>versicolor</v>
      </c>
      <c r="G87" s="12" cm="1">
        <f t="array" ref="G87">R$7*EstymacjaGaussowska($A87,$A$2:$A$51,R$11)*EstymacjaGaussowska($B87,$B$2:$B$51,R$12)+S$7*EstymacjaGaussowska($A87,$C$52:$C$101,S$11)*EstymacjaGaussowska($B87,$D$52:$D$101,S$12)+T$7*EstymacjaGaussowska($A87,$C$102:$C$151,T$11)*EstymacjaGaussowska($B87,$D$102:$D$151,T$12)</f>
        <v>0.13400259453653418</v>
      </c>
      <c r="H87" s="8" cm="1">
        <f t="array" ref="H87">R$7*EstymacjaGaussowska($A87,$A$2:$A$51,R$11)*EstymacjaGaussowska($B87,$B$2:$B$51,R$12)/$G87</f>
        <v>5.963758380763175E-172</v>
      </c>
      <c r="I87" s="8" cm="1">
        <f t="array" ref="I87">S$7*EstymacjaGaussowska($A87,$A$52:$A$101,S$11)*EstymacjaGaussowska($B87,$B$52:$B$101,S$12)/$G87</f>
        <v>0.74603180323089802</v>
      </c>
      <c r="J87" s="114" cm="1">
        <f t="array" ref="J87">T$7*EstymacjaGaussowska($A87,$A$102:$A$151,T$11)*EstymacjaGaussowska($B87,$B$102:$B$151,T$12)/$G87</f>
        <v>0.21324355512875426</v>
      </c>
      <c r="K87" s="19" t="str">
        <f t="shared" si="5"/>
        <v>versicolor</v>
      </c>
      <c r="L87" s="12" cm="1">
        <f t="array" ref="L87">R$7*EstymacjaGaussowska($C87,$C$2:$C$51,R$11)*EstymacjaGaussowska($D87,$D$2:$D$51,R$12)*EstymacjaGaussowska($A87,$A$2:$A$51,R$15)*EstymacjaGaussowska($B87,$B$2:$B$51,R$16)+S$7*EstymacjaGaussowska($C87,$C$52:$C$101,S$11)*EstymacjaGaussowska($D87,$D$52:$D$101,S$12)*EstymacjaGaussowska($A87,$A$52:$A$101,S$15)*EstymacjaGaussowska($B87,$B$52:$B$101,S$16)+T$7*EstymacjaGaussowska($C87,$C$102:$C$151,T$11)*EstymacjaGaussowska($D87,$D$102:$D$151,T$12)*EstymacjaGaussowska($A87,$A$102:$A$151,T$15)*EstymacjaGaussowska($B87,$B$102:$B$151,T$16)</f>
        <v>8.8035556620986971E-2</v>
      </c>
      <c r="M87" s="8" cm="1">
        <f t="array" ref="M87">R$7*EstymacjaGaussowska($C87,$C$2:$C$51,R$11)*EstymacjaGaussowska($D87,$D$2:$D$51,R$12)*EstymacjaGaussowska($A87,$A$2:$A$51,R$15)*EstymacjaGaussowska($B87,$B$2:$B$51,R$16)/$L$2</f>
        <v>1.5971784885813438E-306</v>
      </c>
      <c r="N87" s="8" cm="1">
        <f t="array" ref="N87">S$7*EstymacjaGaussowska($C87,$C$52:$C$101,S$11)*EstymacjaGaussowska($D87,$D$52:$D$101,S$12)*EstymacjaGaussowska($A87,$A$52:$A$101,S$15)*EstymacjaGaussowska($B87,$B$52:$B$101,S$16)/$L$2</f>
        <v>4.4029633609017987E-2</v>
      </c>
      <c r="O87" s="34" cm="1">
        <f t="array" ref="O87">T$7*EstymacjaGaussowska($C87,$C$102:$C$151,T$11)*EstymacjaGaussowska($D87,$D$102:$D$151,T$12)*EstymacjaGaussowska($A87,$A$102:$A$151,T$15)*EstymacjaGaussowska($B87,$B$102:$B$151,T$16)/$L$2</f>
        <v>2.8426783133009056E-3</v>
      </c>
    </row>
    <row r="88" spans="1:15" x14ac:dyDescent="0.25">
      <c r="A88" s="25">
        <v>1.2206908824443521</v>
      </c>
      <c r="B88" s="8">
        <v>0.40761959361100708</v>
      </c>
      <c r="C88" s="8">
        <v>0.2371670098838759</v>
      </c>
      <c r="D88" s="13">
        <v>3.1217182945095207E-2</v>
      </c>
      <c r="E88" s="25" t="s">
        <v>6</v>
      </c>
      <c r="F88" s="19" t="str">
        <f t="shared" si="4"/>
        <v>virginica</v>
      </c>
      <c r="G88" s="12" cm="1">
        <f t="array" ref="G88">R$7*EstymacjaGaussowska($A88,$A$2:$A$51,R$11)*EstymacjaGaussowska($B88,$B$2:$B$51,R$12)+S$7*EstymacjaGaussowska($A88,$C$52:$C$101,S$11)*EstymacjaGaussowska($B88,$D$52:$D$101,S$12)+T$7*EstymacjaGaussowska($A88,$C$102:$C$151,T$11)*EstymacjaGaussowska($B88,$D$102:$D$151,T$12)</f>
        <v>5.1358760300171209E-3</v>
      </c>
      <c r="H88" s="8" cm="1">
        <f t="array" ref="H88">R$7*EstymacjaGaussowska($A88,$A$2:$A$51,R$11)*EstymacjaGaussowska($B88,$B$2:$B$51,R$12)/$G88</f>
        <v>9.8899582069642626E-221</v>
      </c>
      <c r="I88" s="8" cm="1">
        <f t="array" ref="I88">S$7*EstymacjaGaussowska($A88,$A$52:$A$101,S$11)*EstymacjaGaussowska($B88,$B$52:$B$101,S$12)/$G88</f>
        <v>10.866716926935659</v>
      </c>
      <c r="J88" s="114" cm="1">
        <f t="array" ref="J88">T$7*EstymacjaGaussowska($A88,$A$102:$A$151,T$11)*EstymacjaGaussowska($B88,$B$102:$B$151,T$12)/$G88</f>
        <v>14.014806617651983</v>
      </c>
      <c r="K88" s="19" t="str">
        <f t="shared" si="5"/>
        <v>virginica</v>
      </c>
      <c r="L88" s="12" cm="1">
        <f t="array" ref="L88">R$7*EstymacjaGaussowska($C88,$C$2:$C$51,R$11)*EstymacjaGaussowska($D88,$D$2:$D$51,R$12)*EstymacjaGaussowska($A88,$A$2:$A$51,R$15)*EstymacjaGaussowska($B88,$B$2:$B$51,R$16)+S$7*EstymacjaGaussowska($C88,$C$52:$C$101,S$11)*EstymacjaGaussowska($D88,$D$52:$D$101,S$12)*EstymacjaGaussowska($A88,$A$52:$A$101,S$15)*EstymacjaGaussowska($B88,$B$52:$B$101,S$16)+T$7*EstymacjaGaussowska($C88,$C$102:$C$151,T$11)*EstymacjaGaussowska($D88,$D$102:$D$151,T$12)*EstymacjaGaussowska($A88,$A$102:$A$151,T$15)*EstymacjaGaussowska($B88,$B$102:$B$151,T$16)</f>
        <v>0.18214981820381776</v>
      </c>
      <c r="M88" s="8" cm="1">
        <f t="array" ref="M88">R$7*EstymacjaGaussowska($C88,$C$2:$C$51,R$11)*EstymacjaGaussowska($D88,$D$2:$D$51,R$12)*EstymacjaGaussowska($A88,$A$2:$A$51,R$15)*EstymacjaGaussowska($B88,$B$2:$B$51,R$16)/$L$2</f>
        <v>0</v>
      </c>
      <c r="N88" s="8" cm="1">
        <f t="array" ref="N88">S$7*EstymacjaGaussowska($C88,$C$52:$C$101,S$11)*EstymacjaGaussowska($D88,$D$52:$D$101,S$12)*EstymacjaGaussowska($A88,$A$52:$A$101,S$15)*EstymacjaGaussowska($B88,$B$52:$B$101,S$16)/$L$2</f>
        <v>4.7093363679049594E-2</v>
      </c>
      <c r="O88" s="34" cm="1">
        <f t="array" ref="O88">T$7*EstymacjaGaussowska($C88,$C$102:$C$151,T$11)*EstymacjaGaussowska($D88,$D$102:$D$151,T$12)*EstymacjaGaussowska($A88,$A$102:$A$151,T$15)*EstymacjaGaussowska($B88,$B$102:$B$151,T$16)/$L$2</f>
        <v>4.9887713321464168E-2</v>
      </c>
    </row>
    <row r="89" spans="1:15" x14ac:dyDescent="0.25">
      <c r="A89" s="25">
        <v>0.81509523576659915</v>
      </c>
      <c r="B89" s="8">
        <v>-0.37203705990950153</v>
      </c>
      <c r="C89" s="8">
        <v>0.61472084259182247</v>
      </c>
      <c r="D89" s="13">
        <v>0.15402099976199118</v>
      </c>
      <c r="E89" s="25" t="s">
        <v>6</v>
      </c>
      <c r="F89" s="19" t="str">
        <f t="shared" si="4"/>
        <v>versicolor</v>
      </c>
      <c r="G89" s="12" cm="1">
        <f t="array" ref="G89">R$7*EstymacjaGaussowska($A89,$A$2:$A$51,R$11)*EstymacjaGaussowska($B89,$B$2:$B$51,R$12)+S$7*EstymacjaGaussowska($A89,$C$52:$C$101,S$11)*EstymacjaGaussowska($B89,$D$52:$D$101,S$12)+T$7*EstymacjaGaussowska($A89,$C$102:$C$151,T$11)*EstymacjaGaussowska($B89,$D$102:$D$151,T$12)</f>
        <v>6.6870636865808131E-2</v>
      </c>
      <c r="H89" s="8" cm="1">
        <f t="array" ref="H89">R$7*EstymacjaGaussowska($A89,$A$2:$A$51,R$11)*EstymacjaGaussowska($B89,$B$2:$B$51,R$12)/$G89</f>
        <v>8.2305892822173867E-173</v>
      </c>
      <c r="I89" s="8" cm="1">
        <f t="array" ref="I89">S$7*EstymacjaGaussowska($A89,$A$52:$A$101,S$11)*EstymacjaGaussowska($B89,$B$52:$B$101,S$12)/$G89</f>
        <v>2.4595691901487053</v>
      </c>
      <c r="J89" s="114" cm="1">
        <f t="array" ref="J89">T$7*EstymacjaGaussowska($A89,$A$102:$A$151,T$11)*EstymacjaGaussowska($B89,$B$102:$B$151,T$12)/$G89</f>
        <v>0.28414316182424437</v>
      </c>
      <c r="K89" s="19" t="str">
        <f t="shared" si="5"/>
        <v>versicolor</v>
      </c>
      <c r="L89" s="12" cm="1">
        <f t="array" ref="L89">R$7*EstymacjaGaussowska($C89,$C$2:$C$51,R$11)*EstymacjaGaussowska($D89,$D$2:$D$51,R$12)*EstymacjaGaussowska($A89,$A$2:$A$51,R$15)*EstymacjaGaussowska($B89,$B$2:$B$51,R$16)+S$7*EstymacjaGaussowska($C89,$C$52:$C$101,S$11)*EstymacjaGaussowska($D89,$D$52:$D$101,S$12)*EstymacjaGaussowska($A89,$A$52:$A$101,S$15)*EstymacjaGaussowska($B89,$B$52:$B$101,S$16)+T$7*EstymacjaGaussowska($C89,$C$102:$C$151,T$11)*EstymacjaGaussowska($D89,$D$102:$D$151,T$12)*EstymacjaGaussowska($A89,$A$102:$A$151,T$15)*EstymacjaGaussowska($B89,$B$102:$B$151,T$16)</f>
        <v>0.16226741055361879</v>
      </c>
      <c r="M89" s="8" cm="1">
        <f t="array" ref="M89">R$7*EstymacjaGaussowska($C89,$C$2:$C$51,R$11)*EstymacjaGaussowska($D89,$D$2:$D$51,R$12)*EstymacjaGaussowska($A89,$A$2:$A$51,R$15)*EstymacjaGaussowska($B89,$B$2:$B$51,R$16)/$L$2</f>
        <v>0</v>
      </c>
      <c r="N89" s="8" cm="1">
        <f t="array" ref="N89">S$7*EstymacjaGaussowska($C89,$C$52:$C$101,S$11)*EstymacjaGaussowska($D89,$D$52:$D$101,S$12)*EstymacjaGaussowska($A89,$A$52:$A$101,S$15)*EstymacjaGaussowska($B89,$B$52:$B$101,S$16)/$L$2</f>
        <v>8.5911964534858637E-2</v>
      </c>
      <c r="O89" s="34" cm="1">
        <f t="array" ref="O89">T$7*EstymacjaGaussowska($C89,$C$102:$C$151,T$11)*EstymacjaGaussowska($D89,$D$102:$D$151,T$12)*EstymacjaGaussowska($A89,$A$102:$A$151,T$15)*EstymacjaGaussowska($B89,$B$102:$B$151,T$16)/$L$2</f>
        <v>4.8322593393233863E-4</v>
      </c>
    </row>
    <row r="90" spans="1:15" x14ac:dyDescent="0.25">
      <c r="A90" s="25">
        <v>0.24595767988669195</v>
      </c>
      <c r="B90" s="8">
        <v>-0.26852439662201544</v>
      </c>
      <c r="C90" s="8">
        <v>-0.1883668116461947</v>
      </c>
      <c r="D90" s="13">
        <v>-0.14667451173869261</v>
      </c>
      <c r="E90" s="25" t="s">
        <v>6</v>
      </c>
      <c r="F90" s="19" t="str">
        <f t="shared" si="4"/>
        <v>versicolor</v>
      </c>
      <c r="G90" s="12" cm="1">
        <f t="array" ref="G90">R$7*EstymacjaGaussowska($A90,$A$2:$A$51,R$11)*EstymacjaGaussowska($B90,$B$2:$B$51,R$12)+S$7*EstymacjaGaussowska($A90,$C$52:$C$101,S$11)*EstymacjaGaussowska($B90,$D$52:$D$101,S$12)+T$7*EstymacjaGaussowska($A90,$C$102:$C$151,T$11)*EstymacjaGaussowska($B90,$D$102:$D$151,T$12)</f>
        <v>0.49007490226372208</v>
      </c>
      <c r="H90" s="8" cm="1">
        <f t="array" ref="H90">R$7*EstymacjaGaussowska($A90,$A$2:$A$51,R$11)*EstymacjaGaussowska($B90,$B$2:$B$51,R$12)/$G90</f>
        <v>5.667016538077239E-115</v>
      </c>
      <c r="I90" s="8" cm="1">
        <f t="array" ref="I90">S$7*EstymacjaGaussowska($A90,$A$52:$A$101,S$11)*EstymacjaGaussowska($B90,$B$52:$B$101,S$12)/$G90</f>
        <v>0.29656581726442854</v>
      </c>
      <c r="J90" s="114" cm="1">
        <f t="array" ref="J90">T$7*EstymacjaGaussowska($A90,$A$102:$A$151,T$11)*EstymacjaGaussowska($B90,$B$102:$B$151,T$12)/$G90</f>
        <v>7.8861130946303194E-3</v>
      </c>
      <c r="K90" s="19" t="str">
        <f t="shared" si="5"/>
        <v>versicolor</v>
      </c>
      <c r="L90" s="12" cm="1">
        <f t="array" ref="L90">R$7*EstymacjaGaussowska($C90,$C$2:$C$51,R$11)*EstymacjaGaussowska($D90,$D$2:$D$51,R$12)*EstymacjaGaussowska($A90,$A$2:$A$51,R$15)*EstymacjaGaussowska($B90,$B$2:$B$51,R$16)+S$7*EstymacjaGaussowska($C90,$C$52:$C$101,S$11)*EstymacjaGaussowska($D90,$D$52:$D$101,S$12)*EstymacjaGaussowska($A90,$A$52:$A$101,S$15)*EstymacjaGaussowska($B90,$B$52:$B$101,S$16)+T$7*EstymacjaGaussowska($C90,$C$102:$C$151,T$11)*EstymacjaGaussowska($D90,$D$102:$D$151,T$12)*EstymacjaGaussowska($A90,$A$102:$A$151,T$15)*EstymacjaGaussowska($B90,$B$102:$B$151,T$16)</f>
        <v>0.24060879746698488</v>
      </c>
      <c r="M90" s="8" cm="1">
        <f t="array" ref="M90">R$7*EstymacjaGaussowska($C90,$C$2:$C$51,R$11)*EstymacjaGaussowska($D90,$D$2:$D$51,R$12)*EstymacjaGaussowska($A90,$A$2:$A$51,R$15)*EstymacjaGaussowska($B90,$B$2:$B$51,R$16)/$L$2</f>
        <v>3.1116520332582345E-203</v>
      </c>
      <c r="N90" s="8" cm="1">
        <f t="array" ref="N90">S$7*EstymacjaGaussowska($C90,$C$52:$C$101,S$11)*EstymacjaGaussowska($D90,$D$52:$D$101,S$12)*EstymacjaGaussowska($A90,$A$52:$A$101,S$15)*EstymacjaGaussowska($B90,$B$52:$B$101,S$16)/$L$2</f>
        <v>0.12672700680272159</v>
      </c>
      <c r="O90" s="34" cm="1">
        <f t="array" ref="O90">T$7*EstymacjaGaussowska($C90,$C$102:$C$151,T$11)*EstymacjaGaussowska($D90,$D$102:$D$151,T$12)*EstymacjaGaussowska($A90,$A$102:$A$151,T$15)*EstymacjaGaussowska($B90,$B$102:$B$151,T$16)/$L$2</f>
        <v>1.379079408335657E-3</v>
      </c>
    </row>
    <row r="91" spans="1:15" x14ac:dyDescent="0.25">
      <c r="A91" s="25">
        <v>0.1664132171454564</v>
      </c>
      <c r="B91" s="8">
        <v>-0.68192672486362693</v>
      </c>
      <c r="C91" s="8">
        <v>6.0009225855338313E-2</v>
      </c>
      <c r="D91" s="13">
        <v>2.9622219503438754E-2</v>
      </c>
      <c r="E91" s="25" t="s">
        <v>6</v>
      </c>
      <c r="F91" s="19" t="str">
        <f t="shared" si="4"/>
        <v>versicolor</v>
      </c>
      <c r="G91" s="12" cm="1">
        <f t="array" ref="G91">R$7*EstymacjaGaussowska($A91,$A$2:$A$51,R$11)*EstymacjaGaussowska($B91,$B$2:$B$51,R$12)+S$7*EstymacjaGaussowska($A91,$C$52:$C$101,S$11)*EstymacjaGaussowska($B91,$D$52:$D$101,S$12)+T$7*EstymacjaGaussowska($A91,$C$102:$C$151,T$11)*EstymacjaGaussowska($B91,$D$102:$D$151,T$12)</f>
        <v>3.6892868745971356E-2</v>
      </c>
      <c r="H91" s="8" cm="1">
        <f t="array" ref="H91">R$7*EstymacjaGaussowska($A91,$A$2:$A$51,R$11)*EstymacjaGaussowska($B91,$B$2:$B$51,R$12)/$G91</f>
        <v>3.3999400789542638E-107</v>
      </c>
      <c r="I91" s="8" cm="1">
        <f t="array" ref="I91">S$7*EstymacjaGaussowska($A91,$A$52:$A$101,S$11)*EstymacjaGaussowska($B91,$B$52:$B$101,S$12)/$G91</f>
        <v>2.5349954651237456</v>
      </c>
      <c r="J91" s="114" cm="1">
        <f t="array" ref="J91">T$7*EstymacjaGaussowska($A91,$A$102:$A$151,T$11)*EstymacjaGaussowska($B91,$B$102:$B$151,T$12)/$G91</f>
        <v>3.695961772339186E-2</v>
      </c>
      <c r="K91" s="19" t="str">
        <f t="shared" si="5"/>
        <v>versicolor</v>
      </c>
      <c r="L91" s="12" cm="1">
        <f t="array" ref="L91">R$7*EstymacjaGaussowska($C91,$C$2:$C$51,R$11)*EstymacjaGaussowska($D91,$D$2:$D$51,R$12)*EstymacjaGaussowska($A91,$A$2:$A$51,R$15)*EstymacjaGaussowska($B91,$B$2:$B$51,R$16)+S$7*EstymacjaGaussowska($C91,$C$52:$C$101,S$11)*EstymacjaGaussowska($D91,$D$52:$D$101,S$12)*EstymacjaGaussowska($A91,$A$52:$A$101,S$15)*EstymacjaGaussowska($B91,$B$52:$B$101,S$16)+T$7*EstymacjaGaussowska($C91,$C$102:$C$151,T$11)*EstymacjaGaussowska($D91,$D$102:$D$151,T$12)*EstymacjaGaussowska($A91,$A$102:$A$151,T$15)*EstymacjaGaussowska($B91,$B$102:$B$151,T$16)</f>
        <v>0.23999815522661283</v>
      </c>
      <c r="M91" s="8" cm="1">
        <f t="array" ref="M91">R$7*EstymacjaGaussowska($C91,$C$2:$C$51,R$11)*EstymacjaGaussowska($D91,$D$2:$D$51,R$12)*EstymacjaGaussowska($A91,$A$2:$A$51,R$15)*EstymacjaGaussowska($B91,$B$2:$B$51,R$16)/$L$2</f>
        <v>1.3560370926143021E-191</v>
      </c>
      <c r="N91" s="8" cm="1">
        <f t="array" ref="N91">S$7*EstymacjaGaussowska($C91,$C$52:$C$101,S$11)*EstymacjaGaussowska($D91,$D$52:$D$101,S$12)*EstymacjaGaussowska($A91,$A$52:$A$101,S$15)*EstymacjaGaussowska($B91,$B$52:$B$101,S$16)/$L$2</f>
        <v>0.12752481848341932</v>
      </c>
      <c r="O91" s="34" cm="1">
        <f t="array" ref="O91">T$7*EstymacjaGaussowska($C91,$C$102:$C$151,T$11)*EstymacjaGaussowska($D91,$D$102:$D$151,T$12)*EstymacjaGaussowska($A91,$A$102:$A$151,T$15)*EstymacjaGaussowska($B91,$B$102:$B$151,T$16)/$L$2</f>
        <v>2.5614666675922326E-4</v>
      </c>
    </row>
    <row r="92" spans="1:15" x14ac:dyDescent="0.25">
      <c r="A92" s="25">
        <v>0.46480028840377868</v>
      </c>
      <c r="B92" s="8">
        <v>-0.6707115445117211</v>
      </c>
      <c r="C92" s="8">
        <v>2.4306855718951737E-2</v>
      </c>
      <c r="D92" s="13">
        <v>-0.26965142818743271</v>
      </c>
      <c r="E92" s="25" t="s">
        <v>6</v>
      </c>
      <c r="F92" s="19" t="str">
        <f t="shared" si="4"/>
        <v>versicolor</v>
      </c>
      <c r="G92" s="12" cm="1">
        <f t="array" ref="G92">R$7*EstymacjaGaussowska($A92,$A$2:$A$51,R$11)*EstymacjaGaussowska($B92,$B$2:$B$51,R$12)+S$7*EstymacjaGaussowska($A92,$C$52:$C$101,S$11)*EstymacjaGaussowska($B92,$D$52:$D$101,S$12)+T$7*EstymacjaGaussowska($A92,$C$102:$C$151,T$11)*EstymacjaGaussowska($B92,$D$102:$D$151,T$12)</f>
        <v>2.629335760574595E-2</v>
      </c>
      <c r="H92" s="8" cm="1">
        <f t="array" ref="H92">R$7*EstymacjaGaussowska($A92,$A$2:$A$51,R$11)*EstymacjaGaussowska($B92,$B$2:$B$51,R$12)/$G92</f>
        <v>2.4446629307632217E-135</v>
      </c>
      <c r="I92" s="8" cm="1">
        <f t="array" ref="I92">S$7*EstymacjaGaussowska($A92,$A$52:$A$101,S$11)*EstymacjaGaussowska($B92,$B$52:$B$101,S$12)/$G92</f>
        <v>4.1877123560864016</v>
      </c>
      <c r="J92" s="114" cm="1">
        <f t="array" ref="J92">T$7*EstymacjaGaussowska($A92,$A$102:$A$151,T$11)*EstymacjaGaussowska($B92,$B$102:$B$151,T$12)/$G92</f>
        <v>0.1300267047415064</v>
      </c>
      <c r="K92" s="19" t="str">
        <f t="shared" si="5"/>
        <v>versicolor</v>
      </c>
      <c r="L92" s="12" cm="1">
        <f t="array" ref="L92">R$7*EstymacjaGaussowska($C92,$C$2:$C$51,R$11)*EstymacjaGaussowska($D92,$D$2:$D$51,R$12)*EstymacjaGaussowska($A92,$A$2:$A$51,R$15)*EstymacjaGaussowska($B92,$B$2:$B$51,R$16)+S$7*EstymacjaGaussowska($C92,$C$52:$C$101,S$11)*EstymacjaGaussowska($D92,$D$52:$D$101,S$12)*EstymacjaGaussowska($A92,$A$52:$A$101,S$15)*EstymacjaGaussowska($B92,$B$52:$B$101,S$16)+T$7*EstymacjaGaussowska($C92,$C$102:$C$151,T$11)*EstymacjaGaussowska($D92,$D$102:$D$151,T$12)*EstymacjaGaussowska($A92,$A$102:$A$151,T$15)*EstymacjaGaussowska($B92,$B$102:$B$151,T$16)</f>
        <v>0.12118130345409477</v>
      </c>
      <c r="M92" s="8" cm="1">
        <f t="array" ref="M92">R$7*EstymacjaGaussowska($C92,$C$2:$C$51,R$11)*EstymacjaGaussowska($D92,$D$2:$D$51,R$12)*EstymacjaGaussowska($A92,$A$2:$A$51,R$15)*EstymacjaGaussowska($B92,$B$2:$B$51,R$16)/$L$2</f>
        <v>4.2618850543402926E-242</v>
      </c>
      <c r="N92" s="8" cm="1">
        <f t="array" ref="N92">S$7*EstymacjaGaussowska($C92,$C$52:$C$101,S$11)*EstymacjaGaussowska($D92,$D$52:$D$101,S$12)*EstymacjaGaussowska($A92,$A$52:$A$101,S$15)*EstymacjaGaussowska($B92,$B$52:$B$101,S$16)/$L$2</f>
        <v>6.2908733524999663E-2</v>
      </c>
      <c r="O92" s="34" cm="1">
        <f t="array" ref="O92">T$7*EstymacjaGaussowska($C92,$C$102:$C$151,T$11)*EstymacjaGaussowska($D92,$D$102:$D$151,T$12)*EstymacjaGaussowska($A92,$A$102:$A$151,T$15)*EstymacjaGaussowska($B92,$B$102:$B$151,T$16)/$L$2</f>
        <v>1.6111953840365287E-3</v>
      </c>
    </row>
    <row r="93" spans="1:15" x14ac:dyDescent="0.25">
      <c r="A93" s="25">
        <v>0.89081519846944868</v>
      </c>
      <c r="B93" s="8">
        <v>-3.4464444368269322E-2</v>
      </c>
      <c r="C93" s="8">
        <v>9.946932894348795E-3</v>
      </c>
      <c r="D93" s="13">
        <v>-0.15348466625761772</v>
      </c>
      <c r="E93" s="25" t="s">
        <v>6</v>
      </c>
      <c r="F93" s="19" t="str">
        <f t="shared" si="4"/>
        <v>versicolor</v>
      </c>
      <c r="G93" s="12" cm="1">
        <f t="array" ref="G93">R$7*EstymacjaGaussowska($A93,$A$2:$A$51,R$11)*EstymacjaGaussowska($B93,$B$2:$B$51,R$12)+S$7*EstymacjaGaussowska($A93,$C$52:$C$101,S$11)*EstymacjaGaussowska($B93,$D$52:$D$101,S$12)+T$7*EstymacjaGaussowska($A93,$C$102:$C$151,T$11)*EstymacjaGaussowska($B93,$D$102:$D$151,T$12)</f>
        <v>0.11905941367013975</v>
      </c>
      <c r="H93" s="8" cm="1">
        <f t="array" ref="H93">R$7*EstymacjaGaussowska($A93,$A$2:$A$51,R$11)*EstymacjaGaussowska($B93,$B$2:$B$51,R$12)/$G93</f>
        <v>1.4125548968238604E-181</v>
      </c>
      <c r="I93" s="8" cm="1">
        <f t="array" ref="I93">S$7*EstymacjaGaussowska($A93,$A$52:$A$101,S$11)*EstymacjaGaussowska($B93,$B$52:$B$101,S$12)/$G93</f>
        <v>1.0469021392703775</v>
      </c>
      <c r="J93" s="114" cm="1">
        <f t="array" ref="J93">T$7*EstymacjaGaussowska($A93,$A$102:$A$151,T$11)*EstymacjaGaussowska($B93,$B$102:$B$151,T$12)/$G93</f>
        <v>0.29645585805453178</v>
      </c>
      <c r="K93" s="19" t="str">
        <f t="shared" si="5"/>
        <v>versicolor</v>
      </c>
      <c r="L93" s="12" cm="1">
        <f t="array" ref="L93">R$7*EstymacjaGaussowska($C93,$C$2:$C$51,R$11)*EstymacjaGaussowska($D93,$D$2:$D$51,R$12)*EstymacjaGaussowska($A93,$A$2:$A$51,R$15)*EstymacjaGaussowska($B93,$B$2:$B$51,R$16)+S$7*EstymacjaGaussowska($C93,$C$52:$C$101,S$11)*EstymacjaGaussowska($D93,$D$52:$D$101,S$12)*EstymacjaGaussowska($A93,$A$52:$A$101,S$15)*EstymacjaGaussowska($B93,$B$52:$B$101,S$16)+T$7*EstymacjaGaussowska($C93,$C$102:$C$151,T$11)*EstymacjaGaussowska($D93,$D$102:$D$151,T$12)*EstymacjaGaussowska($A93,$A$102:$A$151,T$15)*EstymacjaGaussowska($B93,$B$102:$B$151,T$16)</f>
        <v>0.19666895089317751</v>
      </c>
      <c r="M93" s="8" cm="1">
        <f t="array" ref="M93">R$7*EstymacjaGaussowska($C93,$C$2:$C$51,R$11)*EstymacjaGaussowska($D93,$D$2:$D$51,R$12)*EstymacjaGaussowska($A93,$A$2:$A$51,R$15)*EstymacjaGaussowska($B93,$B$2:$B$51,R$16)/$L$2</f>
        <v>0</v>
      </c>
      <c r="N93" s="8" cm="1">
        <f t="array" ref="N93">S$7*EstymacjaGaussowska($C93,$C$52:$C$101,S$11)*EstymacjaGaussowska($D93,$D$52:$D$101,S$12)*EstymacjaGaussowska($A93,$A$52:$A$101,S$15)*EstymacjaGaussowska($B93,$B$52:$B$101,S$16)/$L$2</f>
        <v>0.10107388648888485</v>
      </c>
      <c r="O93" s="34" cm="1">
        <f t="array" ref="O93">T$7*EstymacjaGaussowska($C93,$C$102:$C$151,T$11)*EstymacjaGaussowska($D93,$D$102:$D$151,T$12)*EstymacjaGaussowska($A93,$A$102:$A$151,T$15)*EstymacjaGaussowska($B93,$B$102:$B$151,T$16)/$L$2</f>
        <v>3.6375365488228221E-3</v>
      </c>
    </row>
    <row r="94" spans="1:15" x14ac:dyDescent="0.25">
      <c r="A94" s="25">
        <v>0.23054802355945489</v>
      </c>
      <c r="B94" s="8">
        <v>-0.4043858480073253</v>
      </c>
      <c r="C94" s="8">
        <v>0.22941024143915678</v>
      </c>
      <c r="D94" s="13">
        <v>1.6930324481613454E-2</v>
      </c>
      <c r="E94" s="25" t="s">
        <v>6</v>
      </c>
      <c r="F94" s="19" t="str">
        <f t="shared" si="4"/>
        <v>versicolor</v>
      </c>
      <c r="G94" s="12" cm="1">
        <f t="array" ref="G94">R$7*EstymacjaGaussowska($A94,$A$2:$A$51,R$11)*EstymacjaGaussowska($B94,$B$2:$B$51,R$12)+S$7*EstymacjaGaussowska($A94,$C$52:$C$101,S$11)*EstymacjaGaussowska($B94,$D$52:$D$101,S$12)+T$7*EstymacjaGaussowska($A94,$C$102:$C$151,T$11)*EstymacjaGaussowska($B94,$D$102:$D$151,T$12)</f>
        <v>0.26491356299147933</v>
      </c>
      <c r="H94" s="8" cm="1">
        <f t="array" ref="H94">R$7*EstymacjaGaussowska($A94,$A$2:$A$51,R$11)*EstymacjaGaussowska($B94,$B$2:$B$51,R$12)/$G94</f>
        <v>2.0138879539007247E-113</v>
      </c>
      <c r="I94" s="8" cm="1">
        <f t="array" ref="I94">S$7*EstymacjaGaussowska($A94,$A$52:$A$101,S$11)*EstymacjaGaussowska($B94,$B$52:$B$101,S$12)/$G94</f>
        <v>0.54501379419612928</v>
      </c>
      <c r="J94" s="114" cm="1">
        <f t="array" ref="J94">T$7*EstymacjaGaussowska($A94,$A$102:$A$151,T$11)*EstymacjaGaussowska($B94,$B$102:$B$151,T$12)/$G94</f>
        <v>1.1284954788326491E-2</v>
      </c>
      <c r="K94" s="19" t="str">
        <f t="shared" si="5"/>
        <v>versicolor</v>
      </c>
      <c r="L94" s="12" cm="1">
        <f t="array" ref="L94">R$7*EstymacjaGaussowska($C94,$C$2:$C$51,R$11)*EstymacjaGaussowska($D94,$D$2:$D$51,R$12)*EstymacjaGaussowska($A94,$A$2:$A$51,R$15)*EstymacjaGaussowska($B94,$B$2:$B$51,R$16)+S$7*EstymacjaGaussowska($C94,$C$52:$C$101,S$11)*EstymacjaGaussowska($D94,$D$52:$D$101,S$12)*EstymacjaGaussowska($A94,$A$52:$A$101,S$15)*EstymacjaGaussowska($B94,$B$52:$B$101,S$16)+T$7*EstymacjaGaussowska($C94,$C$102:$C$151,T$11)*EstymacjaGaussowska($D94,$D$102:$D$151,T$12)*EstymacjaGaussowska($A94,$A$102:$A$151,T$15)*EstymacjaGaussowska($B94,$B$102:$B$151,T$16)</f>
        <v>0.40495096211340098</v>
      </c>
      <c r="M94" s="8" cm="1">
        <f t="array" ref="M94">R$7*EstymacjaGaussowska($C94,$C$2:$C$51,R$11)*EstymacjaGaussowska($D94,$D$2:$D$51,R$12)*EstymacjaGaussowska($A94,$A$2:$A$51,R$15)*EstymacjaGaussowska($B94,$B$2:$B$51,R$16)/$L$2</f>
        <v>2.5161934218334602E-201</v>
      </c>
      <c r="N94" s="8" cm="1">
        <f t="array" ref="N94">S$7*EstymacjaGaussowska($C94,$C$52:$C$101,S$11)*EstymacjaGaussowska($D94,$D$52:$D$101,S$12)*EstymacjaGaussowska($A94,$A$52:$A$101,S$15)*EstymacjaGaussowska($B94,$B$52:$B$101,S$16)/$L$2</f>
        <v>0.21511428579709008</v>
      </c>
      <c r="O94" s="34" cm="1">
        <f t="array" ref="O94">T$7*EstymacjaGaussowska($C94,$C$102:$C$151,T$11)*EstymacjaGaussowska($D94,$D$102:$D$151,T$12)*EstymacjaGaussowska($A94,$A$102:$A$151,T$15)*EstymacjaGaussowska($B94,$B$102:$B$151,T$16)/$L$2</f>
        <v>4.9164137549463291E-4</v>
      </c>
    </row>
    <row r="95" spans="1:15" x14ac:dyDescent="0.25">
      <c r="A95" s="25">
        <v>-0.70453175924466394</v>
      </c>
      <c r="B95" s="8">
        <v>-1.0122482275317144</v>
      </c>
      <c r="C95" s="8">
        <v>0.10569114890301998</v>
      </c>
      <c r="D95" s="13">
        <v>4.5613307101707773E-2</v>
      </c>
      <c r="E95" s="25" t="s">
        <v>6</v>
      </c>
      <c r="F95" s="19" t="str">
        <f t="shared" si="4"/>
        <v>versicolor</v>
      </c>
      <c r="G95" s="12" cm="1">
        <f t="array" ref="G95">R$7*EstymacjaGaussowska($A95,$A$2:$A$51,R$11)*EstymacjaGaussowska($B95,$B$2:$B$51,R$12)+S$7*EstymacjaGaussowska($A95,$C$52:$C$101,S$11)*EstymacjaGaussowska($B95,$D$52:$D$101,S$12)+T$7*EstymacjaGaussowska($A95,$C$102:$C$151,T$11)*EstymacjaGaussowska($B95,$D$102:$D$151,T$12)</f>
        <v>6.5369249840819415E-4</v>
      </c>
      <c r="H95" s="8" cm="1">
        <f t="array" ref="H95">R$7*EstymacjaGaussowska($A95,$A$2:$A$51,R$11)*EstymacjaGaussowska($B95,$B$2:$B$51,R$12)/$G95</f>
        <v>1.5844424859435324E-42</v>
      </c>
      <c r="I95" s="8" cm="1">
        <f t="array" ref="I95">S$7*EstymacjaGaussowska($A95,$A$52:$A$101,S$11)*EstymacjaGaussowska($B95,$B$52:$B$101,S$12)/$G95</f>
        <v>13.942009647874015</v>
      </c>
      <c r="J95" s="114" cm="1">
        <f t="array" ref="J95">T$7*EstymacjaGaussowska($A95,$A$102:$A$151,T$11)*EstymacjaGaussowska($B95,$B$102:$B$151,T$12)/$G95</f>
        <v>1.8276657781161117E-3</v>
      </c>
      <c r="K95" s="19" t="str">
        <f t="shared" si="5"/>
        <v>versicolor</v>
      </c>
      <c r="L95" s="12" cm="1">
        <f t="array" ref="L95">R$7*EstymacjaGaussowska($C95,$C$2:$C$51,R$11)*EstymacjaGaussowska($D95,$D$2:$D$51,R$12)*EstymacjaGaussowska($A95,$A$2:$A$51,R$15)*EstymacjaGaussowska($B95,$B$2:$B$51,R$16)+S$7*EstymacjaGaussowska($C95,$C$52:$C$101,S$11)*EstymacjaGaussowska($D95,$D$52:$D$101,S$12)*EstymacjaGaussowska($A95,$A$52:$A$101,S$15)*EstymacjaGaussowska($B95,$B$52:$B$101,S$16)+T$7*EstymacjaGaussowska($C95,$C$102:$C$151,T$11)*EstymacjaGaussowska($D95,$D$102:$D$151,T$12)*EstymacjaGaussowska($A95,$A$102:$A$151,T$15)*EstymacjaGaussowska($B95,$B$102:$B$151,T$16)</f>
        <v>2.2287867292791572E-2</v>
      </c>
      <c r="M95" s="8" cm="1">
        <f t="array" ref="M95">R$7*EstymacjaGaussowska($C95,$C$2:$C$51,R$11)*EstymacjaGaussowska($D95,$D$2:$D$51,R$12)*EstymacjaGaussowska($A95,$A$2:$A$51,R$15)*EstymacjaGaussowska($B95,$B$2:$B$51,R$16)/$L$2</f>
        <v>2.5017840350234729E-78</v>
      </c>
      <c r="N95" s="8" cm="1">
        <f t="array" ref="N95">S$7*EstymacjaGaussowska($C95,$C$52:$C$101,S$11)*EstymacjaGaussowska($D95,$D$52:$D$101,S$12)*EstymacjaGaussowska($A95,$A$52:$A$101,S$15)*EstymacjaGaussowska($B95,$B$52:$B$101,S$16)/$L$2</f>
        <v>1.1866612854264751E-2</v>
      </c>
      <c r="O95" s="34" cm="1">
        <f t="array" ref="O95">T$7*EstymacjaGaussowska($C95,$C$102:$C$151,T$11)*EstymacjaGaussowska($D95,$D$102:$D$151,T$12)*EstymacjaGaussowska($A95,$A$102:$A$151,T$15)*EstymacjaGaussowska($B95,$B$102:$B$151,T$16)/$L$2</f>
        <v>2.2220166144098415E-16</v>
      </c>
    </row>
    <row r="96" spans="1:15" x14ac:dyDescent="0.25">
      <c r="A96" s="25">
        <v>0.35698149470104656</v>
      </c>
      <c r="B96" s="8">
        <v>-0.50491009333710901</v>
      </c>
      <c r="C96" s="8">
        <v>-1.6617170198265405E-2</v>
      </c>
      <c r="D96" s="13">
        <v>-9.874147933831702E-2</v>
      </c>
      <c r="E96" s="25" t="s">
        <v>6</v>
      </c>
      <c r="F96" s="19" t="str">
        <f t="shared" si="4"/>
        <v>versicolor</v>
      </c>
      <c r="G96" s="12" cm="1">
        <f t="array" ref="G96">R$7*EstymacjaGaussowska($A96,$A$2:$A$51,R$11)*EstymacjaGaussowska($B96,$B$2:$B$51,R$12)+S$7*EstymacjaGaussowska($A96,$C$52:$C$101,S$11)*EstymacjaGaussowska($B96,$D$52:$D$101,S$12)+T$7*EstymacjaGaussowska($A96,$C$102:$C$151,T$11)*EstymacjaGaussowska($B96,$D$102:$D$151,T$12)</f>
        <v>0.12070297316553158</v>
      </c>
      <c r="H96" s="8" cm="1">
        <f t="array" ref="H96">R$7*EstymacjaGaussowska($A96,$A$2:$A$51,R$11)*EstymacjaGaussowska($B96,$B$2:$B$51,R$12)/$G96</f>
        <v>4.1465413833294538E-125</v>
      </c>
      <c r="I96" s="8" cm="1">
        <f t="array" ref="I96">S$7*EstymacjaGaussowska($A96,$A$52:$A$101,S$11)*EstymacjaGaussowska($B96,$B$52:$B$101,S$12)/$G96</f>
        <v>1.1711325718100862</v>
      </c>
      <c r="J96" s="114" cm="1">
        <f t="array" ref="J96">T$7*EstymacjaGaussowska($A96,$A$102:$A$151,T$11)*EstymacjaGaussowska($B96,$B$102:$B$151,T$12)/$G96</f>
        <v>3.0000820639266432E-2</v>
      </c>
      <c r="K96" s="19" t="str">
        <f t="shared" si="5"/>
        <v>versicolor</v>
      </c>
      <c r="L96" s="12" cm="1">
        <f t="array" ref="L96">R$7*EstymacjaGaussowska($C96,$C$2:$C$51,R$11)*EstymacjaGaussowska($D96,$D$2:$D$51,R$12)*EstymacjaGaussowska($A96,$A$2:$A$51,R$15)*EstymacjaGaussowska($B96,$B$2:$B$51,R$16)+S$7*EstymacjaGaussowska($C96,$C$52:$C$101,S$11)*EstymacjaGaussowska($D96,$D$52:$D$101,S$12)*EstymacjaGaussowska($A96,$A$52:$A$101,S$15)*EstymacjaGaussowska($B96,$B$52:$B$101,S$16)+T$7*EstymacjaGaussowska($C96,$C$102:$C$151,T$11)*EstymacjaGaussowska($D96,$D$102:$D$151,T$12)*EstymacjaGaussowska($A96,$A$102:$A$151,T$15)*EstymacjaGaussowska($B96,$B$102:$B$151,T$16)</f>
        <v>0.22219811845752477</v>
      </c>
      <c r="M96" s="8" cm="1">
        <f t="array" ref="M96">R$7*EstymacjaGaussowska($C96,$C$2:$C$51,R$11)*EstymacjaGaussowska($D96,$D$2:$D$51,R$12)*EstymacjaGaussowska($A96,$A$2:$A$51,R$15)*EstymacjaGaussowska($B96,$B$2:$B$51,R$16)/$L$2</f>
        <v>4.2634040585301136E-222</v>
      </c>
      <c r="N96" s="8" cm="1">
        <f t="array" ref="N96">S$7*EstymacjaGaussowska($C96,$C$52:$C$101,S$11)*EstymacjaGaussowska($D96,$D$52:$D$101,S$12)*EstymacjaGaussowska($A96,$A$52:$A$101,S$15)*EstymacjaGaussowska($B96,$B$52:$B$101,S$16)/$L$2</f>
        <v>0.11640304438749823</v>
      </c>
      <c r="O96" s="34" cm="1">
        <f t="array" ref="O96">T$7*EstymacjaGaussowska($C96,$C$102:$C$151,T$11)*EstymacjaGaussowska($D96,$D$102:$D$151,T$12)*EstymacjaGaussowska($A96,$A$102:$A$151,T$15)*EstymacjaGaussowska($B96,$B$102:$B$151,T$16)/$L$2</f>
        <v>1.9007400905410275E-3</v>
      </c>
    </row>
    <row r="97" spans="1:15" x14ac:dyDescent="0.25">
      <c r="A97" s="25">
        <v>0.33193447994505787</v>
      </c>
      <c r="B97" s="8">
        <v>-0.21265468378117047</v>
      </c>
      <c r="C97" s="8">
        <v>-8.3204290895676686E-2</v>
      </c>
      <c r="D97" s="13">
        <v>-0.23847543367416321</v>
      </c>
      <c r="E97" s="25" t="s">
        <v>6</v>
      </c>
      <c r="F97" s="19" t="str">
        <f t="shared" si="4"/>
        <v>versicolor</v>
      </c>
      <c r="G97" s="12" cm="1">
        <f t="array" ref="G97">R$7*EstymacjaGaussowska($A97,$A$2:$A$51,R$11)*EstymacjaGaussowska($B97,$B$2:$B$51,R$12)+S$7*EstymacjaGaussowska($A97,$C$52:$C$101,S$11)*EstymacjaGaussowska($B97,$D$52:$D$101,S$12)+T$7*EstymacjaGaussowska($A97,$C$102:$C$151,T$11)*EstymacjaGaussowska($B97,$D$102:$D$151,T$12)</f>
        <v>0.53232577921928226</v>
      </c>
      <c r="H97" s="8" cm="1">
        <f t="array" ref="H97">R$7*EstymacjaGaussowska($A97,$A$2:$A$51,R$11)*EstymacjaGaussowska($B97,$B$2:$B$51,R$12)/$G97</f>
        <v>4.8342329015702147E-123</v>
      </c>
      <c r="I97" s="8" cm="1">
        <f t="array" ref="I97">S$7*EstymacjaGaussowska($A97,$A$52:$A$101,S$11)*EstymacjaGaussowska($B97,$B$52:$B$101,S$12)/$G97</f>
        <v>0.27411071553027017</v>
      </c>
      <c r="J97" s="114" cm="1">
        <f t="array" ref="J97">T$7*EstymacjaGaussowska($A97,$A$102:$A$151,T$11)*EstymacjaGaussowska($B97,$B$102:$B$151,T$12)/$G97</f>
        <v>1.0037626139059683E-2</v>
      </c>
      <c r="K97" s="19" t="str">
        <f t="shared" si="5"/>
        <v>versicolor</v>
      </c>
      <c r="L97" s="12" cm="1">
        <f t="array" ref="L97">R$7*EstymacjaGaussowska($C97,$C$2:$C$51,R$11)*EstymacjaGaussowska($D97,$D$2:$D$51,R$12)*EstymacjaGaussowska($A97,$A$2:$A$51,R$15)*EstymacjaGaussowska($B97,$B$2:$B$51,R$16)+S$7*EstymacjaGaussowska($C97,$C$52:$C$101,S$11)*EstymacjaGaussowska($D97,$D$52:$D$101,S$12)*EstymacjaGaussowska($A97,$A$52:$A$101,S$15)*EstymacjaGaussowska($B97,$B$52:$B$101,S$16)+T$7*EstymacjaGaussowska($C97,$C$102:$C$151,T$11)*EstymacjaGaussowska($D97,$D$102:$D$151,T$12)*EstymacjaGaussowska($A97,$A$102:$A$151,T$15)*EstymacjaGaussowska($B97,$B$102:$B$151,T$16)</f>
        <v>0.17325936986458282</v>
      </c>
      <c r="M97" s="8" cm="1">
        <f t="array" ref="M97">R$7*EstymacjaGaussowska($C97,$C$2:$C$51,R$11)*EstymacjaGaussowska($D97,$D$2:$D$51,R$12)*EstymacjaGaussowska($A97,$A$2:$A$51,R$15)*EstymacjaGaussowska($B97,$B$2:$B$51,R$16)/$L$2</f>
        <v>1.7226982381153075E-217</v>
      </c>
      <c r="N97" s="8" cm="1">
        <f t="array" ref="N97">S$7*EstymacjaGaussowska($C97,$C$52:$C$101,S$11)*EstymacjaGaussowska($D97,$D$52:$D$101,S$12)*EstymacjaGaussowska($A97,$A$52:$A$101,S$15)*EstymacjaGaussowska($B97,$B$52:$B$101,S$16)/$L$2</f>
        <v>8.9452012621742683E-2</v>
      </c>
      <c r="O97" s="34" cm="1">
        <f t="array" ref="O97">T$7*EstymacjaGaussowska($C97,$C$102:$C$151,T$11)*EstymacjaGaussowska($D97,$D$102:$D$151,T$12)*EstymacjaGaussowska($A97,$A$102:$A$151,T$15)*EstymacjaGaussowska($B97,$B$102:$B$151,T$16)/$L$2</f>
        <v>2.7955693719758337E-3</v>
      </c>
    </row>
    <row r="98" spans="1:15" x14ac:dyDescent="0.25">
      <c r="A98" s="25">
        <v>0.37621565106666988</v>
      </c>
      <c r="B98" s="8">
        <v>-0.2932189292514194</v>
      </c>
      <c r="C98" s="8">
        <v>-7.7996351087675581E-2</v>
      </c>
      <c r="D98" s="13">
        <v>-0.13113738078114545</v>
      </c>
      <c r="E98" s="25" t="s">
        <v>6</v>
      </c>
      <c r="F98" s="19" t="str">
        <f t="shared" si="4"/>
        <v>versicolor</v>
      </c>
      <c r="G98" s="12" cm="1">
        <f t="array" ref="G98">R$7*EstymacjaGaussowska($A98,$A$2:$A$51,R$11)*EstymacjaGaussowska($B98,$B$2:$B$51,R$12)+S$7*EstymacjaGaussowska($A98,$C$52:$C$101,S$11)*EstymacjaGaussowska($B98,$D$52:$D$101,S$12)+T$7*EstymacjaGaussowska($A98,$C$102:$C$151,T$11)*EstymacjaGaussowska($B98,$D$102:$D$151,T$12)</f>
        <v>0.37376897933519704</v>
      </c>
      <c r="H98" s="8" cm="1">
        <f t="array" ref="H98">R$7*EstymacjaGaussowska($A98,$A$2:$A$51,R$11)*EstymacjaGaussowska($B98,$B$2:$B$51,R$12)/$G98</f>
        <v>3.2726271706685889E-127</v>
      </c>
      <c r="I98" s="8" cm="1">
        <f t="array" ref="I98">S$7*EstymacjaGaussowska($A98,$A$52:$A$101,S$11)*EstymacjaGaussowska($B98,$B$52:$B$101,S$12)/$G98</f>
        <v>0.41652300318507807</v>
      </c>
      <c r="J98" s="114" cm="1">
        <f t="array" ref="J98">T$7*EstymacjaGaussowska($A98,$A$102:$A$151,T$11)*EstymacjaGaussowska($B98,$B$102:$B$151,T$12)/$G98</f>
        <v>1.462708713220349E-2</v>
      </c>
      <c r="K98" s="19" t="str">
        <f t="shared" si="5"/>
        <v>versicolor</v>
      </c>
      <c r="L98" s="12" cm="1">
        <f t="array" ref="L98">R$7*EstymacjaGaussowska($C98,$C$2:$C$51,R$11)*EstymacjaGaussowska($D98,$D$2:$D$51,R$12)*EstymacjaGaussowska($A98,$A$2:$A$51,R$15)*EstymacjaGaussowska($B98,$B$2:$B$51,R$16)+S$7*EstymacjaGaussowska($C98,$C$52:$C$101,S$11)*EstymacjaGaussowska($D98,$D$52:$D$101,S$12)*EstymacjaGaussowska($A98,$A$52:$A$101,S$15)*EstymacjaGaussowska($B98,$B$52:$B$101,S$16)+T$7*EstymacjaGaussowska($C98,$C$102:$C$151,T$11)*EstymacjaGaussowska($D98,$D$102:$D$151,T$12)*EstymacjaGaussowska($A98,$A$102:$A$151,T$15)*EstymacjaGaussowska($B98,$B$102:$B$151,T$16)</f>
        <v>0.30814349700247251</v>
      </c>
      <c r="M98" s="8" cm="1">
        <f t="array" ref="M98">R$7*EstymacjaGaussowska($C98,$C$2:$C$51,R$11)*EstymacjaGaussowska($D98,$D$2:$D$51,R$12)*EstymacjaGaussowska($A98,$A$2:$A$51,R$15)*EstymacjaGaussowska($B98,$B$2:$B$51,R$16)/$L$2</f>
        <v>3.4838473179583703E-225</v>
      </c>
      <c r="N98" s="8" cm="1">
        <f t="array" ref="N98">S$7*EstymacjaGaussowska($C98,$C$52:$C$101,S$11)*EstymacjaGaussowska($D98,$D$52:$D$101,S$12)*EstymacjaGaussowska($A98,$A$52:$A$101,S$15)*EstymacjaGaussowska($B98,$B$52:$B$101,S$16)/$L$2</f>
        <v>0.16073371116608995</v>
      </c>
      <c r="O98" s="34" cm="1">
        <f t="array" ref="O98">T$7*EstymacjaGaussowska($C98,$C$102:$C$151,T$11)*EstymacjaGaussowska($D98,$D$102:$D$151,T$12)*EstymacjaGaussowska($A98,$A$102:$A$151,T$15)*EstymacjaGaussowska($B98,$B$102:$B$151,T$16)/$L$2</f>
        <v>3.3295226306375983E-3</v>
      </c>
    </row>
    <row r="99" spans="1:15" x14ac:dyDescent="0.25">
      <c r="A99" s="25">
        <v>0.6425760075543373</v>
      </c>
      <c r="B99" s="8">
        <v>1.7738190112416109E-2</v>
      </c>
      <c r="C99" s="8">
        <v>0.20539496698326085</v>
      </c>
      <c r="D99" s="13">
        <v>-2.1377683028621267E-2</v>
      </c>
      <c r="E99" s="25" t="s">
        <v>6</v>
      </c>
      <c r="F99" s="19" t="str">
        <f t="shared" si="4"/>
        <v>versicolor</v>
      </c>
      <c r="G99" s="12" cm="1">
        <f t="array" ref="G99">R$7*EstymacjaGaussowska($A99,$A$2:$A$51,R$11)*EstymacjaGaussowska($B99,$B$2:$B$51,R$12)+S$7*EstymacjaGaussowska($A99,$C$52:$C$101,S$11)*EstymacjaGaussowska($B99,$D$52:$D$101,S$12)+T$7*EstymacjaGaussowska($A99,$C$102:$C$151,T$11)*EstymacjaGaussowska($B99,$D$102:$D$151,T$12)</f>
        <v>0.34020256430360168</v>
      </c>
      <c r="H99" s="8" cm="1">
        <f t="array" ref="H99">R$7*EstymacjaGaussowska($A99,$A$2:$A$51,R$11)*EstymacjaGaussowska($B99,$B$2:$B$51,R$12)/$G99</f>
        <v>2.9874132042997526E-154</v>
      </c>
      <c r="I99" s="8" cm="1">
        <f t="array" ref="I99">S$7*EstymacjaGaussowska($A99,$A$52:$A$101,S$11)*EstymacjaGaussowska($B99,$B$52:$B$101,S$12)/$G99</f>
        <v>0.34440666396487024</v>
      </c>
      <c r="J99" s="114" cm="1">
        <f t="array" ref="J99">T$7*EstymacjaGaussowska($A99,$A$102:$A$151,T$11)*EstymacjaGaussowska($B99,$B$102:$B$151,T$12)/$G99</f>
        <v>4.662985502500315E-2</v>
      </c>
      <c r="K99" s="19" t="str">
        <f t="shared" si="5"/>
        <v>versicolor</v>
      </c>
      <c r="L99" s="12" cm="1">
        <f t="array" ref="L99">R$7*EstymacjaGaussowska($C99,$C$2:$C$51,R$11)*EstymacjaGaussowska($D99,$D$2:$D$51,R$12)*EstymacjaGaussowska($A99,$A$2:$A$51,R$15)*EstymacjaGaussowska($B99,$B$2:$B$51,R$16)+S$7*EstymacjaGaussowska($C99,$C$52:$C$101,S$11)*EstymacjaGaussowska($D99,$D$52:$D$101,S$12)*EstymacjaGaussowska($A99,$A$52:$A$101,S$15)*EstymacjaGaussowska($B99,$B$52:$B$101,S$16)+T$7*EstymacjaGaussowska($C99,$C$102:$C$151,T$11)*EstymacjaGaussowska($D99,$D$102:$D$151,T$12)*EstymacjaGaussowska($A99,$A$102:$A$151,T$15)*EstymacjaGaussowska($B99,$B$102:$B$151,T$16)</f>
        <v>0.12595274473469759</v>
      </c>
      <c r="M99" s="8" cm="1">
        <f t="array" ref="M99">R$7*EstymacjaGaussowska($C99,$C$2:$C$51,R$11)*EstymacjaGaussowska($D99,$D$2:$D$51,R$12)*EstymacjaGaussowska($A99,$A$2:$A$51,R$15)*EstymacjaGaussowska($B99,$B$2:$B$51,R$16)/$L$2</f>
        <v>7.2621961809938951E-274</v>
      </c>
      <c r="N99" s="8" cm="1">
        <f t="array" ref="N99">S$7*EstymacjaGaussowska($C99,$C$52:$C$101,S$11)*EstymacjaGaussowska($D99,$D$52:$D$101,S$12)*EstymacjaGaussowska($A99,$A$52:$A$101,S$15)*EstymacjaGaussowska($B99,$B$52:$B$101,S$16)/$L$2</f>
        <v>6.3309178017653456E-2</v>
      </c>
      <c r="O99" s="34" cm="1">
        <f t="array" ref="O99">T$7*EstymacjaGaussowska($C99,$C$102:$C$151,T$11)*EstymacjaGaussowska($D99,$D$102:$D$151,T$12)*EstymacjaGaussowska($A99,$A$102:$A$151,T$15)*EstymacjaGaussowska($B99,$B$102:$B$151,T$16)/$L$2</f>
        <v>3.7511844685372778E-3</v>
      </c>
    </row>
    <row r="100" spans="1:15" x14ac:dyDescent="0.25">
      <c r="A100" s="25">
        <v>-0.9064698649488363</v>
      </c>
      <c r="B100" s="8">
        <v>-0.75609336659901394</v>
      </c>
      <c r="C100" s="8">
        <v>1.2599647557890559E-2</v>
      </c>
      <c r="D100" s="13">
        <v>0.2325348442836736</v>
      </c>
      <c r="E100" s="25" t="s">
        <v>6</v>
      </c>
      <c r="F100" s="19" t="str">
        <f t="shared" si="4"/>
        <v>versicolor</v>
      </c>
      <c r="G100" s="12" cm="1">
        <f t="array" ref="G100">R$7*EstymacjaGaussowska($A100,$A$2:$A$51,R$11)*EstymacjaGaussowska($B100,$B$2:$B$51,R$12)+S$7*EstymacjaGaussowska($A100,$C$52:$C$101,S$11)*EstymacjaGaussowska($B100,$D$52:$D$101,S$12)+T$7*EstymacjaGaussowska($A100,$C$102:$C$151,T$11)*EstymacjaGaussowska($B100,$D$102:$D$151,T$12)</f>
        <v>3.9884776145011833E-3</v>
      </c>
      <c r="H100" s="8" cm="1">
        <f t="array" ref="H100">R$7*EstymacjaGaussowska($A100,$A$2:$A$51,R$11)*EstymacjaGaussowska($B100,$B$2:$B$51,R$12)/$G100</f>
        <v>2.840683215766286E-32</v>
      </c>
      <c r="I100" s="8" cm="1">
        <f t="array" ref="I100">S$7*EstymacjaGaussowska($A100,$A$52:$A$101,S$11)*EstymacjaGaussowska($B100,$B$52:$B$101,S$12)/$G100</f>
        <v>3.6481726693770349</v>
      </c>
      <c r="J100" s="114" cm="1">
        <f t="array" ref="J100">T$7*EstymacjaGaussowska($A100,$A$102:$A$151,T$11)*EstymacjaGaussowska($B100,$B$102:$B$151,T$12)/$G100</f>
        <v>7.3226508198022814E-5</v>
      </c>
      <c r="K100" s="19" t="str">
        <f t="shared" si="5"/>
        <v>versicolor</v>
      </c>
      <c r="L100" s="12" cm="1">
        <f t="array" ref="L100">R$7*EstymacjaGaussowska($C100,$C$2:$C$51,R$11)*EstymacjaGaussowska($D100,$D$2:$D$51,R$12)*EstymacjaGaussowska($A100,$A$2:$A$51,R$15)*EstymacjaGaussowska($B100,$B$2:$B$51,R$16)+S$7*EstymacjaGaussowska($C100,$C$52:$C$101,S$11)*EstymacjaGaussowska($D100,$D$52:$D$101,S$12)*EstymacjaGaussowska($A100,$A$52:$A$101,S$15)*EstymacjaGaussowska($B100,$B$52:$B$101,S$16)+T$7*EstymacjaGaussowska($C100,$C$102:$C$151,T$11)*EstymacjaGaussowska($D100,$D$102:$D$151,T$12)*EstymacjaGaussowska($A100,$A$102:$A$151,T$15)*EstymacjaGaussowska($B100,$B$102:$B$151,T$16)</f>
        <v>1.9727578538821663E-2</v>
      </c>
      <c r="M100" s="8" cm="1">
        <f t="array" ref="M100">R$7*EstymacjaGaussowska($C100,$C$2:$C$51,R$11)*EstymacjaGaussowska($D100,$D$2:$D$51,R$12)*EstymacjaGaussowska($A100,$A$2:$A$51,R$15)*EstymacjaGaussowska($B100,$B$2:$B$51,R$16)/$L$2</f>
        <v>6.3878392093011113E-61</v>
      </c>
      <c r="N100" s="8" cm="1">
        <f t="array" ref="N100">S$7*EstymacjaGaussowska($C100,$C$52:$C$101,S$11)*EstymacjaGaussowska($D100,$D$52:$D$101,S$12)*EstymacjaGaussowska($A100,$A$52:$A$101,S$15)*EstymacjaGaussowska($B100,$B$52:$B$101,S$16)/$L$2</f>
        <v>1.0503451676061277E-2</v>
      </c>
      <c r="O100" s="34" cm="1">
        <f t="array" ref="O100">T$7*EstymacjaGaussowska($C100,$C$102:$C$151,T$11)*EstymacjaGaussowska($D100,$D$102:$D$151,T$12)*EstymacjaGaussowska($A100,$A$102:$A$151,T$15)*EstymacjaGaussowska($B100,$B$102:$B$151,T$16)/$L$2</f>
        <v>1.1248314156751579E-19</v>
      </c>
    </row>
    <row r="101" spans="1:15" x14ac:dyDescent="0.25">
      <c r="A101" s="25">
        <v>0.29900084187814274</v>
      </c>
      <c r="B101" s="8">
        <v>-0.34889780645033619</v>
      </c>
      <c r="C101" s="8">
        <v>-1.0581660495570536E-2</v>
      </c>
      <c r="D101" s="13">
        <v>-5.1181171715068682E-2</v>
      </c>
      <c r="E101" s="25" t="s">
        <v>6</v>
      </c>
      <c r="F101" s="19" t="str">
        <f t="shared" si="4"/>
        <v>versicolor</v>
      </c>
      <c r="G101" s="12" cm="1">
        <f t="array" ref="G101">R$7*EstymacjaGaussowska($A101,$A$2:$A$51,R$11)*EstymacjaGaussowska($B101,$B$2:$B$51,R$12)+S$7*EstymacjaGaussowska($A101,$C$52:$C$101,S$11)*EstymacjaGaussowska($B101,$D$52:$D$101,S$12)+T$7*EstymacjaGaussowska($A101,$C$102:$C$151,T$11)*EstymacjaGaussowska($B101,$D$102:$D$151,T$12)</f>
        <v>0.32773792424824483</v>
      </c>
      <c r="H101" s="8" cm="1">
        <f t="array" ref="H101">R$7*EstymacjaGaussowska($A101,$A$2:$A$51,R$11)*EstymacjaGaussowska($B101,$B$2:$B$51,R$12)/$G101</f>
        <v>8.1273951818430645E-120</v>
      </c>
      <c r="I101" s="8" cm="1">
        <f t="array" ref="I101">S$7*EstymacjaGaussowska($A101,$A$52:$A$101,S$11)*EstymacjaGaussowska($B101,$B$52:$B$101,S$12)/$G101</f>
        <v>0.46528183976360393</v>
      </c>
      <c r="J101" s="114" cm="1">
        <f t="array" ref="J101">T$7*EstymacjaGaussowska($A101,$A$102:$A$151,T$11)*EstymacjaGaussowska($B101,$B$102:$B$151,T$12)/$G101</f>
        <v>1.2319515492528778E-2</v>
      </c>
      <c r="K101" s="19" t="str">
        <f t="shared" si="5"/>
        <v>versicolor</v>
      </c>
      <c r="L101" s="12" cm="1">
        <f t="array" ref="L101">R$7*EstymacjaGaussowska($C101,$C$2:$C$51,R$11)*EstymacjaGaussowska($D101,$D$2:$D$51,R$12)*EstymacjaGaussowska($A101,$A$2:$A$51,R$15)*EstymacjaGaussowska($B101,$B$2:$B$51,R$16)+S$7*EstymacjaGaussowska($C101,$C$52:$C$101,S$11)*EstymacjaGaussowska($D101,$D$52:$D$101,S$12)*EstymacjaGaussowska($A101,$A$52:$A$101,S$15)*EstymacjaGaussowska($B101,$B$52:$B$101,S$16)+T$7*EstymacjaGaussowska($C101,$C$102:$C$151,T$11)*EstymacjaGaussowska($D101,$D$102:$D$151,T$12)*EstymacjaGaussowska($A101,$A$102:$A$151,T$15)*EstymacjaGaussowska($B101,$B$102:$B$151,T$16)</f>
        <v>0.46201242756469257</v>
      </c>
      <c r="M101" s="8" cm="1">
        <f t="array" ref="M101">R$7*EstymacjaGaussowska($C101,$C$2:$C$51,R$11)*EstymacjaGaussowska($D101,$D$2:$D$51,R$12)*EstymacjaGaussowska($A101,$A$2:$A$51,R$15)*EstymacjaGaussowska($B101,$B$2:$B$51,R$16)/$L$2</f>
        <v>3.3510533366657162E-212</v>
      </c>
      <c r="N101" s="8" cm="1">
        <f t="array" ref="N101">S$7*EstymacjaGaussowska($C101,$C$52:$C$101,S$11)*EstymacjaGaussowska($D101,$D$52:$D$101,S$12)*EstymacjaGaussowska($A101,$A$52:$A$101,S$15)*EstymacjaGaussowska($B101,$B$52:$B$101,S$16)/$L$2</f>
        <v>0.24451811148142161</v>
      </c>
      <c r="O101" s="34" cm="1">
        <f t="array" ref="O101">T$7*EstymacjaGaussowska($C101,$C$102:$C$151,T$11)*EstymacjaGaussowska($D101,$D$102:$D$151,T$12)*EstymacjaGaussowska($A101,$A$102:$A$151,T$15)*EstymacjaGaussowska($B101,$B$102:$B$151,T$16)/$L$2</f>
        <v>1.4687539169794491E-3</v>
      </c>
    </row>
    <row r="102" spans="1:15" x14ac:dyDescent="0.25">
      <c r="A102" s="25">
        <v>2.531192727803627</v>
      </c>
      <c r="B102" s="8">
        <v>-9.8491094988024386E-3</v>
      </c>
      <c r="C102" s="8">
        <v>-0.76016542724589553</v>
      </c>
      <c r="D102" s="13">
        <v>-2.9055572778699745E-2</v>
      </c>
      <c r="E102" s="25" t="s">
        <v>7</v>
      </c>
      <c r="F102" s="19" t="str">
        <f>IF(H102&gt;MAX(I102:J102),$E$2,IF(I102&gt;J102,$E$52,$E$102))</f>
        <v>virginica</v>
      </c>
      <c r="G102" s="12" cm="1">
        <f t="array" ref="G102">R$7*EstymacjaGaussowska($A102,$A$2:$A$51,R$11)*EstymacjaGaussowska($B102,$B$2:$B$51,R$12)+S$7*EstymacjaGaussowska($A102,$C$52:$C$101,S$11)*EstymacjaGaussowska($B102,$D$52:$D$101,S$12)+T$7*EstymacjaGaussowska($A102,$C$102:$C$151,T$11)*EstymacjaGaussowska($B102,$D$102:$D$151,T$12)</f>
        <v>1.5194234593153579E-9</v>
      </c>
      <c r="H102" s="8" cm="1">
        <f t="array" ref="H102">R$7*EstymacjaGaussowska($A102,$A$2:$A$51,R$11)*EstymacjaGaussowska($B102,$B$2:$B$51,R$12)/$G102</f>
        <v>0</v>
      </c>
      <c r="I102" s="8" cm="1">
        <f t="array" ref="I102">S$7*EstymacjaGaussowska($A102,$A$52:$A$101,S$11)*EstymacjaGaussowska($B102,$B$52:$B$101,S$12)/$G102</f>
        <v>20577.308965054362</v>
      </c>
      <c r="J102" s="114" cm="1">
        <f t="array" ref="J102">T$7*EstymacjaGaussowska($A102,$A$102:$A$151,T$11)*EstymacjaGaussowska($B102,$B$102:$B$151,T$12)/$G102</f>
        <v>64919033.194360368</v>
      </c>
      <c r="K102" s="19" t="str">
        <f>IF(M102&gt;MAX(N102:O102),$E$2,IF(N102&gt;O102,$E$52,$E$102))</f>
        <v>virginica</v>
      </c>
      <c r="L102" s="12" cm="1">
        <f t="array" ref="L102">R$7*EstymacjaGaussowska($C102,$C$2:$C$51,R$11)*EstymacjaGaussowska($D102,$D$2:$D$51,R$12)*EstymacjaGaussowska($A102,$A$2:$A$51,R$15)*EstymacjaGaussowska($B102,$B$2:$B$51,R$16)+S$7*EstymacjaGaussowska($C102,$C$52:$C$101,S$11)*EstymacjaGaussowska($D102,$D$52:$D$101,S$12)*EstymacjaGaussowska($A102,$A$52:$A$101,S$15)*EstymacjaGaussowska($B102,$B$52:$B$101,S$16)+T$7*EstymacjaGaussowska($C102,$C$102:$C$151,T$11)*EstymacjaGaussowska($D102,$D$102:$D$151,T$12)*EstymacjaGaussowska($A102,$A$102:$A$151,T$15)*EstymacjaGaussowska($B102,$B$102:$B$151,T$16)</f>
        <v>3.879031226068428E-2</v>
      </c>
      <c r="M102" s="8" cm="1">
        <f t="array" ref="M102">R$7*EstymacjaGaussowska($C102,$C$2:$C$51,R$11)*EstymacjaGaussowska($D102,$D$2:$D$51,R$12)*EstymacjaGaussowska($A102,$A$2:$A$51,R$15)*EstymacjaGaussowska($B102,$B$2:$B$51,R$16)/$L$2</f>
        <v>0</v>
      </c>
      <c r="N102" s="8" cm="1">
        <f t="array" ref="N102">S$7*EstymacjaGaussowska($C102,$C$52:$C$101,S$11)*EstymacjaGaussowska($D102,$D$52:$D$101,S$12)*EstymacjaGaussowska($A102,$A$52:$A$101,S$15)*EstymacjaGaussowska($B102,$B$52:$B$101,S$16)/$L$2</f>
        <v>1.0480230792415449E-16</v>
      </c>
      <c r="O102" s="34" cm="1">
        <f t="array" ref="O102">T$7*EstymacjaGaussowska($C102,$C$102:$C$151,T$11)*EstymacjaGaussowska($D102,$D$102:$D$151,T$12)*EstymacjaGaussowska($A102,$A$102:$A$151,T$15)*EstymacjaGaussowska($B102,$B$102:$B$151,T$16)/$L$2</f>
        <v>2.0652923496294374E-2</v>
      </c>
    </row>
    <row r="103" spans="1:15" x14ac:dyDescent="0.25">
      <c r="A103" s="25">
        <v>1.4152358767039015</v>
      </c>
      <c r="B103" s="8">
        <v>-0.57491634754648979</v>
      </c>
      <c r="C103" s="8">
        <v>-0.29632252738796439</v>
      </c>
      <c r="D103" s="13">
        <v>-1.5304673894265264E-2</v>
      </c>
      <c r="E103" s="25" t="s">
        <v>7</v>
      </c>
      <c r="F103" s="19" t="str">
        <f t="shared" ref="F103:F151" si="6">IF(H103&gt;MAX(I103:J103),$E$2,IF(I103&gt;J103,$E$52,$E$102))</f>
        <v>versicolor</v>
      </c>
      <c r="G103" s="12" cm="1">
        <f t="array" ref="G103">R$7*EstymacjaGaussowska($A103,$A$2:$A$51,R$11)*EstymacjaGaussowska($B103,$B$2:$B$51,R$12)+S$7*EstymacjaGaussowska($A103,$C$52:$C$101,S$11)*EstymacjaGaussowska($B103,$D$52:$D$101,S$12)+T$7*EstymacjaGaussowska($A103,$C$102:$C$151,T$11)*EstymacjaGaussowska($B103,$D$102:$D$151,T$12)</f>
        <v>3.8653380372420172E-4</v>
      </c>
      <c r="H103" s="8" cm="1">
        <f t="array" ref="H103">R$7*EstymacjaGaussowska($A103,$A$2:$A$51,R$11)*EstymacjaGaussowska($B103,$B$2:$B$51,R$12)/$G103</f>
        <v>7.0700581199303453E-246</v>
      </c>
      <c r="I103" s="8" cm="1">
        <f t="array" ref="I103">S$7*EstymacjaGaussowska($A103,$A$52:$A$101,S$11)*EstymacjaGaussowska($B103,$B$52:$B$101,S$12)/$G103</f>
        <v>181.32687903272432</v>
      </c>
      <c r="J103" s="114" cm="1">
        <f t="array" ref="J103">T$7*EstymacjaGaussowska($A103,$A$102:$A$151,T$11)*EstymacjaGaussowska($B103,$B$102:$B$151,T$12)/$G103</f>
        <v>125.83235018181048</v>
      </c>
      <c r="K103" s="19" t="str">
        <f t="shared" ref="K103:K151" si="7">IF(M103&gt;MAX(N103:O103),$E$2,IF(N103&gt;O103,$E$52,$E$102))</f>
        <v>virginica</v>
      </c>
      <c r="L103" s="12" cm="1">
        <f t="array" ref="L103">R$7*EstymacjaGaussowska($C103,$C$2:$C$51,R$11)*EstymacjaGaussowska($D103,$D$2:$D$51,R$12)*EstymacjaGaussowska($A103,$A$2:$A$51,R$15)*EstymacjaGaussowska($B103,$B$2:$B$51,R$16)+S$7*EstymacjaGaussowska($C103,$C$52:$C$101,S$11)*EstymacjaGaussowska($D103,$D$52:$D$101,S$12)*EstymacjaGaussowska($A103,$A$52:$A$101,S$15)*EstymacjaGaussowska($B103,$B$52:$B$101,S$16)+T$7*EstymacjaGaussowska($C103,$C$102:$C$151,T$11)*EstymacjaGaussowska($D103,$D$102:$D$151,T$12)*EstymacjaGaussowska($A103,$A$102:$A$151,T$15)*EstymacjaGaussowska($B103,$B$102:$B$151,T$16)</f>
        <v>0.13012237330792686</v>
      </c>
      <c r="M103" s="8" cm="1">
        <f t="array" ref="M103">R$7*EstymacjaGaussowska($C103,$C$2:$C$51,R$11)*EstymacjaGaussowska($D103,$D$2:$D$51,R$12)*EstymacjaGaussowska($A103,$A$2:$A$51,R$15)*EstymacjaGaussowska($B103,$B$2:$B$51,R$16)/$L$2</f>
        <v>0</v>
      </c>
      <c r="N103" s="8" cm="1">
        <f t="array" ref="N103">S$7*EstymacjaGaussowska($C103,$C$52:$C$101,S$11)*EstymacjaGaussowska($D103,$D$52:$D$101,S$12)*EstymacjaGaussowska($A103,$A$52:$A$101,S$15)*EstymacjaGaussowska($B103,$B$52:$B$101,S$16)/$L$2</f>
        <v>3.0867028753070017E-2</v>
      </c>
      <c r="O103" s="34" cm="1">
        <f t="array" ref="O103">T$7*EstymacjaGaussowska($C103,$C$102:$C$151,T$11)*EstymacjaGaussowska($D103,$D$102:$D$151,T$12)*EstymacjaGaussowska($A103,$A$102:$A$151,T$15)*EstymacjaGaussowska($B103,$B$102:$B$151,T$16)/$L$2</f>
        <v>3.8413347311566419E-2</v>
      </c>
    </row>
    <row r="104" spans="1:15" x14ac:dyDescent="0.25">
      <c r="A104" s="25">
        <v>2.6166760159956888</v>
      </c>
      <c r="B104" s="8">
        <v>0.34390315134173433</v>
      </c>
      <c r="C104" s="8">
        <v>0.11078788321910893</v>
      </c>
      <c r="D104" s="13">
        <v>6.577204123816438E-2</v>
      </c>
      <c r="E104" s="25" t="s">
        <v>7</v>
      </c>
      <c r="F104" s="19" t="str">
        <f t="shared" si="6"/>
        <v>virginica</v>
      </c>
      <c r="G104" s="12" cm="1">
        <f t="array" ref="G104">R$7*EstymacjaGaussowska($A104,$A$2:$A$51,R$11)*EstymacjaGaussowska($B104,$B$2:$B$51,R$12)+S$7*EstymacjaGaussowska($A104,$C$52:$C$101,S$11)*EstymacjaGaussowska($B104,$D$52:$D$101,S$12)+T$7*EstymacjaGaussowska($A104,$C$102:$C$151,T$11)*EstymacjaGaussowska($B104,$D$102:$D$151,T$12)</f>
        <v>1.9746369872209244E-10</v>
      </c>
      <c r="H104" s="8" cm="1">
        <f t="array" ref="H104">R$7*EstymacjaGaussowska($A104,$A$2:$A$51,R$11)*EstymacjaGaussowska($B104,$B$2:$B$51,R$12)/$G104</f>
        <v>0</v>
      </c>
      <c r="I104" s="8" cm="1">
        <f t="array" ref="I104">S$7*EstymacjaGaussowska($A104,$A$52:$A$101,S$11)*EstymacjaGaussowska($B104,$B$52:$B$101,S$12)/$G104</f>
        <v>36500.606306469701</v>
      </c>
      <c r="J104" s="114" cm="1">
        <f t="array" ref="J104">T$7*EstymacjaGaussowska($A104,$A$102:$A$151,T$11)*EstymacjaGaussowska($B104,$B$102:$B$151,T$12)/$G104</f>
        <v>436759842.85345131</v>
      </c>
      <c r="K104" s="19" t="str">
        <f t="shared" si="7"/>
        <v>virginica</v>
      </c>
      <c r="L104" s="12" cm="1">
        <f t="array" ref="L104">R$7*EstymacjaGaussowska($C104,$C$2:$C$51,R$11)*EstymacjaGaussowska($D104,$D$2:$D$51,R$12)*EstymacjaGaussowska($A104,$A$2:$A$51,R$15)*EstymacjaGaussowska($B104,$B$2:$B$51,R$16)+S$7*EstymacjaGaussowska($C104,$C$52:$C$101,S$11)*EstymacjaGaussowska($D104,$D$52:$D$101,S$12)*EstymacjaGaussowska($A104,$A$52:$A$101,S$15)*EstymacjaGaussowska($B104,$B$52:$B$101,S$16)+T$7*EstymacjaGaussowska($C104,$C$102:$C$151,T$11)*EstymacjaGaussowska($D104,$D$102:$D$151,T$12)*EstymacjaGaussowska($A104,$A$102:$A$151,T$15)*EstymacjaGaussowska($B104,$B$102:$B$151,T$16)</f>
        <v>0.1012241453254636</v>
      </c>
      <c r="M104" s="8" cm="1">
        <f t="array" ref="M104">R$7*EstymacjaGaussowska($C104,$C$2:$C$51,R$11)*EstymacjaGaussowska($D104,$D$2:$D$51,R$12)*EstymacjaGaussowska($A104,$A$2:$A$51,R$15)*EstymacjaGaussowska($B104,$B$2:$B$51,R$16)/$L$2</f>
        <v>0</v>
      </c>
      <c r="N104" s="8" cm="1">
        <f t="array" ref="N104">S$7*EstymacjaGaussowska($C104,$C$52:$C$101,S$11)*EstymacjaGaussowska($D104,$D$52:$D$101,S$12)*EstymacjaGaussowska($A104,$A$52:$A$101,S$15)*EstymacjaGaussowska($B104,$B$52:$B$101,S$16)/$L$2</f>
        <v>5.474090167068243E-18</v>
      </c>
      <c r="O104" s="34" cm="1">
        <f t="array" ref="O104">T$7*EstymacjaGaussowska($C104,$C$102:$C$151,T$11)*EstymacjaGaussowska($D104,$D$102:$D$151,T$12)*EstymacjaGaussowska($A104,$A$102:$A$151,T$15)*EstymacjaGaussowska($B104,$B$102:$B$151,T$16)/$L$2</f>
        <v>5.3894243370231507E-2</v>
      </c>
    </row>
    <row r="105" spans="1:15" x14ac:dyDescent="0.25">
      <c r="A105" s="25">
        <v>1.9715310530434347</v>
      </c>
      <c r="B105" s="8">
        <v>-0.17972790435224606</v>
      </c>
      <c r="C105" s="8">
        <v>-0.10842466246342303</v>
      </c>
      <c r="D105" s="13">
        <v>-0.23679093419922526</v>
      </c>
      <c r="E105" s="25" t="s">
        <v>7</v>
      </c>
      <c r="F105" s="19" t="str">
        <f t="shared" si="6"/>
        <v>virginica</v>
      </c>
      <c r="G105" s="12" cm="1">
        <f t="array" ref="G105">R$7*EstymacjaGaussowska($A105,$A$2:$A$51,R$11)*EstymacjaGaussowska($B105,$B$2:$B$51,R$12)+S$7*EstymacjaGaussowska($A105,$C$52:$C$101,S$11)*EstymacjaGaussowska($B105,$D$52:$D$101,S$12)+T$7*EstymacjaGaussowska($A105,$C$102:$C$151,T$11)*EstymacjaGaussowska($B105,$D$102:$D$151,T$12)</f>
        <v>5.694399008042249E-6</v>
      </c>
      <c r="H105" s="8" cm="1">
        <f t="array" ref="H105">R$7*EstymacjaGaussowska($A105,$A$2:$A$51,R$11)*EstymacjaGaussowska($B105,$B$2:$B$51,R$12)/$G105</f>
        <v>0</v>
      </c>
      <c r="I105" s="8" cm="1">
        <f t="array" ref="I105">S$7*EstymacjaGaussowska($A105,$A$52:$A$101,S$11)*EstymacjaGaussowska($B105,$B$52:$B$101,S$12)/$G105</f>
        <v>1261.187846964727</v>
      </c>
      <c r="J105" s="114" cm="1">
        <f t="array" ref="J105">T$7*EstymacjaGaussowska($A105,$A$102:$A$151,T$11)*EstymacjaGaussowska($B105,$B$102:$B$151,T$12)/$G105</f>
        <v>20304.511268103499</v>
      </c>
      <c r="K105" s="19" t="str">
        <f t="shared" si="7"/>
        <v>virginica</v>
      </c>
      <c r="L105" s="12" cm="1">
        <f t="array" ref="L105">R$7*EstymacjaGaussowska($C105,$C$2:$C$51,R$11)*EstymacjaGaussowska($D105,$D$2:$D$51,R$12)*EstymacjaGaussowska($A105,$A$2:$A$51,R$15)*EstymacjaGaussowska($B105,$B$2:$B$51,R$16)+S$7*EstymacjaGaussowska($C105,$C$52:$C$101,S$11)*EstymacjaGaussowska($D105,$D$52:$D$101,S$12)*EstymacjaGaussowska($A105,$A$52:$A$101,S$15)*EstymacjaGaussowska($B105,$B$52:$B$101,S$16)+T$7*EstymacjaGaussowska($C105,$C$102:$C$151,T$11)*EstymacjaGaussowska($D105,$D$102:$D$151,T$12)*EstymacjaGaussowska($A105,$A$102:$A$151,T$15)*EstymacjaGaussowska($B105,$B$102:$B$151,T$16)</f>
        <v>0.12632578889051357</v>
      </c>
      <c r="M105" s="8" cm="1">
        <f t="array" ref="M105">R$7*EstymacjaGaussowska($C105,$C$2:$C$51,R$11)*EstymacjaGaussowska($D105,$D$2:$D$51,R$12)*EstymacjaGaussowska($A105,$A$2:$A$51,R$15)*EstymacjaGaussowska($B105,$B$2:$B$51,R$16)/$L$2</f>
        <v>0</v>
      </c>
      <c r="N105" s="8" cm="1">
        <f t="array" ref="N105">S$7*EstymacjaGaussowska($C105,$C$52:$C$101,S$11)*EstymacjaGaussowska($D105,$D$52:$D$101,S$12)*EstymacjaGaussowska($A105,$A$52:$A$101,S$15)*EstymacjaGaussowska($B105,$B$52:$B$101,S$16)/$L$2</f>
        <v>3.9394463886625065E-5</v>
      </c>
      <c r="O105" s="34" cm="1">
        <f t="array" ref="O105">T$7*EstymacjaGaussowska($C105,$C$102:$C$151,T$11)*EstymacjaGaussowska($D105,$D$102:$D$151,T$12)*EstymacjaGaussowska($A105,$A$102:$A$151,T$15)*EstymacjaGaussowska($B105,$B$102:$B$151,T$16)/$L$2</f>
        <v>6.7219585975132917E-2</v>
      </c>
    </row>
    <row r="106" spans="1:15" x14ac:dyDescent="0.25">
      <c r="A106" s="25">
        <v>2.350005920044639</v>
      </c>
      <c r="B106" s="8">
        <v>-4.0260947142531339E-2</v>
      </c>
      <c r="C106" s="8">
        <v>-0.28538956318444131</v>
      </c>
      <c r="D106" s="13">
        <v>-1.7063327835209474E-4</v>
      </c>
      <c r="E106" s="25" t="s">
        <v>7</v>
      </c>
      <c r="F106" s="19" t="str">
        <f t="shared" si="6"/>
        <v>virginica</v>
      </c>
      <c r="G106" s="12" cm="1">
        <f t="array" ref="G106">R$7*EstymacjaGaussowska($A106,$A$2:$A$51,R$11)*EstymacjaGaussowska($B106,$B$2:$B$51,R$12)+S$7*EstymacjaGaussowska($A106,$C$52:$C$101,S$11)*EstymacjaGaussowska($B106,$D$52:$D$101,S$12)+T$7*EstymacjaGaussowska($A106,$C$102:$C$151,T$11)*EstymacjaGaussowska($B106,$D$102:$D$151,T$12)</f>
        <v>2.9721396229721151E-8</v>
      </c>
      <c r="H106" s="8" cm="1">
        <f t="array" ref="H106">R$7*EstymacjaGaussowska($A106,$A$2:$A$51,R$11)*EstymacjaGaussowska($B106,$B$2:$B$51,R$12)/$G106</f>
        <v>0</v>
      </c>
      <c r="I106" s="8" cm="1">
        <f t="array" ref="I106">S$7*EstymacjaGaussowska($A106,$A$52:$A$101,S$11)*EstymacjaGaussowska($B106,$B$52:$B$101,S$12)/$G106</f>
        <v>8475.7230332131294</v>
      </c>
      <c r="J106" s="114" cm="1">
        <f t="array" ref="J106">T$7*EstymacjaGaussowska($A106,$A$102:$A$151,T$11)*EstymacjaGaussowska($B106,$B$102:$B$151,T$12)/$G106</f>
        <v>3852114.6722728531</v>
      </c>
      <c r="K106" s="19" t="str">
        <f t="shared" si="7"/>
        <v>virginica</v>
      </c>
      <c r="L106" s="12" cm="1">
        <f t="array" ref="L106">R$7*EstymacjaGaussowska($C106,$C$2:$C$51,R$11)*EstymacjaGaussowska($D106,$D$2:$D$51,R$12)*EstymacjaGaussowska($A106,$A$2:$A$51,R$15)*EstymacjaGaussowska($B106,$B$2:$B$51,R$16)+S$7*EstymacjaGaussowska($C106,$C$52:$C$101,S$11)*EstymacjaGaussowska($D106,$D$52:$D$101,S$12)*EstymacjaGaussowska($A106,$A$52:$A$101,S$15)*EstymacjaGaussowska($B106,$B$52:$B$101,S$16)+T$7*EstymacjaGaussowska($C106,$C$102:$C$151,T$11)*EstymacjaGaussowska($D106,$D$102:$D$151,T$12)*EstymacjaGaussowska($A106,$A$102:$A$151,T$15)*EstymacjaGaussowska($B106,$B$102:$B$151,T$16)</f>
        <v>0.1169287091539665</v>
      </c>
      <c r="M106" s="8" cm="1">
        <f t="array" ref="M106">R$7*EstymacjaGaussowska($C106,$C$2:$C$51,R$11)*EstymacjaGaussowska($D106,$D$2:$D$51,R$12)*EstymacjaGaussowska($A106,$A$2:$A$51,R$15)*EstymacjaGaussowska($B106,$B$2:$B$51,R$16)/$L$2</f>
        <v>0</v>
      </c>
      <c r="N106" s="8" cm="1">
        <f t="array" ref="N106">S$7*EstymacjaGaussowska($C106,$C$52:$C$101,S$11)*EstymacjaGaussowska($D106,$D$52:$D$101,S$12)*EstymacjaGaussowska($A106,$A$52:$A$101,S$15)*EstymacjaGaussowska($B106,$B$52:$B$101,S$16)/$L$2</f>
        <v>1.8890329094163047E-11</v>
      </c>
      <c r="O106" s="34" cm="1">
        <f t="array" ref="O106">T$7*EstymacjaGaussowska($C106,$C$102:$C$151,T$11)*EstymacjaGaussowska($D106,$D$102:$D$151,T$12)*EstymacjaGaussowska($A106,$A$102:$A$151,T$15)*EstymacjaGaussowska($B106,$B$102:$B$151,T$16)/$L$2</f>
        <v>6.2255742302755455E-2</v>
      </c>
    </row>
    <row r="107" spans="1:15" x14ac:dyDescent="0.25">
      <c r="A107" s="25">
        <v>3.3970387360532563</v>
      </c>
      <c r="B107" s="8">
        <v>0.55083667302805539</v>
      </c>
      <c r="C107" s="8">
        <v>0.34843755579746716</v>
      </c>
      <c r="D107" s="13">
        <v>-0.11237165320609144</v>
      </c>
      <c r="E107" s="25" t="s">
        <v>7</v>
      </c>
      <c r="F107" s="19" t="str">
        <f t="shared" si="6"/>
        <v>virginica</v>
      </c>
      <c r="G107" s="12" cm="1">
        <f t="array" ref="G107">R$7*EstymacjaGaussowska($A107,$A$2:$A$51,R$11)*EstymacjaGaussowska($B107,$B$2:$B$51,R$12)+S$7*EstymacjaGaussowska($A107,$C$52:$C$101,S$11)*EstymacjaGaussowska($B107,$D$52:$D$101,S$12)+T$7*EstymacjaGaussowska($A107,$C$102:$C$151,T$11)*EstymacjaGaussowska($B107,$D$102:$D$151,T$12)</f>
        <v>5.5272204924754989E-18</v>
      </c>
      <c r="H107" s="8" cm="1">
        <f t="array" ref="H107">R$7*EstymacjaGaussowska($A107,$A$2:$A$51,R$11)*EstymacjaGaussowska($B107,$B$2:$B$51,R$12)/$G107</f>
        <v>0</v>
      </c>
      <c r="I107" s="8" cm="1">
        <f t="array" ref="I107">S$7*EstymacjaGaussowska($A107,$A$52:$A$101,S$11)*EstymacjaGaussowska($B107,$B$52:$B$101,S$12)/$G107</f>
        <v>779585.38755427126</v>
      </c>
      <c r="J107" s="114" cm="1">
        <f t="array" ref="J107">T$7*EstymacjaGaussowska($A107,$A$102:$A$151,T$11)*EstymacjaGaussowska($B107,$B$102:$B$151,T$12)/$G107</f>
        <v>4385392279908165</v>
      </c>
      <c r="K107" s="19" t="str">
        <f t="shared" si="7"/>
        <v>virginica</v>
      </c>
      <c r="L107" s="12" cm="1">
        <f t="array" ref="L107">R$7*EstymacjaGaussowska($C107,$C$2:$C$51,R$11)*EstymacjaGaussowska($D107,$D$2:$D$51,R$12)*EstymacjaGaussowska($A107,$A$2:$A$51,R$15)*EstymacjaGaussowska($B107,$B$2:$B$51,R$16)+S$7*EstymacjaGaussowska($C107,$C$52:$C$101,S$11)*EstymacjaGaussowska($D107,$D$52:$D$101,S$12)*EstymacjaGaussowska($A107,$A$52:$A$101,S$15)*EstymacjaGaussowska($B107,$B$52:$B$101,S$16)+T$7*EstymacjaGaussowska($C107,$C$102:$C$151,T$11)*EstymacjaGaussowska($D107,$D$102:$D$151,T$12)*EstymacjaGaussowska($A107,$A$102:$A$151,T$15)*EstymacjaGaussowska($B107,$B$102:$B$151,T$16)</f>
        <v>1.4485819188997641E-2</v>
      </c>
      <c r="M107" s="8" cm="1">
        <f t="array" ref="M107">R$7*EstymacjaGaussowska($C107,$C$2:$C$51,R$11)*EstymacjaGaussowska($D107,$D$2:$D$51,R$12)*EstymacjaGaussowska($A107,$A$2:$A$51,R$15)*EstymacjaGaussowska($B107,$B$2:$B$51,R$16)/$L$2</f>
        <v>0</v>
      </c>
      <c r="N107" s="8" cm="1">
        <f t="array" ref="N107">S$7*EstymacjaGaussowska($C107,$C$52:$C$101,S$11)*EstymacjaGaussowska($D107,$D$52:$D$101,S$12)*EstymacjaGaussowska($A107,$A$52:$A$101,S$15)*EstymacjaGaussowska($B107,$B$52:$B$101,S$16)/$L$2</f>
        <v>2.5071033024521488E-49</v>
      </c>
      <c r="O107" s="34" cm="1">
        <f t="array" ref="O107">T$7*EstymacjaGaussowska($C107,$C$102:$C$151,T$11)*EstymacjaGaussowska($D107,$D$102:$D$151,T$12)*EstymacjaGaussowska($A107,$A$102:$A$151,T$15)*EstymacjaGaussowska($B107,$B$102:$B$151,T$16)/$L$2</f>
        <v>7.7126091040713163E-3</v>
      </c>
    </row>
    <row r="108" spans="1:15" x14ac:dyDescent="0.25">
      <c r="A108" s="25">
        <v>0.52123224390977319</v>
      </c>
      <c r="B108" s="8">
        <v>-1.1927587270006459</v>
      </c>
      <c r="C108" s="8">
        <v>-0.54565929564681259</v>
      </c>
      <c r="D108" s="13">
        <v>-9.8126619630645062E-2</v>
      </c>
      <c r="E108" s="25" t="s">
        <v>7</v>
      </c>
      <c r="F108" s="19" t="str">
        <f t="shared" si="6"/>
        <v>versicolor</v>
      </c>
      <c r="G108" s="12" cm="1">
        <f t="array" ref="G108">R$7*EstymacjaGaussowska($A108,$A$2:$A$51,R$11)*EstymacjaGaussowska($B108,$B$2:$B$51,R$12)+S$7*EstymacjaGaussowska($A108,$C$52:$C$101,S$11)*EstymacjaGaussowska($B108,$D$52:$D$101,S$12)+T$7*EstymacjaGaussowska($A108,$C$102:$C$151,T$11)*EstymacjaGaussowska($B108,$D$102:$D$151,T$12)</f>
        <v>6.9048502158332271E-5</v>
      </c>
      <c r="H108" s="8" cm="1">
        <f t="array" ref="H108">R$7*EstymacjaGaussowska($A108,$A$2:$A$51,R$11)*EstymacjaGaussowska($B108,$B$2:$B$51,R$12)/$G108</f>
        <v>2.1554311650330785E-139</v>
      </c>
      <c r="I108" s="8" cm="1">
        <f t="array" ref="I108">S$7*EstymacjaGaussowska($A108,$A$52:$A$101,S$11)*EstymacjaGaussowska($B108,$B$52:$B$101,S$12)/$G108</f>
        <v>306.78072742686663</v>
      </c>
      <c r="J108" s="114" cm="1">
        <f t="array" ref="J108">T$7*EstymacjaGaussowska($A108,$A$102:$A$151,T$11)*EstymacjaGaussowska($B108,$B$102:$B$151,T$12)/$G108</f>
        <v>10.667095813833635</v>
      </c>
      <c r="K108" s="19" t="str">
        <f t="shared" si="7"/>
        <v>versicolor</v>
      </c>
      <c r="L108" s="12" cm="1">
        <f t="array" ref="L108">R$7*EstymacjaGaussowska($C108,$C$2:$C$51,R$11)*EstymacjaGaussowska($D108,$D$2:$D$51,R$12)*EstymacjaGaussowska($A108,$A$2:$A$51,R$15)*EstymacjaGaussowska($B108,$B$2:$B$51,R$16)+S$7*EstymacjaGaussowska($C108,$C$52:$C$101,S$11)*EstymacjaGaussowska($D108,$D$52:$D$101,S$12)*EstymacjaGaussowska($A108,$A$52:$A$101,S$15)*EstymacjaGaussowska($B108,$B$52:$B$101,S$16)+T$7*EstymacjaGaussowska($C108,$C$102:$C$151,T$11)*EstymacjaGaussowska($D108,$D$102:$D$151,T$12)*EstymacjaGaussowska($A108,$A$102:$A$151,T$15)*EstymacjaGaussowska($B108,$B$102:$B$151,T$16)</f>
        <v>4.8648889674918361E-3</v>
      </c>
      <c r="M108" s="8" cm="1">
        <f t="array" ref="M108">R$7*EstymacjaGaussowska($C108,$C$2:$C$51,R$11)*EstymacjaGaussowska($D108,$D$2:$D$51,R$12)*EstymacjaGaussowska($A108,$A$2:$A$51,R$15)*EstymacjaGaussowska($B108,$B$2:$B$51,R$16)/$L$2</f>
        <v>1.7854140456270027E-257</v>
      </c>
      <c r="N108" s="8" cm="1">
        <f t="array" ref="N108">S$7*EstymacjaGaussowska($C108,$C$52:$C$101,S$11)*EstymacjaGaussowska($D108,$D$52:$D$101,S$12)*EstymacjaGaussowska($A108,$A$52:$A$101,S$15)*EstymacjaGaussowska($B108,$B$52:$B$101,S$16)/$L$2</f>
        <v>2.1152196012586603E-3</v>
      </c>
      <c r="O108" s="34" cm="1">
        <f t="array" ref="O108">T$7*EstymacjaGaussowska($C108,$C$102:$C$151,T$11)*EstymacjaGaussowska($D108,$D$102:$D$151,T$12)*EstymacjaGaussowska($A108,$A$102:$A$151,T$15)*EstymacjaGaussowska($B108,$B$102:$B$151,T$16)/$L$2</f>
        <v>4.7496784008893138E-4</v>
      </c>
    </row>
    <row r="109" spans="1:15" x14ac:dyDescent="0.25">
      <c r="A109" s="25">
        <v>2.9325870689936879</v>
      </c>
      <c r="B109" s="8">
        <v>0.35550000297749595</v>
      </c>
      <c r="C109" s="8">
        <v>0.42023993576796792</v>
      </c>
      <c r="D109" s="13">
        <v>-0.25719103219149408</v>
      </c>
      <c r="E109" s="25" t="s">
        <v>7</v>
      </c>
      <c r="F109" s="19" t="str">
        <f t="shared" si="6"/>
        <v>virginica</v>
      </c>
      <c r="G109" s="12" cm="1">
        <f t="array" ref="G109">R$7*EstymacjaGaussowska($A109,$A$2:$A$51,R$11)*EstymacjaGaussowska($B109,$B$2:$B$51,R$12)+S$7*EstymacjaGaussowska($A109,$C$52:$C$101,S$11)*EstymacjaGaussowska($B109,$D$52:$D$101,S$12)+T$7*EstymacjaGaussowska($A109,$C$102:$C$151,T$11)*EstymacjaGaussowska($B109,$D$102:$D$151,T$12)</f>
        <v>4.47554814587175E-13</v>
      </c>
      <c r="H109" s="8" cm="1">
        <f t="array" ref="H109">R$7*EstymacjaGaussowska($A109,$A$2:$A$51,R$11)*EstymacjaGaussowska($B109,$B$2:$B$51,R$12)/$G109</f>
        <v>0</v>
      </c>
      <c r="I109" s="8" cm="1">
        <f t="array" ref="I109">S$7*EstymacjaGaussowska($A109,$A$52:$A$101,S$11)*EstymacjaGaussowska($B109,$B$52:$B$101,S$12)/$G109</f>
        <v>138031.67978480365</v>
      </c>
      <c r="J109" s="114" cm="1">
        <f t="array" ref="J109">T$7*EstymacjaGaussowska($A109,$A$102:$A$151,T$11)*EstymacjaGaussowska($B109,$B$102:$B$151,T$12)/$G109</f>
        <v>126844700919.14169</v>
      </c>
      <c r="K109" s="19" t="str">
        <f t="shared" si="7"/>
        <v>virginica</v>
      </c>
      <c r="L109" s="12" cm="1">
        <f t="array" ref="L109">R$7*EstymacjaGaussowska($C109,$C$2:$C$51,R$11)*EstymacjaGaussowska($D109,$D$2:$D$51,R$12)*EstymacjaGaussowska($A109,$A$2:$A$51,R$15)*EstymacjaGaussowska($B109,$B$2:$B$51,R$16)+S$7*EstymacjaGaussowska($C109,$C$52:$C$101,S$11)*EstymacjaGaussowska($D109,$D$52:$D$101,S$12)*EstymacjaGaussowska($A109,$A$52:$A$101,S$15)*EstymacjaGaussowska($B109,$B$52:$B$101,S$16)+T$7*EstymacjaGaussowska($C109,$C$102:$C$151,T$11)*EstymacjaGaussowska($D109,$D$102:$D$151,T$12)*EstymacjaGaussowska($A109,$A$102:$A$151,T$15)*EstymacjaGaussowska($B109,$B$102:$B$151,T$16)</f>
        <v>2.5511591501482512E-2</v>
      </c>
      <c r="M109" s="8" cm="1">
        <f t="array" ref="M109">R$7*EstymacjaGaussowska($C109,$C$2:$C$51,R$11)*EstymacjaGaussowska($D109,$D$2:$D$51,R$12)*EstymacjaGaussowska($A109,$A$2:$A$51,R$15)*EstymacjaGaussowska($B109,$B$2:$B$51,R$16)/$L$2</f>
        <v>0</v>
      </c>
      <c r="N109" s="8" cm="1">
        <f t="array" ref="N109">S$7*EstymacjaGaussowska($C109,$C$52:$C$101,S$11)*EstymacjaGaussowska($D109,$D$52:$D$101,S$12)*EstymacjaGaussowska($A109,$A$52:$A$101,S$15)*EstymacjaGaussowska($B109,$B$52:$B$101,S$16)/$L$2</f>
        <v>8.9350683045978474E-29</v>
      </c>
      <c r="O109" s="34" cm="1">
        <f t="array" ref="O109">T$7*EstymacjaGaussowska($C109,$C$102:$C$151,T$11)*EstymacjaGaussowska($D109,$D$102:$D$151,T$12)*EstymacjaGaussowska($A109,$A$102:$A$151,T$15)*EstymacjaGaussowska($B109,$B$102:$B$151,T$16)/$L$2</f>
        <v>1.3583003508916329E-2</v>
      </c>
    </row>
    <row r="110" spans="1:15" x14ac:dyDescent="0.25">
      <c r="A110" s="25">
        <v>2.3212288165733765</v>
      </c>
      <c r="B110" s="8">
        <v>-0.24383150231069087</v>
      </c>
      <c r="C110" s="8">
        <v>0.348304394934845</v>
      </c>
      <c r="D110" s="13">
        <v>-7.8674612970109692E-2</v>
      </c>
      <c r="E110" s="25" t="s">
        <v>7</v>
      </c>
      <c r="F110" s="19" t="str">
        <f t="shared" si="6"/>
        <v>virginica</v>
      </c>
      <c r="G110" s="12" cm="1">
        <f t="array" ref="G110">R$7*EstymacjaGaussowska($A110,$A$2:$A$51,R$11)*EstymacjaGaussowska($B110,$B$2:$B$51,R$12)+S$7*EstymacjaGaussowska($A110,$C$52:$C$101,S$11)*EstymacjaGaussowska($B110,$D$52:$D$101,S$12)+T$7*EstymacjaGaussowska($A110,$C$102:$C$151,T$11)*EstymacjaGaussowska($B110,$D$102:$D$151,T$12)</f>
        <v>3.2288973894249853E-8</v>
      </c>
      <c r="H110" s="8" cm="1">
        <f t="array" ref="H110">R$7*EstymacjaGaussowska($A110,$A$2:$A$51,R$11)*EstymacjaGaussowska($B110,$B$2:$B$51,R$12)/$G110</f>
        <v>0</v>
      </c>
      <c r="I110" s="8" cm="1">
        <f t="array" ref="I110">S$7*EstymacjaGaussowska($A110,$A$52:$A$101,S$11)*EstymacjaGaussowska($B110,$B$52:$B$101,S$12)/$G110</f>
        <v>13142.30410493172</v>
      </c>
      <c r="J110" s="114" cm="1">
        <f t="array" ref="J110">T$7*EstymacjaGaussowska($A110,$A$102:$A$151,T$11)*EstymacjaGaussowska($B110,$B$102:$B$151,T$12)/$G110</f>
        <v>3013094.7919635368</v>
      </c>
      <c r="K110" s="19" t="str">
        <f t="shared" si="7"/>
        <v>virginica</v>
      </c>
      <c r="L110" s="12" cm="1">
        <f t="array" ref="L110">R$7*EstymacjaGaussowska($C110,$C$2:$C$51,R$11)*EstymacjaGaussowska($D110,$D$2:$D$51,R$12)*EstymacjaGaussowska($A110,$A$2:$A$51,R$15)*EstymacjaGaussowska($B110,$B$2:$B$51,R$16)+S$7*EstymacjaGaussowska($C110,$C$52:$C$101,S$11)*EstymacjaGaussowska($D110,$D$52:$D$101,S$12)*EstymacjaGaussowska($A110,$A$52:$A$101,S$15)*EstymacjaGaussowska($B110,$B$52:$B$101,S$16)+T$7*EstymacjaGaussowska($C110,$C$102:$C$151,T$11)*EstymacjaGaussowska($D110,$D$102:$D$151,T$12)*EstymacjaGaussowska($A110,$A$102:$A$151,T$15)*EstymacjaGaussowska($B110,$B$102:$B$151,T$16)</f>
        <v>8.9499904627124011E-2</v>
      </c>
      <c r="M110" s="8" cm="1">
        <f t="array" ref="M110">R$7*EstymacjaGaussowska($C110,$C$2:$C$51,R$11)*EstymacjaGaussowska($D110,$D$2:$D$51,R$12)*EstymacjaGaussowska($A110,$A$2:$A$51,R$15)*EstymacjaGaussowska($B110,$B$2:$B$51,R$16)/$L$2</f>
        <v>0</v>
      </c>
      <c r="N110" s="8" cm="1">
        <f t="array" ref="N110">S$7*EstymacjaGaussowska($C110,$C$52:$C$101,S$11)*EstymacjaGaussowska($D110,$D$52:$D$101,S$12)*EstymacjaGaussowska($A110,$A$52:$A$101,S$15)*EstymacjaGaussowska($B110,$B$52:$B$101,S$16)/$L$2</f>
        <v>1.6664609071809544E-10</v>
      </c>
      <c r="O110" s="34" cm="1">
        <f t="array" ref="O110">T$7*EstymacjaGaussowska($C110,$C$102:$C$151,T$11)*EstymacjaGaussowska($D110,$D$102:$D$151,T$12)*EstymacjaGaussowska($A110,$A$102:$A$151,T$15)*EstymacjaGaussowska($B110,$B$102:$B$151,T$16)/$L$2</f>
        <v>4.7651966921618771E-2</v>
      </c>
    </row>
    <row r="111" spans="1:15" x14ac:dyDescent="0.25">
      <c r="A111" s="25">
        <v>2.9167509667860712</v>
      </c>
      <c r="B111" s="8">
        <v>0.78279194881527836</v>
      </c>
      <c r="C111" s="8">
        <v>-0.42333541768255856</v>
      </c>
      <c r="D111" s="13">
        <v>0.11098207103557511</v>
      </c>
      <c r="E111" s="25" t="s">
        <v>7</v>
      </c>
      <c r="F111" s="19" t="str">
        <f t="shared" si="6"/>
        <v>virginica</v>
      </c>
      <c r="G111" s="12" cm="1">
        <f t="array" ref="G111">R$7*EstymacjaGaussowska($A111,$A$2:$A$51,R$11)*EstymacjaGaussowska($B111,$B$2:$B$51,R$12)+S$7*EstymacjaGaussowska($A111,$C$52:$C$101,S$11)*EstymacjaGaussowska($B111,$D$52:$D$101,S$12)+T$7*EstymacjaGaussowska($A111,$C$102:$C$151,T$11)*EstymacjaGaussowska($B111,$D$102:$D$151,T$12)</f>
        <v>5.1104571653454378E-14</v>
      </c>
      <c r="H111" s="8" cm="1">
        <f t="array" ref="H111">R$7*EstymacjaGaussowska($A111,$A$2:$A$51,R$11)*EstymacjaGaussowska($B111,$B$2:$B$51,R$12)/$G111</f>
        <v>0</v>
      </c>
      <c r="I111" s="8" cm="1">
        <f t="array" ref="I111">S$7*EstymacjaGaussowska($A111,$A$52:$A$101,S$11)*EstymacjaGaussowska($B111,$B$52:$B$101,S$12)/$G111</f>
        <v>310054.72772151098</v>
      </c>
      <c r="J111" s="114" cm="1">
        <f t="array" ref="J111">T$7*EstymacjaGaussowska($A111,$A$102:$A$151,T$11)*EstymacjaGaussowska($B111,$B$102:$B$151,T$12)/$G111</f>
        <v>335380805448.16156</v>
      </c>
      <c r="K111" s="19" t="str">
        <f t="shared" si="7"/>
        <v>virginica</v>
      </c>
      <c r="L111" s="12" cm="1">
        <f t="array" ref="L111">R$7*EstymacjaGaussowska($C111,$C$2:$C$51,R$11)*EstymacjaGaussowska($D111,$D$2:$D$51,R$12)*EstymacjaGaussowska($A111,$A$2:$A$51,R$15)*EstymacjaGaussowska($B111,$B$2:$B$51,R$16)+S$7*EstymacjaGaussowska($C111,$C$52:$C$101,S$11)*EstymacjaGaussowska($D111,$D$52:$D$101,S$12)*EstymacjaGaussowska($A111,$A$52:$A$101,S$15)*EstymacjaGaussowska($B111,$B$52:$B$101,S$16)+T$7*EstymacjaGaussowska($C111,$C$102:$C$151,T$11)*EstymacjaGaussowska($D111,$D$102:$D$151,T$12)*EstymacjaGaussowska($A111,$A$102:$A$151,T$15)*EstymacjaGaussowska($B111,$B$102:$B$151,T$16)</f>
        <v>8.5859449457185173E-3</v>
      </c>
      <c r="M111" s="8" cm="1">
        <f t="array" ref="M111">R$7*EstymacjaGaussowska($C111,$C$2:$C$51,R$11)*EstymacjaGaussowska($D111,$D$2:$D$51,R$12)*EstymacjaGaussowska($A111,$A$2:$A$51,R$15)*EstymacjaGaussowska($B111,$B$2:$B$51,R$16)/$L$2</f>
        <v>0</v>
      </c>
      <c r="N111" s="8" cm="1">
        <f t="array" ref="N111">S$7*EstymacjaGaussowska($C111,$C$52:$C$101,S$11)*EstymacjaGaussowska($D111,$D$52:$D$101,S$12)*EstymacjaGaussowska($A111,$A$52:$A$101,S$15)*EstymacjaGaussowska($B111,$B$52:$B$101,S$16)/$L$2</f>
        <v>1.7278998972535836E-29</v>
      </c>
      <c r="O111" s="34" cm="1">
        <f t="array" ref="O111">T$7*EstymacjaGaussowska($C111,$C$102:$C$151,T$11)*EstymacjaGaussowska($D111,$D$102:$D$151,T$12)*EstymacjaGaussowska($A111,$A$102:$A$151,T$15)*EstymacjaGaussowska($B111,$B$102:$B$151,T$16)/$L$2</f>
        <v>4.571369854298582E-3</v>
      </c>
    </row>
    <row r="112" spans="1:15" x14ac:dyDescent="0.25">
      <c r="A112" s="25">
        <v>1.6617741536365305</v>
      </c>
      <c r="B112" s="8">
        <v>0.24222840775506685</v>
      </c>
      <c r="C112" s="8">
        <v>-0.24244018972576892</v>
      </c>
      <c r="D112" s="13">
        <v>0.12104055183185636</v>
      </c>
      <c r="E112" s="25" t="s">
        <v>7</v>
      </c>
      <c r="F112" s="19" t="str">
        <f t="shared" si="6"/>
        <v>virginica</v>
      </c>
      <c r="G112" s="12" cm="1">
        <f t="array" ref="G112">R$7*EstymacjaGaussowska($A112,$A$2:$A$51,R$11)*EstymacjaGaussowska($B112,$B$2:$B$51,R$12)+S$7*EstymacjaGaussowska($A112,$C$52:$C$101,S$11)*EstymacjaGaussowska($B112,$D$52:$D$101,S$12)+T$7*EstymacjaGaussowska($A112,$C$102:$C$151,T$11)*EstymacjaGaussowska($B112,$D$102:$D$151,T$12)</f>
        <v>2.0382962983756171E-4</v>
      </c>
      <c r="H112" s="8" cm="1">
        <f t="array" ref="H112">R$7*EstymacjaGaussowska($A112,$A$2:$A$51,R$11)*EstymacjaGaussowska($B112,$B$2:$B$51,R$12)/$G112</f>
        <v>7.6443953237293527E-280</v>
      </c>
      <c r="I112" s="8" cm="1">
        <f t="array" ref="I112">S$7*EstymacjaGaussowska($A112,$A$52:$A$101,S$11)*EstymacjaGaussowska($B112,$B$52:$B$101,S$12)/$G112</f>
        <v>111.55328106759201</v>
      </c>
      <c r="J112" s="114" cm="1">
        <f t="array" ref="J112">T$7*EstymacjaGaussowska($A112,$A$102:$A$151,T$11)*EstymacjaGaussowska($B112,$B$102:$B$151,T$12)/$G112</f>
        <v>622.68831962294462</v>
      </c>
      <c r="K112" s="19" t="str">
        <f t="shared" si="7"/>
        <v>virginica</v>
      </c>
      <c r="L112" s="12" cm="1">
        <f t="array" ref="L112">R$7*EstymacjaGaussowska($C112,$C$2:$C$51,R$11)*EstymacjaGaussowska($D112,$D$2:$D$51,R$12)*EstymacjaGaussowska($A112,$A$2:$A$51,R$15)*EstymacjaGaussowska($B112,$B$2:$B$51,R$16)+S$7*EstymacjaGaussowska($C112,$C$52:$C$101,S$11)*EstymacjaGaussowska($D112,$D$52:$D$101,S$12)*EstymacjaGaussowska($A112,$A$52:$A$101,S$15)*EstymacjaGaussowska($B112,$B$52:$B$101,S$16)+T$7*EstymacjaGaussowska($C112,$C$102:$C$151,T$11)*EstymacjaGaussowska($D112,$D$102:$D$151,T$12)*EstymacjaGaussowska($A112,$A$102:$A$151,T$15)*EstymacjaGaussowska($B112,$B$102:$B$151,T$16)</f>
        <v>0.15321625417544227</v>
      </c>
      <c r="M112" s="8" cm="1">
        <f t="array" ref="M112">R$7*EstymacjaGaussowska($C112,$C$2:$C$51,R$11)*EstymacjaGaussowska($D112,$D$2:$D$51,R$12)*EstymacjaGaussowska($A112,$A$2:$A$51,R$15)*EstymacjaGaussowska($B112,$B$2:$B$51,R$16)/$L$2</f>
        <v>0</v>
      </c>
      <c r="N112" s="8" cm="1">
        <f t="array" ref="N112">S$7*EstymacjaGaussowska($C112,$C$52:$C$101,S$11)*EstymacjaGaussowska($D112,$D$52:$D$101,S$12)*EstymacjaGaussowska($A112,$A$52:$A$101,S$15)*EstymacjaGaussowska($B112,$B$52:$B$101,S$16)/$L$2</f>
        <v>8.4696999428783802E-3</v>
      </c>
      <c r="O112" s="34" cm="1">
        <f t="array" ref="O112">T$7*EstymacjaGaussowska($C112,$C$102:$C$151,T$11)*EstymacjaGaussowska($D112,$D$102:$D$151,T$12)*EstymacjaGaussowska($A112,$A$102:$A$151,T$15)*EstymacjaGaussowska($B112,$B$102:$B$151,T$16)/$L$2</f>
        <v>7.3106430576737033E-2</v>
      </c>
    </row>
    <row r="113" spans="1:15" x14ac:dyDescent="0.25">
      <c r="A113" s="25">
        <v>1.80340195296509</v>
      </c>
      <c r="B113" s="8">
        <v>-0.21563761733355552</v>
      </c>
      <c r="C113" s="8">
        <v>3.7648168231482593E-2</v>
      </c>
      <c r="D113" s="13">
        <v>7.8019844449192965E-2</v>
      </c>
      <c r="E113" s="25" t="s">
        <v>7</v>
      </c>
      <c r="F113" s="19" t="str">
        <f t="shared" si="6"/>
        <v>virginica</v>
      </c>
      <c r="G113" s="12" cm="1">
        <f t="array" ref="G113">R$7*EstymacjaGaussowska($A113,$A$2:$A$51,R$11)*EstymacjaGaussowska($B113,$B$2:$B$51,R$12)+S$7*EstymacjaGaussowska($A113,$C$52:$C$101,S$11)*EstymacjaGaussowska($B113,$D$52:$D$101,S$12)+T$7*EstymacjaGaussowska($A113,$C$102:$C$151,T$11)*EstymacjaGaussowska($B113,$D$102:$D$151,T$12)</f>
        <v>4.2231613271578569E-5</v>
      </c>
      <c r="H113" s="8" cm="1">
        <f t="array" ref="H113">R$7*EstymacjaGaussowska($A113,$A$2:$A$51,R$11)*EstymacjaGaussowska($B113,$B$2:$B$51,R$12)/$G113</f>
        <v>2.9877952043981007E-300</v>
      </c>
      <c r="I113" s="8" cm="1">
        <f t="array" ref="I113">S$7*EstymacjaGaussowska($A113,$A$52:$A$101,S$11)*EstymacjaGaussowska($B113,$B$52:$B$101,S$12)/$G113</f>
        <v>465.55579324344217</v>
      </c>
      <c r="J113" s="114" cm="1">
        <f t="array" ref="J113">T$7*EstymacjaGaussowska($A113,$A$102:$A$151,T$11)*EstymacjaGaussowska($B113,$B$102:$B$151,T$12)/$G113</f>
        <v>2567.0837363017858</v>
      </c>
      <c r="K113" s="19" t="str">
        <f t="shared" si="7"/>
        <v>virginica</v>
      </c>
      <c r="L113" s="12" cm="1">
        <f t="array" ref="L113">R$7*EstymacjaGaussowska($C113,$C$2:$C$51,R$11)*EstymacjaGaussowska($D113,$D$2:$D$51,R$12)*EstymacjaGaussowska($A113,$A$2:$A$51,R$15)*EstymacjaGaussowska($B113,$B$2:$B$51,R$16)+S$7*EstymacjaGaussowska($C113,$C$52:$C$101,S$11)*EstymacjaGaussowska($D113,$D$52:$D$101,S$12)*EstymacjaGaussowska($A113,$A$52:$A$101,S$15)*EstymacjaGaussowska($B113,$B$52:$B$101,S$16)+T$7*EstymacjaGaussowska($C113,$C$102:$C$151,T$11)*EstymacjaGaussowska($D113,$D$102:$D$151,T$12)*EstymacjaGaussowska($A113,$A$102:$A$151,T$15)*EstymacjaGaussowska($B113,$B$102:$B$151,T$16)</f>
        <v>0.14951663903852005</v>
      </c>
      <c r="M113" s="8" cm="1">
        <f t="array" ref="M113">R$7*EstymacjaGaussowska($C113,$C$2:$C$51,R$11)*EstymacjaGaussowska($D113,$D$2:$D$51,R$12)*EstymacjaGaussowska($A113,$A$2:$A$51,R$15)*EstymacjaGaussowska($B113,$B$2:$B$51,R$16)/$L$2</f>
        <v>0</v>
      </c>
      <c r="N113" s="8" cm="1">
        <f t="array" ref="N113">S$7*EstymacjaGaussowska($C113,$C$52:$C$101,S$11)*EstymacjaGaussowska($D113,$D$52:$D$101,S$12)*EstymacjaGaussowska($A113,$A$52:$A$101,S$15)*EstymacjaGaussowska($B113,$B$52:$B$101,S$16)/$L$2</f>
        <v>2.4664219723969519E-3</v>
      </c>
      <c r="O113" s="34" cm="1">
        <f t="array" ref="O113">T$7*EstymacjaGaussowska($C113,$C$102:$C$151,T$11)*EstymacjaGaussowska($D113,$D$102:$D$151,T$12)*EstymacjaGaussowska($A113,$A$102:$A$151,T$15)*EstymacjaGaussowska($B113,$B$102:$B$151,T$16)/$L$2</f>
        <v>7.7139941769495693E-2</v>
      </c>
    </row>
    <row r="114" spans="1:15" x14ac:dyDescent="0.25">
      <c r="A114" s="25">
        <v>2.1655917960801441</v>
      </c>
      <c r="B114" s="8">
        <v>0.21627558507402489</v>
      </c>
      <c r="C114" s="8">
        <v>-3.3326641844325045E-2</v>
      </c>
      <c r="D114" s="13">
        <v>0.16306147816482586</v>
      </c>
      <c r="E114" s="25" t="s">
        <v>7</v>
      </c>
      <c r="F114" s="19" t="str">
        <f t="shared" si="6"/>
        <v>virginica</v>
      </c>
      <c r="G114" s="12" cm="1">
        <f t="array" ref="G114">R$7*EstymacjaGaussowska($A114,$A$2:$A$51,R$11)*EstymacjaGaussowska($B114,$B$2:$B$51,R$12)+S$7*EstymacjaGaussowska($A114,$C$52:$C$101,S$11)*EstymacjaGaussowska($B114,$D$52:$D$101,S$12)+T$7*EstymacjaGaussowska($A114,$C$102:$C$151,T$11)*EstymacjaGaussowska($B114,$D$102:$D$151,T$12)</f>
        <v>4.0001406283246092E-7</v>
      </c>
      <c r="H114" s="8" cm="1">
        <f t="array" ref="H114">R$7*EstymacjaGaussowska($A114,$A$2:$A$51,R$11)*EstymacjaGaussowska($B114,$B$2:$B$51,R$12)/$G114</f>
        <v>0</v>
      </c>
      <c r="I114" s="8" cm="1">
        <f t="array" ref="I114">S$7*EstymacjaGaussowska($A114,$A$52:$A$101,S$11)*EstymacjaGaussowska($B114,$B$52:$B$101,S$12)/$G114</f>
        <v>2735.5081079409829</v>
      </c>
      <c r="J114" s="114" cm="1">
        <f t="array" ref="J114">T$7*EstymacjaGaussowska($A114,$A$102:$A$151,T$11)*EstymacjaGaussowska($B114,$B$102:$B$151,T$12)/$G114</f>
        <v>335633.42832459311</v>
      </c>
      <c r="K114" s="19" t="str">
        <f t="shared" si="7"/>
        <v>virginica</v>
      </c>
      <c r="L114" s="12" cm="1">
        <f t="array" ref="L114">R$7*EstymacjaGaussowska($C114,$C$2:$C$51,R$11)*EstymacjaGaussowska($D114,$D$2:$D$51,R$12)*EstymacjaGaussowska($A114,$A$2:$A$51,R$15)*EstymacjaGaussowska($B114,$B$2:$B$51,R$16)+S$7*EstymacjaGaussowska($C114,$C$52:$C$101,S$11)*EstymacjaGaussowska($D114,$D$52:$D$101,S$12)*EstymacjaGaussowska($A114,$A$52:$A$101,S$15)*EstymacjaGaussowska($B114,$B$52:$B$101,S$16)+T$7*EstymacjaGaussowska($C114,$C$102:$C$151,T$11)*EstymacjaGaussowska($D114,$D$102:$D$151,T$12)*EstymacjaGaussowska($A114,$A$102:$A$151,T$15)*EstymacjaGaussowska($B114,$B$102:$B$151,T$16)</f>
        <v>0.16254982457216607</v>
      </c>
      <c r="M114" s="8" cm="1">
        <f t="array" ref="M114">R$7*EstymacjaGaussowska($C114,$C$2:$C$51,R$11)*EstymacjaGaussowska($D114,$D$2:$D$51,R$12)*EstymacjaGaussowska($A114,$A$2:$A$51,R$15)*EstymacjaGaussowska($B114,$B$2:$B$51,R$16)/$L$2</f>
        <v>0</v>
      </c>
      <c r="N114" s="8" cm="1">
        <f t="array" ref="N114">S$7*EstymacjaGaussowska($C114,$C$52:$C$101,S$11)*EstymacjaGaussowska($D114,$D$52:$D$101,S$12)*EstymacjaGaussowska($A114,$A$52:$A$101,S$15)*EstymacjaGaussowska($B114,$B$52:$B$101,S$16)/$L$2</f>
        <v>8.3500037775872255E-8</v>
      </c>
      <c r="O114" s="34" cm="1">
        <f t="array" ref="O114">T$7*EstymacjaGaussowska($C114,$C$102:$C$151,T$11)*EstymacjaGaussowska($D114,$D$102:$D$151,T$12)*EstymacjaGaussowska($A114,$A$102:$A$151,T$15)*EstymacjaGaussowska($B114,$B$102:$B$151,T$16)/$L$2</f>
        <v>8.6545471190627471E-2</v>
      </c>
    </row>
    <row r="115" spans="1:15" x14ac:dyDescent="0.25">
      <c r="A115" s="25">
        <v>1.3461635794584508</v>
      </c>
      <c r="B115" s="8">
        <v>-0.77681834734433974</v>
      </c>
      <c r="C115" s="8">
        <v>-0.28190288211846459</v>
      </c>
      <c r="D115" s="13">
        <v>0.1404408687744314</v>
      </c>
      <c r="E115" s="25" t="s">
        <v>7</v>
      </c>
      <c r="F115" s="19" t="str">
        <f t="shared" si="6"/>
        <v>versicolor</v>
      </c>
      <c r="G115" s="12" cm="1">
        <f t="array" ref="G115">R$7*EstymacjaGaussowska($A115,$A$2:$A$51,R$11)*EstymacjaGaussowska($B115,$B$2:$B$51,R$12)+S$7*EstymacjaGaussowska($A115,$C$52:$C$101,S$11)*EstymacjaGaussowska($B115,$D$52:$D$101,S$12)+T$7*EstymacjaGaussowska($A115,$C$102:$C$151,T$11)*EstymacjaGaussowska($B115,$D$102:$D$151,T$12)</f>
        <v>1.3201532478276652E-4</v>
      </c>
      <c r="H115" s="8" cm="1">
        <f t="array" ref="H115">R$7*EstymacjaGaussowska($A115,$A$2:$A$51,R$11)*EstymacjaGaussowska($B115,$B$2:$B$51,R$12)/$G115</f>
        <v>1.9562989246949354E-236</v>
      </c>
      <c r="I115" s="8" cm="1">
        <f t="array" ref="I115">S$7*EstymacjaGaussowska($A115,$A$52:$A$101,S$11)*EstymacjaGaussowska($B115,$B$52:$B$101,S$12)/$G115</f>
        <v>401.56172626844659</v>
      </c>
      <c r="J115" s="114" cm="1">
        <f t="array" ref="J115">T$7*EstymacjaGaussowska($A115,$A$102:$A$151,T$11)*EstymacjaGaussowska($B115,$B$102:$B$151,T$12)/$G115</f>
        <v>205.9933644192179</v>
      </c>
      <c r="K115" s="19" t="str">
        <f t="shared" si="7"/>
        <v>versicolor</v>
      </c>
      <c r="L115" s="12" cm="1">
        <f t="array" ref="L115">R$7*EstymacjaGaussowska($C115,$C$2:$C$51,R$11)*EstymacjaGaussowska($D115,$D$2:$D$51,R$12)*EstymacjaGaussowska($A115,$A$2:$A$51,R$15)*EstymacjaGaussowska($B115,$B$2:$B$51,R$16)+S$7*EstymacjaGaussowska($C115,$C$52:$C$101,S$11)*EstymacjaGaussowska($D115,$D$52:$D$101,S$12)*EstymacjaGaussowska($A115,$A$52:$A$101,S$15)*EstymacjaGaussowska($B115,$B$52:$B$101,S$16)+T$7*EstymacjaGaussowska($C115,$C$102:$C$151,T$11)*EstymacjaGaussowska($D115,$D$102:$D$151,T$12)*EstymacjaGaussowska($A115,$A$102:$A$151,T$15)*EstymacjaGaussowska($B115,$B$102:$B$151,T$16)</f>
        <v>7.920921426960037E-2</v>
      </c>
      <c r="M115" s="8" cm="1">
        <f t="array" ref="M115">R$7*EstymacjaGaussowska($C115,$C$2:$C$51,R$11)*EstymacjaGaussowska($D115,$D$2:$D$51,R$12)*EstymacjaGaussowska($A115,$A$2:$A$51,R$15)*EstymacjaGaussowska($B115,$B$2:$B$51,R$16)/$L$2</f>
        <v>0</v>
      </c>
      <c r="N115" s="8" cm="1">
        <f t="array" ref="N115">S$7*EstymacjaGaussowska($C115,$C$52:$C$101,S$11)*EstymacjaGaussowska($D115,$D$52:$D$101,S$12)*EstymacjaGaussowska($A115,$A$52:$A$101,S$15)*EstymacjaGaussowska($B115,$B$52:$B$101,S$16)/$L$2</f>
        <v>2.4121438700101517E-2</v>
      </c>
      <c r="O115" s="34" cm="1">
        <f t="array" ref="O115">T$7*EstymacjaGaussowska($C115,$C$102:$C$151,T$11)*EstymacjaGaussowska($D115,$D$102:$D$151,T$12)*EstymacjaGaussowska($A115,$A$102:$A$151,T$15)*EstymacjaGaussowska($B115,$B$102:$B$151,T$16)/$L$2</f>
        <v>1.8051509831939906E-2</v>
      </c>
    </row>
    <row r="116" spans="1:15" x14ac:dyDescent="0.25">
      <c r="A116" s="25">
        <v>1.58592822387322</v>
      </c>
      <c r="B116" s="8">
        <v>-0.53964071402671854</v>
      </c>
      <c r="C116" s="8">
        <v>-0.62902932640801024</v>
      </c>
      <c r="D116" s="13">
        <v>0.32955172837114444</v>
      </c>
      <c r="E116" s="25" t="s">
        <v>7</v>
      </c>
      <c r="F116" s="19" t="str">
        <f t="shared" si="6"/>
        <v>virginica</v>
      </c>
      <c r="G116" s="12" cm="1">
        <f t="array" ref="G116">R$7*EstymacjaGaussowska($A116,$A$2:$A$51,R$11)*EstymacjaGaussowska($B116,$B$2:$B$51,R$12)+S$7*EstymacjaGaussowska($A116,$C$52:$C$101,S$11)*EstymacjaGaussowska($B116,$D$52:$D$101,S$12)+T$7*EstymacjaGaussowska($A116,$C$102:$C$151,T$11)*EstymacjaGaussowska($B116,$D$102:$D$151,T$12)</f>
        <v>1.0073354362680655E-4</v>
      </c>
      <c r="H116" s="8" cm="1">
        <f t="array" ref="H116">R$7*EstymacjaGaussowska($A116,$A$2:$A$51,R$11)*EstymacjaGaussowska($B116,$B$2:$B$51,R$12)/$G116</f>
        <v>4.7172723654518165E-269</v>
      </c>
      <c r="I116" s="8" cm="1">
        <f t="array" ref="I116">S$7*EstymacjaGaussowska($A116,$A$52:$A$101,S$11)*EstymacjaGaussowska($B116,$B$52:$B$101,S$12)/$G116</f>
        <v>446.86861459171126</v>
      </c>
      <c r="J116" s="114" cm="1">
        <f t="array" ref="J116">T$7*EstymacjaGaussowska($A116,$A$102:$A$151,T$11)*EstymacjaGaussowska($B116,$B$102:$B$151,T$12)/$G116</f>
        <v>586.15035533623268</v>
      </c>
      <c r="K116" s="19" t="str">
        <f t="shared" si="7"/>
        <v>virginica</v>
      </c>
      <c r="L116" s="12" cm="1">
        <f t="array" ref="L116">R$7*EstymacjaGaussowska($C116,$C$2:$C$51,R$11)*EstymacjaGaussowska($D116,$D$2:$D$51,R$12)*EstymacjaGaussowska($A116,$A$2:$A$51,R$15)*EstymacjaGaussowska($B116,$B$2:$B$51,R$16)+S$7*EstymacjaGaussowska($C116,$C$52:$C$101,S$11)*EstymacjaGaussowska($D116,$D$52:$D$101,S$12)*EstymacjaGaussowska($A116,$A$52:$A$101,S$15)*EstymacjaGaussowska($B116,$B$52:$B$101,S$16)+T$7*EstymacjaGaussowska($C116,$C$102:$C$151,T$11)*EstymacjaGaussowska($D116,$D$102:$D$151,T$12)*EstymacjaGaussowska($A116,$A$102:$A$151,T$15)*EstymacjaGaussowska($B116,$B$102:$B$151,T$16)</f>
        <v>2.5548894137910987E-2</v>
      </c>
      <c r="M116" s="8" cm="1">
        <f t="array" ref="M116">R$7*EstymacjaGaussowska($C116,$C$2:$C$51,R$11)*EstymacjaGaussowska($D116,$D$2:$D$51,R$12)*EstymacjaGaussowska($A116,$A$2:$A$51,R$15)*EstymacjaGaussowska($B116,$B$2:$B$51,R$16)/$L$2</f>
        <v>0</v>
      </c>
      <c r="N116" s="8" cm="1">
        <f t="array" ref="N116">S$7*EstymacjaGaussowska($C116,$C$52:$C$101,S$11)*EstymacjaGaussowska($D116,$D$52:$D$101,S$12)*EstymacjaGaussowska($A116,$A$52:$A$101,S$15)*EstymacjaGaussowska($B116,$B$52:$B$101,S$16)/$L$2</f>
        <v>1.5282706743300447E-3</v>
      </c>
      <c r="O116" s="34" cm="1">
        <f t="array" ref="O116">T$7*EstymacjaGaussowska($C116,$C$102:$C$151,T$11)*EstymacjaGaussowska($D116,$D$102:$D$151,T$12)*EstymacjaGaussowska($A116,$A$102:$A$151,T$15)*EstymacjaGaussowska($B116,$B$102:$B$151,T$16)/$L$2</f>
        <v>1.2074593682603954E-2</v>
      </c>
    </row>
    <row r="117" spans="1:15" x14ac:dyDescent="0.25">
      <c r="A117" s="25">
        <v>1.9044563747934258</v>
      </c>
      <c r="B117" s="8">
        <v>0.11925069209197268</v>
      </c>
      <c r="C117" s="8">
        <v>-0.47963981962659041</v>
      </c>
      <c r="D117" s="13">
        <v>0.21962126272174554</v>
      </c>
      <c r="E117" s="25" t="s">
        <v>7</v>
      </c>
      <c r="F117" s="19" t="str">
        <f t="shared" si="6"/>
        <v>virginica</v>
      </c>
      <c r="G117" s="12" cm="1">
        <f t="array" ref="G117">R$7*EstymacjaGaussowska($A117,$A$2:$A$51,R$11)*EstymacjaGaussowska($B117,$B$2:$B$51,R$12)+S$7*EstymacjaGaussowska($A117,$C$52:$C$101,S$11)*EstymacjaGaussowska($B117,$D$52:$D$101,S$12)+T$7*EstymacjaGaussowska($A117,$C$102:$C$151,T$11)*EstymacjaGaussowska($B117,$D$102:$D$151,T$12)</f>
        <v>1.5812250318959439E-5</v>
      </c>
      <c r="H117" s="8" cm="1">
        <f t="array" ref="H117">R$7*EstymacjaGaussowska($A117,$A$2:$A$51,R$11)*EstymacjaGaussowska($B117,$B$2:$B$51,R$12)/$G117</f>
        <v>0</v>
      </c>
      <c r="I117" s="8" cm="1">
        <f t="array" ref="I117">S$7*EstymacjaGaussowska($A117,$A$52:$A$101,S$11)*EstymacjaGaussowska($B117,$B$52:$B$101,S$12)/$G117</f>
        <v>487.3141886356704</v>
      </c>
      <c r="J117" s="114" cm="1">
        <f t="array" ref="J117">T$7*EstymacjaGaussowska($A117,$A$102:$A$151,T$11)*EstymacjaGaussowska($B117,$B$102:$B$151,T$12)/$G117</f>
        <v>8665.2091837131429</v>
      </c>
      <c r="K117" s="19" t="str">
        <f t="shared" si="7"/>
        <v>virginica</v>
      </c>
      <c r="L117" s="12" cm="1">
        <f t="array" ref="L117">R$7*EstymacjaGaussowska($C117,$C$2:$C$51,R$11)*EstymacjaGaussowska($D117,$D$2:$D$51,R$12)*EstymacjaGaussowska($A117,$A$2:$A$51,R$15)*EstymacjaGaussowska($B117,$B$2:$B$51,R$16)+S$7*EstymacjaGaussowska($C117,$C$52:$C$101,S$11)*EstymacjaGaussowska($D117,$D$52:$D$101,S$12)*EstymacjaGaussowska($A117,$A$52:$A$101,S$15)*EstymacjaGaussowska($B117,$B$52:$B$101,S$16)+T$7*EstymacjaGaussowska($C117,$C$102:$C$151,T$11)*EstymacjaGaussowska($D117,$D$102:$D$151,T$12)*EstymacjaGaussowska($A117,$A$102:$A$151,T$15)*EstymacjaGaussowska($B117,$B$102:$B$151,T$16)</f>
        <v>0.10472688702598225</v>
      </c>
      <c r="M117" s="8" cm="1">
        <f t="array" ref="M117">R$7*EstymacjaGaussowska($C117,$C$2:$C$51,R$11)*EstymacjaGaussowska($D117,$D$2:$D$51,R$12)*EstymacjaGaussowska($A117,$A$2:$A$51,R$15)*EstymacjaGaussowska($B117,$B$2:$B$51,R$16)/$L$2</f>
        <v>0</v>
      </c>
      <c r="N117" s="8" cm="1">
        <f t="array" ref="N117">S$7*EstymacjaGaussowska($C117,$C$52:$C$101,S$11)*EstymacjaGaussowska($D117,$D$52:$D$101,S$12)*EstymacjaGaussowska($A117,$A$52:$A$101,S$15)*EstymacjaGaussowska($B117,$B$52:$B$101,S$16)/$L$2</f>
        <v>3.4189749995806806E-5</v>
      </c>
      <c r="O117" s="34" cm="1">
        <f t="array" ref="O117">T$7*EstymacjaGaussowska($C117,$C$102:$C$151,T$11)*EstymacjaGaussowska($D117,$D$102:$D$151,T$12)*EstymacjaGaussowska($A117,$A$102:$A$151,T$15)*EstymacjaGaussowska($B117,$B$102:$B$151,T$16)/$L$2</f>
        <v>5.5725000101767744E-2</v>
      </c>
    </row>
    <row r="118" spans="1:15" x14ac:dyDescent="0.25">
      <c r="A118" s="25">
        <v>1.9496890593990683</v>
      </c>
      <c r="B118" s="8">
        <v>4.1943259663210913E-2</v>
      </c>
      <c r="C118" s="8">
        <v>-4.418616763012212E-2</v>
      </c>
      <c r="D118" s="13">
        <v>-0.15768190728558018</v>
      </c>
      <c r="E118" s="25" t="s">
        <v>7</v>
      </c>
      <c r="F118" s="19" t="str">
        <f t="shared" si="6"/>
        <v>virginica</v>
      </c>
      <c r="G118" s="12" cm="1">
        <f t="array" ref="G118">R$7*EstymacjaGaussowska($A118,$A$2:$A$51,R$11)*EstymacjaGaussowska($B118,$B$2:$B$51,R$12)+S$7*EstymacjaGaussowska($A118,$C$52:$C$101,S$11)*EstymacjaGaussowska($B118,$D$52:$D$101,S$12)+T$7*EstymacjaGaussowska($A118,$C$102:$C$151,T$11)*EstymacjaGaussowska($B118,$D$102:$D$151,T$12)</f>
        <v>9.4400545554629129E-6</v>
      </c>
      <c r="H118" s="8" cm="1">
        <f t="array" ref="H118">R$7*EstymacjaGaussowska($A118,$A$2:$A$51,R$11)*EstymacjaGaussowska($B118,$B$2:$B$51,R$12)/$G118</f>
        <v>0</v>
      </c>
      <c r="I118" s="8" cm="1">
        <f t="array" ref="I118">S$7*EstymacjaGaussowska($A118,$A$52:$A$101,S$11)*EstymacjaGaussowska($B118,$B$52:$B$101,S$12)/$G118</f>
        <v>667.40515999268882</v>
      </c>
      <c r="J118" s="114" cm="1">
        <f t="array" ref="J118">T$7*EstymacjaGaussowska($A118,$A$102:$A$151,T$11)*EstymacjaGaussowska($B118,$B$102:$B$151,T$12)/$G118</f>
        <v>14248.323681857462</v>
      </c>
      <c r="K118" s="19" t="str">
        <f t="shared" si="7"/>
        <v>virginica</v>
      </c>
      <c r="L118" s="12" cm="1">
        <f t="array" ref="L118">R$7*EstymacjaGaussowska($C118,$C$2:$C$51,R$11)*EstymacjaGaussowska($D118,$D$2:$D$51,R$12)*EstymacjaGaussowska($A118,$A$2:$A$51,R$15)*EstymacjaGaussowska($B118,$B$2:$B$51,R$16)+S$7*EstymacjaGaussowska($C118,$C$52:$C$101,S$11)*EstymacjaGaussowska($D118,$D$52:$D$101,S$12)*EstymacjaGaussowska($A118,$A$52:$A$101,S$15)*EstymacjaGaussowska($B118,$B$52:$B$101,S$16)+T$7*EstymacjaGaussowska($C118,$C$102:$C$151,T$11)*EstymacjaGaussowska($D118,$D$102:$D$151,T$12)*EstymacjaGaussowska($A118,$A$102:$A$151,T$15)*EstymacjaGaussowska($B118,$B$102:$B$151,T$16)</f>
        <v>0.11879590516671548</v>
      </c>
      <c r="M118" s="8" cm="1">
        <f t="array" ref="M118">R$7*EstymacjaGaussowska($C118,$C$2:$C$51,R$11)*EstymacjaGaussowska($D118,$D$2:$D$51,R$12)*EstymacjaGaussowska($A118,$A$2:$A$51,R$15)*EstymacjaGaussowska($B118,$B$2:$B$51,R$16)/$L$2</f>
        <v>0</v>
      </c>
      <c r="N118" s="8" cm="1">
        <f t="array" ref="N118">S$7*EstymacjaGaussowska($C118,$C$52:$C$101,S$11)*EstymacjaGaussowska($D118,$D$52:$D$101,S$12)*EstymacjaGaussowska($A118,$A$52:$A$101,S$15)*EstymacjaGaussowska($B118,$B$52:$B$101,S$16)/$L$2</f>
        <v>4.8338641263547909E-5</v>
      </c>
      <c r="O118" s="34" cm="1">
        <f t="array" ref="O118">T$7*EstymacjaGaussowska($C118,$C$102:$C$151,T$11)*EstymacjaGaussowska($D118,$D$102:$D$151,T$12)*EstymacjaGaussowska($A118,$A$102:$A$151,T$15)*EstymacjaGaussowska($B118,$B$102:$B$151,T$16)/$L$2</f>
        <v>6.3201545107879245E-2</v>
      </c>
    </row>
    <row r="119" spans="1:15" x14ac:dyDescent="0.25">
      <c r="A119" s="25">
        <v>3.4870553642902777</v>
      </c>
      <c r="B119" s="8">
        <v>1.1757393297134286</v>
      </c>
      <c r="C119" s="8">
        <v>-0.13389487393609856</v>
      </c>
      <c r="D119" s="13">
        <v>-0.30921957302165748</v>
      </c>
      <c r="E119" s="25" t="s">
        <v>7</v>
      </c>
      <c r="F119" s="19" t="str">
        <f t="shared" si="6"/>
        <v>virginica</v>
      </c>
      <c r="G119" s="12" cm="1">
        <f t="array" ref="G119">R$7*EstymacjaGaussowska($A119,$A$2:$A$51,R$11)*EstymacjaGaussowska($B119,$B$2:$B$51,R$12)+S$7*EstymacjaGaussowska($A119,$C$52:$C$101,S$11)*EstymacjaGaussowska($B119,$D$52:$D$101,S$12)+T$7*EstymacjaGaussowska($A119,$C$102:$C$151,T$11)*EstymacjaGaussowska($B119,$D$102:$D$151,T$12)</f>
        <v>1.9051388933523449E-21</v>
      </c>
      <c r="H119" s="8" cm="1">
        <f t="array" ref="H119">R$7*EstymacjaGaussowska($A119,$A$2:$A$51,R$11)*EstymacjaGaussowska($B119,$B$2:$B$51,R$12)/$G119</f>
        <v>0</v>
      </c>
      <c r="I119" s="8" cm="1">
        <f t="array" ref="I119">S$7*EstymacjaGaussowska($A119,$A$52:$A$101,S$11)*EstymacjaGaussowska($B119,$B$52:$B$101,S$12)/$G119</f>
        <v>3238364.047576264</v>
      </c>
      <c r="J119" s="114" cm="1">
        <f t="array" ref="J119">T$7*EstymacjaGaussowska($A119,$A$102:$A$151,T$11)*EstymacjaGaussowska($B119,$B$102:$B$151,T$12)/$G119</f>
        <v>1.7169676152039409E+18</v>
      </c>
      <c r="K119" s="19" t="str">
        <f t="shared" si="7"/>
        <v>virginica</v>
      </c>
      <c r="L119" s="12" cm="1">
        <f t="array" ref="L119">R$7*EstymacjaGaussowska($C119,$C$2:$C$51,R$11)*EstymacjaGaussowska($D119,$D$2:$D$51,R$12)*EstymacjaGaussowska($A119,$A$2:$A$51,R$15)*EstymacjaGaussowska($B119,$B$2:$B$51,R$16)+S$7*EstymacjaGaussowska($C119,$C$52:$C$101,S$11)*EstymacjaGaussowska($D119,$D$52:$D$101,S$12)*EstymacjaGaussowska($A119,$A$52:$A$101,S$15)*EstymacjaGaussowska($B119,$B$52:$B$101,S$16)+T$7*EstymacjaGaussowska($C119,$C$102:$C$151,T$11)*EstymacjaGaussowska($D119,$D$102:$D$151,T$12)*EstymacjaGaussowska($A119,$A$102:$A$151,T$15)*EstymacjaGaussowska($B119,$B$102:$B$151,T$16)</f>
        <v>2.9362516252988162E-3</v>
      </c>
      <c r="M119" s="8" cm="1">
        <f t="array" ref="M119">R$7*EstymacjaGaussowska($C119,$C$2:$C$51,R$11)*EstymacjaGaussowska($D119,$D$2:$D$51,R$12)*EstymacjaGaussowska($A119,$A$2:$A$51,R$15)*EstymacjaGaussowska($B119,$B$2:$B$51,R$16)/$L$2</f>
        <v>0</v>
      </c>
      <c r="N119" s="8" cm="1">
        <f t="array" ref="N119">S$7*EstymacjaGaussowska($C119,$C$52:$C$101,S$11)*EstymacjaGaussowska($D119,$D$52:$D$101,S$12)*EstymacjaGaussowska($A119,$A$52:$A$101,S$15)*EstymacjaGaussowska($B119,$B$52:$B$101,S$16)/$L$2</f>
        <v>4.5576846164225481E-68</v>
      </c>
      <c r="O119" s="34" cm="1">
        <f t="array" ref="O119">T$7*EstymacjaGaussowska($C119,$C$102:$C$151,T$11)*EstymacjaGaussowska($D119,$D$102:$D$151,T$12)*EstymacjaGaussowska($A119,$A$102:$A$151,T$15)*EstymacjaGaussowska($B119,$B$102:$B$151,T$16)/$L$2</f>
        <v>1.5633331274992168E-3</v>
      </c>
    </row>
    <row r="120" spans="1:15" x14ac:dyDescent="0.25">
      <c r="A120" s="25">
        <v>3.7956454220728828</v>
      </c>
      <c r="B120" s="8">
        <v>0.25732297342047955</v>
      </c>
      <c r="C120" s="8">
        <v>0.51376776381780465</v>
      </c>
      <c r="D120" s="13">
        <v>5.384609650517691E-2</v>
      </c>
      <c r="E120" s="25" t="s">
        <v>7</v>
      </c>
      <c r="F120" s="19" t="str">
        <f t="shared" si="6"/>
        <v>virginica</v>
      </c>
      <c r="G120" s="12" cm="1">
        <f t="array" ref="G120">R$7*EstymacjaGaussowska($A120,$A$2:$A$51,R$11)*EstymacjaGaussowska($B120,$B$2:$B$51,R$12)+S$7*EstymacjaGaussowska($A120,$C$52:$C$101,S$11)*EstymacjaGaussowska($B120,$D$52:$D$101,S$12)+T$7*EstymacjaGaussowska($A120,$C$102:$C$151,T$11)*EstymacjaGaussowska($B120,$D$102:$D$151,T$12)</f>
        <v>5.7530010848274298E-22</v>
      </c>
      <c r="H120" s="8" cm="1">
        <f t="array" ref="H120">R$7*EstymacjaGaussowska($A120,$A$2:$A$51,R$11)*EstymacjaGaussowska($B120,$B$2:$B$51,R$12)/$G120</f>
        <v>0</v>
      </c>
      <c r="I120" s="8" cm="1">
        <f t="array" ref="I120">S$7*EstymacjaGaussowska($A120,$A$52:$A$101,S$11)*EstymacjaGaussowska($B120,$B$52:$B$101,S$12)/$G120</f>
        <v>815665.41629876231</v>
      </c>
      <c r="J120" s="114" cm="1">
        <f t="array" ref="J120">T$7*EstymacjaGaussowska($A120,$A$102:$A$151,T$11)*EstymacjaGaussowska($B120,$B$102:$B$151,T$12)/$G120</f>
        <v>3.5376803087233151E+19</v>
      </c>
      <c r="K120" s="19" t="str">
        <f t="shared" si="7"/>
        <v>virginica</v>
      </c>
      <c r="L120" s="12" cm="1">
        <f t="array" ref="L120">R$7*EstymacjaGaussowska($C120,$C$2:$C$51,R$11)*EstymacjaGaussowska($D120,$D$2:$D$51,R$12)*EstymacjaGaussowska($A120,$A$2:$A$51,R$15)*EstymacjaGaussowska($B120,$B$2:$B$51,R$16)+S$7*EstymacjaGaussowska($C120,$C$52:$C$101,S$11)*EstymacjaGaussowska($D120,$D$52:$D$101,S$12)*EstymacjaGaussowska($A120,$A$52:$A$101,S$15)*EstymacjaGaussowska($B120,$B$52:$B$101,S$16)+T$7*EstymacjaGaussowska($C120,$C$102:$C$151,T$11)*EstymacjaGaussowska($D120,$D$102:$D$151,T$12)*EstymacjaGaussowska($A120,$A$102:$A$151,T$15)*EstymacjaGaussowska($B120,$B$102:$B$151,T$16)</f>
        <v>1.0812410834512204E-2</v>
      </c>
      <c r="M120" s="8" cm="1">
        <f t="array" ref="M120">R$7*EstymacjaGaussowska($C120,$C$2:$C$51,R$11)*EstymacjaGaussowska($D120,$D$2:$D$51,R$12)*EstymacjaGaussowska($A120,$A$2:$A$51,R$15)*EstymacjaGaussowska($B120,$B$2:$B$51,R$16)/$L$2</f>
        <v>0</v>
      </c>
      <c r="N120" s="8" cm="1">
        <f t="array" ref="N120">S$7*EstymacjaGaussowska($C120,$C$52:$C$101,S$11)*EstymacjaGaussowska($D120,$D$52:$D$101,S$12)*EstymacjaGaussowska($A120,$A$52:$A$101,S$15)*EstymacjaGaussowska($B120,$B$52:$B$101,S$16)/$L$2</f>
        <v>6.3778493714856213E-71</v>
      </c>
      <c r="O120" s="34" cm="1">
        <f t="array" ref="O120">T$7*EstymacjaGaussowska($C120,$C$102:$C$151,T$11)*EstymacjaGaussowska($D120,$D$102:$D$151,T$12)*EstymacjaGaussowska($A120,$A$102:$A$151,T$15)*EstymacjaGaussowska($B120,$B$102:$B$151,T$16)/$L$2</f>
        <v>5.7567954667387053E-3</v>
      </c>
    </row>
    <row r="121" spans="1:15" x14ac:dyDescent="0.25">
      <c r="A121" s="25">
        <v>1.3007917126376565</v>
      </c>
      <c r="B121" s="8">
        <v>-0.76114963643506361</v>
      </c>
      <c r="C121" s="8">
        <v>0.3449950383134181</v>
      </c>
      <c r="D121" s="13">
        <v>-4.5824754886559543E-2</v>
      </c>
      <c r="E121" s="25" t="s">
        <v>7</v>
      </c>
      <c r="F121" s="19" t="str">
        <f t="shared" si="6"/>
        <v>versicolor</v>
      </c>
      <c r="G121" s="12" cm="1">
        <f t="array" ref="G121">R$7*EstymacjaGaussowska($A121,$A$2:$A$51,R$11)*EstymacjaGaussowska($B121,$B$2:$B$51,R$12)+S$7*EstymacjaGaussowska($A121,$C$52:$C$101,S$11)*EstymacjaGaussowska($B121,$D$52:$D$101,S$12)+T$7*EstymacjaGaussowska($A121,$C$102:$C$151,T$11)*EstymacjaGaussowska($B121,$D$102:$D$151,T$12)</f>
        <v>2.1585226425368165E-4</v>
      </c>
      <c r="H121" s="8" cm="1">
        <f t="array" ref="H121">R$7*EstymacjaGaussowska($A121,$A$2:$A$51,R$11)*EstymacjaGaussowska($B121,$B$2:$B$51,R$12)/$G121</f>
        <v>1.3573646100166135E-230</v>
      </c>
      <c r="I121" s="8" cm="1">
        <f t="array" ref="I121">S$7*EstymacjaGaussowska($A121,$A$52:$A$101,S$11)*EstymacjaGaussowska($B121,$B$52:$B$101,S$12)/$G121</f>
        <v>279.8030022644532</v>
      </c>
      <c r="J121" s="114" cm="1">
        <f t="array" ref="J121">T$7*EstymacjaGaussowska($A121,$A$102:$A$151,T$11)*EstymacjaGaussowska($B121,$B$102:$B$151,T$12)/$G121</f>
        <v>124.66251219874388</v>
      </c>
      <c r="K121" s="19" t="str">
        <f t="shared" si="7"/>
        <v>versicolor</v>
      </c>
      <c r="L121" s="12" cm="1">
        <f t="array" ref="L121">R$7*EstymacjaGaussowska($C121,$C$2:$C$51,R$11)*EstymacjaGaussowska($D121,$D$2:$D$51,R$12)*EstymacjaGaussowska($A121,$A$2:$A$51,R$15)*EstymacjaGaussowska($B121,$B$2:$B$51,R$16)+S$7*EstymacjaGaussowska($C121,$C$52:$C$101,S$11)*EstymacjaGaussowska($D121,$D$52:$D$101,S$12)*EstymacjaGaussowska($A121,$A$52:$A$101,S$15)*EstymacjaGaussowska($B121,$B$52:$B$101,S$16)+T$7*EstymacjaGaussowska($C121,$C$102:$C$151,T$11)*EstymacjaGaussowska($D121,$D$102:$D$151,T$12)*EstymacjaGaussowska($A121,$A$102:$A$151,T$15)*EstymacjaGaussowska($B121,$B$102:$B$151,T$16)</f>
        <v>0.12901427024076403</v>
      </c>
      <c r="M121" s="8" cm="1">
        <f t="array" ref="M121">R$7*EstymacjaGaussowska($C121,$C$2:$C$51,R$11)*EstymacjaGaussowska($D121,$D$2:$D$51,R$12)*EstymacjaGaussowska($A121,$A$2:$A$51,R$15)*EstymacjaGaussowska($B121,$B$2:$B$51,R$16)/$L$2</f>
        <v>0</v>
      </c>
      <c r="N121" s="8" cm="1">
        <f t="array" ref="N121">S$7*EstymacjaGaussowska($C121,$C$52:$C$101,S$11)*EstymacjaGaussowska($D121,$D$52:$D$101,S$12)*EstymacjaGaussowska($A121,$A$52:$A$101,S$15)*EstymacjaGaussowska($B121,$B$52:$B$101,S$16)/$L$2</f>
        <v>5.5856079601288619E-2</v>
      </c>
      <c r="O121" s="34" cm="1">
        <f t="array" ref="O121">T$7*EstymacjaGaussowska($C121,$C$102:$C$151,T$11)*EstymacjaGaussowska($D121,$D$102:$D$151,T$12)*EstymacjaGaussowska($A121,$A$102:$A$151,T$15)*EstymacjaGaussowska($B121,$B$102:$B$151,T$16)/$L$2</f>
        <v>1.2834314930888772E-2</v>
      </c>
    </row>
    <row r="122" spans="1:15" x14ac:dyDescent="0.25">
      <c r="A122" s="25">
        <v>2.4278179130660447</v>
      </c>
      <c r="B122" s="8">
        <v>0.37819601261705077</v>
      </c>
      <c r="C122" s="8">
        <v>-0.21911932430194314</v>
      </c>
      <c r="D122" s="13">
        <v>0.18542926437587937</v>
      </c>
      <c r="E122" s="25" t="s">
        <v>7</v>
      </c>
      <c r="F122" s="19" t="str">
        <f t="shared" si="6"/>
        <v>virginica</v>
      </c>
      <c r="G122" s="12" cm="1">
        <f t="array" ref="G122">R$7*EstymacjaGaussowska($A122,$A$2:$A$51,R$11)*EstymacjaGaussowska($B122,$B$2:$B$51,R$12)+S$7*EstymacjaGaussowska($A122,$C$52:$C$101,S$11)*EstymacjaGaussowska($B122,$D$52:$D$101,S$12)+T$7*EstymacjaGaussowska($A122,$C$102:$C$151,T$11)*EstymacjaGaussowska($B122,$D$102:$D$151,T$12)</f>
        <v>4.3882937097006848E-9</v>
      </c>
      <c r="H122" s="8" cm="1">
        <f t="array" ref="H122">R$7*EstymacjaGaussowska($A122,$A$2:$A$51,R$11)*EstymacjaGaussowska($B122,$B$2:$B$51,R$12)/$G122</f>
        <v>0</v>
      </c>
      <c r="I122" s="8" cm="1">
        <f t="array" ref="I122">S$7*EstymacjaGaussowska($A122,$A$52:$A$101,S$11)*EstymacjaGaussowska($B122,$B$52:$B$101,S$12)/$G122</f>
        <v>15440.517937450622</v>
      </c>
      <c r="J122" s="114" cm="1">
        <f t="array" ref="J122">T$7*EstymacjaGaussowska($A122,$A$102:$A$151,T$11)*EstymacjaGaussowska($B122,$B$102:$B$151,T$12)/$G122</f>
        <v>23081026.521285027</v>
      </c>
      <c r="K122" s="19" t="str">
        <f t="shared" si="7"/>
        <v>virginica</v>
      </c>
      <c r="L122" s="12" cm="1">
        <f t="array" ref="L122">R$7*EstymacjaGaussowska($C122,$C$2:$C$51,R$11)*EstymacjaGaussowska($D122,$D$2:$D$51,R$12)*EstymacjaGaussowska($A122,$A$2:$A$51,R$15)*EstymacjaGaussowska($B122,$B$2:$B$51,R$16)+S$7*EstymacjaGaussowska($C122,$C$52:$C$101,S$11)*EstymacjaGaussowska($D122,$D$52:$D$101,S$12)*EstymacjaGaussowska($A122,$A$52:$A$101,S$15)*EstymacjaGaussowska($B122,$B$52:$B$101,S$16)+T$7*EstymacjaGaussowska($C122,$C$102:$C$151,T$11)*EstymacjaGaussowska($D122,$D$102:$D$151,T$12)*EstymacjaGaussowska($A122,$A$102:$A$151,T$15)*EstymacjaGaussowska($B122,$B$102:$B$151,T$16)</f>
        <v>0.13741144828289656</v>
      </c>
      <c r="M122" s="8" cm="1">
        <f t="array" ref="M122">R$7*EstymacjaGaussowska($C122,$C$2:$C$51,R$11)*EstymacjaGaussowska($D122,$D$2:$D$51,R$12)*EstymacjaGaussowska($A122,$A$2:$A$51,R$15)*EstymacjaGaussowska($B122,$B$2:$B$51,R$16)/$L$2</f>
        <v>0</v>
      </c>
      <c r="N122" s="8" cm="1">
        <f t="array" ref="N122">S$7*EstymacjaGaussowska($C122,$C$52:$C$101,S$11)*EstymacjaGaussowska($D122,$D$52:$D$101,S$12)*EstymacjaGaussowska($A122,$A$52:$A$101,S$15)*EstymacjaGaussowska($B122,$B$52:$B$101,S$16)/$L$2</f>
        <v>1.9589811936628366E-13</v>
      </c>
      <c r="O122" s="34" cm="1">
        <f t="array" ref="O122">T$7*EstymacjaGaussowska($C122,$C$102:$C$151,T$11)*EstymacjaGaussowska($D122,$D$102:$D$151,T$12)*EstymacjaGaussowska($A122,$A$102:$A$151,T$15)*EstymacjaGaussowska($B122,$B$102:$B$151,T$16)/$L$2</f>
        <v>7.3161260209046494E-2</v>
      </c>
    </row>
    <row r="123" spans="1:15" x14ac:dyDescent="0.25">
      <c r="A123" s="25">
        <v>1.1990011054655598</v>
      </c>
      <c r="B123" s="8">
        <v>-0.60609152775793085</v>
      </c>
      <c r="C123" s="8">
        <v>-0.51185550869700092</v>
      </c>
      <c r="D123" s="13">
        <v>6.0959117083657754E-2</v>
      </c>
      <c r="E123" s="25" t="s">
        <v>7</v>
      </c>
      <c r="F123" s="19" t="str">
        <f t="shared" si="6"/>
        <v>versicolor</v>
      </c>
      <c r="G123" s="12" cm="1">
        <f t="array" ref="G123">R$7*EstymacjaGaussowska($A123,$A$2:$A$51,R$11)*EstymacjaGaussowska($B123,$B$2:$B$51,R$12)+S$7*EstymacjaGaussowska($A123,$C$52:$C$101,S$11)*EstymacjaGaussowska($B123,$D$52:$D$101,S$12)+T$7*EstymacjaGaussowska($A123,$C$102:$C$151,T$11)*EstymacjaGaussowska($B123,$D$102:$D$151,T$12)</f>
        <v>1.6538691060709826E-3</v>
      </c>
      <c r="H123" s="8" cm="1">
        <f t="array" ref="H123">R$7*EstymacjaGaussowska($A123,$A$2:$A$51,R$11)*EstymacjaGaussowska($B123,$B$2:$B$51,R$12)/$G123</f>
        <v>5.7601019398381922E-218</v>
      </c>
      <c r="I123" s="8" cm="1">
        <f t="array" ref="I123">S$7*EstymacjaGaussowska($A123,$A$52:$A$101,S$11)*EstymacjaGaussowska($B123,$B$52:$B$101,S$12)/$G123</f>
        <v>60.505227777391042</v>
      </c>
      <c r="J123" s="114" cm="1">
        <f t="array" ref="J123">T$7*EstymacjaGaussowska($A123,$A$102:$A$151,T$11)*EstymacjaGaussowska($B123,$B$102:$B$151,T$12)/$G123</f>
        <v>20.565561696372939</v>
      </c>
      <c r="K123" s="19" t="str">
        <f t="shared" si="7"/>
        <v>versicolor</v>
      </c>
      <c r="L123" s="12" cm="1">
        <f t="array" ref="L123">R$7*EstymacjaGaussowska($C123,$C$2:$C$51,R$11)*EstymacjaGaussowska($D123,$D$2:$D$51,R$12)*EstymacjaGaussowska($A123,$A$2:$A$51,R$15)*EstymacjaGaussowska($B123,$B$2:$B$51,R$16)+S$7*EstymacjaGaussowska($C123,$C$52:$C$101,S$11)*EstymacjaGaussowska($D123,$D$52:$D$101,S$12)*EstymacjaGaussowska($A123,$A$52:$A$101,S$15)*EstymacjaGaussowska($B123,$B$52:$B$101,S$16)+T$7*EstymacjaGaussowska($C123,$C$102:$C$151,T$11)*EstymacjaGaussowska($D123,$D$102:$D$151,T$12)*EstymacjaGaussowska($A123,$A$102:$A$151,T$15)*EstymacjaGaussowska($B123,$B$102:$B$151,T$16)</f>
        <v>7.6557126699410546E-2</v>
      </c>
      <c r="M123" s="8" cm="1">
        <f t="array" ref="M123">R$7*EstymacjaGaussowska($C123,$C$2:$C$51,R$11)*EstymacjaGaussowska($D123,$D$2:$D$51,R$12)*EstymacjaGaussowska($A123,$A$2:$A$51,R$15)*EstymacjaGaussowska($B123,$B$2:$B$51,R$16)/$L$2</f>
        <v>0</v>
      </c>
      <c r="N123" s="8" cm="1">
        <f t="array" ref="N123">S$7*EstymacjaGaussowska($C123,$C$52:$C$101,S$11)*EstymacjaGaussowska($D123,$D$52:$D$101,S$12)*EstymacjaGaussowska($A123,$A$52:$A$101,S$15)*EstymacjaGaussowska($B123,$B$52:$B$101,S$16)/$L$2</f>
        <v>2.0515127940696938E-2</v>
      </c>
      <c r="O123" s="34" cm="1">
        <f t="array" ref="O123">T$7*EstymacjaGaussowska($C123,$C$102:$C$151,T$11)*EstymacjaGaussowska($D123,$D$102:$D$151,T$12)*EstymacjaGaussowska($A123,$A$102:$A$151,T$15)*EstymacjaGaussowska($B123,$B$102:$B$151,T$16)/$L$2</f>
        <v>2.0245783448552022E-2</v>
      </c>
    </row>
    <row r="124" spans="1:15" x14ac:dyDescent="0.25">
      <c r="A124" s="25">
        <v>3.4999200389245364</v>
      </c>
      <c r="B124" s="8">
        <v>0.46067409891189487</v>
      </c>
      <c r="C124" s="8">
        <v>0.57318224256800265</v>
      </c>
      <c r="D124" s="13">
        <v>-0.14022795440833569</v>
      </c>
      <c r="E124" s="25" t="s">
        <v>7</v>
      </c>
      <c r="F124" s="19" t="str">
        <f t="shared" si="6"/>
        <v>virginica</v>
      </c>
      <c r="G124" s="12" cm="1">
        <f t="array" ref="G124">R$7*EstymacjaGaussowska($A124,$A$2:$A$51,R$11)*EstymacjaGaussowska($B124,$B$2:$B$51,R$12)+S$7*EstymacjaGaussowska($A124,$C$52:$C$101,S$11)*EstymacjaGaussowska($B124,$D$52:$D$101,S$12)+T$7*EstymacjaGaussowska($A124,$C$102:$C$151,T$11)*EstymacjaGaussowska($B124,$D$102:$D$151,T$12)</f>
        <v>6.8891887494263028E-19</v>
      </c>
      <c r="H124" s="8" cm="1">
        <f t="array" ref="H124">R$7*EstymacjaGaussowska($A124,$A$2:$A$51,R$11)*EstymacjaGaussowska($B124,$B$2:$B$51,R$12)/$G124</f>
        <v>0</v>
      </c>
      <c r="I124" s="8" cm="1">
        <f t="array" ref="I124">S$7*EstymacjaGaussowska($A124,$A$52:$A$101,S$11)*EstymacjaGaussowska($B124,$B$52:$B$101,S$12)/$G124</f>
        <v>798509.48539940419</v>
      </c>
      <c r="J124" s="114" cm="1">
        <f t="array" ref="J124">T$7*EstymacjaGaussowska($A124,$A$102:$A$151,T$11)*EstymacjaGaussowska($B124,$B$102:$B$151,T$12)/$G124</f>
        <v>3.894086995629716E+16</v>
      </c>
      <c r="K124" s="19" t="str">
        <f t="shared" si="7"/>
        <v>virginica</v>
      </c>
      <c r="L124" s="12" cm="1">
        <f t="array" ref="L124">R$7*EstymacjaGaussowska($C124,$C$2:$C$51,R$11)*EstymacjaGaussowska($D124,$D$2:$D$51,R$12)*EstymacjaGaussowska($A124,$A$2:$A$51,R$15)*EstymacjaGaussowska($B124,$B$2:$B$51,R$16)+S$7*EstymacjaGaussowska($C124,$C$52:$C$101,S$11)*EstymacjaGaussowska($D124,$D$52:$D$101,S$12)*EstymacjaGaussowska($A124,$A$52:$A$101,S$15)*EstymacjaGaussowska($B124,$B$52:$B$101,S$16)+T$7*EstymacjaGaussowska($C124,$C$102:$C$151,T$11)*EstymacjaGaussowska($D124,$D$102:$D$151,T$12)*EstymacjaGaussowska($A124,$A$102:$A$151,T$15)*EstymacjaGaussowska($B124,$B$102:$B$151,T$16)</f>
        <v>1.3214733258815316E-2</v>
      </c>
      <c r="M124" s="8" cm="1">
        <f t="array" ref="M124">R$7*EstymacjaGaussowska($C124,$C$2:$C$51,R$11)*EstymacjaGaussowska($D124,$D$2:$D$51,R$12)*EstymacjaGaussowska($A124,$A$2:$A$51,R$15)*EstymacjaGaussowska($B124,$B$2:$B$51,R$16)/$L$2</f>
        <v>0</v>
      </c>
      <c r="N124" s="8" cm="1">
        <f t="array" ref="N124">S$7*EstymacjaGaussowska($C124,$C$52:$C$101,S$11)*EstymacjaGaussowska($D124,$D$52:$D$101,S$12)*EstymacjaGaussowska($A124,$A$52:$A$101,S$15)*EstymacjaGaussowska($B124,$B$52:$B$101,S$16)/$L$2</f>
        <v>1.4787489573308223E-54</v>
      </c>
      <c r="O124" s="34" cm="1">
        <f t="array" ref="O124">T$7*EstymacjaGaussowska($C124,$C$102:$C$151,T$11)*EstymacjaGaussowska($D124,$D$102:$D$151,T$12)*EstymacjaGaussowska($A124,$A$102:$A$151,T$15)*EstymacjaGaussowska($B124,$B$102:$B$151,T$16)/$L$2</f>
        <v>7.0358514565212844E-3</v>
      </c>
    </row>
    <row r="125" spans="1:15" x14ac:dyDescent="0.25">
      <c r="A125" s="25">
        <v>1.3887661316914643</v>
      </c>
      <c r="B125" s="8">
        <v>-0.20439932735215086</v>
      </c>
      <c r="C125" s="8">
        <v>6.4522756631268496E-2</v>
      </c>
      <c r="D125" s="13">
        <v>0.16304097743024432</v>
      </c>
      <c r="E125" s="25" t="s">
        <v>7</v>
      </c>
      <c r="F125" s="19" t="str">
        <f t="shared" si="6"/>
        <v>virginica</v>
      </c>
      <c r="G125" s="12" cm="1">
        <f t="array" ref="G125">R$7*EstymacjaGaussowska($A125,$A$2:$A$51,R$11)*EstymacjaGaussowska($B125,$B$2:$B$51,R$12)+S$7*EstymacjaGaussowska($A125,$C$52:$C$101,S$11)*EstymacjaGaussowska($B125,$D$52:$D$101,S$12)+T$7*EstymacjaGaussowska($A125,$C$102:$C$151,T$11)*EstymacjaGaussowska($B125,$D$102:$D$151,T$12)</f>
        <v>3.0607893588706176E-3</v>
      </c>
      <c r="H125" s="8" cm="1">
        <f t="array" ref="H125">R$7*EstymacjaGaussowska($A125,$A$2:$A$51,R$11)*EstymacjaGaussowska($B125,$B$2:$B$51,R$12)/$G125</f>
        <v>9.2973537405103709E-243</v>
      </c>
      <c r="I125" s="8" cm="1">
        <f t="array" ref="I125">S$7*EstymacjaGaussowska($A125,$A$52:$A$101,S$11)*EstymacjaGaussowska($B125,$B$52:$B$101,S$12)/$G125</f>
        <v>27.745674943630142</v>
      </c>
      <c r="J125" s="114" cm="1">
        <f t="array" ref="J125">T$7*EstymacjaGaussowska($A125,$A$102:$A$151,T$11)*EstymacjaGaussowska($B125,$B$102:$B$151,T$12)/$G125</f>
        <v>28.500599229230843</v>
      </c>
      <c r="K125" s="19" t="str">
        <f t="shared" si="7"/>
        <v>virginica</v>
      </c>
      <c r="L125" s="12" cm="1">
        <f t="array" ref="L125">R$7*EstymacjaGaussowska($C125,$C$2:$C$51,R$11)*EstymacjaGaussowska($D125,$D$2:$D$51,R$12)*EstymacjaGaussowska($A125,$A$2:$A$51,R$15)*EstymacjaGaussowska($B125,$B$2:$B$51,R$16)+S$7*EstymacjaGaussowska($C125,$C$52:$C$101,S$11)*EstymacjaGaussowska($D125,$D$52:$D$101,S$12)*EstymacjaGaussowska($A125,$A$52:$A$101,S$15)*EstymacjaGaussowska($B125,$B$52:$B$101,S$16)+T$7*EstymacjaGaussowska($C125,$C$102:$C$151,T$11)*EstymacjaGaussowska($D125,$D$102:$D$151,T$12)*EstymacjaGaussowska($A125,$A$102:$A$151,T$15)*EstymacjaGaussowska($B125,$B$102:$B$151,T$16)</f>
        <v>0.24493932231683155</v>
      </c>
      <c r="M125" s="8" cm="1">
        <f t="array" ref="M125">R$7*EstymacjaGaussowska($C125,$C$2:$C$51,R$11)*EstymacjaGaussowska($D125,$D$2:$D$51,R$12)*EstymacjaGaussowska($A125,$A$2:$A$51,R$15)*EstymacjaGaussowska($B125,$B$2:$B$51,R$16)/$L$2</f>
        <v>0</v>
      </c>
      <c r="N125" s="8" cm="1">
        <f t="array" ref="N125">S$7*EstymacjaGaussowska($C125,$C$52:$C$101,S$11)*EstymacjaGaussowska($D125,$D$52:$D$101,S$12)*EstymacjaGaussowska($A125,$A$52:$A$101,S$15)*EstymacjaGaussowska($B125,$B$52:$B$101,S$16)/$L$2</f>
        <v>5.7632243849380663E-2</v>
      </c>
      <c r="O125" s="34" cm="1">
        <f t="array" ref="O125">T$7*EstymacjaGaussowska($C125,$C$102:$C$151,T$11)*EstymacjaGaussowska($D125,$D$102:$D$151,T$12)*EstymacjaGaussowska($A125,$A$102:$A$151,T$15)*EstymacjaGaussowska($B125,$B$102:$B$151,T$16)/$L$2</f>
        <v>7.2779521104905848E-2</v>
      </c>
    </row>
    <row r="126" spans="1:15" x14ac:dyDescent="0.25">
      <c r="A126" s="25">
        <v>2.2754305038722036</v>
      </c>
      <c r="B126" s="8">
        <v>0.334990605821677</v>
      </c>
      <c r="C126" s="8">
        <v>-0.28615009116914997</v>
      </c>
      <c r="D126" s="13">
        <v>-6.0371969624337662E-2</v>
      </c>
      <c r="E126" s="25" t="s">
        <v>7</v>
      </c>
      <c r="F126" s="19" t="str">
        <f t="shared" si="6"/>
        <v>virginica</v>
      </c>
      <c r="G126" s="12" cm="1">
        <f t="array" ref="G126">R$7*EstymacjaGaussowska($A126,$A$2:$A$51,R$11)*EstymacjaGaussowska($B126,$B$2:$B$51,R$12)+S$7*EstymacjaGaussowska($A126,$C$52:$C$101,S$11)*EstymacjaGaussowska($B126,$D$52:$D$101,S$12)+T$7*EstymacjaGaussowska($A126,$C$102:$C$151,T$11)*EstymacjaGaussowska($B126,$D$102:$D$151,T$12)</f>
        <v>5.6528815087383009E-8</v>
      </c>
      <c r="H126" s="8" cm="1">
        <f t="array" ref="H126">R$7*EstymacjaGaussowska($A126,$A$2:$A$51,R$11)*EstymacjaGaussowska($B126,$B$2:$B$51,R$12)/$G126</f>
        <v>0</v>
      </c>
      <c r="I126" s="8" cm="1">
        <f t="array" ref="I126">S$7*EstymacjaGaussowska($A126,$A$52:$A$101,S$11)*EstymacjaGaussowska($B126,$B$52:$B$101,S$12)/$G126</f>
        <v>6261.761284137594</v>
      </c>
      <c r="J126" s="114" cm="1">
        <f t="array" ref="J126">T$7*EstymacjaGaussowska($A126,$A$102:$A$151,T$11)*EstymacjaGaussowska($B126,$B$102:$B$151,T$12)/$G126</f>
        <v>2106766.0960078207</v>
      </c>
      <c r="K126" s="19" t="str">
        <f t="shared" si="7"/>
        <v>virginica</v>
      </c>
      <c r="L126" s="12" cm="1">
        <f t="array" ref="L126">R$7*EstymacjaGaussowska($C126,$C$2:$C$51,R$11)*EstymacjaGaussowska($D126,$D$2:$D$51,R$12)*EstymacjaGaussowska($A126,$A$2:$A$51,R$15)*EstymacjaGaussowska($B126,$B$2:$B$51,R$16)+S$7*EstymacjaGaussowska($C126,$C$52:$C$101,S$11)*EstymacjaGaussowska($D126,$D$52:$D$101,S$12)*EstymacjaGaussowska($A126,$A$52:$A$101,S$15)*EstymacjaGaussowska($B126,$B$52:$B$101,S$16)+T$7*EstymacjaGaussowska($C126,$C$102:$C$151,T$11)*EstymacjaGaussowska($D126,$D$102:$D$151,T$12)*EstymacjaGaussowska($A126,$A$102:$A$151,T$15)*EstymacjaGaussowska($B126,$B$102:$B$151,T$16)</f>
        <v>0.17315394169176004</v>
      </c>
      <c r="M126" s="8" cm="1">
        <f t="array" ref="M126">R$7*EstymacjaGaussowska($C126,$C$2:$C$51,R$11)*EstymacjaGaussowska($D126,$D$2:$D$51,R$12)*EstymacjaGaussowska($A126,$A$2:$A$51,R$15)*EstymacjaGaussowska($B126,$B$2:$B$51,R$16)/$L$2</f>
        <v>0</v>
      </c>
      <c r="N126" s="8" cm="1">
        <f t="array" ref="N126">S$7*EstymacjaGaussowska($C126,$C$52:$C$101,S$11)*EstymacjaGaussowska($D126,$D$52:$D$101,S$12)*EstymacjaGaussowska($A126,$A$52:$A$101,S$15)*EstymacjaGaussowska($B126,$B$52:$B$101,S$16)/$L$2</f>
        <v>6.0590904613439168E-10</v>
      </c>
      <c r="O126" s="34" cm="1">
        <f t="array" ref="O126">T$7*EstymacjaGaussowska($C126,$C$102:$C$151,T$11)*EstymacjaGaussowska($D126,$D$102:$D$151,T$12)*EstymacjaGaussowska($A126,$A$102:$A$151,T$15)*EstymacjaGaussowska($B126,$B$102:$B$151,T$16)/$L$2</f>
        <v>9.2191448816021176E-2</v>
      </c>
    </row>
    <row r="127" spans="1:15" x14ac:dyDescent="0.25">
      <c r="A127" s="25">
        <v>2.6140904738108297</v>
      </c>
      <c r="B127" s="8">
        <v>0.56090135512307726</v>
      </c>
      <c r="C127" s="8">
        <v>0.20553452435362474</v>
      </c>
      <c r="D127" s="13">
        <v>-0.24070498648334093</v>
      </c>
      <c r="E127" s="25" t="s">
        <v>7</v>
      </c>
      <c r="F127" s="19" t="str">
        <f t="shared" si="6"/>
        <v>virginica</v>
      </c>
      <c r="G127" s="12" cm="1">
        <f t="array" ref="G127">R$7*EstymacjaGaussowska($A127,$A$2:$A$51,R$11)*EstymacjaGaussowska($B127,$B$2:$B$51,R$12)+S$7*EstymacjaGaussowska($A127,$C$52:$C$101,S$11)*EstymacjaGaussowska($B127,$D$52:$D$101,S$12)+T$7*EstymacjaGaussowska($A127,$C$102:$C$151,T$11)*EstymacjaGaussowska($B127,$D$102:$D$151,T$12)</f>
        <v>7.5787372033783942E-11</v>
      </c>
      <c r="H127" s="8" cm="1">
        <f t="array" ref="H127">R$7*EstymacjaGaussowska($A127,$A$2:$A$51,R$11)*EstymacjaGaussowska($B127,$B$2:$B$51,R$12)/$G127</f>
        <v>0</v>
      </c>
      <c r="I127" s="8" cm="1">
        <f t="array" ref="I127">S$7*EstymacjaGaussowska($A127,$A$52:$A$101,S$11)*EstymacjaGaussowska($B127,$B$52:$B$101,S$12)/$G127</f>
        <v>55219.061907139847</v>
      </c>
      <c r="J127" s="114" cm="1">
        <f t="array" ref="J127">T$7*EstymacjaGaussowska($A127,$A$102:$A$151,T$11)*EstymacjaGaussowska($B127,$B$102:$B$151,T$12)/$G127</f>
        <v>745019299.98325098</v>
      </c>
      <c r="K127" s="19" t="str">
        <f t="shared" si="7"/>
        <v>virginica</v>
      </c>
      <c r="L127" s="12" cm="1">
        <f t="array" ref="L127">R$7*EstymacjaGaussowska($C127,$C$2:$C$51,R$11)*EstymacjaGaussowska($D127,$D$2:$D$51,R$12)*EstymacjaGaussowska($A127,$A$2:$A$51,R$15)*EstymacjaGaussowska($B127,$B$2:$B$51,R$16)+S$7*EstymacjaGaussowska($C127,$C$52:$C$101,S$11)*EstymacjaGaussowska($D127,$D$52:$D$101,S$12)*EstymacjaGaussowska($A127,$A$52:$A$101,S$15)*EstymacjaGaussowska($B127,$B$52:$B$101,S$16)+T$7*EstymacjaGaussowska($C127,$C$102:$C$151,T$11)*EstymacjaGaussowska($D127,$D$102:$D$151,T$12)*EstymacjaGaussowska($A127,$A$102:$A$151,T$15)*EstymacjaGaussowska($B127,$B$102:$B$151,T$16)</f>
        <v>2.5133123089117762E-2</v>
      </c>
      <c r="M127" s="8" cm="1">
        <f t="array" ref="M127">R$7*EstymacjaGaussowska($C127,$C$2:$C$51,R$11)*EstymacjaGaussowska($D127,$D$2:$D$51,R$12)*EstymacjaGaussowska($A127,$A$2:$A$51,R$15)*EstymacjaGaussowska($B127,$B$2:$B$51,R$16)/$L$2</f>
        <v>0</v>
      </c>
      <c r="N127" s="8" cm="1">
        <f t="array" ref="N127">S$7*EstymacjaGaussowska($C127,$C$52:$C$101,S$11)*EstymacjaGaussowska($D127,$D$52:$D$101,S$12)*EstymacjaGaussowska($A127,$A$52:$A$101,S$15)*EstymacjaGaussowska($B127,$B$52:$B$101,S$16)/$L$2</f>
        <v>1.2310735228508198E-18</v>
      </c>
      <c r="O127" s="34" cm="1">
        <f t="array" ref="O127">T$7*EstymacjaGaussowska($C127,$C$102:$C$151,T$11)*EstymacjaGaussowska($D127,$D$102:$D$151,T$12)*EstymacjaGaussowska($A127,$A$102:$A$151,T$15)*EstymacjaGaussowska($B127,$B$102:$B$151,T$16)/$L$2</f>
        <v>1.3381497547484416E-2</v>
      </c>
    </row>
    <row r="128" spans="1:15" x14ac:dyDescent="0.25">
      <c r="A128" s="25">
        <v>1.258508160511487</v>
      </c>
      <c r="B128" s="8">
        <v>-0.17970479472274661</v>
      </c>
      <c r="C128" s="8">
        <v>-4.5847703927249794E-2</v>
      </c>
      <c r="D128" s="13">
        <v>0.14750384647269754</v>
      </c>
      <c r="E128" s="25" t="s">
        <v>7</v>
      </c>
      <c r="F128" s="19" t="str">
        <f t="shared" si="6"/>
        <v>versicolor</v>
      </c>
      <c r="G128" s="12" cm="1">
        <f t="array" ref="G128">R$7*EstymacjaGaussowska($A128,$A$2:$A$51,R$11)*EstymacjaGaussowska($B128,$B$2:$B$51,R$12)+S$7*EstymacjaGaussowska($A128,$C$52:$C$101,S$11)*EstymacjaGaussowska($B128,$D$52:$D$101,S$12)+T$7*EstymacjaGaussowska($A128,$C$102:$C$151,T$11)*EstymacjaGaussowska($B128,$D$102:$D$151,T$12)</f>
        <v>9.4300571318597648E-3</v>
      </c>
      <c r="H128" s="8" cm="1">
        <f t="array" ref="H128">R$7*EstymacjaGaussowska($A128,$A$2:$A$51,R$11)*EstymacjaGaussowska($B128,$B$2:$B$51,R$12)/$G128</f>
        <v>6.2966012912819635E-226</v>
      </c>
      <c r="I128" s="8" cm="1">
        <f t="array" ref="I128">S$7*EstymacjaGaussowska($A128,$A$52:$A$101,S$11)*EstymacjaGaussowska($B128,$B$52:$B$101,S$12)/$G128</f>
        <v>11.347312314690079</v>
      </c>
      <c r="J128" s="114" cm="1">
        <f t="array" ref="J128">T$7*EstymacjaGaussowska($A128,$A$102:$A$151,T$11)*EstymacjaGaussowska($B128,$B$102:$B$151,T$12)/$G128</f>
        <v>8.0484889730262292</v>
      </c>
      <c r="K128" s="19" t="str">
        <f t="shared" si="7"/>
        <v>virginica</v>
      </c>
      <c r="L128" s="12" cm="1">
        <f t="array" ref="L128">R$7*EstymacjaGaussowska($C128,$C$2:$C$51,R$11)*EstymacjaGaussowska($D128,$D$2:$D$51,R$12)*EstymacjaGaussowska($A128,$A$2:$A$51,R$15)*EstymacjaGaussowska($B128,$B$2:$B$51,R$16)+S$7*EstymacjaGaussowska($C128,$C$52:$C$101,S$11)*EstymacjaGaussowska($D128,$D$52:$D$101,S$12)*EstymacjaGaussowska($A128,$A$52:$A$101,S$15)*EstymacjaGaussowska($B128,$B$52:$B$101,S$16)+T$7*EstymacjaGaussowska($C128,$C$102:$C$151,T$11)*EstymacjaGaussowska($D128,$D$102:$D$151,T$12)*EstymacjaGaussowska($A128,$A$102:$A$151,T$15)*EstymacjaGaussowska($B128,$B$102:$B$151,T$16)</f>
        <v>0.25329017617815541</v>
      </c>
      <c r="M128" s="8" cm="1">
        <f t="array" ref="M128">R$7*EstymacjaGaussowska($C128,$C$2:$C$51,R$11)*EstymacjaGaussowska($D128,$D$2:$D$51,R$12)*EstymacjaGaussowska($A128,$A$2:$A$51,R$15)*EstymacjaGaussowska($B128,$B$2:$B$51,R$16)/$L$2</f>
        <v>0</v>
      </c>
      <c r="N128" s="8" cm="1">
        <f t="array" ref="N128">S$7*EstymacjaGaussowska($C128,$C$52:$C$101,S$11)*EstymacjaGaussowska($D128,$D$52:$D$101,S$12)*EstymacjaGaussowska($A128,$A$52:$A$101,S$15)*EstymacjaGaussowska($B128,$B$52:$B$101,S$16)/$L$2</f>
        <v>6.6007158133681229E-2</v>
      </c>
      <c r="O128" s="34" cm="1">
        <f t="array" ref="O128">T$7*EstymacjaGaussowska($C128,$C$102:$C$151,T$11)*EstymacjaGaussowska($D128,$D$102:$D$151,T$12)*EstymacjaGaussowska($A128,$A$102:$A$151,T$15)*EstymacjaGaussowska($B128,$B$102:$B$151,T$16)/$L$2</f>
        <v>6.8850808355864976E-2</v>
      </c>
    </row>
    <row r="129" spans="1:15" x14ac:dyDescent="0.25">
      <c r="A129" s="25">
        <v>1.2911320591150199</v>
      </c>
      <c r="B129" s="8">
        <v>-0.11666865117401171</v>
      </c>
      <c r="C129" s="8">
        <v>-0.23125646265997041</v>
      </c>
      <c r="D129" s="13">
        <v>4.0266077496100006E-3</v>
      </c>
      <c r="E129" s="25" t="s">
        <v>7</v>
      </c>
      <c r="F129" s="19" t="str">
        <f t="shared" si="6"/>
        <v>versicolor</v>
      </c>
      <c r="G129" s="12" cm="1">
        <f t="array" ref="G129">R$7*EstymacjaGaussowska($A129,$A$2:$A$51,R$11)*EstymacjaGaussowska($B129,$B$2:$B$51,R$12)+S$7*EstymacjaGaussowska($A129,$C$52:$C$101,S$11)*EstymacjaGaussowska($B129,$D$52:$D$101,S$12)+T$7*EstymacjaGaussowska($A129,$C$102:$C$151,T$11)*EstymacjaGaussowska($B129,$D$102:$D$151,T$12)</f>
        <v>8.3007861651006702E-3</v>
      </c>
      <c r="H129" s="8" cm="1">
        <f t="array" ref="H129">R$7*EstymacjaGaussowska($A129,$A$2:$A$51,R$11)*EstymacjaGaussowska($B129,$B$2:$B$51,R$12)/$G129</f>
        <v>4.0449056536864394E-230</v>
      </c>
      <c r="I129" s="8" cm="1">
        <f t="array" ref="I129">S$7*EstymacjaGaussowska($A129,$A$52:$A$101,S$11)*EstymacjaGaussowska($B129,$B$52:$B$101,S$12)/$G129</f>
        <v>11.320398679502761</v>
      </c>
      <c r="J129" s="114" cm="1">
        <f t="array" ref="J129">T$7*EstymacjaGaussowska($A129,$A$102:$A$151,T$11)*EstymacjaGaussowska($B129,$B$102:$B$151,T$12)/$G129</f>
        <v>10.155164599031149</v>
      </c>
      <c r="K129" s="19" t="str">
        <f t="shared" si="7"/>
        <v>virginica</v>
      </c>
      <c r="L129" s="12" cm="1">
        <f t="array" ref="L129">R$7*EstymacjaGaussowska($C129,$C$2:$C$51,R$11)*EstymacjaGaussowska($D129,$D$2:$D$51,R$12)*EstymacjaGaussowska($A129,$A$2:$A$51,R$15)*EstymacjaGaussowska($B129,$B$2:$B$51,R$16)+S$7*EstymacjaGaussowska($C129,$C$52:$C$101,S$11)*EstymacjaGaussowska($D129,$D$52:$D$101,S$12)*EstymacjaGaussowska($A129,$A$52:$A$101,S$15)*EstymacjaGaussowska($B129,$B$52:$B$101,S$16)+T$7*EstymacjaGaussowska($C129,$C$102:$C$151,T$11)*EstymacjaGaussowska($D129,$D$102:$D$151,T$12)*EstymacjaGaussowska($A129,$A$102:$A$151,T$15)*EstymacjaGaussowska($B129,$B$102:$B$151,T$16)</f>
        <v>0.24333828022090145</v>
      </c>
      <c r="M129" s="8" cm="1">
        <f t="array" ref="M129">R$7*EstymacjaGaussowska($C129,$C$2:$C$51,R$11)*EstymacjaGaussowska($D129,$D$2:$D$51,R$12)*EstymacjaGaussowska($A129,$A$2:$A$51,R$15)*EstymacjaGaussowska($B129,$B$2:$B$51,R$16)/$L$2</f>
        <v>0</v>
      </c>
      <c r="N129" s="8" cm="1">
        <f t="array" ref="N129">S$7*EstymacjaGaussowska($C129,$C$52:$C$101,S$11)*EstymacjaGaussowska($D129,$D$52:$D$101,S$12)*EstymacjaGaussowska($A129,$A$52:$A$101,S$15)*EstymacjaGaussowska($B129,$B$52:$B$101,S$16)/$L$2</f>
        <v>5.8030895490001864E-2</v>
      </c>
      <c r="O129" s="34" cm="1">
        <f t="array" ref="O129">T$7*EstymacjaGaussowska($C129,$C$102:$C$151,T$11)*EstymacjaGaussowska($D129,$D$102:$D$151,T$12)*EstymacjaGaussowska($A129,$A$102:$A$151,T$15)*EstymacjaGaussowska($B129,$B$102:$B$151,T$16)/$L$2</f>
        <v>7.152843497756603E-2</v>
      </c>
    </row>
    <row r="130" spans="1:15" x14ac:dyDescent="0.25">
      <c r="A130" s="25">
        <v>2.1236087227738936</v>
      </c>
      <c r="B130" s="8">
        <v>-0.20972947667730291</v>
      </c>
      <c r="C130" s="8">
        <v>-0.15418002392883007</v>
      </c>
      <c r="D130" s="13">
        <v>5.2827323036999108E-2</v>
      </c>
      <c r="E130" s="25" t="s">
        <v>7</v>
      </c>
      <c r="F130" s="19" t="str">
        <f t="shared" si="6"/>
        <v>virginica</v>
      </c>
      <c r="G130" s="12" cm="1">
        <f t="array" ref="G130">R$7*EstymacjaGaussowska($A130,$A$2:$A$51,R$11)*EstymacjaGaussowska($B130,$B$2:$B$51,R$12)+S$7*EstymacjaGaussowska($A130,$C$52:$C$101,S$11)*EstymacjaGaussowska($B130,$D$52:$D$101,S$12)+T$7*EstymacjaGaussowska($A130,$C$102:$C$151,T$11)*EstymacjaGaussowska($B130,$D$102:$D$151,T$12)</f>
        <v>6.6877174469510832E-7</v>
      </c>
      <c r="H130" s="8" cm="1">
        <f t="array" ref="H130">R$7*EstymacjaGaussowska($A130,$A$2:$A$51,R$11)*EstymacjaGaussowska($B130,$B$2:$B$51,R$12)/$G130</f>
        <v>0</v>
      </c>
      <c r="I130" s="8" cm="1">
        <f t="array" ref="I130">S$7*EstymacjaGaussowska($A130,$A$52:$A$101,S$11)*EstymacjaGaussowska($B130,$B$52:$B$101,S$12)/$G130</f>
        <v>3662.2520366151775</v>
      </c>
      <c r="J130" s="114" cm="1">
        <f t="array" ref="J130">T$7*EstymacjaGaussowska($A130,$A$102:$A$151,T$11)*EstymacjaGaussowska($B130,$B$102:$B$151,T$12)/$G130</f>
        <v>165227.91280862418</v>
      </c>
      <c r="K130" s="19" t="str">
        <f t="shared" si="7"/>
        <v>virginica</v>
      </c>
      <c r="L130" s="12" cm="1">
        <f t="array" ref="L130">R$7*EstymacjaGaussowska($C130,$C$2:$C$51,R$11)*EstymacjaGaussowska($D130,$D$2:$D$51,R$12)*EstymacjaGaussowska($A130,$A$2:$A$51,R$15)*EstymacjaGaussowska($B130,$B$2:$B$51,R$16)+S$7*EstymacjaGaussowska($C130,$C$52:$C$101,S$11)*EstymacjaGaussowska($D130,$D$52:$D$101,S$12)*EstymacjaGaussowska($A130,$A$52:$A$101,S$15)*EstymacjaGaussowska($B130,$B$52:$B$101,S$16)+T$7*EstymacjaGaussowska($C130,$C$102:$C$151,T$11)*EstymacjaGaussowska($D130,$D$102:$D$151,T$12)*EstymacjaGaussowska($A130,$A$102:$A$151,T$15)*EstymacjaGaussowska($B130,$B$102:$B$151,T$16)</f>
        <v>0.17291065228265484</v>
      </c>
      <c r="M130" s="8" cm="1">
        <f t="array" ref="M130">R$7*EstymacjaGaussowska($C130,$C$2:$C$51,R$11)*EstymacjaGaussowska($D130,$D$2:$D$51,R$12)*EstymacjaGaussowska($A130,$A$2:$A$51,R$15)*EstymacjaGaussowska($B130,$B$2:$B$51,R$16)/$L$2</f>
        <v>0</v>
      </c>
      <c r="N130" s="8" cm="1">
        <f t="array" ref="N130">S$7*EstymacjaGaussowska($C130,$C$52:$C$101,S$11)*EstymacjaGaussowska($D130,$D$52:$D$101,S$12)*EstymacjaGaussowska($A130,$A$52:$A$101,S$15)*EstymacjaGaussowska($B130,$B$52:$B$101,S$16)/$L$2</f>
        <v>4.875351244628183E-7</v>
      </c>
      <c r="O130" s="34" cm="1">
        <f t="array" ref="O130">T$7*EstymacjaGaussowska($C130,$C$102:$C$151,T$11)*EstymacjaGaussowska($D130,$D$102:$D$151,T$12)*EstymacjaGaussowska($A130,$A$102:$A$151,T$15)*EstymacjaGaussowska($B130,$B$102:$B$151,T$16)/$L$2</f>
        <v>9.2061428576531254E-2</v>
      </c>
    </row>
    <row r="131" spans="1:15" x14ac:dyDescent="0.25">
      <c r="A131" s="25">
        <v>2.3880030160034664</v>
      </c>
      <c r="B131" s="8">
        <v>0.46463980470873595</v>
      </c>
      <c r="C131" s="8">
        <v>0.44953019194184973</v>
      </c>
      <c r="D131" s="13">
        <v>-0.23152405340399679</v>
      </c>
      <c r="E131" s="25" t="s">
        <v>7</v>
      </c>
      <c r="F131" s="19" t="str">
        <f t="shared" si="6"/>
        <v>virginica</v>
      </c>
      <c r="G131" s="12" cm="1">
        <f t="array" ref="G131">R$7*EstymacjaGaussowska($A131,$A$2:$A$51,R$11)*EstymacjaGaussowska($B131,$B$2:$B$51,R$12)+S$7*EstymacjaGaussowska($A131,$C$52:$C$101,S$11)*EstymacjaGaussowska($B131,$D$52:$D$101,S$12)+T$7*EstymacjaGaussowska($A131,$C$102:$C$151,T$11)*EstymacjaGaussowska($B131,$D$102:$D$151,T$12)</f>
        <v>5.7391377009778824E-9</v>
      </c>
      <c r="H131" s="8" cm="1">
        <f t="array" ref="H131">R$7*EstymacjaGaussowska($A131,$A$2:$A$51,R$11)*EstymacjaGaussowska($B131,$B$2:$B$51,R$12)/$G131</f>
        <v>0</v>
      </c>
      <c r="I131" s="8" cm="1">
        <f t="array" ref="I131">S$7*EstymacjaGaussowska($A131,$A$52:$A$101,S$11)*EstymacjaGaussowska($B131,$B$52:$B$101,S$12)/$G131</f>
        <v>14899.756787416001</v>
      </c>
      <c r="J131" s="114" cm="1">
        <f t="array" ref="J131">T$7*EstymacjaGaussowska($A131,$A$102:$A$151,T$11)*EstymacjaGaussowska($B131,$B$102:$B$151,T$12)/$G131</f>
        <v>15756935.744918909</v>
      </c>
      <c r="K131" s="19" t="str">
        <f t="shared" si="7"/>
        <v>virginica</v>
      </c>
      <c r="L131" s="12" cm="1">
        <f t="array" ref="L131">R$7*EstymacjaGaussowska($C131,$C$2:$C$51,R$11)*EstymacjaGaussowska($D131,$D$2:$D$51,R$12)*EstymacjaGaussowska($A131,$A$2:$A$51,R$15)*EstymacjaGaussowska($B131,$B$2:$B$51,R$16)+S$7*EstymacjaGaussowska($C131,$C$52:$C$101,S$11)*EstymacjaGaussowska($D131,$D$52:$D$101,S$12)*EstymacjaGaussowska($A131,$A$52:$A$101,S$15)*EstymacjaGaussowska($B131,$B$52:$B$101,S$16)+T$7*EstymacjaGaussowska($C131,$C$102:$C$151,T$11)*EstymacjaGaussowska($D131,$D$102:$D$151,T$12)*EstymacjaGaussowska($A131,$A$102:$A$151,T$15)*EstymacjaGaussowska($B131,$B$102:$B$151,T$16)</f>
        <v>4.4321330602106822E-2</v>
      </c>
      <c r="M131" s="8" cm="1">
        <f t="array" ref="M131">R$7*EstymacjaGaussowska($C131,$C$2:$C$51,R$11)*EstymacjaGaussowska($D131,$D$2:$D$51,R$12)*EstymacjaGaussowska($A131,$A$2:$A$51,R$15)*EstymacjaGaussowska($B131,$B$2:$B$51,R$16)/$L$2</f>
        <v>0</v>
      </c>
      <c r="N131" s="8" cm="1">
        <f t="array" ref="N131">S$7*EstymacjaGaussowska($C131,$C$52:$C$101,S$11)*EstymacjaGaussowska($D131,$D$52:$D$101,S$12)*EstymacjaGaussowska($A131,$A$52:$A$101,S$15)*EstymacjaGaussowska($B131,$B$52:$B$101,S$16)/$L$2</f>
        <v>1.3421912149163164E-12</v>
      </c>
      <c r="O131" s="34" cm="1">
        <f t="array" ref="O131">T$7*EstymacjaGaussowska($C131,$C$102:$C$151,T$11)*EstymacjaGaussowska($D131,$D$102:$D$151,T$12)*EstymacjaGaussowska($A131,$A$102:$A$151,T$15)*EstymacjaGaussowska($B131,$B$102:$B$151,T$16)/$L$2</f>
        <v>2.3597774722091808E-2</v>
      </c>
    </row>
    <row r="132" spans="1:15" x14ac:dyDescent="0.25">
      <c r="A132" s="25">
        <v>2.8416727781038693</v>
      </c>
      <c r="B132" s="8">
        <v>0.37526916719510323</v>
      </c>
      <c r="C132" s="8">
        <v>0.49889807587076868</v>
      </c>
      <c r="D132" s="13">
        <v>-2.2336462609152119E-2</v>
      </c>
      <c r="E132" s="25" t="s">
        <v>7</v>
      </c>
      <c r="F132" s="19" t="str">
        <f t="shared" si="6"/>
        <v>virginica</v>
      </c>
      <c r="G132" s="12" cm="1">
        <f t="array" ref="G132">R$7*EstymacjaGaussowska($A132,$A$2:$A$51,R$11)*EstymacjaGaussowska($B132,$B$2:$B$51,R$12)+S$7*EstymacjaGaussowska($A132,$C$52:$C$101,S$11)*EstymacjaGaussowska($B132,$D$52:$D$101,S$12)+T$7*EstymacjaGaussowska($A132,$C$102:$C$151,T$11)*EstymacjaGaussowska($B132,$D$102:$D$151,T$12)</f>
        <v>2.5810222792961547E-12</v>
      </c>
      <c r="H132" s="8" cm="1">
        <f t="array" ref="H132">R$7*EstymacjaGaussowska($A132,$A$2:$A$51,R$11)*EstymacjaGaussowska($B132,$B$2:$B$51,R$12)/$G132</f>
        <v>0</v>
      </c>
      <c r="I132" s="8" cm="1">
        <f t="array" ref="I132">S$7*EstymacjaGaussowska($A132,$A$52:$A$101,S$11)*EstymacjaGaussowska($B132,$B$52:$B$101,S$12)/$G132</f>
        <v>101394.29861605998</v>
      </c>
      <c r="J132" s="114" cm="1">
        <f t="array" ref="J132">T$7*EstymacjaGaussowska($A132,$A$102:$A$151,T$11)*EstymacjaGaussowska($B132,$B$102:$B$151,T$12)/$G132</f>
        <v>24063154445.009705</v>
      </c>
      <c r="K132" s="19" t="str">
        <f t="shared" si="7"/>
        <v>virginica</v>
      </c>
      <c r="L132" s="12" cm="1">
        <f t="array" ref="L132">R$7*EstymacjaGaussowska($C132,$C$2:$C$51,R$11)*EstymacjaGaussowska($D132,$D$2:$D$51,R$12)*EstymacjaGaussowska($A132,$A$2:$A$51,R$15)*EstymacjaGaussowska($B132,$B$2:$B$51,R$16)+S$7*EstymacjaGaussowska($C132,$C$52:$C$101,S$11)*EstymacjaGaussowska($D132,$D$52:$D$101,S$12)*EstymacjaGaussowska($A132,$A$52:$A$101,S$15)*EstymacjaGaussowska($B132,$B$52:$B$101,S$16)+T$7*EstymacjaGaussowska($C132,$C$102:$C$151,T$11)*EstymacjaGaussowska($D132,$D$102:$D$151,T$12)*EstymacjaGaussowska($A132,$A$102:$A$151,T$15)*EstymacjaGaussowska($B132,$B$102:$B$151,T$16)</f>
        <v>3.3657666425237896E-2</v>
      </c>
      <c r="M132" s="8" cm="1">
        <f t="array" ref="M132">R$7*EstymacjaGaussowska($C132,$C$2:$C$51,R$11)*EstymacjaGaussowska($D132,$D$2:$D$51,R$12)*EstymacjaGaussowska($A132,$A$2:$A$51,R$15)*EstymacjaGaussowska($B132,$B$2:$B$51,R$16)/$L$2</f>
        <v>0</v>
      </c>
      <c r="N132" s="8" cm="1">
        <f t="array" ref="N132">S$7*EstymacjaGaussowska($C132,$C$52:$C$101,S$11)*EstymacjaGaussowska($D132,$D$52:$D$101,S$12)*EstymacjaGaussowska($A132,$A$52:$A$101,S$15)*EstymacjaGaussowska($B132,$B$52:$B$101,S$16)/$L$2</f>
        <v>2.0379324185179774E-25</v>
      </c>
      <c r="O132" s="34" cm="1">
        <f t="array" ref="O132">T$7*EstymacjaGaussowska($C132,$C$102:$C$151,T$11)*EstymacjaGaussowska($D132,$D$102:$D$151,T$12)*EstymacjaGaussowska($A132,$A$102:$A$151,T$15)*EstymacjaGaussowska($B132,$B$102:$B$151,T$16)/$L$2</f>
        <v>1.792017566326173E-2</v>
      </c>
    </row>
    <row r="133" spans="1:15" x14ac:dyDescent="0.25">
      <c r="A133" s="25">
        <v>3.2306736614320908</v>
      </c>
      <c r="B133" s="8">
        <v>1.3741650867930471</v>
      </c>
      <c r="C133" s="8">
        <v>0.11454820547541872</v>
      </c>
      <c r="D133" s="13">
        <v>-0.25290192339528172</v>
      </c>
      <c r="E133" s="25" t="s">
        <v>7</v>
      </c>
      <c r="F133" s="19" t="str">
        <f t="shared" si="6"/>
        <v>virginica</v>
      </c>
      <c r="G133" s="12" cm="1">
        <f t="array" ref="G133">R$7*EstymacjaGaussowska($A133,$A$2:$A$51,R$11)*EstymacjaGaussowska($B133,$B$2:$B$51,R$12)+S$7*EstymacjaGaussowska($A133,$C$52:$C$101,S$11)*EstymacjaGaussowska($B133,$D$52:$D$101,S$12)+T$7*EstymacjaGaussowska($A133,$C$102:$C$151,T$11)*EstymacjaGaussowska($B133,$D$102:$D$151,T$12)</f>
        <v>4.6764751159525571E-20</v>
      </c>
      <c r="H133" s="8" cm="1">
        <f t="array" ref="H133">R$7*EstymacjaGaussowska($A133,$A$2:$A$51,R$11)*EstymacjaGaussowska($B133,$B$2:$B$51,R$12)/$G133</f>
        <v>0</v>
      </c>
      <c r="I133" s="8" cm="1">
        <f t="array" ref="I133">S$7*EstymacjaGaussowska($A133,$A$52:$A$101,S$11)*EstymacjaGaussowska($B133,$B$52:$B$101,S$12)/$G133</f>
        <v>2152254.2619559998</v>
      </c>
      <c r="J133" s="114" cm="1">
        <f t="array" ref="J133">T$7*EstymacjaGaussowska($A133,$A$102:$A$151,T$11)*EstymacjaGaussowska($B133,$B$102:$B$151,T$12)/$G133</f>
        <v>7.3689048545001968E+16</v>
      </c>
      <c r="K133" s="19" t="str">
        <f t="shared" si="7"/>
        <v>virginica</v>
      </c>
      <c r="L133" s="12" cm="1">
        <f t="array" ref="L133">R$7*EstymacjaGaussowska($C133,$C$2:$C$51,R$11)*EstymacjaGaussowska($D133,$D$2:$D$51,R$12)*EstymacjaGaussowska($A133,$A$2:$A$51,R$15)*EstymacjaGaussowska($B133,$B$2:$B$51,R$16)+S$7*EstymacjaGaussowska($C133,$C$52:$C$101,S$11)*EstymacjaGaussowska($D133,$D$52:$D$101,S$12)*EstymacjaGaussowska($A133,$A$52:$A$101,S$15)*EstymacjaGaussowska($B133,$B$52:$B$101,S$16)+T$7*EstymacjaGaussowska($C133,$C$102:$C$151,T$11)*EstymacjaGaussowska($D133,$D$102:$D$151,T$12)*EstymacjaGaussowska($A133,$A$102:$A$151,T$15)*EstymacjaGaussowska($B133,$B$102:$B$151,T$16)</f>
        <v>2.9736647471294798E-3</v>
      </c>
      <c r="M133" s="8" cm="1">
        <f t="array" ref="M133">R$7*EstymacjaGaussowska($C133,$C$2:$C$51,R$11)*EstymacjaGaussowska($D133,$D$2:$D$51,R$12)*EstymacjaGaussowska($A133,$A$2:$A$51,R$15)*EstymacjaGaussowska($B133,$B$2:$B$51,R$16)/$L$2</f>
        <v>0</v>
      </c>
      <c r="N133" s="8" cm="1">
        <f t="array" ref="N133">S$7*EstymacjaGaussowska($C133,$C$52:$C$101,S$11)*EstymacjaGaussowska($D133,$D$52:$D$101,S$12)*EstymacjaGaussowska($A133,$A$52:$A$101,S$15)*EstymacjaGaussowska($B133,$B$52:$B$101,S$16)/$L$2</f>
        <v>1.2719486471104803E-68</v>
      </c>
      <c r="O133" s="34" cm="1">
        <f t="array" ref="O133">T$7*EstymacjaGaussowska($C133,$C$102:$C$151,T$11)*EstymacjaGaussowska($D133,$D$102:$D$151,T$12)*EstymacjaGaussowska($A133,$A$102:$A$151,T$15)*EstymacjaGaussowska($B133,$B$102:$B$151,T$16)/$L$2</f>
        <v>1.58325280068291E-3</v>
      </c>
    </row>
    <row r="134" spans="1:15" x14ac:dyDescent="0.25">
      <c r="A134" s="25">
        <v>2.1594376424890487</v>
      </c>
      <c r="B134" s="8">
        <v>-0.21727757866904915</v>
      </c>
      <c r="C134" s="8">
        <v>-0.20876316713083759</v>
      </c>
      <c r="D134" s="13">
        <v>0.12819306556340371</v>
      </c>
      <c r="E134" s="25" t="s">
        <v>7</v>
      </c>
      <c r="F134" s="19" t="str">
        <f t="shared" si="6"/>
        <v>virginica</v>
      </c>
      <c r="G134" s="12" cm="1">
        <f t="array" ref="G134">R$7*EstymacjaGaussowska($A134,$A$2:$A$51,R$11)*EstymacjaGaussowska($B134,$B$2:$B$51,R$12)+S$7*EstymacjaGaussowska($A134,$C$52:$C$101,S$11)*EstymacjaGaussowska($B134,$D$52:$D$101,S$12)+T$7*EstymacjaGaussowska($A134,$C$102:$C$151,T$11)*EstymacjaGaussowska($B134,$D$102:$D$151,T$12)</f>
        <v>3.9316909268837717E-7</v>
      </c>
      <c r="H134" s="8" cm="1">
        <f t="array" ref="H134">R$7*EstymacjaGaussowska($A134,$A$2:$A$51,R$11)*EstymacjaGaussowska($B134,$B$2:$B$51,R$12)/$G134</f>
        <v>0</v>
      </c>
      <c r="I134" s="8" cm="1">
        <f t="array" ref="I134">S$7*EstymacjaGaussowska($A134,$A$52:$A$101,S$11)*EstymacjaGaussowska($B134,$B$52:$B$101,S$12)/$G134</f>
        <v>4676.9442729193424</v>
      </c>
      <c r="J134" s="114" cm="1">
        <f t="array" ref="J134">T$7*EstymacjaGaussowska($A134,$A$102:$A$151,T$11)*EstymacjaGaussowska($B134,$B$102:$B$151,T$12)/$G134</f>
        <v>276017.08561648877</v>
      </c>
      <c r="K134" s="19" t="str">
        <f t="shared" si="7"/>
        <v>virginica</v>
      </c>
      <c r="L134" s="12" cm="1">
        <f t="array" ref="L134">R$7*EstymacjaGaussowska($C134,$C$2:$C$51,R$11)*EstymacjaGaussowska($D134,$D$2:$D$51,R$12)*EstymacjaGaussowska($A134,$A$2:$A$51,R$15)*EstymacjaGaussowska($B134,$B$2:$B$51,R$16)+S$7*EstymacjaGaussowska($C134,$C$52:$C$101,S$11)*EstymacjaGaussowska($D134,$D$52:$D$101,S$12)*EstymacjaGaussowska($A134,$A$52:$A$101,S$15)*EstymacjaGaussowska($B134,$B$52:$B$101,S$16)+T$7*EstymacjaGaussowska($C134,$C$102:$C$151,T$11)*EstymacjaGaussowska($D134,$D$102:$D$151,T$12)*EstymacjaGaussowska($A134,$A$102:$A$151,T$15)*EstymacjaGaussowska($B134,$B$102:$B$151,T$16)</f>
        <v>0.15883074854998752</v>
      </c>
      <c r="M134" s="8" cm="1">
        <f t="array" ref="M134">R$7*EstymacjaGaussowska($C134,$C$2:$C$51,R$11)*EstymacjaGaussowska($D134,$D$2:$D$51,R$12)*EstymacjaGaussowska($A134,$A$2:$A$51,R$15)*EstymacjaGaussowska($B134,$B$2:$B$51,R$16)/$L$2</f>
        <v>0</v>
      </c>
      <c r="N134" s="8" cm="1">
        <f t="array" ref="N134">S$7*EstymacjaGaussowska($C134,$C$52:$C$101,S$11)*EstymacjaGaussowska($D134,$D$52:$D$101,S$12)*EstymacjaGaussowska($A134,$A$52:$A$101,S$15)*EstymacjaGaussowska($B134,$B$52:$B$101,S$16)/$L$2</f>
        <v>1.0420616156693106E-7</v>
      </c>
      <c r="O134" s="34" cm="1">
        <f t="array" ref="O134">T$7*EstymacjaGaussowska($C134,$C$102:$C$151,T$11)*EstymacjaGaussowska($D134,$D$102:$D$151,T$12)*EstymacjaGaussowska($A134,$A$102:$A$151,T$15)*EstymacjaGaussowska($B134,$B$102:$B$151,T$16)/$L$2</f>
        <v>8.4565322249217298E-2</v>
      </c>
    </row>
    <row r="135" spans="1:15" x14ac:dyDescent="0.25">
      <c r="A135" s="25">
        <v>1.4441612423295089</v>
      </c>
      <c r="B135" s="8">
        <v>-0.14341341045758119</v>
      </c>
      <c r="C135" s="8">
        <v>0.15323388806308996</v>
      </c>
      <c r="D135" s="13">
        <v>-0.19099635791450884</v>
      </c>
      <c r="E135" s="25" t="s">
        <v>7</v>
      </c>
      <c r="F135" s="19" t="str">
        <f t="shared" si="6"/>
        <v>virginica</v>
      </c>
      <c r="G135" s="12" cm="1">
        <f t="array" ref="G135">R$7*EstymacjaGaussowska($A135,$A$2:$A$51,R$11)*EstymacjaGaussowska($B135,$B$2:$B$51,R$12)+S$7*EstymacjaGaussowska($A135,$C$52:$C$101,S$11)*EstymacjaGaussowska($B135,$D$52:$D$101,S$12)+T$7*EstymacjaGaussowska($A135,$C$102:$C$151,T$11)*EstymacjaGaussowska($B135,$D$102:$D$151,T$12)</f>
        <v>2.1565183706943832E-3</v>
      </c>
      <c r="H135" s="8" cm="1">
        <f t="array" ref="H135">R$7*EstymacjaGaussowska($A135,$A$2:$A$51,R$11)*EstymacjaGaussowska($B135,$B$2:$B$51,R$12)/$G135</f>
        <v>3.9497489114361327E-250</v>
      </c>
      <c r="I135" s="8" cm="1">
        <f t="array" ref="I135">S$7*EstymacjaGaussowska($A135,$A$52:$A$101,S$11)*EstymacjaGaussowska($B135,$B$52:$B$101,S$12)/$G135</f>
        <v>32.268937207826447</v>
      </c>
      <c r="J135" s="114" cm="1">
        <f t="array" ref="J135">T$7*EstymacjaGaussowska($A135,$A$102:$A$151,T$11)*EstymacjaGaussowska($B135,$B$102:$B$151,T$12)/$G135</f>
        <v>45.251698485903688</v>
      </c>
      <c r="K135" s="19" t="str">
        <f t="shared" si="7"/>
        <v>virginica</v>
      </c>
      <c r="L135" s="12" cm="1">
        <f t="array" ref="L135">R$7*EstymacjaGaussowska($C135,$C$2:$C$51,R$11)*EstymacjaGaussowska($D135,$D$2:$D$51,R$12)*EstymacjaGaussowska($A135,$A$2:$A$51,R$15)*EstymacjaGaussowska($B135,$B$2:$B$51,R$16)+S$7*EstymacjaGaussowska($C135,$C$52:$C$101,S$11)*EstymacjaGaussowska($D135,$D$52:$D$101,S$12)*EstymacjaGaussowska($A135,$A$52:$A$101,S$15)*EstymacjaGaussowska($B135,$B$52:$B$101,S$16)+T$7*EstymacjaGaussowska($C135,$C$102:$C$151,T$11)*EstymacjaGaussowska($D135,$D$102:$D$151,T$12)*EstymacjaGaussowska($A135,$A$102:$A$151,T$15)*EstymacjaGaussowska($B135,$B$102:$B$151,T$16)</f>
        <v>0.19448969480076134</v>
      </c>
      <c r="M135" s="8" cm="1">
        <f t="array" ref="M135">R$7*EstymacjaGaussowska($C135,$C$2:$C$51,R$11)*EstymacjaGaussowska($D135,$D$2:$D$51,R$12)*EstymacjaGaussowska($A135,$A$2:$A$51,R$15)*EstymacjaGaussowska($B135,$B$2:$B$51,R$16)/$L$2</f>
        <v>0</v>
      </c>
      <c r="N135" s="8" cm="1">
        <f t="array" ref="N135">S$7*EstymacjaGaussowska($C135,$C$52:$C$101,S$11)*EstymacjaGaussowska($D135,$D$52:$D$101,S$12)*EstymacjaGaussowska($A135,$A$52:$A$101,S$15)*EstymacjaGaussowska($B135,$B$52:$B$101,S$16)/$L$2</f>
        <v>4.9723703676749345E-2</v>
      </c>
      <c r="O135" s="34" cm="1">
        <f t="array" ref="O135">T$7*EstymacjaGaussowska($C135,$C$102:$C$151,T$11)*EstymacjaGaussowska($D135,$D$102:$D$151,T$12)*EstymacjaGaussowska($A135,$A$102:$A$151,T$15)*EstymacjaGaussowska($B135,$B$102:$B$151,T$16)/$L$2</f>
        <v>5.3827429413998498E-2</v>
      </c>
    </row>
    <row r="136" spans="1:15" x14ac:dyDescent="0.25">
      <c r="A136" s="25">
        <v>1.7812948100451114</v>
      </c>
      <c r="B136" s="8">
        <v>-0.49990168107813743</v>
      </c>
      <c r="C136" s="8">
        <v>0.17287518911341948</v>
      </c>
      <c r="D136" s="13">
        <v>-0.5054344117857994</v>
      </c>
      <c r="E136" s="25" t="s">
        <v>7</v>
      </c>
      <c r="F136" s="19" t="str">
        <f t="shared" si="6"/>
        <v>virginica</v>
      </c>
      <c r="G136" s="12" cm="1">
        <f t="array" ref="G136">R$7*EstymacjaGaussowska($A136,$A$2:$A$51,R$11)*EstymacjaGaussowska($B136,$B$2:$B$51,R$12)+S$7*EstymacjaGaussowska($A136,$C$52:$C$101,S$11)*EstymacjaGaussowska($B136,$D$52:$D$101,S$12)+T$7*EstymacjaGaussowska($A136,$C$102:$C$151,T$11)*EstymacjaGaussowska($B136,$D$102:$D$151,T$12)</f>
        <v>1.588249049097029E-5</v>
      </c>
      <c r="H136" s="8" cm="1">
        <f t="array" ref="H136">R$7*EstymacjaGaussowska($A136,$A$2:$A$51,R$11)*EstymacjaGaussowska($B136,$B$2:$B$51,R$12)/$G136</f>
        <v>8.5022743444394055E-297</v>
      </c>
      <c r="I136" s="8" cm="1">
        <f t="array" ref="I136">S$7*EstymacjaGaussowska($A136,$A$52:$A$101,S$11)*EstymacjaGaussowska($B136,$B$52:$B$101,S$12)/$G136</f>
        <v>1330.8849600408371</v>
      </c>
      <c r="J136" s="114" cm="1">
        <f t="array" ref="J136">T$7*EstymacjaGaussowska($A136,$A$102:$A$151,T$11)*EstymacjaGaussowska($B136,$B$102:$B$151,T$12)/$G136</f>
        <v>4339.955506497352</v>
      </c>
      <c r="K136" s="19" t="str">
        <f t="shared" si="7"/>
        <v>virginica</v>
      </c>
      <c r="L136" s="12" cm="1">
        <f t="array" ref="L136">R$7*EstymacjaGaussowska($C136,$C$2:$C$51,R$11)*EstymacjaGaussowska($D136,$D$2:$D$51,R$12)*EstymacjaGaussowska($A136,$A$2:$A$51,R$15)*EstymacjaGaussowska($B136,$B$2:$B$51,R$16)+S$7*EstymacjaGaussowska($C136,$C$52:$C$101,S$11)*EstymacjaGaussowska($D136,$D$52:$D$101,S$12)*EstymacjaGaussowska($A136,$A$52:$A$101,S$15)*EstymacjaGaussowska($B136,$B$52:$B$101,S$16)+T$7*EstymacjaGaussowska($C136,$C$102:$C$151,T$11)*EstymacjaGaussowska($D136,$D$102:$D$151,T$12)*EstymacjaGaussowska($A136,$A$102:$A$151,T$15)*EstymacjaGaussowska($B136,$B$102:$B$151,T$16)</f>
        <v>1.3336782749405484E-2</v>
      </c>
      <c r="M136" s="8" cm="1">
        <f t="array" ref="M136">R$7*EstymacjaGaussowska($C136,$C$2:$C$51,R$11)*EstymacjaGaussowska($D136,$D$2:$D$51,R$12)*EstymacjaGaussowska($A136,$A$2:$A$51,R$15)*EstymacjaGaussowska($B136,$B$2:$B$51,R$16)/$L$2</f>
        <v>0</v>
      </c>
      <c r="N136" s="8" cm="1">
        <f t="array" ref="N136">S$7*EstymacjaGaussowska($C136,$C$52:$C$101,S$11)*EstymacjaGaussowska($D136,$D$52:$D$101,S$12)*EstymacjaGaussowska($A136,$A$52:$A$101,S$15)*EstymacjaGaussowska($B136,$B$52:$B$101,S$16)/$L$2</f>
        <v>5.112927117703087E-4</v>
      </c>
      <c r="O136" s="34" cm="1">
        <f t="array" ref="O136">T$7*EstymacjaGaussowska($C136,$C$102:$C$151,T$11)*EstymacjaGaussowska($D136,$D$102:$D$151,T$12)*EstymacjaGaussowska($A136,$A$102:$A$151,T$15)*EstymacjaGaussowska($B136,$B$102:$B$151,T$16)/$L$2</f>
        <v>6.589540918005489E-3</v>
      </c>
    </row>
    <row r="137" spans="1:15" x14ac:dyDescent="0.25">
      <c r="A137" s="25">
        <v>3.0764999316871866</v>
      </c>
      <c r="B137" s="8">
        <v>0.68808567757117622</v>
      </c>
      <c r="C137" s="8">
        <v>0.33559229243454114</v>
      </c>
      <c r="D137" s="13">
        <v>0.30982804463443214</v>
      </c>
      <c r="E137" s="25" t="s">
        <v>7</v>
      </c>
      <c r="F137" s="19" t="str">
        <f t="shared" si="6"/>
        <v>virginica</v>
      </c>
      <c r="G137" s="12" cm="1">
        <f t="array" ref="G137">R$7*EstymacjaGaussowska($A137,$A$2:$A$51,R$11)*EstymacjaGaussowska($B137,$B$2:$B$51,R$12)+S$7*EstymacjaGaussowska($A137,$C$52:$C$101,S$11)*EstymacjaGaussowska($B137,$D$52:$D$101,S$12)+T$7*EstymacjaGaussowska($A137,$C$102:$C$151,T$11)*EstymacjaGaussowska($B137,$D$102:$D$151,T$12)</f>
        <v>3.6702888886065941E-15</v>
      </c>
      <c r="H137" s="8" cm="1">
        <f t="array" ref="H137">R$7*EstymacjaGaussowska($A137,$A$2:$A$51,R$11)*EstymacjaGaussowska($B137,$B$2:$B$51,R$12)/$G137</f>
        <v>0</v>
      </c>
      <c r="I137" s="8" cm="1">
        <f t="array" ref="I137">S$7*EstymacjaGaussowska($A137,$A$52:$A$101,S$11)*EstymacjaGaussowska($B137,$B$52:$B$101,S$12)/$G137</f>
        <v>438658.04701794777</v>
      </c>
      <c r="J137" s="114" cm="1">
        <f t="array" ref="J137">T$7*EstymacjaGaussowska($A137,$A$102:$A$151,T$11)*EstymacjaGaussowska($B137,$B$102:$B$151,T$12)/$G137</f>
        <v>5684508362494.2813</v>
      </c>
      <c r="K137" s="19" t="str">
        <f t="shared" si="7"/>
        <v>virginica</v>
      </c>
      <c r="L137" s="12" cm="1">
        <f t="array" ref="L137">R$7*EstymacjaGaussowska($C137,$C$2:$C$51,R$11)*EstymacjaGaussowska($D137,$D$2:$D$51,R$12)*EstymacjaGaussowska($A137,$A$2:$A$51,R$15)*EstymacjaGaussowska($B137,$B$2:$B$51,R$16)+S$7*EstymacjaGaussowska($C137,$C$52:$C$101,S$11)*EstymacjaGaussowska($D137,$D$52:$D$101,S$12)*EstymacjaGaussowska($A137,$A$52:$A$101,S$15)*EstymacjaGaussowska($B137,$B$52:$B$101,S$16)+T$7*EstymacjaGaussowska($C137,$C$102:$C$151,T$11)*EstymacjaGaussowska($D137,$D$102:$D$151,T$12)*EstymacjaGaussowska($A137,$A$102:$A$151,T$15)*EstymacjaGaussowska($B137,$B$102:$B$151,T$16)</f>
        <v>5.5818410857595025E-3</v>
      </c>
      <c r="M137" s="8" cm="1">
        <f t="array" ref="M137">R$7*EstymacjaGaussowska($C137,$C$2:$C$51,R$11)*EstymacjaGaussowska($D137,$D$2:$D$51,R$12)*EstymacjaGaussowska($A137,$A$2:$A$51,R$15)*EstymacjaGaussowska($B137,$B$2:$B$51,R$16)/$L$2</f>
        <v>0</v>
      </c>
      <c r="N137" s="8" cm="1">
        <f t="array" ref="N137">S$7*EstymacjaGaussowska($C137,$C$52:$C$101,S$11)*EstymacjaGaussowska($D137,$D$52:$D$101,S$12)*EstymacjaGaussowska($A137,$A$52:$A$101,S$15)*EstymacjaGaussowska($B137,$B$52:$B$101,S$16)/$L$2</f>
        <v>3.6588751648438142E-35</v>
      </c>
      <c r="O137" s="34" cm="1">
        <f t="array" ref="O137">T$7*EstymacjaGaussowska($C137,$C$102:$C$151,T$11)*EstymacjaGaussowska($D137,$D$102:$D$151,T$12)*EstymacjaGaussowska($A137,$A$102:$A$151,T$15)*EstymacjaGaussowska($B137,$B$102:$B$151,T$16)/$L$2</f>
        <v>2.9719105156445751E-3</v>
      </c>
    </row>
    <row r="138" spans="1:15" x14ac:dyDescent="0.25">
      <c r="A138" s="25">
        <v>2.1442433143020807</v>
      </c>
      <c r="B138" s="8">
        <v>0.14006420108978962</v>
      </c>
      <c r="C138" s="8">
        <v>-0.73487893672551097</v>
      </c>
      <c r="D138" s="13">
        <v>5.5541969126136292E-2</v>
      </c>
      <c r="E138" s="25" t="s">
        <v>7</v>
      </c>
      <c r="F138" s="19" t="str">
        <f t="shared" si="6"/>
        <v>virginica</v>
      </c>
      <c r="G138" s="12" cm="1">
        <f t="array" ref="G138">R$7*EstymacjaGaussowska($A138,$A$2:$A$51,R$11)*EstymacjaGaussowska($B138,$B$2:$B$51,R$12)+S$7*EstymacjaGaussowska($A138,$C$52:$C$101,S$11)*EstymacjaGaussowska($B138,$D$52:$D$101,S$12)+T$7*EstymacjaGaussowska($A138,$C$102:$C$151,T$11)*EstymacjaGaussowska($B138,$D$102:$D$151,T$12)</f>
        <v>6.214761040939902E-7</v>
      </c>
      <c r="H138" s="8" cm="1">
        <f t="array" ref="H138">R$7*EstymacjaGaussowska($A138,$A$2:$A$51,R$11)*EstymacjaGaussowska($B138,$B$2:$B$51,R$12)/$G138</f>
        <v>0</v>
      </c>
      <c r="I138" s="8" cm="1">
        <f t="array" ref="I138">S$7*EstymacjaGaussowska($A138,$A$52:$A$101,S$11)*EstymacjaGaussowska($B138,$B$52:$B$101,S$12)/$G138</f>
        <v>2245.8984269395592</v>
      </c>
      <c r="J138" s="114" cm="1">
        <f t="array" ref="J138">T$7*EstymacjaGaussowska($A138,$A$102:$A$151,T$11)*EstymacjaGaussowska($B138,$B$102:$B$151,T$12)/$G138</f>
        <v>218353.04690968033</v>
      </c>
      <c r="K138" s="19" t="str">
        <f t="shared" si="7"/>
        <v>virginica</v>
      </c>
      <c r="L138" s="12" cm="1">
        <f t="array" ref="L138">R$7*EstymacjaGaussowska($C138,$C$2:$C$51,R$11)*EstymacjaGaussowska($D138,$D$2:$D$51,R$12)*EstymacjaGaussowska($A138,$A$2:$A$51,R$15)*EstymacjaGaussowska($B138,$B$2:$B$51,R$16)+S$7*EstymacjaGaussowska($C138,$C$52:$C$101,S$11)*EstymacjaGaussowska($D138,$D$52:$D$101,S$12)*EstymacjaGaussowska($A138,$A$52:$A$101,S$15)*EstymacjaGaussowska($B138,$B$52:$B$101,S$16)+T$7*EstymacjaGaussowska($C138,$C$102:$C$151,T$11)*EstymacjaGaussowska($D138,$D$102:$D$151,T$12)*EstymacjaGaussowska($A138,$A$102:$A$151,T$15)*EstymacjaGaussowska($B138,$B$102:$B$151,T$16)</f>
        <v>7.4359654687390267E-2</v>
      </c>
      <c r="M138" s="8" cm="1">
        <f t="array" ref="M138">R$7*EstymacjaGaussowska($C138,$C$2:$C$51,R$11)*EstymacjaGaussowska($D138,$D$2:$D$51,R$12)*EstymacjaGaussowska($A138,$A$2:$A$51,R$15)*EstymacjaGaussowska($B138,$B$2:$B$51,R$16)/$L$2</f>
        <v>0</v>
      </c>
      <c r="N138" s="8" cm="1">
        <f t="array" ref="N138">S$7*EstymacjaGaussowska($C138,$C$52:$C$101,S$11)*EstymacjaGaussowska($D138,$D$52:$D$101,S$12)*EstymacjaGaussowska($A138,$A$52:$A$101,S$15)*EstymacjaGaussowska($B138,$B$52:$B$101,S$16)/$L$2</f>
        <v>1.5588227721588297E-8</v>
      </c>
      <c r="O138" s="34" cm="1">
        <f t="array" ref="O138">T$7*EstymacjaGaussowska($C138,$C$102:$C$151,T$11)*EstymacjaGaussowska($D138,$D$102:$D$151,T$12)*EstymacjaGaussowska($A138,$A$102:$A$151,T$15)*EstymacjaGaussowska($B138,$B$102:$B$151,T$16)/$L$2</f>
        <v>3.9590907247062053E-2</v>
      </c>
    </row>
    <row r="139" spans="1:15" x14ac:dyDescent="0.25">
      <c r="A139" s="25">
        <v>1.9050981488140748</v>
      </c>
      <c r="B139" s="8">
        <v>4.9300526013029616E-2</v>
      </c>
      <c r="C139" s="8">
        <v>-0.16218023577073709</v>
      </c>
      <c r="D139" s="13">
        <v>-0.22120293694259074</v>
      </c>
      <c r="E139" s="25" t="s">
        <v>7</v>
      </c>
      <c r="F139" s="19" t="str">
        <f t="shared" si="6"/>
        <v>virginica</v>
      </c>
      <c r="G139" s="12" cm="1">
        <f t="array" ref="G139">R$7*EstymacjaGaussowska($A139,$A$2:$A$51,R$11)*EstymacjaGaussowska($B139,$B$2:$B$51,R$12)+S$7*EstymacjaGaussowska($A139,$C$52:$C$101,S$11)*EstymacjaGaussowska($B139,$D$52:$D$101,S$12)+T$7*EstymacjaGaussowska($A139,$C$102:$C$151,T$11)*EstymacjaGaussowska($B139,$D$102:$D$151,T$12)</f>
        <v>1.6607154372000587E-5</v>
      </c>
      <c r="H139" s="8" cm="1">
        <f t="array" ref="H139">R$7*EstymacjaGaussowska($A139,$A$2:$A$51,R$11)*EstymacjaGaussowska($B139,$B$2:$B$51,R$12)/$G139</f>
        <v>0</v>
      </c>
      <c r="I139" s="8" cm="1">
        <f t="array" ref="I139">S$7*EstymacjaGaussowska($A139,$A$52:$A$101,S$11)*EstymacjaGaussowska($B139,$B$52:$B$101,S$12)/$G139</f>
        <v>494.82365647566456</v>
      </c>
      <c r="J139" s="114" cm="1">
        <f t="array" ref="J139">T$7*EstymacjaGaussowska($A139,$A$102:$A$151,T$11)*EstymacjaGaussowska($B139,$B$102:$B$151,T$12)/$G139</f>
        <v>8085.2006342069408</v>
      </c>
      <c r="K139" s="19" t="str">
        <f t="shared" si="7"/>
        <v>virginica</v>
      </c>
      <c r="L139" s="12" cm="1">
        <f t="array" ref="L139">R$7*EstymacjaGaussowska($C139,$C$2:$C$51,R$11)*EstymacjaGaussowska($D139,$D$2:$D$51,R$12)*EstymacjaGaussowska($A139,$A$2:$A$51,R$15)*EstymacjaGaussowska($B139,$B$2:$B$51,R$16)+S$7*EstymacjaGaussowska($C139,$C$52:$C$101,S$11)*EstymacjaGaussowska($D139,$D$52:$D$101,S$12)*EstymacjaGaussowska($A139,$A$52:$A$101,S$15)*EstymacjaGaussowska($B139,$B$52:$B$101,S$16)+T$7*EstymacjaGaussowska($C139,$C$102:$C$151,T$11)*EstymacjaGaussowska($D139,$D$102:$D$151,T$12)*EstymacjaGaussowska($A139,$A$102:$A$151,T$15)*EstymacjaGaussowska($B139,$B$102:$B$151,T$16)</f>
        <v>0.10408522561881522</v>
      </c>
      <c r="M139" s="8" cm="1">
        <f t="array" ref="M139">R$7*EstymacjaGaussowska($C139,$C$2:$C$51,R$11)*EstymacjaGaussowska($D139,$D$2:$D$51,R$12)*EstymacjaGaussowska($A139,$A$2:$A$51,R$15)*EstymacjaGaussowska($B139,$B$2:$B$51,R$16)/$L$2</f>
        <v>0</v>
      </c>
      <c r="N139" s="8" cm="1">
        <f t="array" ref="N139">S$7*EstymacjaGaussowska($C139,$C$52:$C$101,S$11)*EstymacjaGaussowska($D139,$D$52:$D$101,S$12)*EstymacjaGaussowska($A139,$A$52:$A$101,S$15)*EstymacjaGaussowska($B139,$B$52:$B$101,S$16)/$L$2</f>
        <v>9.4215147162010732E-5</v>
      </c>
      <c r="O139" s="34" cm="1">
        <f t="array" ref="O139">T$7*EstymacjaGaussowska($C139,$C$102:$C$151,T$11)*EstymacjaGaussowska($D139,$D$102:$D$151,T$12)*EstymacjaGaussowska($A139,$A$102:$A$151,T$15)*EstymacjaGaussowska($B139,$B$102:$B$151,T$16)/$L$2</f>
        <v>5.5323338270646429E-2</v>
      </c>
    </row>
    <row r="140" spans="1:15" x14ac:dyDescent="0.25">
      <c r="A140" s="25">
        <v>1.1693263393414992</v>
      </c>
      <c r="B140" s="8">
        <v>-0.16499026202310985</v>
      </c>
      <c r="C140" s="8">
        <v>-0.28183584020848029</v>
      </c>
      <c r="D140" s="13">
        <v>2.0461787158676248E-2</v>
      </c>
      <c r="E140" s="25" t="s">
        <v>7</v>
      </c>
      <c r="F140" s="19" t="str">
        <f t="shared" si="6"/>
        <v>versicolor</v>
      </c>
      <c r="G140" s="12" cm="1">
        <f t="array" ref="G140">R$7*EstymacjaGaussowska($A140,$A$2:$A$51,R$11)*EstymacjaGaussowska($B140,$B$2:$B$51,R$12)+S$7*EstymacjaGaussowska($A140,$C$52:$C$101,S$11)*EstymacjaGaussowska($B140,$D$52:$D$101,S$12)+T$7*EstymacjaGaussowska($A140,$C$102:$C$151,T$11)*EstymacjaGaussowska($B140,$D$102:$D$151,T$12)</f>
        <v>1.8748947510814983E-2</v>
      </c>
      <c r="H140" s="8" cm="1">
        <f t="array" ref="H140">R$7*EstymacjaGaussowska($A140,$A$2:$A$51,R$11)*EstymacjaGaussowska($B140,$B$2:$B$51,R$12)/$G140</f>
        <v>9.722326266455407E-215</v>
      </c>
      <c r="I140" s="8" cm="1">
        <f t="array" ref="I140">S$7*EstymacjaGaussowska($A140,$A$52:$A$101,S$11)*EstymacjaGaussowska($B140,$B$52:$B$101,S$12)/$G140</f>
        <v>6.4002600928541247</v>
      </c>
      <c r="J140" s="114" cm="1">
        <f t="array" ref="J140">T$7*EstymacjaGaussowska($A140,$A$102:$A$151,T$11)*EstymacjaGaussowska($B140,$B$102:$B$151,T$12)/$G140</f>
        <v>3.5168426042179077</v>
      </c>
      <c r="K140" s="19" t="str">
        <f t="shared" si="7"/>
        <v>versicolor</v>
      </c>
      <c r="L140" s="12" cm="1">
        <f t="array" ref="L140">R$7*EstymacjaGaussowska($C140,$C$2:$C$51,R$11)*EstymacjaGaussowska($D140,$D$2:$D$51,R$12)*EstymacjaGaussowska($A140,$A$2:$A$51,R$15)*EstymacjaGaussowska($B140,$B$2:$B$51,R$16)+S$7*EstymacjaGaussowska($C140,$C$52:$C$101,S$11)*EstymacjaGaussowska($D140,$D$52:$D$101,S$12)*EstymacjaGaussowska($A140,$A$52:$A$101,S$15)*EstymacjaGaussowska($B140,$B$52:$B$101,S$16)+T$7*EstymacjaGaussowska($C140,$C$102:$C$151,T$11)*EstymacjaGaussowska($D140,$D$102:$D$151,T$12)*EstymacjaGaussowska($A140,$A$102:$A$151,T$15)*EstymacjaGaussowska($B140,$B$102:$B$151,T$16)</f>
        <v>0.20830475753441938</v>
      </c>
      <c r="M140" s="8" cm="1">
        <f t="array" ref="M140">R$7*EstymacjaGaussowska($C140,$C$2:$C$51,R$11)*EstymacjaGaussowska($D140,$D$2:$D$51,R$12)*EstymacjaGaussowska($A140,$A$2:$A$51,R$15)*EstymacjaGaussowska($B140,$B$2:$B$51,R$16)/$L$2</f>
        <v>0</v>
      </c>
      <c r="N140" s="8" cm="1">
        <f t="array" ref="N140">S$7*EstymacjaGaussowska($C140,$C$52:$C$101,S$11)*EstymacjaGaussowska($D140,$D$52:$D$101,S$12)*EstymacjaGaussowska($A140,$A$52:$A$101,S$15)*EstymacjaGaussowska($B140,$B$52:$B$101,S$16)/$L$2</f>
        <v>5.8865755185412393E-2</v>
      </c>
      <c r="O140" s="34" cm="1">
        <f t="array" ref="O140">T$7*EstymacjaGaussowska($C140,$C$102:$C$151,T$11)*EstymacjaGaussowska($D140,$D$102:$D$151,T$12)*EstymacjaGaussowska($A140,$A$102:$A$151,T$15)*EstymacjaGaussowska($B140,$B$102:$B$151,T$16)/$L$2</f>
        <v>5.2040859650810713E-2</v>
      </c>
    </row>
    <row r="141" spans="1:15" x14ac:dyDescent="0.25">
      <c r="A141" s="25">
        <v>2.1076111432572411</v>
      </c>
      <c r="B141" s="8">
        <v>0.37228787196079777</v>
      </c>
      <c r="C141" s="8">
        <v>-2.7291132141630536E-2</v>
      </c>
      <c r="D141" s="13">
        <v>0.21062178578807367</v>
      </c>
      <c r="E141" s="25" t="s">
        <v>7</v>
      </c>
      <c r="F141" s="19" t="str">
        <f t="shared" si="6"/>
        <v>virginica</v>
      </c>
      <c r="G141" s="12" cm="1">
        <f t="array" ref="G141">R$7*EstymacjaGaussowska($A141,$A$2:$A$51,R$11)*EstymacjaGaussowska($B141,$B$2:$B$51,R$12)+S$7*EstymacjaGaussowska($A141,$C$52:$C$101,S$11)*EstymacjaGaussowska($B141,$D$52:$D$101,S$12)+T$7*EstymacjaGaussowska($A141,$C$102:$C$151,T$11)*EstymacjaGaussowska($B141,$D$102:$D$151,T$12)</f>
        <v>5.6059367557160251E-7</v>
      </c>
      <c r="H141" s="8" cm="1">
        <f t="array" ref="H141">R$7*EstymacjaGaussowska($A141,$A$2:$A$51,R$11)*EstymacjaGaussowska($B141,$B$2:$B$51,R$12)/$G141</f>
        <v>0</v>
      </c>
      <c r="I141" s="8" cm="1">
        <f t="array" ref="I141">S$7*EstymacjaGaussowska($A141,$A$52:$A$101,S$11)*EstymacjaGaussowska($B141,$B$52:$B$101,S$12)/$G141</f>
        <v>2545.0850719783593</v>
      </c>
      <c r="J141" s="114" cm="1">
        <f t="array" ref="J141">T$7*EstymacjaGaussowska($A141,$A$102:$A$151,T$11)*EstymacjaGaussowska($B141,$B$102:$B$151,T$12)/$G141</f>
        <v>216665.91290684414</v>
      </c>
      <c r="K141" s="19" t="str">
        <f t="shared" si="7"/>
        <v>virginica</v>
      </c>
      <c r="L141" s="12" cm="1">
        <f t="array" ref="L141">R$7*EstymacjaGaussowska($C141,$C$2:$C$51,R$11)*EstymacjaGaussowska($D141,$D$2:$D$51,R$12)*EstymacjaGaussowska($A141,$A$2:$A$51,R$15)*EstymacjaGaussowska($B141,$B$2:$B$51,R$16)+S$7*EstymacjaGaussowska($C141,$C$52:$C$101,S$11)*EstymacjaGaussowska($D141,$D$52:$D$101,S$12)*EstymacjaGaussowska($A141,$A$52:$A$101,S$15)*EstymacjaGaussowska($B141,$B$52:$B$101,S$16)+T$7*EstymacjaGaussowska($C141,$C$102:$C$151,T$11)*EstymacjaGaussowska($D141,$D$102:$D$151,T$12)*EstymacjaGaussowska($A141,$A$102:$A$151,T$15)*EstymacjaGaussowska($B141,$B$102:$B$151,T$16)</f>
        <v>0.15387904652020304</v>
      </c>
      <c r="M141" s="8" cm="1">
        <f t="array" ref="M141">R$7*EstymacjaGaussowska($C141,$C$2:$C$51,R$11)*EstymacjaGaussowska($D141,$D$2:$D$51,R$12)*EstymacjaGaussowska($A141,$A$2:$A$51,R$15)*EstymacjaGaussowska($B141,$B$2:$B$51,R$16)/$L$2</f>
        <v>0</v>
      </c>
      <c r="N141" s="8" cm="1">
        <f t="array" ref="N141">S$7*EstymacjaGaussowska($C141,$C$52:$C$101,S$11)*EstymacjaGaussowska($D141,$D$52:$D$101,S$12)*EstymacjaGaussowska($A141,$A$52:$A$101,S$15)*EstymacjaGaussowska($B141,$B$52:$B$101,S$16)/$L$2</f>
        <v>3.9865057229016251E-7</v>
      </c>
      <c r="O141" s="34" cm="1">
        <f t="array" ref="O141">T$7*EstymacjaGaussowska($C141,$C$102:$C$151,T$11)*EstymacjaGaussowska($D141,$D$102:$D$151,T$12)*EstymacjaGaussowska($A141,$A$102:$A$151,T$15)*EstymacjaGaussowska($B141,$B$102:$B$151,T$16)/$L$2</f>
        <v>8.1928618937811268E-2</v>
      </c>
    </row>
    <row r="142" spans="1:15" x14ac:dyDescent="0.25">
      <c r="A142" s="25">
        <v>2.3141547052355986</v>
      </c>
      <c r="B142" s="8">
        <v>0.18365127916901908</v>
      </c>
      <c r="C142" s="8">
        <v>-0.32269374717305882</v>
      </c>
      <c r="D142" s="13">
        <v>0.27765377738756558</v>
      </c>
      <c r="E142" s="25" t="s">
        <v>7</v>
      </c>
      <c r="F142" s="19" t="str">
        <f t="shared" si="6"/>
        <v>virginica</v>
      </c>
      <c r="G142" s="12" cm="1">
        <f t="array" ref="G142">R$7*EstymacjaGaussowska($A142,$A$2:$A$51,R$11)*EstymacjaGaussowska($B142,$B$2:$B$51,R$12)+S$7*EstymacjaGaussowska($A142,$C$52:$C$101,S$11)*EstymacjaGaussowska($B142,$D$52:$D$101,S$12)+T$7*EstymacjaGaussowska($A142,$C$102:$C$151,T$11)*EstymacjaGaussowska($B142,$D$102:$D$151,T$12)</f>
        <v>4.6405510672278537E-8</v>
      </c>
      <c r="H142" s="8" cm="1">
        <f t="array" ref="H142">R$7*EstymacjaGaussowska($A142,$A$2:$A$51,R$11)*EstymacjaGaussowska($B142,$B$2:$B$51,R$12)/$G142</f>
        <v>0</v>
      </c>
      <c r="I142" s="8" cm="1">
        <f t="array" ref="I142">S$7*EstymacjaGaussowska($A142,$A$52:$A$101,S$11)*EstymacjaGaussowska($B142,$B$52:$B$101,S$12)/$G142</f>
        <v>6201.3418649700698</v>
      </c>
      <c r="J142" s="114" cm="1">
        <f t="array" ref="J142">T$7*EstymacjaGaussowska($A142,$A$102:$A$151,T$11)*EstymacjaGaussowska($B142,$B$102:$B$151,T$12)/$G142</f>
        <v>2708231.1414921307</v>
      </c>
      <c r="K142" s="19" t="str">
        <f t="shared" si="7"/>
        <v>virginica</v>
      </c>
      <c r="L142" s="12" cm="1">
        <f t="array" ref="L142">R$7*EstymacjaGaussowska($C142,$C$2:$C$51,R$11)*EstymacjaGaussowska($D142,$D$2:$D$51,R$12)*EstymacjaGaussowska($A142,$A$2:$A$51,R$15)*EstymacjaGaussowska($B142,$B$2:$B$51,R$16)+S$7*EstymacjaGaussowska($C142,$C$52:$C$101,S$11)*EstymacjaGaussowska($D142,$D$52:$D$101,S$12)*EstymacjaGaussowska($A142,$A$52:$A$101,S$15)*EstymacjaGaussowska($B142,$B$52:$B$101,S$16)+T$7*EstymacjaGaussowska($C142,$C$102:$C$151,T$11)*EstymacjaGaussowska($D142,$D$102:$D$151,T$12)*EstymacjaGaussowska($A142,$A$102:$A$151,T$15)*EstymacjaGaussowska($B142,$B$102:$B$151,T$16)</f>
        <v>0.11161094679955742</v>
      </c>
      <c r="M142" s="8" cm="1">
        <f t="array" ref="M142">R$7*EstymacjaGaussowska($C142,$C$2:$C$51,R$11)*EstymacjaGaussowska($D142,$D$2:$D$51,R$12)*EstymacjaGaussowska($A142,$A$2:$A$51,R$15)*EstymacjaGaussowska($B142,$B$2:$B$51,R$16)/$L$2</f>
        <v>0</v>
      </c>
      <c r="N142" s="8" cm="1">
        <f t="array" ref="N142">S$7*EstymacjaGaussowska($C142,$C$52:$C$101,S$11)*EstymacjaGaussowska($D142,$D$52:$D$101,S$12)*EstymacjaGaussowska($A142,$A$52:$A$101,S$15)*EstymacjaGaussowska($B142,$B$52:$B$101,S$16)/$L$2</f>
        <v>4.2019429732733725E-11</v>
      </c>
      <c r="O142" s="34" cm="1">
        <f t="array" ref="O142">T$7*EstymacjaGaussowska($C142,$C$102:$C$151,T$11)*EstymacjaGaussowska($D142,$D$102:$D$151,T$12)*EstymacjaGaussowska($A142,$A$102:$A$151,T$15)*EstymacjaGaussowska($B142,$B$102:$B$151,T$16)/$L$2</f>
        <v>5.9424433824592338E-2</v>
      </c>
    </row>
    <row r="143" spans="1:15" x14ac:dyDescent="0.25">
      <c r="A143" s="25">
        <v>1.9222678009025997</v>
      </c>
      <c r="B143" s="8">
        <v>0.40920346681606273</v>
      </c>
      <c r="C143" s="8">
        <v>-0.1135865957993562</v>
      </c>
      <c r="D143" s="13">
        <v>0.50530496693927307</v>
      </c>
      <c r="E143" s="25" t="s">
        <v>7</v>
      </c>
      <c r="F143" s="19" t="str">
        <f t="shared" si="6"/>
        <v>virginica</v>
      </c>
      <c r="G143" s="12" cm="1">
        <f t="array" ref="G143">R$7*EstymacjaGaussowska($A143,$A$2:$A$51,R$11)*EstymacjaGaussowska($B143,$B$2:$B$51,R$12)+S$7*EstymacjaGaussowska($A143,$C$52:$C$101,S$11)*EstymacjaGaussowska($B143,$D$52:$D$101,S$12)+T$7*EstymacjaGaussowska($A143,$C$102:$C$151,T$11)*EstymacjaGaussowska($B143,$D$102:$D$151,T$12)</f>
        <v>5.4663255966664385E-6</v>
      </c>
      <c r="H143" s="8" cm="1">
        <f t="array" ref="H143">R$7*EstymacjaGaussowska($A143,$A$2:$A$51,R$11)*EstymacjaGaussowska($B143,$B$2:$B$51,R$12)/$G143</f>
        <v>0</v>
      </c>
      <c r="I143" s="8" cm="1">
        <f t="array" ref="I143">S$7*EstymacjaGaussowska($A143,$A$52:$A$101,S$11)*EstymacjaGaussowska($B143,$B$52:$B$101,S$12)/$G143</f>
        <v>878.11560146167778</v>
      </c>
      <c r="J143" s="114" cm="1">
        <f t="array" ref="J143">T$7*EstymacjaGaussowska($A143,$A$102:$A$151,T$11)*EstymacjaGaussowska($B143,$B$102:$B$151,T$12)/$G143</f>
        <v>21193.609263448612</v>
      </c>
      <c r="K143" s="19" t="str">
        <f t="shared" si="7"/>
        <v>virginica</v>
      </c>
      <c r="L143" s="12" cm="1">
        <f t="array" ref="L143">R$7*EstymacjaGaussowska($C143,$C$2:$C$51,R$11)*EstymacjaGaussowska($D143,$D$2:$D$51,R$12)*EstymacjaGaussowska($A143,$A$2:$A$51,R$15)*EstymacjaGaussowska($B143,$B$2:$B$51,R$16)+S$7*EstymacjaGaussowska($C143,$C$52:$C$101,S$11)*EstymacjaGaussowska($D143,$D$52:$D$101,S$12)*EstymacjaGaussowska($A143,$A$52:$A$101,S$15)*EstymacjaGaussowska($B143,$B$52:$B$101,S$16)+T$7*EstymacjaGaussowska($C143,$C$102:$C$151,T$11)*EstymacjaGaussowska($D143,$D$102:$D$151,T$12)*EstymacjaGaussowska($A143,$A$102:$A$151,T$15)*EstymacjaGaussowska($B143,$B$102:$B$151,T$16)</f>
        <v>5.0592883292463843E-2</v>
      </c>
      <c r="M143" s="8" cm="1">
        <f t="array" ref="M143">R$7*EstymacjaGaussowska($C143,$C$2:$C$51,R$11)*EstymacjaGaussowska($D143,$D$2:$D$51,R$12)*EstymacjaGaussowska($A143,$A$2:$A$51,R$15)*EstymacjaGaussowska($B143,$B$2:$B$51,R$16)/$L$2</f>
        <v>0</v>
      </c>
      <c r="N143" s="8" cm="1">
        <f t="array" ref="N143">S$7*EstymacjaGaussowska($C143,$C$52:$C$101,S$11)*EstymacjaGaussowska($D143,$D$52:$D$101,S$12)*EstymacjaGaussowska($A143,$A$52:$A$101,S$15)*EstymacjaGaussowska($B143,$B$52:$B$101,S$16)/$L$2</f>
        <v>9.160765629455604E-6</v>
      </c>
      <c r="O143" s="34" cm="1">
        <f t="array" ref="O143">T$7*EstymacjaGaussowska($C143,$C$102:$C$151,T$11)*EstymacjaGaussowska($D143,$D$102:$D$151,T$12)*EstymacjaGaussowska($A143,$A$102:$A$151,T$15)*EstymacjaGaussowska($B143,$B$102:$B$151,T$16)/$L$2</f>
        <v>2.6927744023230792E-2</v>
      </c>
    </row>
    <row r="144" spans="1:15" x14ac:dyDescent="0.25">
      <c r="A144" s="25">
        <v>1.4152358767039015</v>
      </c>
      <c r="B144" s="8">
        <v>-0.57491634754648979</v>
      </c>
      <c r="C144" s="8">
        <v>-0.29632252738796439</v>
      </c>
      <c r="D144" s="13">
        <v>-1.5304673894265264E-2</v>
      </c>
      <c r="E144" s="25" t="s">
        <v>7</v>
      </c>
      <c r="F144" s="19" t="str">
        <f t="shared" si="6"/>
        <v>versicolor</v>
      </c>
      <c r="G144" s="12" cm="1">
        <f t="array" ref="G144">R$7*EstymacjaGaussowska($A144,$A$2:$A$51,R$11)*EstymacjaGaussowska($B144,$B$2:$B$51,R$12)+S$7*EstymacjaGaussowska($A144,$C$52:$C$101,S$11)*EstymacjaGaussowska($B144,$D$52:$D$101,S$12)+T$7*EstymacjaGaussowska($A144,$C$102:$C$151,T$11)*EstymacjaGaussowska($B144,$D$102:$D$151,T$12)</f>
        <v>3.8653380372420172E-4</v>
      </c>
      <c r="H144" s="8" cm="1">
        <f t="array" ref="H144">R$7*EstymacjaGaussowska($A144,$A$2:$A$51,R$11)*EstymacjaGaussowska($B144,$B$2:$B$51,R$12)/$G144</f>
        <v>7.0700581199303453E-246</v>
      </c>
      <c r="I144" s="8" cm="1">
        <f t="array" ref="I144">S$7*EstymacjaGaussowska($A144,$A$52:$A$101,S$11)*EstymacjaGaussowska($B144,$B$52:$B$101,S$12)/$G144</f>
        <v>181.32687903272432</v>
      </c>
      <c r="J144" s="114" cm="1">
        <f t="array" ref="J144">T$7*EstymacjaGaussowska($A144,$A$102:$A$151,T$11)*EstymacjaGaussowska($B144,$B$102:$B$151,T$12)/$G144</f>
        <v>125.83235018181048</v>
      </c>
      <c r="K144" s="19" t="str">
        <f t="shared" si="7"/>
        <v>virginica</v>
      </c>
      <c r="L144" s="12" cm="1">
        <f t="array" ref="L144">R$7*EstymacjaGaussowska($C144,$C$2:$C$51,R$11)*EstymacjaGaussowska($D144,$D$2:$D$51,R$12)*EstymacjaGaussowska($A144,$A$2:$A$51,R$15)*EstymacjaGaussowska($B144,$B$2:$B$51,R$16)+S$7*EstymacjaGaussowska($C144,$C$52:$C$101,S$11)*EstymacjaGaussowska($D144,$D$52:$D$101,S$12)*EstymacjaGaussowska($A144,$A$52:$A$101,S$15)*EstymacjaGaussowska($B144,$B$52:$B$101,S$16)+T$7*EstymacjaGaussowska($C144,$C$102:$C$151,T$11)*EstymacjaGaussowska($D144,$D$102:$D$151,T$12)*EstymacjaGaussowska($A144,$A$102:$A$151,T$15)*EstymacjaGaussowska($B144,$B$102:$B$151,T$16)</f>
        <v>0.13012237330792686</v>
      </c>
      <c r="M144" s="8" cm="1">
        <f t="array" ref="M144">R$7*EstymacjaGaussowska($C144,$C$2:$C$51,R$11)*EstymacjaGaussowska($D144,$D$2:$D$51,R$12)*EstymacjaGaussowska($A144,$A$2:$A$51,R$15)*EstymacjaGaussowska($B144,$B$2:$B$51,R$16)/$L$2</f>
        <v>0</v>
      </c>
      <c r="N144" s="8" cm="1">
        <f t="array" ref="N144">S$7*EstymacjaGaussowska($C144,$C$52:$C$101,S$11)*EstymacjaGaussowska($D144,$D$52:$D$101,S$12)*EstymacjaGaussowska($A144,$A$52:$A$101,S$15)*EstymacjaGaussowska($B144,$B$52:$B$101,S$16)/$L$2</f>
        <v>3.0867028753070017E-2</v>
      </c>
      <c r="O144" s="34" cm="1">
        <f t="array" ref="O144">T$7*EstymacjaGaussowska($C144,$C$102:$C$151,T$11)*EstymacjaGaussowska($D144,$D$102:$D$151,T$12)*EstymacjaGaussowska($A144,$A$102:$A$151,T$15)*EstymacjaGaussowska($B144,$B$102:$B$151,T$16)/$L$2</f>
        <v>3.8413347311566419E-2</v>
      </c>
    </row>
    <row r="145" spans="1:15" x14ac:dyDescent="0.25">
      <c r="A145" s="25">
        <v>2.5630133750774746</v>
      </c>
      <c r="B145" s="8">
        <v>0.27786260292919462</v>
      </c>
      <c r="C145" s="8">
        <v>-0.29256952459674274</v>
      </c>
      <c r="D145" s="13">
        <v>5.7912747686554633E-2</v>
      </c>
      <c r="E145" s="25" t="s">
        <v>7</v>
      </c>
      <c r="F145" s="19" t="str">
        <f t="shared" si="6"/>
        <v>virginica</v>
      </c>
      <c r="G145" s="12" cm="1">
        <f t="array" ref="G145">R$7*EstymacjaGaussowska($A145,$A$2:$A$51,R$11)*EstymacjaGaussowska($B145,$B$2:$B$51,R$12)+S$7*EstymacjaGaussowska($A145,$C$52:$C$101,S$11)*EstymacjaGaussowska($B145,$D$52:$D$101,S$12)+T$7*EstymacjaGaussowska($A145,$C$102:$C$151,T$11)*EstymacjaGaussowska($B145,$D$102:$D$151,T$12)</f>
        <v>6.2501641939195985E-10</v>
      </c>
      <c r="H145" s="8" cm="1">
        <f t="array" ref="H145">R$7*EstymacjaGaussowska($A145,$A$2:$A$51,R$11)*EstymacjaGaussowska($B145,$B$2:$B$51,R$12)/$G145</f>
        <v>0</v>
      </c>
      <c r="I145" s="8" cm="1">
        <f t="array" ref="I145">S$7*EstymacjaGaussowska($A145,$A$52:$A$101,S$11)*EstymacjaGaussowska($B145,$B$52:$B$101,S$12)/$G145</f>
        <v>25319.081999408329</v>
      </c>
      <c r="J145" s="114" cm="1">
        <f t="array" ref="J145">T$7*EstymacjaGaussowska($A145,$A$102:$A$151,T$11)*EstymacjaGaussowska($B145,$B$102:$B$151,T$12)/$G145</f>
        <v>155425803.66031101</v>
      </c>
      <c r="K145" s="19" t="str">
        <f t="shared" si="7"/>
        <v>virginica</v>
      </c>
      <c r="L145" s="12" cm="1">
        <f t="array" ref="L145">R$7*EstymacjaGaussowska($C145,$C$2:$C$51,R$11)*EstymacjaGaussowska($D145,$D$2:$D$51,R$12)*EstymacjaGaussowska($A145,$A$2:$A$51,R$15)*EstymacjaGaussowska($B145,$B$2:$B$51,R$16)+S$7*EstymacjaGaussowska($C145,$C$52:$C$101,S$11)*EstymacjaGaussowska($D145,$D$52:$D$101,S$12)*EstymacjaGaussowska($A145,$A$52:$A$101,S$15)*EstymacjaGaussowska($B145,$B$52:$B$101,S$16)+T$7*EstymacjaGaussowska($C145,$C$102:$C$151,T$11)*EstymacjaGaussowska($D145,$D$102:$D$151,T$12)*EstymacjaGaussowska($A145,$A$102:$A$151,T$15)*EstymacjaGaussowska($B145,$B$102:$B$151,T$16)</f>
        <v>0.12522828646167747</v>
      </c>
      <c r="M145" s="8" cm="1">
        <f t="array" ref="M145">R$7*EstymacjaGaussowska($C145,$C$2:$C$51,R$11)*EstymacjaGaussowska($D145,$D$2:$D$51,R$12)*EstymacjaGaussowska($A145,$A$2:$A$51,R$15)*EstymacjaGaussowska($B145,$B$2:$B$51,R$16)/$L$2</f>
        <v>0</v>
      </c>
      <c r="N145" s="8" cm="1">
        <f t="array" ref="N145">S$7*EstymacjaGaussowska($C145,$C$52:$C$101,S$11)*EstymacjaGaussowska($D145,$D$52:$D$101,S$12)*EstymacjaGaussowska($A145,$A$52:$A$101,S$15)*EstymacjaGaussowska($B145,$B$52:$B$101,S$16)/$L$2</f>
        <v>1.3318433412963757E-16</v>
      </c>
      <c r="O145" s="34" cm="1">
        <f t="array" ref="O145">T$7*EstymacjaGaussowska($C145,$C$102:$C$151,T$11)*EstymacjaGaussowska($D145,$D$102:$D$151,T$12)*EstymacjaGaussowska($A145,$A$102:$A$151,T$15)*EstymacjaGaussowska($B145,$B$102:$B$151,T$16)/$L$2</f>
        <v>6.66746429490961E-2</v>
      </c>
    </row>
    <row r="146" spans="1:15" x14ac:dyDescent="0.25">
      <c r="A146" s="25">
        <v>2.418746182732824</v>
      </c>
      <c r="B146" s="8">
        <v>0.30479819785469209</v>
      </c>
      <c r="C146" s="8">
        <v>-0.50448266397718</v>
      </c>
      <c r="D146" s="13">
        <v>0.2410910004812804</v>
      </c>
      <c r="E146" s="25" t="s">
        <v>7</v>
      </c>
      <c r="F146" s="19" t="str">
        <f t="shared" si="6"/>
        <v>virginica</v>
      </c>
      <c r="G146" s="12" cm="1">
        <f t="array" ref="G146">R$7*EstymacjaGaussowska($A146,$A$2:$A$51,R$11)*EstymacjaGaussowska($B146,$B$2:$B$51,R$12)+S$7*EstymacjaGaussowska($A146,$C$52:$C$101,S$11)*EstymacjaGaussowska($B146,$D$52:$D$101,S$12)+T$7*EstymacjaGaussowska($A146,$C$102:$C$151,T$11)*EstymacjaGaussowska($B146,$D$102:$D$151,T$12)</f>
        <v>6.5673241171424622E-9</v>
      </c>
      <c r="H146" s="8" cm="1">
        <f t="array" ref="H146">R$7*EstymacjaGaussowska($A146,$A$2:$A$51,R$11)*EstymacjaGaussowska($B146,$B$2:$B$51,R$12)/$G146</f>
        <v>0</v>
      </c>
      <c r="I146" s="8" cm="1">
        <f t="array" ref="I146">S$7*EstymacjaGaussowska($A146,$A$52:$A$101,S$11)*EstymacjaGaussowska($B146,$B$52:$B$101,S$12)/$G146</f>
        <v>12865.972095801824</v>
      </c>
      <c r="J146" s="114" cm="1">
        <f t="array" ref="J146">T$7*EstymacjaGaussowska($A146,$A$102:$A$151,T$11)*EstymacjaGaussowska($B146,$B$102:$B$151,T$12)/$G146</f>
        <v>16811492.55968168</v>
      </c>
      <c r="K146" s="19" t="str">
        <f t="shared" si="7"/>
        <v>virginica</v>
      </c>
      <c r="L146" s="12" cm="1">
        <f t="array" ref="L146">R$7*EstymacjaGaussowska($C146,$C$2:$C$51,R$11)*EstymacjaGaussowska($D146,$D$2:$D$51,R$12)*EstymacjaGaussowska($A146,$A$2:$A$51,R$15)*EstymacjaGaussowska($B146,$B$2:$B$51,R$16)+S$7*EstymacjaGaussowska($C146,$C$52:$C$101,S$11)*EstymacjaGaussowska($D146,$D$52:$D$101,S$12)*EstymacjaGaussowska($A146,$A$52:$A$101,S$15)*EstymacjaGaussowska($B146,$B$52:$B$101,S$16)+T$7*EstymacjaGaussowska($C146,$C$102:$C$151,T$11)*EstymacjaGaussowska($D146,$D$102:$D$151,T$12)*EstymacjaGaussowska($A146,$A$102:$A$151,T$15)*EstymacjaGaussowska($B146,$B$102:$B$151,T$16)</f>
        <v>0.10025806566785914</v>
      </c>
      <c r="M146" s="8" cm="1">
        <f t="array" ref="M146">R$7*EstymacjaGaussowska($C146,$C$2:$C$51,R$11)*EstymacjaGaussowska($D146,$D$2:$D$51,R$12)*EstymacjaGaussowska($A146,$A$2:$A$51,R$15)*EstymacjaGaussowska($B146,$B$2:$B$51,R$16)/$L$2</f>
        <v>0</v>
      </c>
      <c r="N146" s="8" cm="1">
        <f t="array" ref="N146">S$7*EstymacjaGaussowska($C146,$C$52:$C$101,S$11)*EstymacjaGaussowska($D146,$D$52:$D$101,S$12)*EstymacjaGaussowska($A146,$A$52:$A$101,S$15)*EstymacjaGaussowska($B146,$B$52:$B$101,S$16)/$L$2</f>
        <v>1.6821056631248114E-13</v>
      </c>
      <c r="O146" s="34" cm="1">
        <f t="array" ref="O146">T$7*EstymacjaGaussowska($C146,$C$102:$C$151,T$11)*EstymacjaGaussowska($D146,$D$102:$D$151,T$12)*EstymacjaGaussowska($A146,$A$102:$A$151,T$15)*EstymacjaGaussowska($B146,$B$102:$B$151,T$16)/$L$2</f>
        <v>5.3379878620283913E-2</v>
      </c>
    </row>
    <row r="147" spans="1:15" x14ac:dyDescent="0.25">
      <c r="A147" s="25">
        <v>1.9441097945469668</v>
      </c>
      <c r="B147" s="8">
        <v>0.18753230280060562</v>
      </c>
      <c r="C147" s="8">
        <v>-0.17782509063265717</v>
      </c>
      <c r="D147" s="13">
        <v>0.4261959400256275</v>
      </c>
      <c r="E147" s="25" t="s">
        <v>7</v>
      </c>
      <c r="F147" s="19" t="str">
        <f t="shared" si="6"/>
        <v>virginica</v>
      </c>
      <c r="G147" s="12" cm="1">
        <f t="array" ref="G147">R$7*EstymacjaGaussowska($A147,$A$2:$A$51,R$11)*EstymacjaGaussowska($B147,$B$2:$B$51,R$12)+S$7*EstymacjaGaussowska($A147,$C$52:$C$101,S$11)*EstymacjaGaussowska($B147,$D$52:$D$101,S$12)+T$7*EstymacjaGaussowska($A147,$C$102:$C$151,T$11)*EstymacjaGaussowska($B147,$D$102:$D$151,T$12)</f>
        <v>8.5726704599892191E-6</v>
      </c>
      <c r="H147" s="8" cm="1">
        <f t="array" ref="H147">R$7*EstymacjaGaussowska($A147,$A$2:$A$51,R$11)*EstymacjaGaussowska($B147,$B$2:$B$51,R$12)/$G147</f>
        <v>0</v>
      </c>
      <c r="I147" s="8" cm="1">
        <f t="array" ref="I147">S$7*EstymacjaGaussowska($A147,$A$52:$A$101,S$11)*EstymacjaGaussowska($B147,$B$52:$B$101,S$12)/$G147</f>
        <v>665.37646387464133</v>
      </c>
      <c r="J147" s="114" cm="1">
        <f t="array" ref="J147">T$7*EstymacjaGaussowska($A147,$A$102:$A$151,T$11)*EstymacjaGaussowska($B147,$B$102:$B$151,T$12)/$G147</f>
        <v>16107.251023375127</v>
      </c>
      <c r="K147" s="19" t="str">
        <f t="shared" si="7"/>
        <v>virginica</v>
      </c>
      <c r="L147" s="12" cm="1">
        <f t="array" ref="L147">R$7*EstymacjaGaussowska($C147,$C$2:$C$51,R$11)*EstymacjaGaussowska($D147,$D$2:$D$51,R$12)*EstymacjaGaussowska($A147,$A$2:$A$51,R$15)*EstymacjaGaussowska($B147,$B$2:$B$51,R$16)+S$7*EstymacjaGaussowska($C147,$C$52:$C$101,S$11)*EstymacjaGaussowska($D147,$D$52:$D$101,S$12)*EstymacjaGaussowska($A147,$A$52:$A$101,S$15)*EstymacjaGaussowska($B147,$B$52:$B$101,S$16)+T$7*EstymacjaGaussowska($C147,$C$102:$C$151,T$11)*EstymacjaGaussowska($D147,$D$102:$D$151,T$12)*EstymacjaGaussowska($A147,$A$102:$A$151,T$15)*EstymacjaGaussowska($B147,$B$102:$B$151,T$16)</f>
        <v>7.8076389227188028E-2</v>
      </c>
      <c r="M147" s="8" cm="1">
        <f t="array" ref="M147">R$7*EstymacjaGaussowska($C147,$C$2:$C$51,R$11)*EstymacjaGaussowska($D147,$D$2:$D$51,R$12)*EstymacjaGaussowska($A147,$A$2:$A$51,R$15)*EstymacjaGaussowska($B147,$B$2:$B$51,R$16)/$L$2</f>
        <v>0</v>
      </c>
      <c r="N147" s="8" cm="1">
        <f t="array" ref="N147">S$7*EstymacjaGaussowska($C147,$C$52:$C$101,S$11)*EstymacjaGaussowska($D147,$D$52:$D$101,S$12)*EstymacjaGaussowska($A147,$A$52:$A$101,S$15)*EstymacjaGaussowska($B147,$B$52:$B$101,S$16)/$L$2</f>
        <v>1.4117218737529638E-5</v>
      </c>
      <c r="O147" s="34" cm="1">
        <f t="array" ref="O147">T$7*EstymacjaGaussowska($C147,$C$102:$C$151,T$11)*EstymacjaGaussowska($D147,$D$102:$D$151,T$12)*EstymacjaGaussowska($A147,$A$102:$A$151,T$15)*EstymacjaGaussowska($B147,$B$102:$B$151,T$16)/$L$2</f>
        <v>4.1555687188595682E-2</v>
      </c>
    </row>
    <row r="148" spans="1:15" x14ac:dyDescent="0.25">
      <c r="A148" s="25">
        <v>1.5271666148145164</v>
      </c>
      <c r="B148" s="8">
        <v>-0.37531698258048818</v>
      </c>
      <c r="C148" s="8">
        <v>0.12189817186718205</v>
      </c>
      <c r="D148" s="13">
        <v>0.25436744199041167</v>
      </c>
      <c r="E148" s="25" t="s">
        <v>7</v>
      </c>
      <c r="F148" s="19" t="str">
        <f t="shared" si="6"/>
        <v>virginica</v>
      </c>
      <c r="G148" s="12" cm="1">
        <f t="array" ref="G148">R$7*EstymacjaGaussowska($A148,$A$2:$A$51,R$11)*EstymacjaGaussowska($B148,$B$2:$B$51,R$12)+S$7*EstymacjaGaussowska($A148,$C$52:$C$101,S$11)*EstymacjaGaussowska($B148,$D$52:$D$101,S$12)+T$7*EstymacjaGaussowska($A148,$C$102:$C$151,T$11)*EstymacjaGaussowska($B148,$D$102:$D$151,T$12)</f>
        <v>4.5452263765750645E-4</v>
      </c>
      <c r="H148" s="8" cm="1">
        <f t="array" ref="H148">R$7*EstymacjaGaussowska($A148,$A$2:$A$51,R$11)*EstymacjaGaussowska($B148,$B$2:$B$51,R$12)/$G148</f>
        <v>3.6763272644744562E-261</v>
      </c>
      <c r="I148" s="8" cm="1">
        <f t="array" ref="I148">S$7*EstymacjaGaussowska($A148,$A$52:$A$101,S$11)*EstymacjaGaussowska($B148,$B$52:$B$101,S$12)/$G148</f>
        <v>137.59454934242541</v>
      </c>
      <c r="J148" s="114" cm="1">
        <f t="array" ref="J148">T$7*EstymacjaGaussowska($A148,$A$102:$A$151,T$11)*EstymacjaGaussowska($B148,$B$102:$B$151,T$12)/$G148</f>
        <v>169.61306875054538</v>
      </c>
      <c r="K148" s="19" t="str">
        <f t="shared" si="7"/>
        <v>versicolor</v>
      </c>
      <c r="L148" s="12" cm="1">
        <f t="array" ref="L148">R$7*EstymacjaGaussowska($C148,$C$2:$C$51,R$11)*EstymacjaGaussowska($D148,$D$2:$D$51,R$12)*EstymacjaGaussowska($A148,$A$2:$A$51,R$15)*EstymacjaGaussowska($B148,$B$2:$B$51,R$16)+S$7*EstymacjaGaussowska($C148,$C$52:$C$101,S$11)*EstymacjaGaussowska($D148,$D$52:$D$101,S$12)*EstymacjaGaussowska($A148,$A$52:$A$101,S$15)*EstymacjaGaussowska($B148,$B$52:$B$101,S$16)+T$7*EstymacjaGaussowska($C148,$C$102:$C$151,T$11)*EstymacjaGaussowska($D148,$D$102:$D$151,T$12)*EstymacjaGaussowska($A148,$A$102:$A$151,T$15)*EstymacjaGaussowska($B148,$B$102:$B$151,T$16)</f>
        <v>0.11168014579652238</v>
      </c>
      <c r="M148" s="8" cm="1">
        <f t="array" ref="M148">R$7*EstymacjaGaussowska($C148,$C$2:$C$51,R$11)*EstymacjaGaussowska($D148,$D$2:$D$51,R$12)*EstymacjaGaussowska($A148,$A$2:$A$51,R$15)*EstymacjaGaussowska($B148,$B$2:$B$51,R$16)/$L$2</f>
        <v>0</v>
      </c>
      <c r="N148" s="8" cm="1">
        <f t="array" ref="N148">S$7*EstymacjaGaussowska($C148,$C$52:$C$101,S$11)*EstymacjaGaussowska($D148,$D$52:$D$101,S$12)*EstymacjaGaussowska($A148,$A$52:$A$101,S$15)*EstymacjaGaussowska($B148,$B$52:$B$101,S$16)/$L$2</f>
        <v>3.8257690206509327E-2</v>
      </c>
      <c r="O148" s="34" cm="1">
        <f t="array" ref="O148">T$7*EstymacjaGaussowska($C148,$C$102:$C$151,T$11)*EstymacjaGaussowska($D148,$D$102:$D$151,T$12)*EstymacjaGaussowska($A148,$A$102:$A$151,T$15)*EstymacjaGaussowska($B148,$B$102:$B$151,T$16)/$L$2</f>
        <v>2.1203586920881909E-2</v>
      </c>
    </row>
    <row r="149" spans="1:15" x14ac:dyDescent="0.25">
      <c r="A149" s="25">
        <v>1.7643457170444279</v>
      </c>
      <c r="B149" s="8">
        <v>7.8858854518475713E-2</v>
      </c>
      <c r="C149" s="8">
        <v>-0.13048163128784801</v>
      </c>
      <c r="D149" s="13">
        <v>0.137001273865619</v>
      </c>
      <c r="E149" s="25" t="s">
        <v>7</v>
      </c>
      <c r="F149" s="19" t="str">
        <f t="shared" si="6"/>
        <v>virginica</v>
      </c>
      <c r="G149" s="12" cm="1">
        <f t="array" ref="G149">R$7*EstymacjaGaussowska($A149,$A$2:$A$51,R$11)*EstymacjaGaussowska($B149,$B$2:$B$51,R$12)+S$7*EstymacjaGaussowska($A149,$C$52:$C$101,S$11)*EstymacjaGaussowska($B149,$D$52:$D$101,S$12)+T$7*EstymacjaGaussowska($A149,$C$102:$C$151,T$11)*EstymacjaGaussowska($B149,$D$102:$D$151,T$12)</f>
        <v>8.8804219345667659E-5</v>
      </c>
      <c r="H149" s="8" cm="1">
        <f t="array" ref="H149">R$7*EstymacjaGaussowska($A149,$A$2:$A$51,R$11)*EstymacjaGaussowska($B149,$B$2:$B$51,R$12)/$G149</f>
        <v>1.2807100949855478E-294</v>
      </c>
      <c r="I149" s="8" cm="1">
        <f t="array" ref="I149">S$7*EstymacjaGaussowska($A149,$A$52:$A$101,S$11)*EstymacjaGaussowska($B149,$B$52:$B$101,S$12)/$G149</f>
        <v>189.97578582099092</v>
      </c>
      <c r="J149" s="114" cm="1">
        <f t="array" ref="J149">T$7*EstymacjaGaussowska($A149,$A$102:$A$151,T$11)*EstymacjaGaussowska($B149,$B$102:$B$151,T$12)/$G149</f>
        <v>1481.4023097257543</v>
      </c>
      <c r="K149" s="19" t="str">
        <f t="shared" si="7"/>
        <v>virginica</v>
      </c>
      <c r="L149" s="12" cm="1">
        <f t="array" ref="L149">R$7*EstymacjaGaussowska($C149,$C$2:$C$51,R$11)*EstymacjaGaussowska($D149,$D$2:$D$51,R$12)*EstymacjaGaussowska($A149,$A$2:$A$51,R$15)*EstymacjaGaussowska($B149,$B$2:$B$51,R$16)+S$7*EstymacjaGaussowska($C149,$C$52:$C$101,S$11)*EstymacjaGaussowska($D149,$D$52:$D$101,S$12)*EstymacjaGaussowska($A149,$A$52:$A$101,S$15)*EstymacjaGaussowska($B149,$B$52:$B$101,S$16)+T$7*EstymacjaGaussowska($C149,$C$102:$C$151,T$11)*EstymacjaGaussowska($D149,$D$102:$D$151,T$12)*EstymacjaGaussowska($A149,$A$102:$A$151,T$15)*EstymacjaGaussowska($B149,$B$102:$B$151,T$16)</f>
        <v>0.12453155235418419</v>
      </c>
      <c r="M149" s="8" cm="1">
        <f t="array" ref="M149">R$7*EstymacjaGaussowska($C149,$C$2:$C$51,R$11)*EstymacjaGaussowska($D149,$D$2:$D$51,R$12)*EstymacjaGaussowska($A149,$A$2:$A$51,R$15)*EstymacjaGaussowska($B149,$B$2:$B$51,R$16)/$L$2</f>
        <v>0</v>
      </c>
      <c r="N149" s="8" cm="1">
        <f t="array" ref="N149">S$7*EstymacjaGaussowska($C149,$C$52:$C$101,S$11)*EstymacjaGaussowska($D149,$D$52:$D$101,S$12)*EstymacjaGaussowska($A149,$A$52:$A$101,S$15)*EstymacjaGaussowska($B149,$B$52:$B$101,S$16)/$L$2</f>
        <v>1.4250625575849595E-3</v>
      </c>
      <c r="O149" s="34" cm="1">
        <f t="array" ref="O149">T$7*EstymacjaGaussowska($C149,$C$102:$C$151,T$11)*EstymacjaGaussowska($D149,$D$102:$D$151,T$12)*EstymacjaGaussowska($A149,$A$102:$A$151,T$15)*EstymacjaGaussowska($B149,$B$102:$B$151,T$16)/$L$2</f>
        <v>6.4878621887165783E-2</v>
      </c>
    </row>
    <row r="150" spans="1:15" x14ac:dyDescent="0.25">
      <c r="A150" s="25">
        <v>1.9009416142184223</v>
      </c>
      <c r="B150" s="8">
        <v>0.11662795851202327</v>
      </c>
      <c r="C150" s="8">
        <v>-0.72325156348991715</v>
      </c>
      <c r="D150" s="13">
        <v>4.4595304708260675E-2</v>
      </c>
      <c r="E150" s="25" t="s">
        <v>7</v>
      </c>
      <c r="F150" s="19" t="str">
        <f t="shared" si="6"/>
        <v>virginica</v>
      </c>
      <c r="G150" s="12" cm="1">
        <f t="array" ref="G150">R$7*EstymacjaGaussowska($A150,$A$2:$A$51,R$11)*EstymacjaGaussowska($B150,$B$2:$B$51,R$12)+S$7*EstymacjaGaussowska($A150,$C$52:$C$101,S$11)*EstymacjaGaussowska($B150,$D$52:$D$101,S$12)+T$7*EstymacjaGaussowska($A150,$C$102:$C$151,T$11)*EstymacjaGaussowska($B150,$D$102:$D$151,T$12)</f>
        <v>1.6575852970180439E-5</v>
      </c>
      <c r="H150" s="8" cm="1">
        <f t="array" ref="H150">R$7*EstymacjaGaussowska($A150,$A$2:$A$51,R$11)*EstymacjaGaussowska($B150,$B$2:$B$51,R$12)/$G150</f>
        <v>0</v>
      </c>
      <c r="I150" s="8" cm="1">
        <f t="array" ref="I150">S$7*EstymacjaGaussowska($A150,$A$52:$A$101,S$11)*EstymacjaGaussowska($B150,$B$52:$B$101,S$12)/$G150</f>
        <v>475.74041233352858</v>
      </c>
      <c r="J150" s="114" cm="1">
        <f t="array" ref="J150">T$7*EstymacjaGaussowska($A150,$A$102:$A$151,T$11)*EstymacjaGaussowska($B150,$B$102:$B$151,T$12)/$G150</f>
        <v>8257.9833412676726</v>
      </c>
      <c r="K150" s="19" t="str">
        <f t="shared" si="7"/>
        <v>virginica</v>
      </c>
      <c r="L150" s="12" cm="1">
        <f t="array" ref="L150">R$7*EstymacjaGaussowska($C150,$C$2:$C$51,R$11)*EstymacjaGaussowska($D150,$D$2:$D$51,R$12)*EstymacjaGaussowska($A150,$A$2:$A$51,R$15)*EstymacjaGaussowska($B150,$B$2:$B$51,R$16)+S$7*EstymacjaGaussowska($C150,$C$52:$C$101,S$11)*EstymacjaGaussowska($D150,$D$52:$D$101,S$12)*EstymacjaGaussowska($A150,$A$52:$A$101,S$15)*EstymacjaGaussowska($B150,$B$52:$B$101,S$16)+T$7*EstymacjaGaussowska($C150,$C$102:$C$151,T$11)*EstymacjaGaussowska($D150,$D$102:$D$151,T$12)*EstymacjaGaussowska($A150,$A$102:$A$151,T$15)*EstymacjaGaussowska($B150,$B$102:$B$151,T$16)</f>
        <v>7.5590892033916765E-2</v>
      </c>
      <c r="M150" s="8" cm="1">
        <f t="array" ref="M150">R$7*EstymacjaGaussowska($C150,$C$2:$C$51,R$11)*EstymacjaGaussowska($D150,$D$2:$D$51,R$12)*EstymacjaGaussowska($A150,$A$2:$A$51,R$15)*EstymacjaGaussowska($B150,$B$2:$B$51,R$16)/$L$2</f>
        <v>0</v>
      </c>
      <c r="N150" s="8" cm="1">
        <f t="array" ref="N150">S$7*EstymacjaGaussowska($C150,$C$52:$C$101,S$11)*EstymacjaGaussowska($D150,$D$52:$D$101,S$12)*EstymacjaGaussowska($A150,$A$52:$A$101,S$15)*EstymacjaGaussowska($B150,$B$52:$B$101,S$16)/$L$2</f>
        <v>1.9313938358190893E-5</v>
      </c>
      <c r="O150" s="34" cm="1">
        <f t="array" ref="O150">T$7*EstymacjaGaussowska($C150,$C$102:$C$151,T$11)*EstymacjaGaussowska($D150,$D$102:$D$151,T$12)*EstymacjaGaussowska($A150,$A$102:$A$151,T$15)*EstymacjaGaussowska($B150,$B$102:$B$151,T$16)/$L$2</f>
        <v>4.0227150171069904E-2</v>
      </c>
    </row>
    <row r="151" spans="1:15" ht="15.75" thickBot="1" x14ac:dyDescent="0.3">
      <c r="A151" s="26">
        <v>1.390188861947913</v>
      </c>
      <c r="B151" s="15">
        <v>-0.28266093799055114</v>
      </c>
      <c r="C151" s="15">
        <v>-0.36290964808537579</v>
      </c>
      <c r="D151" s="16">
        <v>-0.15503862823011128</v>
      </c>
      <c r="E151" s="26" t="s">
        <v>7</v>
      </c>
      <c r="F151" s="19" t="str">
        <f t="shared" si="6"/>
        <v>versicolor</v>
      </c>
      <c r="G151" s="14" cm="1">
        <f t="array" ref="G151">R$7*EstymacjaGaussowska($A151,$A$2:$A$51,R$11)*EstymacjaGaussowska($B151,$B$2:$B$51,R$12)+S$7*EstymacjaGaussowska($A151,$C$52:$C$101,S$11)*EstymacjaGaussowska($B151,$D$52:$D$101,S$12)+T$7*EstymacjaGaussowska($A151,$C$102:$C$151,T$11)*EstymacjaGaussowska($B151,$D$102:$D$151,T$12)</f>
        <v>2.3529073523765719E-3</v>
      </c>
      <c r="H151" s="15" cm="1">
        <f t="array" ref="H151">R$7*EstymacjaGaussowska($A151,$A$2:$A$51,R$11)*EstymacjaGaussowska($B151,$B$2:$B$51,R$12)/$G151</f>
        <v>6.8608882122062848E-243</v>
      </c>
      <c r="I151" s="15" cm="1">
        <f t="array" ref="I151">S$7*EstymacjaGaussowska($A151,$A$52:$A$101,S$11)*EstymacjaGaussowska($B151,$B$52:$B$101,S$12)/$G151</f>
        <v>37.952016929085417</v>
      </c>
      <c r="J151" s="115" cm="1">
        <f t="array" ref="J151">T$7*EstymacjaGaussowska($A151,$A$102:$A$151,T$11)*EstymacjaGaussowska($B151,$B$102:$B$151,T$12)/$G151</f>
        <v>33.715902354332016</v>
      </c>
      <c r="K151" s="20" t="str">
        <f t="shared" si="7"/>
        <v>virginica</v>
      </c>
      <c r="L151" s="14" cm="1">
        <f t="array" ref="L151">R$7*EstymacjaGaussowska($C151,$C$2:$C$51,R$11)*EstymacjaGaussowska($D151,$D$2:$D$51,R$12)*EstymacjaGaussowska($A151,$A$2:$A$51,R$15)*EstymacjaGaussowska($B151,$B$2:$B$51,R$16)+S$7*EstymacjaGaussowska($C151,$C$52:$C$101,S$11)*EstymacjaGaussowska($D151,$D$52:$D$101,S$12)*EstymacjaGaussowska($A151,$A$52:$A$101,S$15)*EstymacjaGaussowska($B151,$B$52:$B$101,S$16)+T$7*EstymacjaGaussowska($C151,$C$102:$C$151,T$11)*EstymacjaGaussowska($D151,$D$102:$D$151,T$12)*EstymacjaGaussowska($A151,$A$102:$A$151,T$15)*EstymacjaGaussowska($B151,$B$102:$B$151,T$16)</f>
        <v>0.17079040097698389</v>
      </c>
      <c r="M151" s="15" cm="1">
        <f t="array" ref="M151">R$7*EstymacjaGaussowska($C151,$C$2:$C$51,R$11)*EstymacjaGaussowska($D151,$D$2:$D$51,R$12)*EstymacjaGaussowska($A151,$A$2:$A$51,R$15)*EstymacjaGaussowska($B151,$B$2:$B$51,R$16)/$L$2</f>
        <v>0</v>
      </c>
      <c r="N151" s="15" cm="1">
        <f t="array" ref="N151">S$7*EstymacjaGaussowska($C151,$C$52:$C$101,S$11)*EstymacjaGaussowska($D151,$D$52:$D$101,S$12)*EstymacjaGaussowska($A151,$A$52:$A$101,S$15)*EstymacjaGaussowska($B151,$B$52:$B$101,S$16)/$L$2</f>
        <v>4.1656442885062019E-2</v>
      </c>
      <c r="O151" s="35" cm="1">
        <f t="array" ref="O151">T$7*EstymacjaGaussowska($C151,$C$102:$C$151,T$11)*EstymacjaGaussowska($D151,$D$102:$D$151,T$12)*EstymacjaGaussowska($A151,$A$102:$A$151,T$15)*EstymacjaGaussowska($B151,$B$102:$B$151,T$16)/$L$2</f>
        <v>4.9276598890273311E-2</v>
      </c>
    </row>
  </sheetData>
  <mergeCells count="3">
    <mergeCell ref="Q2:S2"/>
    <mergeCell ref="Q3:R3"/>
    <mergeCell ref="Q4:R4"/>
  </mergeCell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notContainsText" priority="4" operator="notContains" id="{4AFC8466-9B5E-458C-A95B-E188564BD70D}">
            <xm:f>ISERROR(SEARCH($F$102,F102))</xm:f>
            <xm:f>$F$102</xm:f>
            <x14:dxf>
              <fill>
                <patternFill>
                  <bgColor rgb="FFFF5050"/>
                </patternFill>
              </fill>
            </x14:dxf>
          </x14:cfRule>
          <xm:sqref>F102:F151</xm:sqref>
        </x14:conditionalFormatting>
        <x14:conditionalFormatting xmlns:xm="http://schemas.microsoft.com/office/excel/2006/main">
          <x14:cfRule type="notContainsText" priority="5" operator="notContains" id="{9A952C12-FB70-4A40-96E6-782F2EDF1DDF}">
            <xm:f>ISERROR(SEARCH($F$2,F2))</xm:f>
            <xm:f>$F$2</xm:f>
            <x14:dxf>
              <fill>
                <patternFill patternType="solid">
                  <fgColor auto="1"/>
                  <bgColor rgb="FFFF5050"/>
                </patternFill>
              </fill>
            </x14:dxf>
          </x14:cfRule>
          <xm:sqref>F2:F51</xm:sqref>
        </x14:conditionalFormatting>
        <x14:conditionalFormatting xmlns:xm="http://schemas.microsoft.com/office/excel/2006/main">
          <x14:cfRule type="notContainsText" priority="6" operator="notContains" id="{D5B769EB-5010-48A2-AA05-8306A4725690}">
            <xm:f>ISERROR(SEARCH($E$52,F52))</xm:f>
            <xm:f>$E$52</xm:f>
            <x14:dxf>
              <fill>
                <patternFill>
                  <bgColor rgb="FFFF5050"/>
                </patternFill>
              </fill>
            </x14:dxf>
          </x14:cfRule>
          <xm:sqref>F52:F101</xm:sqref>
        </x14:conditionalFormatting>
        <x14:conditionalFormatting xmlns:xm="http://schemas.microsoft.com/office/excel/2006/main">
          <x14:cfRule type="notContainsText" priority="1" operator="notContains" id="{CA561D28-E113-4B61-9DB9-5EDC113CA95A}">
            <xm:f>ISERROR(SEARCH($F$102,K102))</xm:f>
            <xm:f>$F$102</xm:f>
            <x14:dxf>
              <fill>
                <patternFill>
                  <bgColor rgb="FFFF5050"/>
                </patternFill>
              </fill>
            </x14:dxf>
          </x14:cfRule>
          <xm:sqref>K102:K151</xm:sqref>
        </x14:conditionalFormatting>
        <x14:conditionalFormatting xmlns:xm="http://schemas.microsoft.com/office/excel/2006/main">
          <x14:cfRule type="notContainsText" priority="2" operator="notContains" id="{4AC6301C-40E2-4F2E-BE8E-2FEA8D9E35C3}">
            <xm:f>ISERROR(SEARCH($F$2,K2))</xm:f>
            <xm:f>$F$2</xm:f>
            <x14:dxf>
              <fill>
                <patternFill patternType="solid">
                  <fgColor auto="1"/>
                  <bgColor rgb="FFFF5050"/>
                </patternFill>
              </fill>
            </x14:dxf>
          </x14:cfRule>
          <xm:sqref>K2:K51</xm:sqref>
        </x14:conditionalFormatting>
        <x14:conditionalFormatting xmlns:xm="http://schemas.microsoft.com/office/excel/2006/main">
          <x14:cfRule type="notContainsText" priority="3" operator="notContains" id="{8BE9092D-F9E8-4EC2-B11C-C62E10E99760}">
            <xm:f>ISERROR(SEARCH($E$52,K52))</xm:f>
            <xm:f>$E$52</xm:f>
            <x14:dxf>
              <fill>
                <patternFill>
                  <bgColor rgb="FFFF5050"/>
                </patternFill>
              </fill>
            </x14:dxf>
          </x14:cfRule>
          <xm:sqref>K52:K101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Irysy</vt:lpstr>
      <vt:lpstr>PCA (centralizacja)</vt:lpstr>
      <vt:lpstr>PCA (Standaryzacja)</vt:lpstr>
      <vt:lpstr>QDA</vt:lpstr>
      <vt:lpstr>Bayes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2020-06-26T16:21:20Z</dcterms:created>
  <dcterms:modified xsi:type="dcterms:W3CDTF">2020-07-02T08:09:31Z</dcterms:modified>
</cp:coreProperties>
</file>